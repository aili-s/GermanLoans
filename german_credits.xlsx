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Робочий стіл\проби\German_Credits_Pet\"/>
    </mc:Choice>
  </mc:AlternateContent>
  <xr:revisionPtr revIDLastSave="0" documentId="13_ncr:1_{54DBB7D2-2A92-4061-9C2A-0458DDE1426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german_credit_original" sheetId="2" r:id="rId1"/>
    <sheet name="Ger_credit_transform" sheetId="3" r:id="rId2"/>
    <sheet name="Dictonary" sheetId="1" r:id="rId3"/>
    <sheet name="Ger_credit_clean_data" sheetId="4" r:id="rId4"/>
    <sheet name="PivotTables" sheetId="6" r:id="rId5"/>
  </sheets>
  <definedNames>
    <definedName name="ExternalData_1" localSheetId="1" hidden="1">Ger_credit_transform!$A$1:$U$1001</definedName>
    <definedName name="ExternalData_1" localSheetId="0" hidden="1">german_credit_original!$A$1:$U$1001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6" l="1"/>
  <c r="B17" i="6"/>
  <c r="B19" i="6" s="1"/>
  <c r="N2" i="4" a="1"/>
  <c r="N2" i="4" s="1"/>
  <c r="N303" i="4" a="1"/>
  <c r="N303" i="4" s="1"/>
  <c r="N304" i="4" a="1"/>
  <c r="N304" i="4" s="1"/>
  <c r="N3" i="4" a="1"/>
  <c r="N3" i="4" s="1"/>
  <c r="N305" i="4" a="1"/>
  <c r="N305" i="4" s="1"/>
  <c r="N306" i="4" a="1"/>
  <c r="N306" i="4" s="1"/>
  <c r="N307" i="4" a="1"/>
  <c r="N307" i="4"/>
  <c r="N308" i="4" a="1"/>
  <c r="N308" i="4" s="1"/>
  <c r="N4" i="4" a="1"/>
  <c r="N4" i="4" s="1"/>
  <c r="N5" i="4" a="1"/>
  <c r="N5" i="4" s="1"/>
  <c r="N6" i="4" a="1"/>
  <c r="N6" i="4" s="1"/>
  <c r="N309" i="4" a="1"/>
  <c r="N309" i="4" s="1"/>
  <c r="N7" i="4" a="1"/>
  <c r="N7" i="4"/>
  <c r="N310" i="4" a="1"/>
  <c r="N310" i="4" s="1"/>
  <c r="N8" i="4" a="1"/>
  <c r="N8" i="4"/>
  <c r="N311" i="4" a="1"/>
  <c r="N311" i="4" s="1"/>
  <c r="N312" i="4" a="1"/>
  <c r="N312" i="4" s="1"/>
  <c r="N9" i="4" a="1"/>
  <c r="N9" i="4" s="1"/>
  <c r="N313" i="4" a="1"/>
  <c r="N313" i="4" s="1"/>
  <c r="N314" i="4" a="1"/>
  <c r="N314" i="4"/>
  <c r="N315" i="4" a="1"/>
  <c r="N315" i="4" s="1"/>
  <c r="N316" i="4" a="1"/>
  <c r="N316" i="4"/>
  <c r="N317" i="4" a="1"/>
  <c r="N317" i="4"/>
  <c r="N318" i="4" a="1"/>
  <c r="N318" i="4" s="1"/>
  <c r="N319" i="4" a="1"/>
  <c r="N319" i="4" s="1"/>
  <c r="N320" i="4" a="1"/>
  <c r="N320" i="4" s="1"/>
  <c r="N321" i="4" a="1"/>
  <c r="N321" i="4" s="1"/>
  <c r="N322" i="4" a="1"/>
  <c r="N322" i="4" s="1"/>
  <c r="N10" i="4" a="1"/>
  <c r="N10" i="4"/>
  <c r="N323" i="4" a="1"/>
  <c r="N323" i="4" s="1"/>
  <c r="N324" i="4" a="1"/>
  <c r="N324" i="4" s="1"/>
  <c r="N325" i="4" a="1"/>
  <c r="N325" i="4" s="1"/>
  <c r="N326" i="4" a="1"/>
  <c r="N326" i="4" s="1"/>
  <c r="N327" i="4" a="1"/>
  <c r="N327" i="4" s="1"/>
  <c r="N11" i="4" a="1"/>
  <c r="N11" i="4" s="1"/>
  <c r="N328" i="4" a="1"/>
  <c r="N328" i="4"/>
  <c r="N12" i="4" a="1"/>
  <c r="N12" i="4" s="1"/>
  <c r="N329" i="4" a="1"/>
  <c r="N329" i="4" s="1"/>
  <c r="N330" i="4" a="1"/>
  <c r="N330" i="4" s="1"/>
  <c r="N331" i="4" a="1"/>
  <c r="N331" i="4" s="1"/>
  <c r="N332" i="4" a="1"/>
  <c r="N332" i="4" s="1"/>
  <c r="N333" i="4" a="1"/>
  <c r="N333" i="4" s="1"/>
  <c r="N334" i="4" a="1"/>
  <c r="N334" i="4" s="1"/>
  <c r="N13" i="4" a="1"/>
  <c r="N13" i="4" s="1"/>
  <c r="N335" i="4" a="1"/>
  <c r="N335" i="4"/>
  <c r="N336" i="4" a="1"/>
  <c r="N336" i="4"/>
  <c r="N337" i="4" a="1"/>
  <c r="N337" i="4" s="1"/>
  <c r="N338" i="4" a="1"/>
  <c r="N338" i="4" s="1"/>
  <c r="N339" i="4" a="1"/>
  <c r="N339" i="4" s="1"/>
  <c r="N340" i="4" a="1"/>
  <c r="N340" i="4" s="1"/>
  <c r="N341" i="4" a="1"/>
  <c r="N341" i="4" s="1"/>
  <c r="N342" i="4" a="1"/>
  <c r="N342" i="4" s="1"/>
  <c r="N343" i="4" a="1"/>
  <c r="N343" i="4"/>
  <c r="N14" i="4" a="1"/>
  <c r="N14" i="4" s="1"/>
  <c r="N344" i="4" a="1"/>
  <c r="N344" i="4"/>
  <c r="N15" i="4" a="1"/>
  <c r="N15" i="4"/>
  <c r="N345" i="4" a="1"/>
  <c r="N345" i="4" s="1"/>
  <c r="N346" i="4" a="1"/>
  <c r="N346" i="4" s="1"/>
  <c r="N16" i="4" a="1"/>
  <c r="N16" i="4" s="1"/>
  <c r="N347" i="4" a="1"/>
  <c r="N347" i="4"/>
  <c r="N348" i="4" a="1"/>
  <c r="N348" i="4" s="1"/>
  <c r="N17" i="4" a="1"/>
  <c r="N17" i="4" s="1"/>
  <c r="N18" i="4" a="1"/>
  <c r="N18" i="4" s="1"/>
  <c r="N349" i="4" a="1"/>
  <c r="N349" i="4"/>
  <c r="N350" i="4" a="1"/>
  <c r="N350" i="4" s="1"/>
  <c r="N351" i="4" a="1"/>
  <c r="N351" i="4" s="1"/>
  <c r="N352" i="4" a="1"/>
  <c r="N352" i="4" s="1"/>
  <c r="N19" i="4" a="1"/>
  <c r="N19" i="4" s="1"/>
  <c r="N353" i="4" a="1"/>
  <c r="N353" i="4"/>
  <c r="N354" i="4" a="1"/>
  <c r="N354" i="4" s="1"/>
  <c r="N355" i="4" a="1"/>
  <c r="N355" i="4"/>
  <c r="N356" i="4" a="1"/>
  <c r="N356" i="4" s="1"/>
  <c r="N357" i="4" a="1"/>
  <c r="N357" i="4" s="1"/>
  <c r="N20" i="4" a="1"/>
  <c r="N20" i="4" s="1"/>
  <c r="N358" i="4" a="1"/>
  <c r="N358" i="4" s="1"/>
  <c r="N21" i="4" a="1"/>
  <c r="N21" i="4"/>
  <c r="N359" i="4" a="1"/>
  <c r="N359" i="4"/>
  <c r="N360" i="4" a="1"/>
  <c r="N360" i="4" s="1"/>
  <c r="N361" i="4" a="1"/>
  <c r="N361" i="4" s="1"/>
  <c r="N22" i="4" a="1"/>
  <c r="N22" i="4" s="1"/>
  <c r="N362" i="4" a="1"/>
  <c r="N362" i="4" s="1"/>
  <c r="N363" i="4" a="1"/>
  <c r="N363" i="4" s="1"/>
  <c r="N364" i="4" a="1"/>
  <c r="N364" i="4" s="1"/>
  <c r="N365" i="4" a="1"/>
  <c r="N365" i="4" s="1"/>
  <c r="N366" i="4" a="1"/>
  <c r="N366" i="4"/>
  <c r="N367" i="4" a="1"/>
  <c r="N367" i="4"/>
  <c r="N23" i="4" a="1"/>
  <c r="N23" i="4" s="1"/>
  <c r="N368" i="4" a="1"/>
  <c r="N368" i="4" s="1"/>
  <c r="N24" i="4" a="1"/>
  <c r="N24" i="4" s="1"/>
  <c r="N369" i="4" a="1"/>
  <c r="N369" i="4" s="1"/>
  <c r="N370" i="4" a="1"/>
  <c r="N370" i="4" s="1"/>
  <c r="N25" i="4" a="1"/>
  <c r="N25" i="4" s="1"/>
  <c r="N371" i="4" a="1"/>
  <c r="N371" i="4"/>
  <c r="N372" i="4" a="1"/>
  <c r="N372" i="4" s="1"/>
  <c r="N26" i="4" a="1"/>
  <c r="N26" i="4"/>
  <c r="N373" i="4" a="1"/>
  <c r="N373" i="4" s="1"/>
  <c r="N374" i="4" a="1"/>
  <c r="N374" i="4" s="1"/>
  <c r="N375" i="4" a="1"/>
  <c r="N375" i="4" s="1"/>
  <c r="N376" i="4" a="1"/>
  <c r="N376" i="4" s="1"/>
  <c r="N377" i="4" a="1"/>
  <c r="N377" i="4" s="1"/>
  <c r="N378" i="4" a="1"/>
  <c r="N378" i="4" s="1"/>
  <c r="N379" i="4" a="1"/>
  <c r="N379" i="4" s="1"/>
  <c r="N380" i="4" a="1"/>
  <c r="N380" i="4" s="1"/>
  <c r="N381" i="4" a="1"/>
  <c r="N381" i="4"/>
  <c r="N27" i="4" a="1"/>
  <c r="N27" i="4" s="1"/>
  <c r="N28" i="4" a="1"/>
  <c r="N28" i="4" s="1"/>
  <c r="N382" i="4" a="1"/>
  <c r="N382" i="4" s="1"/>
  <c r="N383" i="4" a="1"/>
  <c r="N383" i="4"/>
  <c r="N384" i="4" a="1"/>
  <c r="N384" i="4" s="1"/>
  <c r="N385" i="4" a="1"/>
  <c r="N385" i="4" s="1"/>
  <c r="N386" i="4" a="1"/>
  <c r="N386" i="4" s="1"/>
  <c r="N387" i="4" a="1"/>
  <c r="N387" i="4" s="1"/>
  <c r="N29" i="4" a="1"/>
  <c r="N29" i="4" s="1"/>
  <c r="N388" i="4" a="1"/>
  <c r="N388" i="4" s="1"/>
  <c r="N389" i="4" a="1"/>
  <c r="N389" i="4" s="1"/>
  <c r="N30" i="4" a="1"/>
  <c r="N30" i="4"/>
  <c r="N390" i="4" a="1"/>
  <c r="N390" i="4" s="1"/>
  <c r="N31" i="4" a="1"/>
  <c r="N31" i="4"/>
  <c r="N391" i="4" a="1"/>
  <c r="N391" i="4" s="1"/>
  <c r="N32" i="4" a="1"/>
  <c r="N32" i="4" s="1"/>
  <c r="N392" i="4" a="1"/>
  <c r="N392" i="4" s="1"/>
  <c r="N393" i="4" a="1"/>
  <c r="N393" i="4" s="1"/>
  <c r="N394" i="4" a="1"/>
  <c r="N394" i="4" s="1"/>
  <c r="N33" i="4" a="1"/>
  <c r="N33" i="4" s="1"/>
  <c r="N395" i="4" a="1"/>
  <c r="N395" i="4"/>
  <c r="N396" i="4" a="1"/>
  <c r="N396" i="4"/>
  <c r="N34" i="4" a="1"/>
  <c r="N34" i="4" s="1"/>
  <c r="N397" i="4" a="1"/>
  <c r="N397" i="4"/>
  <c r="N35" i="4" a="1"/>
  <c r="N35" i="4" s="1"/>
  <c r="N398" i="4" a="1"/>
  <c r="N398" i="4" s="1"/>
  <c r="N36" i="4" a="1"/>
  <c r="N36" i="4" s="1"/>
  <c r="N399" i="4" a="1"/>
  <c r="N399" i="4" s="1"/>
  <c r="N400" i="4" a="1"/>
  <c r="N400" i="4" s="1"/>
  <c r="N401" i="4" a="1"/>
  <c r="N401" i="4" s="1"/>
  <c r="N402" i="4" a="1"/>
  <c r="N402" i="4" s="1"/>
  <c r="N403" i="4" a="1"/>
  <c r="N403" i="4" s="1"/>
  <c r="N37" i="4" a="1"/>
  <c r="N37" i="4" s="1"/>
  <c r="N404" i="4" a="1"/>
  <c r="N404" i="4" s="1"/>
  <c r="N405" i="4" a="1"/>
  <c r="N405" i="4" s="1"/>
  <c r="N406" i="4" a="1"/>
  <c r="N406" i="4" s="1"/>
  <c r="N407" i="4" a="1"/>
  <c r="N407" i="4" s="1"/>
  <c r="N408" i="4" a="1"/>
  <c r="N408" i="4"/>
  <c r="N38" i="4" a="1"/>
  <c r="N38" i="4"/>
  <c r="N409" i="4" a="1"/>
  <c r="N409" i="4"/>
  <c r="N410" i="4" a="1"/>
  <c r="N410" i="4" s="1"/>
  <c r="N411" i="4" a="1"/>
  <c r="N411" i="4" s="1"/>
  <c r="N412" i="4" a="1"/>
  <c r="N412" i="4" s="1"/>
  <c r="N413" i="4" a="1"/>
  <c r="N413" i="4"/>
  <c r="N414" i="4" a="1"/>
  <c r="N414" i="4" s="1"/>
  <c r="N415" i="4" a="1"/>
  <c r="N415" i="4" s="1"/>
  <c r="N416" i="4" a="1"/>
  <c r="N416" i="4" s="1"/>
  <c r="N417" i="4" a="1"/>
  <c r="N417" i="4" s="1"/>
  <c r="N418" i="4" a="1"/>
  <c r="N418" i="4" s="1"/>
  <c r="N419" i="4" a="1"/>
  <c r="N419" i="4" s="1"/>
  <c r="N39" i="4" a="1"/>
  <c r="N39" i="4" s="1"/>
  <c r="N420" i="4" a="1"/>
  <c r="N420" i="4"/>
  <c r="N421" i="4" a="1"/>
  <c r="N421" i="4"/>
  <c r="N422" i="4" a="1"/>
  <c r="N422" i="4" s="1"/>
  <c r="N423" i="4" a="1"/>
  <c r="N423" i="4" s="1"/>
  <c r="N424" i="4" a="1"/>
  <c r="N424" i="4"/>
  <c r="N425" i="4" a="1"/>
  <c r="N425" i="4" s="1"/>
  <c r="N426" i="4" a="1"/>
  <c r="N426" i="4" s="1"/>
  <c r="N427" i="4" a="1"/>
  <c r="N427" i="4" s="1"/>
  <c r="N428" i="4" a="1"/>
  <c r="N428" i="4"/>
  <c r="N429" i="4" a="1"/>
  <c r="N429" i="4" s="1"/>
  <c r="N40" i="4" a="1"/>
  <c r="N40" i="4"/>
  <c r="N430" i="4" a="1"/>
  <c r="N430" i="4"/>
  <c r="N431" i="4" a="1"/>
  <c r="N431" i="4" s="1"/>
  <c r="N41" i="4" a="1"/>
  <c r="N41" i="4" s="1"/>
  <c r="N42" i="4" a="1"/>
  <c r="N42" i="4" s="1"/>
  <c r="N432" i="4" a="1"/>
  <c r="N432" i="4" s="1"/>
  <c r="N43" i="4" a="1"/>
  <c r="N43" i="4"/>
  <c r="N433" i="4" a="1"/>
  <c r="N433" i="4" s="1"/>
  <c r="N44" i="4" a="1"/>
  <c r="N44" i="4" s="1"/>
  <c r="N45" i="4" a="1"/>
  <c r="N45" i="4" s="1"/>
  <c r="N434" i="4" a="1"/>
  <c r="N434" i="4"/>
  <c r="N435" i="4" a="1"/>
  <c r="N435" i="4" s="1"/>
  <c r="N436" i="4" a="1"/>
  <c r="N436" i="4" s="1"/>
  <c r="N437" i="4" a="1"/>
  <c r="N437" i="4" s="1"/>
  <c r="N46" i="4" a="1"/>
  <c r="N46" i="4" s="1"/>
  <c r="N47" i="4" a="1"/>
  <c r="N47" i="4" s="1"/>
  <c r="N48" i="4" a="1"/>
  <c r="N48" i="4" s="1"/>
  <c r="N438" i="4" a="1"/>
  <c r="N438" i="4"/>
  <c r="N49" i="4" a="1"/>
  <c r="N49" i="4" s="1"/>
  <c r="N439" i="4" a="1"/>
  <c r="N439" i="4" s="1"/>
  <c r="N50" i="4" a="1"/>
  <c r="N50" i="4" s="1"/>
  <c r="N440" i="4" a="1"/>
  <c r="N440" i="4" s="1"/>
  <c r="N51" i="4" a="1"/>
  <c r="N51" i="4" s="1"/>
  <c r="N441" i="4" a="1"/>
  <c r="N441" i="4" s="1"/>
  <c r="N52" i="4" a="1"/>
  <c r="N52" i="4"/>
  <c r="N53" i="4" a="1"/>
  <c r="N53" i="4" s="1"/>
  <c r="N54" i="4" a="1"/>
  <c r="N54" i="4" s="1"/>
  <c r="N442" i="4" a="1"/>
  <c r="N442" i="4" s="1"/>
  <c r="N55" i="4" a="1"/>
  <c r="N55" i="4" s="1"/>
  <c r="N56" i="4" a="1"/>
  <c r="N56" i="4" s="1"/>
  <c r="N443" i="4" a="1"/>
  <c r="N443" i="4"/>
  <c r="N57" i="4" a="1"/>
  <c r="N57" i="4"/>
  <c r="N444" i="4" a="1"/>
  <c r="N444" i="4" s="1"/>
  <c r="N58" i="4" a="1"/>
  <c r="N58" i="4" s="1"/>
  <c r="N445" i="4" a="1"/>
  <c r="N445" i="4" s="1"/>
  <c r="N446" i="4" a="1"/>
  <c r="N446" i="4" s="1"/>
  <c r="N447" i="4" a="1"/>
  <c r="N447" i="4" s="1"/>
  <c r="N59" i="4" a="1"/>
  <c r="N59" i="4" s="1"/>
  <c r="N448" i="4" a="1"/>
  <c r="N448" i="4"/>
  <c r="N449" i="4" a="1"/>
  <c r="N449" i="4"/>
  <c r="N450" i="4" a="1"/>
  <c r="N450" i="4" s="1"/>
  <c r="N451" i="4" a="1"/>
  <c r="N451" i="4"/>
  <c r="N452" i="4" a="1"/>
  <c r="N452" i="4" s="1"/>
  <c r="N453" i="4" a="1"/>
  <c r="N453" i="4" s="1"/>
  <c r="N454" i="4" a="1"/>
  <c r="N454" i="4" s="1"/>
  <c r="N455" i="4" a="1"/>
  <c r="N455" i="4" s="1"/>
  <c r="N60" i="4" a="1"/>
  <c r="N60" i="4" s="1"/>
  <c r="N61" i="4" a="1"/>
  <c r="N61" i="4"/>
  <c r="N456" i="4" a="1"/>
  <c r="N456" i="4" s="1"/>
  <c r="N457" i="4" a="1"/>
  <c r="N457" i="4" s="1"/>
  <c r="N458" i="4" a="1"/>
  <c r="N458" i="4"/>
  <c r="N459" i="4" a="1"/>
  <c r="N459" i="4" s="1"/>
  <c r="N460" i="4" a="1"/>
  <c r="N460" i="4" s="1"/>
  <c r="N461" i="4" a="1"/>
  <c r="N461" i="4" s="1"/>
  <c r="N462" i="4" a="1"/>
  <c r="N462" i="4"/>
  <c r="N463" i="4" a="1"/>
  <c r="N463" i="4" s="1"/>
  <c r="N464" i="4" a="1"/>
  <c r="N464" i="4" s="1"/>
  <c r="N465" i="4" a="1"/>
  <c r="N465" i="4" s="1"/>
  <c r="N466" i="4" a="1"/>
  <c r="N466" i="4"/>
  <c r="N467" i="4" a="1"/>
  <c r="N467" i="4" s="1"/>
  <c r="N62" i="4" a="1"/>
  <c r="N62" i="4" s="1"/>
  <c r="N63" i="4" a="1"/>
  <c r="N63" i="4" s="1"/>
  <c r="N64" i="4" a="1"/>
  <c r="N64" i="4" s="1"/>
  <c r="N468" i="4" a="1"/>
  <c r="N468" i="4" s="1"/>
  <c r="N65" i="4" a="1"/>
  <c r="N65" i="4" s="1"/>
  <c r="N469" i="4" a="1"/>
  <c r="N469" i="4" s="1"/>
  <c r="N470" i="4" a="1"/>
  <c r="N470" i="4" s="1"/>
  <c r="N471" i="4" a="1"/>
  <c r="N471" i="4" s="1"/>
  <c r="N472" i="4" a="1"/>
  <c r="N472" i="4" s="1"/>
  <c r="N66" i="4" a="1"/>
  <c r="N66" i="4" s="1"/>
  <c r="N67" i="4" a="1"/>
  <c r="N67" i="4" s="1"/>
  <c r="N68" i="4" a="1"/>
  <c r="N68" i="4"/>
  <c r="N473" i="4" a="1"/>
  <c r="N473" i="4" s="1"/>
  <c r="N474" i="4" a="1"/>
  <c r="N474" i="4" s="1"/>
  <c r="N69" i="4" a="1"/>
  <c r="N69" i="4" s="1"/>
  <c r="N475" i="4" a="1"/>
  <c r="N475" i="4" s="1"/>
  <c r="N70" i="4" a="1"/>
  <c r="N70" i="4" s="1"/>
  <c r="N476" i="4" a="1"/>
  <c r="N476" i="4" s="1"/>
  <c r="N477" i="4" a="1"/>
  <c r="N477" i="4" s="1"/>
  <c r="N478" i="4" a="1"/>
  <c r="N478" i="4" s="1"/>
  <c r="N479" i="4" a="1"/>
  <c r="N479" i="4" s="1"/>
  <c r="N480" i="4" a="1"/>
  <c r="N480" i="4" s="1"/>
  <c r="N481" i="4" a="1"/>
  <c r="N481" i="4" s="1"/>
  <c r="N71" i="4" a="1"/>
  <c r="N71" i="4" s="1"/>
  <c r="N482" i="4" a="1"/>
  <c r="N482" i="4" s="1"/>
  <c r="N483" i="4" a="1"/>
  <c r="N483" i="4" s="1"/>
  <c r="N72" i="4" a="1"/>
  <c r="N72" i="4" s="1"/>
  <c r="N484" i="4" a="1"/>
  <c r="N484" i="4"/>
  <c r="N485" i="4" a="1"/>
  <c r="N485" i="4"/>
  <c r="N486" i="4" a="1"/>
  <c r="N486" i="4" s="1"/>
  <c r="N487" i="4" a="1"/>
  <c r="N487" i="4" s="1"/>
  <c r="N73" i="4" a="1"/>
  <c r="N73" i="4" s="1"/>
  <c r="N488" i="4" a="1"/>
  <c r="N488" i="4" s="1"/>
  <c r="N489" i="4" a="1"/>
  <c r="N489" i="4" s="1"/>
  <c r="N490" i="4" a="1"/>
  <c r="N490" i="4" s="1"/>
  <c r="N491" i="4" a="1"/>
  <c r="N491" i="4" s="1"/>
  <c r="N492" i="4" a="1"/>
  <c r="N492" i="4"/>
  <c r="N493" i="4" a="1"/>
  <c r="N493" i="4"/>
  <c r="N494" i="4" a="1"/>
  <c r="N494" i="4"/>
  <c r="N74" i="4" a="1"/>
  <c r="N74" i="4" s="1"/>
  <c r="N495" i="4" a="1"/>
  <c r="N495" i="4" s="1"/>
  <c r="N496" i="4" a="1"/>
  <c r="N496" i="4" s="1"/>
  <c r="N75" i="4" a="1"/>
  <c r="N75" i="4" s="1"/>
  <c r="N497" i="4" a="1"/>
  <c r="N497" i="4" s="1"/>
  <c r="N498" i="4" a="1"/>
  <c r="N498" i="4"/>
  <c r="N499" i="4" a="1"/>
  <c r="N499" i="4"/>
  <c r="N500" i="4" a="1"/>
  <c r="N500" i="4"/>
  <c r="N76" i="4" a="1"/>
  <c r="N76" i="4" s="1"/>
  <c r="N77" i="4" a="1"/>
  <c r="N77" i="4" s="1"/>
  <c r="N501" i="4" a="1"/>
  <c r="N501" i="4" s="1"/>
  <c r="N502" i="4" a="1"/>
  <c r="N502" i="4"/>
  <c r="N503" i="4" a="1"/>
  <c r="N503" i="4" s="1"/>
  <c r="N78" i="4" a="1"/>
  <c r="N78" i="4" s="1"/>
  <c r="N504" i="4" a="1"/>
  <c r="N504" i="4" s="1"/>
  <c r="N505" i="4" a="1"/>
  <c r="N505" i="4" s="1"/>
  <c r="N506" i="4" a="1"/>
  <c r="N506" i="4" s="1"/>
  <c r="N507" i="4" a="1"/>
  <c r="N507" i="4" s="1"/>
  <c r="N508" i="4" a="1"/>
  <c r="N508" i="4" s="1"/>
  <c r="N509" i="4" a="1"/>
  <c r="N509" i="4" s="1"/>
  <c r="N510" i="4" a="1"/>
  <c r="N510" i="4" s="1"/>
  <c r="N511" i="4" a="1"/>
  <c r="N511" i="4"/>
  <c r="N512" i="4" a="1"/>
  <c r="N512" i="4" s="1"/>
  <c r="N513" i="4" a="1"/>
  <c r="N513" i="4"/>
  <c r="N79" i="4" a="1"/>
  <c r="N79" i="4" s="1"/>
  <c r="N514" i="4" a="1"/>
  <c r="N514" i="4" s="1"/>
  <c r="N80" i="4" a="1"/>
  <c r="N80" i="4" s="1"/>
  <c r="N515" i="4" a="1"/>
  <c r="N515" i="4" s="1"/>
  <c r="N516" i="4" a="1"/>
  <c r="N516" i="4" s="1"/>
  <c r="N517" i="4" a="1"/>
  <c r="N517" i="4" s="1"/>
  <c r="N81" i="4" a="1"/>
  <c r="N81" i="4" s="1"/>
  <c r="N518" i="4" a="1"/>
  <c r="N518" i="4" s="1"/>
  <c r="N519" i="4" a="1"/>
  <c r="N519" i="4" s="1"/>
  <c r="N520" i="4" a="1"/>
  <c r="N520" i="4" s="1"/>
  <c r="N521" i="4" a="1"/>
  <c r="N521" i="4" s="1"/>
  <c r="N522" i="4" a="1"/>
  <c r="N522" i="4" s="1"/>
  <c r="N82" i="4" a="1"/>
  <c r="N82" i="4"/>
  <c r="N83" i="4" a="1"/>
  <c r="N83" i="4" s="1"/>
  <c r="N523" i="4" a="1"/>
  <c r="N523" i="4"/>
  <c r="N84" i="4" a="1"/>
  <c r="N84" i="4" s="1"/>
  <c r="N524" i="4" a="1"/>
  <c r="N524" i="4" s="1"/>
  <c r="N525" i="4" a="1"/>
  <c r="N525" i="4" s="1"/>
  <c r="N85" i="4" a="1"/>
  <c r="N85" i="4" s="1"/>
  <c r="N86" i="4" a="1"/>
  <c r="N86" i="4" s="1"/>
  <c r="N526" i="4" a="1"/>
  <c r="N526" i="4" s="1"/>
  <c r="N527" i="4" a="1"/>
  <c r="N527" i="4" s="1"/>
  <c r="N528" i="4" a="1"/>
  <c r="N528" i="4" s="1"/>
  <c r="N529" i="4" a="1"/>
  <c r="N529" i="4"/>
  <c r="N87" i="4" a="1"/>
  <c r="N87" i="4" s="1"/>
  <c r="N530" i="4" a="1"/>
  <c r="N530" i="4" s="1"/>
  <c r="N88" i="4" a="1"/>
  <c r="N88" i="4" s="1"/>
  <c r="N531" i="4" a="1"/>
  <c r="N531" i="4" s="1"/>
  <c r="N532" i="4" a="1"/>
  <c r="N532" i="4" s="1"/>
  <c r="N533" i="4" a="1"/>
  <c r="N533" i="4" s="1"/>
  <c r="N534" i="4" a="1"/>
  <c r="N534" i="4"/>
  <c r="N89" i="4" a="1"/>
  <c r="N89" i="4"/>
  <c r="N90" i="4" a="1"/>
  <c r="N90" i="4" s="1"/>
  <c r="N535" i="4" a="1"/>
  <c r="N535" i="4" s="1"/>
  <c r="N536" i="4" a="1"/>
  <c r="N536" i="4" s="1"/>
  <c r="N537" i="4" a="1"/>
  <c r="N537" i="4"/>
  <c r="N538" i="4" a="1"/>
  <c r="N538" i="4"/>
  <c r="N539" i="4" a="1"/>
  <c r="N539" i="4" s="1"/>
  <c r="N540" i="4" a="1"/>
  <c r="N540" i="4" s="1"/>
  <c r="N541" i="4" a="1"/>
  <c r="N541" i="4" s="1"/>
  <c r="N542" i="4" a="1"/>
  <c r="N542" i="4" s="1"/>
  <c r="N543" i="4" a="1"/>
  <c r="N543" i="4" s="1"/>
  <c r="N91" i="4" a="1"/>
  <c r="N91" i="4" s="1"/>
  <c r="N92" i="4" a="1"/>
  <c r="N92" i="4" s="1"/>
  <c r="N93" i="4" a="1"/>
  <c r="N93" i="4" s="1"/>
  <c r="N94" i="4" a="1"/>
  <c r="N94" i="4"/>
  <c r="N95" i="4" a="1"/>
  <c r="N95" i="4" s="1"/>
  <c r="N544" i="4" a="1"/>
  <c r="N544" i="4" s="1"/>
  <c r="N96" i="4" a="1"/>
  <c r="N96" i="4" s="1"/>
  <c r="N545" i="4" a="1"/>
  <c r="N545" i="4" s="1"/>
  <c r="N546" i="4" a="1"/>
  <c r="N546" i="4" s="1"/>
  <c r="N547" i="4" a="1"/>
  <c r="N547" i="4" s="1"/>
  <c r="N548" i="4" a="1"/>
  <c r="N548" i="4" s="1"/>
  <c r="N549" i="4" a="1"/>
  <c r="N549" i="4"/>
  <c r="N550" i="4" a="1"/>
  <c r="N550" i="4" s="1"/>
  <c r="N551" i="4" a="1"/>
  <c r="N551" i="4" s="1"/>
  <c r="N552" i="4" a="1"/>
  <c r="N552" i="4" s="1"/>
  <c r="N553" i="4" a="1"/>
  <c r="N553" i="4" s="1"/>
  <c r="N554" i="4" a="1"/>
  <c r="N554" i="4" s="1"/>
  <c r="N555" i="4" a="1"/>
  <c r="N555" i="4"/>
  <c r="N97" i="4" a="1"/>
  <c r="N97" i="4" s="1"/>
  <c r="N556" i="4" a="1"/>
  <c r="N556" i="4"/>
  <c r="N98" i="4" a="1"/>
  <c r="N98" i="4"/>
  <c r="N557" i="4" a="1"/>
  <c r="N557" i="4"/>
  <c r="N99" i="4" a="1"/>
  <c r="N99" i="4" s="1"/>
  <c r="N558" i="4" a="1"/>
  <c r="N558" i="4" s="1"/>
  <c r="N100" i="4" a="1"/>
  <c r="N100" i="4" s="1"/>
  <c r="N559" i="4" a="1"/>
  <c r="N559" i="4" s="1"/>
  <c r="N101" i="4" a="1"/>
  <c r="N101" i="4" s="1"/>
  <c r="N560" i="4" a="1"/>
  <c r="N560" i="4" s="1"/>
  <c r="N102" i="4" a="1"/>
  <c r="N102" i="4" s="1"/>
  <c r="N561" i="4" a="1"/>
  <c r="N561" i="4" s="1"/>
  <c r="N562" i="4" a="1"/>
  <c r="N562" i="4" s="1"/>
  <c r="N563" i="4" a="1"/>
  <c r="N563" i="4" s="1"/>
  <c r="N564" i="4" a="1"/>
  <c r="N564" i="4" s="1"/>
  <c r="N103" i="4" a="1"/>
  <c r="N103" i="4"/>
  <c r="N565" i="4" a="1"/>
  <c r="N565" i="4"/>
  <c r="N566" i="4" a="1"/>
  <c r="N566" i="4" s="1"/>
  <c r="N567" i="4" a="1"/>
  <c r="N567" i="4" s="1"/>
  <c r="N104" i="4" a="1"/>
  <c r="N104" i="4" s="1"/>
  <c r="N568" i="4" a="1"/>
  <c r="N568" i="4" s="1"/>
  <c r="N569" i="4" a="1"/>
  <c r="N569" i="4" s="1"/>
  <c r="N570" i="4" a="1"/>
  <c r="N570" i="4" s="1"/>
  <c r="N571" i="4" a="1"/>
  <c r="N571" i="4"/>
  <c r="N572" i="4" a="1"/>
  <c r="N572" i="4" s="1"/>
  <c r="N105" i="4" a="1"/>
  <c r="N105" i="4"/>
  <c r="N106" i="4" a="1"/>
  <c r="N106" i="4" s="1"/>
  <c r="N573" i="4" a="1"/>
  <c r="N573" i="4" s="1"/>
  <c r="N574" i="4" a="1"/>
  <c r="N574" i="4" s="1"/>
  <c r="N107" i="4" a="1"/>
  <c r="N107" i="4" s="1"/>
  <c r="N575" i="4" a="1"/>
  <c r="N575" i="4" s="1"/>
  <c r="N576" i="4" a="1"/>
  <c r="N576" i="4" s="1"/>
  <c r="N108" i="4" a="1"/>
  <c r="N108" i="4" s="1"/>
  <c r="N577" i="4" a="1"/>
  <c r="N577" i="4" s="1"/>
  <c r="N578" i="4" a="1"/>
  <c r="N578" i="4" s="1"/>
  <c r="N579" i="4" a="1"/>
  <c r="N579" i="4"/>
  <c r="N580" i="4" a="1"/>
  <c r="N580" i="4" s="1"/>
  <c r="N581" i="4" a="1"/>
  <c r="N581" i="4" s="1"/>
  <c r="N582" i="4" a="1"/>
  <c r="N582" i="4" s="1"/>
  <c r="N583" i="4" a="1"/>
  <c r="N583" i="4" s="1"/>
  <c r="N584" i="4" a="1"/>
  <c r="N584" i="4" s="1"/>
  <c r="N585" i="4" a="1"/>
  <c r="N585" i="4" s="1"/>
  <c r="N586" i="4" a="1"/>
  <c r="N586" i="4"/>
  <c r="N587" i="4" a="1"/>
  <c r="N587" i="4" s="1"/>
  <c r="N588" i="4" a="1"/>
  <c r="N588" i="4" s="1"/>
  <c r="N589" i="4" a="1"/>
  <c r="N589" i="4" s="1"/>
  <c r="N590" i="4" a="1"/>
  <c r="N590" i="4" s="1"/>
  <c r="N591" i="4" a="1"/>
  <c r="N591" i="4" s="1"/>
  <c r="N592" i="4" a="1"/>
  <c r="N592" i="4"/>
  <c r="N109" i="4" a="1"/>
  <c r="N109" i="4" s="1"/>
  <c r="N593" i="4" a="1"/>
  <c r="N593" i="4"/>
  <c r="N594" i="4" a="1"/>
  <c r="N594" i="4" s="1"/>
  <c r="N595" i="4" a="1"/>
  <c r="N595" i="4" s="1"/>
  <c r="N110" i="4" a="1"/>
  <c r="N110" i="4" s="1"/>
  <c r="N596" i="4" a="1"/>
  <c r="N596" i="4" s="1"/>
  <c r="N597" i="4" a="1"/>
  <c r="N597" i="4"/>
  <c r="N111" i="4" a="1"/>
  <c r="N111" i="4" s="1"/>
  <c r="N598" i="4" a="1"/>
  <c r="N598" i="4"/>
  <c r="N599" i="4" a="1"/>
  <c r="N599" i="4" s="1"/>
  <c r="N600" i="4" a="1"/>
  <c r="N600" i="4" s="1"/>
  <c r="N112" i="4" a="1"/>
  <c r="N112" i="4" s="1"/>
  <c r="N601" i="4" a="1"/>
  <c r="N601" i="4" s="1"/>
  <c r="N602" i="4" a="1"/>
  <c r="N602" i="4" s="1"/>
  <c r="N113" i="4" a="1"/>
  <c r="N113" i="4"/>
  <c r="N603" i="4" a="1"/>
  <c r="N603" i="4"/>
  <c r="N114" i="4" a="1"/>
  <c r="N114" i="4" s="1"/>
  <c r="N604" i="4" a="1"/>
  <c r="N604" i="4" s="1"/>
  <c r="N115" i="4" a="1"/>
  <c r="N115" i="4"/>
  <c r="N605" i="4" a="1"/>
  <c r="N605" i="4" s="1"/>
  <c r="N606" i="4" a="1"/>
  <c r="N606" i="4" s="1"/>
  <c r="N116" i="4" a="1"/>
  <c r="N116" i="4" s="1"/>
  <c r="N607" i="4" a="1"/>
  <c r="N607" i="4" s="1"/>
  <c r="N608" i="4" a="1"/>
  <c r="N608" i="4"/>
  <c r="N609" i="4" a="1"/>
  <c r="N609" i="4"/>
  <c r="N610" i="4" a="1"/>
  <c r="N610" i="4"/>
  <c r="N117" i="4" a="1"/>
  <c r="N117" i="4" s="1"/>
  <c r="N611" i="4" a="1"/>
  <c r="N611" i="4" s="1"/>
  <c r="N612" i="4" a="1"/>
  <c r="N612" i="4" s="1"/>
  <c r="N613" i="4" a="1"/>
  <c r="N613" i="4" s="1"/>
  <c r="N614" i="4" a="1"/>
  <c r="N614" i="4" s="1"/>
  <c r="N118" i="4" a="1"/>
  <c r="N118" i="4" s="1"/>
  <c r="N615" i="4" a="1"/>
  <c r="N615" i="4" s="1"/>
  <c r="N119" i="4" a="1"/>
  <c r="N119" i="4" s="1"/>
  <c r="N616" i="4" a="1"/>
  <c r="N616" i="4"/>
  <c r="N617" i="4" a="1"/>
  <c r="N617" i="4" s="1"/>
  <c r="N618" i="4" a="1"/>
  <c r="N618" i="4" s="1"/>
  <c r="N120" i="4" a="1"/>
  <c r="N120" i="4" s="1"/>
  <c r="N619" i="4" a="1"/>
  <c r="N619" i="4" s="1"/>
  <c r="N620" i="4" a="1"/>
  <c r="N620" i="4" s="1"/>
  <c r="N621" i="4" a="1"/>
  <c r="N621" i="4" s="1"/>
  <c r="N121" i="4" a="1"/>
  <c r="N121" i="4"/>
  <c r="N622" i="4" a="1"/>
  <c r="N622" i="4"/>
  <c r="N623" i="4" a="1"/>
  <c r="N623" i="4" s="1"/>
  <c r="N624" i="4" a="1"/>
  <c r="N624" i="4" s="1"/>
  <c r="N122" i="4" a="1"/>
  <c r="N122" i="4" s="1"/>
  <c r="N123" i="4" a="1"/>
  <c r="N123" i="4"/>
  <c r="N625" i="4" a="1"/>
  <c r="N625" i="4" s="1"/>
  <c r="N124" i="4" a="1"/>
  <c r="N124" i="4"/>
  <c r="N626" i="4" a="1"/>
  <c r="N626" i="4" s="1"/>
  <c r="N627" i="4" a="1"/>
  <c r="N627" i="4"/>
  <c r="N125" i="4" a="1"/>
  <c r="N125" i="4" s="1"/>
  <c r="N628" i="4" a="1"/>
  <c r="N628" i="4" s="1"/>
  <c r="N629" i="4" a="1"/>
  <c r="N629" i="4" s="1"/>
  <c r="N630" i="4" a="1"/>
  <c r="N630" i="4"/>
  <c r="N631" i="4" a="1"/>
  <c r="N631" i="4"/>
  <c r="N126" i="4" a="1"/>
  <c r="N126" i="4" s="1"/>
  <c r="N632" i="4" a="1"/>
  <c r="N632" i="4" s="1"/>
  <c r="N633" i="4" a="1"/>
  <c r="N633" i="4" s="1"/>
  <c r="N127" i="4" a="1"/>
  <c r="N127" i="4" s="1"/>
  <c r="N634" i="4" a="1"/>
  <c r="N634" i="4" s="1"/>
  <c r="N635" i="4" a="1"/>
  <c r="N635" i="4" s="1"/>
  <c r="N636" i="4" a="1"/>
  <c r="N636" i="4"/>
  <c r="N637" i="4" a="1"/>
  <c r="N637" i="4"/>
  <c r="N638" i="4" a="1"/>
  <c r="N638" i="4"/>
  <c r="N639" i="4" a="1"/>
  <c r="N639" i="4" s="1"/>
  <c r="N640" i="4" a="1"/>
  <c r="N640" i="4" s="1"/>
  <c r="N641" i="4" a="1"/>
  <c r="N641" i="4" s="1"/>
  <c r="N128" i="4" a="1"/>
  <c r="N128" i="4" s="1"/>
  <c r="N642" i="4" a="1"/>
  <c r="N642" i="4" s="1"/>
  <c r="N643" i="4" a="1"/>
  <c r="N643" i="4" s="1"/>
  <c r="N644" i="4" a="1"/>
  <c r="N644" i="4" s="1"/>
  <c r="N129" i="4" a="1"/>
  <c r="N129" i="4"/>
  <c r="N130" i="4" a="1"/>
  <c r="N130" i="4" s="1"/>
  <c r="N131" i="4" a="1"/>
  <c r="N131" i="4"/>
  <c r="N645" i="4" a="1"/>
  <c r="N645" i="4" s="1"/>
  <c r="N132" i="4" a="1"/>
  <c r="N132" i="4" s="1"/>
  <c r="N133" i="4" a="1"/>
  <c r="N133" i="4" s="1"/>
  <c r="N646" i="4" a="1"/>
  <c r="N646" i="4"/>
  <c r="N647" i="4" a="1"/>
  <c r="N647" i="4" s="1"/>
  <c r="N648" i="4" a="1"/>
  <c r="N648" i="4" s="1"/>
  <c r="N649" i="4" a="1"/>
  <c r="N649" i="4" s="1"/>
  <c r="N650" i="4" a="1"/>
  <c r="N650" i="4"/>
  <c r="N651" i="4" a="1"/>
  <c r="N651" i="4" s="1"/>
  <c r="N652" i="4" a="1"/>
  <c r="N652" i="4" s="1"/>
  <c r="N653" i="4" a="1"/>
  <c r="N653" i="4" s="1"/>
  <c r="N654" i="4" a="1"/>
  <c r="N654" i="4" s="1"/>
  <c r="N134" i="4" a="1"/>
  <c r="N134" i="4" s="1"/>
  <c r="N655" i="4" a="1"/>
  <c r="N655" i="4" s="1"/>
  <c r="N656" i="4" a="1"/>
  <c r="N656" i="4" s="1"/>
  <c r="N657" i="4" a="1"/>
  <c r="N657" i="4" s="1"/>
  <c r="N658" i="4" a="1"/>
  <c r="N658" i="4" s="1"/>
  <c r="N659" i="4" a="1"/>
  <c r="N659" i="4" s="1"/>
  <c r="N135" i="4" a="1"/>
  <c r="N135" i="4" s="1"/>
  <c r="N660" i="4" a="1"/>
  <c r="N660" i="4" s="1"/>
  <c r="N661" i="4" a="1"/>
  <c r="N661" i="4" s="1"/>
  <c r="N662" i="4" a="1"/>
  <c r="N662" i="4" s="1"/>
  <c r="N136" i="4" a="1"/>
  <c r="N136" i="4"/>
  <c r="N137" i="4" a="1"/>
  <c r="N137" i="4" s="1"/>
  <c r="N663" i="4" a="1"/>
  <c r="N663" i="4" s="1"/>
  <c r="N664" i="4" a="1"/>
  <c r="N664" i="4" s="1"/>
  <c r="N665" i="4" a="1"/>
  <c r="N665" i="4" s="1"/>
  <c r="N138" i="4" a="1"/>
  <c r="N138" i="4"/>
  <c r="N666" i="4" a="1"/>
  <c r="N666" i="4" s="1"/>
  <c r="N667" i="4" a="1"/>
  <c r="N667" i="4"/>
  <c r="N139" i="4" a="1"/>
  <c r="N139" i="4" s="1"/>
  <c r="N140" i="4" a="1"/>
  <c r="N140" i="4" s="1"/>
  <c r="N141" i="4" a="1"/>
  <c r="N141" i="4" s="1"/>
  <c r="N668" i="4" a="1"/>
  <c r="N668" i="4" s="1"/>
  <c r="N142" i="4" a="1"/>
  <c r="N142" i="4" s="1"/>
  <c r="N669" i="4" a="1"/>
  <c r="N669" i="4"/>
  <c r="N670" i="4" a="1"/>
  <c r="N670" i="4" s="1"/>
  <c r="N143" i="4" a="1"/>
  <c r="N143" i="4"/>
  <c r="N671" i="4" a="1"/>
  <c r="N671" i="4" s="1"/>
  <c r="N672" i="4" a="1"/>
  <c r="N672" i="4"/>
  <c r="N673" i="4" a="1"/>
  <c r="N673" i="4" s="1"/>
  <c r="N674" i="4" a="1"/>
  <c r="N674" i="4" s="1"/>
  <c r="N675" i="4" a="1"/>
  <c r="N675" i="4" s="1"/>
  <c r="N676" i="4" a="1"/>
  <c r="N676" i="4" s="1"/>
  <c r="N144" i="4" a="1"/>
  <c r="N144" i="4" s="1"/>
  <c r="N677" i="4" a="1"/>
  <c r="N677" i="4" s="1"/>
  <c r="N678" i="4" a="1"/>
  <c r="N678" i="4" s="1"/>
  <c r="N679" i="4" a="1"/>
  <c r="N679" i="4" s="1"/>
  <c r="N145" i="4" a="1"/>
  <c r="N145" i="4" s="1"/>
  <c r="N146" i="4" a="1"/>
  <c r="N146" i="4" s="1"/>
  <c r="N680" i="4" a="1"/>
  <c r="N680" i="4" s="1"/>
  <c r="N681" i="4" a="1"/>
  <c r="N681" i="4" s="1"/>
  <c r="N682" i="4" a="1"/>
  <c r="N682" i="4"/>
  <c r="N683" i="4" a="1"/>
  <c r="N683" i="4"/>
  <c r="N684" i="4" a="1"/>
  <c r="N684" i="4" s="1"/>
  <c r="N147" i="4" a="1"/>
  <c r="N147" i="4" s="1"/>
  <c r="N685" i="4" a="1"/>
  <c r="N685" i="4" s="1"/>
  <c r="N686" i="4" a="1"/>
  <c r="N686" i="4" s="1"/>
  <c r="N148" i="4" a="1"/>
  <c r="N148" i="4" s="1"/>
  <c r="N687" i="4" a="1"/>
  <c r="N687" i="4" s="1"/>
  <c r="N688" i="4" a="1"/>
  <c r="N688" i="4" s="1"/>
  <c r="N689" i="4" a="1"/>
  <c r="N689" i="4" s="1"/>
  <c r="N149" i="4" a="1"/>
  <c r="N149" i="4" s="1"/>
  <c r="N690" i="4" a="1"/>
  <c r="N690" i="4" s="1"/>
  <c r="N691" i="4" a="1"/>
  <c r="N691" i="4" s="1"/>
  <c r="N150" i="4" a="1"/>
  <c r="N150" i="4" s="1"/>
  <c r="N692" i="4" a="1"/>
  <c r="N692" i="4" s="1"/>
  <c r="N151" i="4" a="1"/>
  <c r="N151" i="4"/>
  <c r="N693" i="4" a="1"/>
  <c r="N693" i="4"/>
  <c r="N152" i="4" a="1"/>
  <c r="N152" i="4" s="1"/>
  <c r="N153" i="4" a="1"/>
  <c r="N153" i="4" s="1"/>
  <c r="N694" i="4" a="1"/>
  <c r="N694" i="4"/>
  <c r="N154" i="4" a="1"/>
  <c r="N154" i="4" s="1"/>
  <c r="N695" i="4" a="1"/>
  <c r="N695" i="4" s="1"/>
  <c r="N696" i="4" a="1"/>
  <c r="N696" i="4" s="1"/>
  <c r="N155" i="4" a="1"/>
  <c r="N155" i="4" s="1"/>
  <c r="N697" i="4" a="1"/>
  <c r="N697" i="4"/>
  <c r="N698" i="4" a="1"/>
  <c r="N698" i="4"/>
  <c r="N699" i="4" a="1"/>
  <c r="N699" i="4"/>
  <c r="N156" i="4" a="1"/>
  <c r="N156" i="4" s="1"/>
  <c r="N700" i="4" a="1"/>
  <c r="N700" i="4" s="1"/>
  <c r="N701" i="4" a="1"/>
  <c r="N701" i="4" s="1"/>
  <c r="N157" i="4" a="1"/>
  <c r="N157" i="4" s="1"/>
  <c r="N158" i="4" a="1"/>
  <c r="N158" i="4" s="1"/>
  <c r="N159" i="4" a="1"/>
  <c r="N159" i="4" s="1"/>
  <c r="N160" i="4" a="1"/>
  <c r="N160" i="4" s="1"/>
  <c r="N161" i="4" a="1"/>
  <c r="N161" i="4"/>
  <c r="N702" i="4" a="1"/>
  <c r="N702" i="4"/>
  <c r="N162" i="4" a="1"/>
  <c r="N162" i="4" s="1"/>
  <c r="N703" i="4" a="1"/>
  <c r="N703" i="4" s="1"/>
  <c r="N163" i="4" a="1"/>
  <c r="N163" i="4" s="1"/>
  <c r="N704" i="4" a="1"/>
  <c r="N704" i="4" s="1"/>
  <c r="N705" i="4" a="1"/>
  <c r="N705" i="4" s="1"/>
  <c r="N164" i="4" a="1"/>
  <c r="N164" i="4" s="1"/>
  <c r="N706" i="4" a="1"/>
  <c r="N706" i="4" s="1"/>
  <c r="N707" i="4" a="1"/>
  <c r="N707" i="4" s="1"/>
  <c r="N165" i="4" a="1"/>
  <c r="N165" i="4" s="1"/>
  <c r="N166" i="4" a="1"/>
  <c r="N166" i="4" s="1"/>
  <c r="N708" i="4" a="1"/>
  <c r="N708" i="4" s="1"/>
  <c r="N709" i="4" a="1"/>
  <c r="N709" i="4"/>
  <c r="N710" i="4" a="1"/>
  <c r="N710" i="4" s="1"/>
  <c r="N711" i="4" a="1"/>
  <c r="N711" i="4"/>
  <c r="N712" i="4" a="1"/>
  <c r="N712" i="4" s="1"/>
  <c r="N713" i="4" a="1"/>
  <c r="N713" i="4"/>
  <c r="N714" i="4" a="1"/>
  <c r="N714" i="4" s="1"/>
  <c r="N167" i="4" a="1"/>
  <c r="N167" i="4" s="1"/>
  <c r="N715" i="4" a="1"/>
  <c r="N715" i="4" s="1"/>
  <c r="N168" i="4" a="1"/>
  <c r="N168" i="4" s="1"/>
  <c r="N716" i="4" a="1"/>
  <c r="N716" i="4" s="1"/>
  <c r="N717" i="4" a="1"/>
  <c r="N717" i="4" s="1"/>
  <c r="N169" i="4" a="1"/>
  <c r="N169" i="4" s="1"/>
  <c r="N718" i="4" a="1"/>
  <c r="N718" i="4" s="1"/>
  <c r="N170" i="4" a="1"/>
  <c r="N170" i="4" s="1"/>
  <c r="N719" i="4" a="1"/>
  <c r="N719" i="4" s="1"/>
  <c r="N720" i="4" a="1"/>
  <c r="N720" i="4" s="1"/>
  <c r="N171" i="4" a="1"/>
  <c r="N171" i="4"/>
  <c r="N172" i="4" a="1"/>
  <c r="N172" i="4" s="1"/>
  <c r="N721" i="4" a="1"/>
  <c r="N721" i="4" s="1"/>
  <c r="N722" i="4" a="1"/>
  <c r="N722" i="4"/>
  <c r="N723" i="4" a="1"/>
  <c r="N723" i="4" s="1"/>
  <c r="N173" i="4" a="1"/>
  <c r="N173" i="4" s="1"/>
  <c r="N174" i="4" a="1"/>
  <c r="N174" i="4" s="1"/>
  <c r="N175" i="4" a="1"/>
  <c r="N175" i="4" s="1"/>
  <c r="N176" i="4" a="1"/>
  <c r="N176" i="4" s="1"/>
  <c r="N177" i="4" a="1"/>
  <c r="N177" i="4"/>
  <c r="N178" i="4" a="1"/>
  <c r="N178" i="4"/>
  <c r="N724" i="4" a="1"/>
  <c r="N724" i="4" s="1"/>
  <c r="N725" i="4" a="1"/>
  <c r="N725" i="4"/>
  <c r="N179" i="4" a="1"/>
  <c r="N179" i="4" s="1"/>
  <c r="N180" i="4" a="1"/>
  <c r="N180" i="4" s="1"/>
  <c r="N181" i="4" a="1"/>
  <c r="N181" i="4" s="1"/>
  <c r="N726" i="4" a="1"/>
  <c r="N726" i="4"/>
  <c r="N727" i="4" a="1"/>
  <c r="N727" i="4" s="1"/>
  <c r="N728" i="4" a="1"/>
  <c r="N728" i="4" s="1"/>
  <c r="N182" i="4" a="1"/>
  <c r="N182" i="4" s="1"/>
  <c r="N729" i="4" a="1"/>
  <c r="N729" i="4"/>
  <c r="N730" i="4" a="1"/>
  <c r="N730" i="4" s="1"/>
  <c r="N183" i="4" a="1"/>
  <c r="N183" i="4" s="1"/>
  <c r="N184" i="4" a="1"/>
  <c r="N184" i="4" s="1"/>
  <c r="N731" i="4" a="1"/>
  <c r="N731" i="4" s="1"/>
  <c r="N732" i="4" a="1"/>
  <c r="N732" i="4"/>
  <c r="N185" i="4" a="1"/>
  <c r="N185" i="4" s="1"/>
  <c r="N733" i="4" a="1"/>
  <c r="N733" i="4" s="1"/>
  <c r="N734" i="4" a="1"/>
  <c r="N734" i="4" s="1"/>
  <c r="N735" i="4" a="1"/>
  <c r="N735" i="4" s="1"/>
  <c r="N186" i="4" a="1"/>
  <c r="N186" i="4" s="1"/>
  <c r="N736" i="4" a="1"/>
  <c r="N736" i="4" s="1"/>
  <c r="N737" i="4" a="1"/>
  <c r="N737" i="4"/>
  <c r="N187" i="4" a="1"/>
  <c r="N187" i="4" s="1"/>
  <c r="N188" i="4" a="1"/>
  <c r="N188" i="4" s="1"/>
  <c r="N738" i="4" a="1"/>
  <c r="N738" i="4"/>
  <c r="N189" i="4" a="1"/>
  <c r="N189" i="4"/>
  <c r="N739" i="4" a="1"/>
  <c r="N739" i="4" s="1"/>
  <c r="N740" i="4" a="1"/>
  <c r="N740" i="4" s="1"/>
  <c r="N190" i="4" a="1"/>
  <c r="N190" i="4" s="1"/>
  <c r="N741" i="4" a="1"/>
  <c r="N741" i="4"/>
  <c r="N742" i="4" a="1"/>
  <c r="N742" i="4" s="1"/>
  <c r="N743" i="4" a="1"/>
  <c r="N743" i="4" s="1"/>
  <c r="N191" i="4" a="1"/>
  <c r="N191" i="4" s="1"/>
  <c r="N744" i="4" a="1"/>
  <c r="N744" i="4" s="1"/>
  <c r="N192" i="4" a="1"/>
  <c r="N192" i="4" s="1"/>
  <c r="N193" i="4" a="1"/>
  <c r="N193" i="4" s="1"/>
  <c r="N745" i="4" a="1"/>
  <c r="N745" i="4" s="1"/>
  <c r="N746" i="4" a="1"/>
  <c r="N746" i="4"/>
  <c r="N747" i="4" a="1"/>
  <c r="N747" i="4"/>
  <c r="N748" i="4" a="1"/>
  <c r="N748" i="4"/>
  <c r="N194" i="4" a="1"/>
  <c r="N194" i="4" s="1"/>
  <c r="N195" i="4" a="1"/>
  <c r="N195" i="4" s="1"/>
  <c r="N749" i="4" a="1"/>
  <c r="N749" i="4" s="1"/>
  <c r="N196" i="4" a="1"/>
  <c r="N196" i="4" s="1"/>
  <c r="N750" i="4" a="1"/>
  <c r="N750" i="4" s="1"/>
  <c r="N751" i="4" a="1"/>
  <c r="N751" i="4" s="1"/>
  <c r="N197" i="4" a="1"/>
  <c r="N197" i="4" s="1"/>
  <c r="N752" i="4" a="1"/>
  <c r="N752" i="4" s="1"/>
  <c r="N198" i="4" a="1"/>
  <c r="N198" i="4"/>
  <c r="N199" i="4" a="1"/>
  <c r="N199" i="4" s="1"/>
  <c r="N200" i="4" a="1"/>
  <c r="N200" i="4" s="1"/>
  <c r="N753" i="4" a="1"/>
  <c r="N753" i="4" s="1"/>
  <c r="N201" i="4" a="1"/>
  <c r="N201" i="4" s="1"/>
  <c r="N202" i="4" a="1"/>
  <c r="N202" i="4" s="1"/>
  <c r="N203" i="4" a="1"/>
  <c r="N203" i="4"/>
  <c r="N754" i="4" a="1"/>
  <c r="N754" i="4" s="1"/>
  <c r="N755" i="4" a="1"/>
  <c r="N755" i="4"/>
  <c r="N204" i="4" a="1"/>
  <c r="N204" i="4" s="1"/>
  <c r="N756" i="4" a="1"/>
  <c r="N756" i="4" s="1"/>
  <c r="N757" i="4" a="1"/>
  <c r="N757" i="4" s="1"/>
  <c r="N758" i="4" a="1"/>
  <c r="N758" i="4" s="1"/>
  <c r="N759" i="4" a="1"/>
  <c r="N759" i="4"/>
  <c r="N205" i="4" a="1"/>
  <c r="N205" i="4" s="1"/>
  <c r="N760" i="4" a="1"/>
  <c r="N760" i="4" s="1"/>
  <c r="N761" i="4" a="1"/>
  <c r="N761" i="4" s="1"/>
  <c r="N762" i="4" a="1"/>
  <c r="N762" i="4" s="1"/>
  <c r="N763" i="4" a="1"/>
  <c r="N763" i="4" s="1"/>
  <c r="N764" i="4" a="1"/>
  <c r="N764" i="4" s="1"/>
  <c r="N765" i="4" a="1"/>
  <c r="N765" i="4" s="1"/>
  <c r="N206" i="4" a="1"/>
  <c r="N206" i="4" s="1"/>
  <c r="N766" i="4" a="1"/>
  <c r="N766" i="4" s="1"/>
  <c r="N767" i="4" a="1"/>
  <c r="N767" i="4"/>
  <c r="N768" i="4" a="1"/>
  <c r="N768" i="4" s="1"/>
  <c r="N769" i="4" a="1"/>
  <c r="N769" i="4" s="1"/>
  <c r="N770" i="4" a="1"/>
  <c r="N770" i="4" s="1"/>
  <c r="N207" i="4" a="1"/>
  <c r="N207" i="4" s="1"/>
  <c r="N771" i="4" a="1"/>
  <c r="N771" i="4" s="1"/>
  <c r="N772" i="4" a="1"/>
  <c r="N772" i="4"/>
  <c r="N208" i="4" a="1"/>
  <c r="N208" i="4" s="1"/>
  <c r="N773" i="4" a="1"/>
  <c r="N773" i="4"/>
  <c r="N774" i="4" a="1"/>
  <c r="N774" i="4"/>
  <c r="N775" i="4" a="1"/>
  <c r="N775" i="4" s="1"/>
  <c r="N776" i="4" a="1"/>
  <c r="N776" i="4" s="1"/>
  <c r="N777" i="4" a="1"/>
  <c r="N777" i="4" s="1"/>
  <c r="N778" i="4" a="1"/>
  <c r="N778" i="4" s="1"/>
  <c r="N779" i="4" a="1"/>
  <c r="N779" i="4"/>
  <c r="N780" i="4" a="1"/>
  <c r="N780" i="4" s="1"/>
  <c r="N781" i="4" a="1"/>
  <c r="N781" i="4" s="1"/>
  <c r="N782" i="4" a="1"/>
  <c r="N782" i="4"/>
  <c r="N783" i="4" a="1"/>
  <c r="N783" i="4" s="1"/>
  <c r="N784" i="4" a="1"/>
  <c r="N784" i="4"/>
  <c r="N785" i="4" a="1"/>
  <c r="N785" i="4" s="1"/>
  <c r="N786" i="4" a="1"/>
  <c r="N786" i="4" s="1"/>
  <c r="N787" i="4" a="1"/>
  <c r="N787" i="4" s="1"/>
  <c r="N788" i="4" a="1"/>
  <c r="N788" i="4" s="1"/>
  <c r="N789" i="4" a="1"/>
  <c r="N789" i="4" s="1"/>
  <c r="N790" i="4" a="1"/>
  <c r="N790" i="4"/>
  <c r="N791" i="4" a="1"/>
  <c r="N791" i="4" s="1"/>
  <c r="N792" i="4" a="1"/>
  <c r="N792" i="4" s="1"/>
  <c r="N793" i="4" a="1"/>
  <c r="N793" i="4" s="1"/>
  <c r="N794" i="4" a="1"/>
  <c r="N794" i="4" s="1"/>
  <c r="N209" i="4" a="1"/>
  <c r="N209" i="4"/>
  <c r="N210" i="4" a="1"/>
  <c r="N210" i="4"/>
  <c r="N795" i="4" a="1"/>
  <c r="N795" i="4" s="1"/>
  <c r="N796" i="4" a="1"/>
  <c r="N796" i="4"/>
  <c r="N797" i="4" a="1"/>
  <c r="N797" i="4" s="1"/>
  <c r="N798" i="4" a="1"/>
  <c r="N798" i="4" s="1"/>
  <c r="N211" i="4" a="1"/>
  <c r="N211" i="4" s="1"/>
  <c r="N212" i="4" a="1"/>
  <c r="N212" i="4" s="1"/>
  <c r="N799" i="4" a="1"/>
  <c r="N799" i="4" s="1"/>
  <c r="N800" i="4" a="1"/>
  <c r="N800" i="4"/>
  <c r="N801" i="4" a="1"/>
  <c r="N801" i="4"/>
  <c r="N213" i="4" a="1"/>
  <c r="N213" i="4"/>
  <c r="N802" i="4" a="1"/>
  <c r="N802" i="4" s="1"/>
  <c r="N803" i="4" a="1"/>
  <c r="N803" i="4" s="1"/>
  <c r="N214" i="4" a="1"/>
  <c r="N214" i="4" s="1"/>
  <c r="N804" i="4" a="1"/>
  <c r="N804" i="4" s="1"/>
  <c r="N805" i="4" a="1"/>
  <c r="N805" i="4" s="1"/>
  <c r="N806" i="4" a="1"/>
  <c r="N806" i="4" s="1"/>
  <c r="N807" i="4" a="1"/>
  <c r="N807" i="4" s="1"/>
  <c r="N808" i="4" a="1"/>
  <c r="N808" i="4"/>
  <c r="N215" i="4" a="1"/>
  <c r="N215" i="4" s="1"/>
  <c r="N216" i="4" a="1"/>
  <c r="N216" i="4" s="1"/>
  <c r="N217" i="4" a="1"/>
  <c r="N217" i="4" s="1"/>
  <c r="N809" i="4" a="1"/>
  <c r="N809" i="4" s="1"/>
  <c r="N218" i="4" a="1"/>
  <c r="N218" i="4" s="1"/>
  <c r="N810" i="4" a="1"/>
  <c r="N810" i="4" s="1"/>
  <c r="N811" i="4" a="1"/>
  <c r="N811" i="4" s="1"/>
  <c r="N219" i="4" a="1"/>
  <c r="N219" i="4"/>
  <c r="N220" i="4" a="1"/>
  <c r="N220" i="4" s="1"/>
  <c r="N812" i="4" a="1"/>
  <c r="N812" i="4" s="1"/>
  <c r="N813" i="4" a="1"/>
  <c r="N813" i="4" s="1"/>
  <c r="N221" i="4" a="1"/>
  <c r="N221" i="4" s="1"/>
  <c r="N814" i="4" a="1"/>
  <c r="N814" i="4" s="1"/>
  <c r="N815" i="4" a="1"/>
  <c r="N815" i="4"/>
  <c r="N816" i="4" a="1"/>
  <c r="N816" i="4" s="1"/>
  <c r="N817" i="4" a="1"/>
  <c r="N817" i="4" s="1"/>
  <c r="N222" i="4" a="1"/>
  <c r="N222" i="4" s="1"/>
  <c r="N818" i="4" a="1"/>
  <c r="N818" i="4" s="1"/>
  <c r="N819" i="4" a="1"/>
  <c r="N819" i="4" s="1"/>
  <c r="N223" i="4" a="1"/>
  <c r="N223" i="4" s="1"/>
  <c r="N820" i="4" a="1"/>
  <c r="N820" i="4" s="1"/>
  <c r="N821" i="4" a="1"/>
  <c r="N821" i="4" s="1"/>
  <c r="N822" i="4" a="1"/>
  <c r="N822" i="4"/>
  <c r="N823" i="4" a="1"/>
  <c r="N823" i="4" s="1"/>
  <c r="N824" i="4" a="1"/>
  <c r="N824" i="4" s="1"/>
  <c r="N825" i="4" a="1"/>
  <c r="N825" i="4" s="1"/>
  <c r="N826" i="4" a="1"/>
  <c r="N826" i="4" s="1"/>
  <c r="N224" i="4" a="1"/>
  <c r="N224" i="4" s="1"/>
  <c r="N827" i="4" a="1"/>
  <c r="N827" i="4" s="1"/>
  <c r="N828" i="4" a="1"/>
  <c r="N828" i="4"/>
  <c r="N829" i="4" a="1"/>
  <c r="N829" i="4" s="1"/>
  <c r="N225" i="4" a="1"/>
  <c r="N225" i="4"/>
  <c r="N830" i="4" a="1"/>
  <c r="N830" i="4" s="1"/>
  <c r="N831" i="4" a="1"/>
  <c r="N831" i="4" s="1"/>
  <c r="N226" i="4" a="1"/>
  <c r="N226" i="4" s="1"/>
  <c r="N227" i="4" a="1"/>
  <c r="N227" i="4" s="1"/>
  <c r="N832" i="4" a="1"/>
  <c r="N832" i="4" s="1"/>
  <c r="N228" i="4" a="1"/>
  <c r="N228" i="4"/>
  <c r="N833" i="4" a="1"/>
  <c r="N833" i="4" s="1"/>
  <c r="N229" i="4" a="1"/>
  <c r="N229" i="4"/>
  <c r="N834" i="4" a="1"/>
  <c r="N834" i="4" s="1"/>
  <c r="N230" i="4" a="1"/>
  <c r="N230" i="4" s="1"/>
  <c r="N835" i="4" a="1"/>
  <c r="N835" i="4" s="1"/>
  <c r="N231" i="4" a="1"/>
  <c r="N231" i="4" s="1"/>
  <c r="N836" i="4" a="1"/>
  <c r="N836" i="4" s="1"/>
  <c r="N837" i="4" a="1"/>
  <c r="N837" i="4"/>
  <c r="N232" i="4" a="1"/>
  <c r="N232" i="4" s="1"/>
  <c r="N838" i="4" a="1"/>
  <c r="N838" i="4"/>
  <c r="N839" i="4" a="1"/>
  <c r="N839" i="4" s="1"/>
  <c r="N840" i="4" a="1"/>
  <c r="N840" i="4" s="1"/>
  <c r="N841" i="4" a="1"/>
  <c r="N841" i="4" s="1"/>
  <c r="N233" i="4" a="1"/>
  <c r="N233" i="4" s="1"/>
  <c r="N842" i="4" a="1"/>
  <c r="N842" i="4" s="1"/>
  <c r="N843" i="4" a="1"/>
  <c r="N843" i="4" s="1"/>
  <c r="N844" i="4" a="1"/>
  <c r="N844" i="4" s="1"/>
  <c r="N234" i="4" a="1"/>
  <c r="N234" i="4"/>
  <c r="N845" i="4" a="1"/>
  <c r="N845" i="4" s="1"/>
  <c r="N846" i="4" a="1"/>
  <c r="N846" i="4" s="1"/>
  <c r="N847" i="4" a="1"/>
  <c r="N847" i="4" s="1"/>
  <c r="N848" i="4" a="1"/>
  <c r="N848" i="4" s="1"/>
  <c r="N235" i="4" a="1"/>
  <c r="N235" i="4" s="1"/>
  <c r="N849" i="4" a="1"/>
  <c r="N849" i="4"/>
  <c r="N850" i="4" a="1"/>
  <c r="N850" i="4" s="1"/>
  <c r="N236" i="4" a="1"/>
  <c r="N236" i="4"/>
  <c r="N851" i="4" a="1"/>
  <c r="N851" i="4" s="1"/>
  <c r="N852" i="4" a="1"/>
  <c r="N852" i="4" s="1"/>
  <c r="N853" i="4" a="1"/>
  <c r="N853" i="4" s="1"/>
  <c r="N854" i="4" a="1"/>
  <c r="N854" i="4" s="1"/>
  <c r="N237" i="4" a="1"/>
  <c r="N237" i="4" s="1"/>
  <c r="N238" i="4" a="1"/>
  <c r="N238" i="4"/>
  <c r="N239" i="4" a="1"/>
  <c r="N239" i="4" s="1"/>
  <c r="N855" i="4" a="1"/>
  <c r="N855" i="4"/>
  <c r="N856" i="4" a="1"/>
  <c r="N856" i="4" s="1"/>
  <c r="N857" i="4" a="1"/>
  <c r="N857" i="4" s="1"/>
  <c r="N858" i="4" a="1"/>
  <c r="N858" i="4" s="1"/>
  <c r="N859" i="4" a="1"/>
  <c r="N859" i="4" s="1"/>
  <c r="N240" i="4" a="1"/>
  <c r="N240" i="4" s="1"/>
  <c r="N860" i="4" a="1"/>
  <c r="N860" i="4" s="1"/>
  <c r="N861" i="4" a="1"/>
  <c r="N861" i="4" s="1"/>
  <c r="N862" i="4" a="1"/>
  <c r="N862" i="4"/>
  <c r="N863" i="4" a="1"/>
  <c r="N863" i="4" s="1"/>
  <c r="N864" i="4" a="1"/>
  <c r="N864" i="4" s="1"/>
  <c r="N865" i="4" a="1"/>
  <c r="N865" i="4" s="1"/>
  <c r="N866" i="4" a="1"/>
  <c r="N866" i="4" s="1"/>
  <c r="N867" i="4" a="1"/>
  <c r="N867" i="4" s="1"/>
  <c r="N241" i="4" a="1"/>
  <c r="N241" i="4"/>
  <c r="N868" i="4" a="1"/>
  <c r="N868" i="4" s="1"/>
  <c r="N869" i="4" a="1"/>
  <c r="N869" i="4" s="1"/>
  <c r="N870" i="4" a="1"/>
  <c r="N870" i="4" s="1"/>
  <c r="N242" i="4" a="1"/>
  <c r="N242" i="4" s="1"/>
  <c r="N871" i="4" a="1"/>
  <c r="N871" i="4" s="1"/>
  <c r="N872" i="4" a="1"/>
  <c r="N872" i="4" s="1"/>
  <c r="N243" i="4" a="1"/>
  <c r="N243" i="4" s="1"/>
  <c r="N244" i="4" a="1"/>
  <c r="N244" i="4"/>
  <c r="N245" i="4" a="1"/>
  <c r="N245" i="4" s="1"/>
  <c r="N873" i="4" a="1"/>
  <c r="N873" i="4"/>
  <c r="N874" i="4" a="1"/>
  <c r="N874" i="4" s="1"/>
  <c r="N875" i="4" a="1"/>
  <c r="N875" i="4" s="1"/>
  <c r="N876" i="4" a="1"/>
  <c r="N876" i="4" s="1"/>
  <c r="N246" i="4" a="1"/>
  <c r="N246" i="4" s="1"/>
  <c r="N877" i="4" a="1"/>
  <c r="N877" i="4" s="1"/>
  <c r="N878" i="4" a="1"/>
  <c r="N878" i="4" s="1"/>
  <c r="N247" i="4" a="1"/>
  <c r="N247" i="4" s="1"/>
  <c r="N879" i="4" a="1"/>
  <c r="N879" i="4"/>
  <c r="N880" i="4" a="1"/>
  <c r="N880" i="4" s="1"/>
  <c r="N881" i="4" a="1"/>
  <c r="N881" i="4" s="1"/>
  <c r="N248" i="4" a="1"/>
  <c r="N248" i="4" s="1"/>
  <c r="N249" i="4" a="1"/>
  <c r="N249" i="4" s="1"/>
  <c r="N250" i="4" a="1"/>
  <c r="N250" i="4" s="1"/>
  <c r="N882" i="4" a="1"/>
  <c r="N882" i="4"/>
  <c r="N883" i="4" a="1"/>
  <c r="N883" i="4" s="1"/>
  <c r="N251" i="4" a="1"/>
  <c r="N251" i="4"/>
  <c r="N252" i="4" a="1"/>
  <c r="N252" i="4" s="1"/>
  <c r="N884" i="4" a="1"/>
  <c r="N884" i="4" s="1"/>
  <c r="N253" i="4" a="1"/>
  <c r="N253" i="4" s="1"/>
  <c r="N254" i="4" a="1"/>
  <c r="N254" i="4" s="1"/>
  <c r="N885" i="4" a="1"/>
  <c r="N885" i="4" s="1"/>
  <c r="N886" i="4" a="1"/>
  <c r="N886" i="4" s="1"/>
  <c r="N887" i="4" a="1"/>
  <c r="N887" i="4" s="1"/>
  <c r="N888" i="4" a="1"/>
  <c r="N888" i="4"/>
  <c r="N255" i="4" a="1"/>
  <c r="N255" i="4" s="1"/>
  <c r="N889" i="4" a="1"/>
  <c r="N889" i="4" s="1"/>
  <c r="N256" i="4" a="1"/>
  <c r="N256" i="4" s="1"/>
  <c r="N890" i="4" a="1"/>
  <c r="N890" i="4" s="1"/>
  <c r="N891" i="4" a="1"/>
  <c r="N891" i="4" s="1"/>
  <c r="N892" i="4" a="1"/>
  <c r="N892" i="4"/>
  <c r="N257" i="4" a="1"/>
  <c r="N257" i="4" s="1"/>
  <c r="N893" i="4" a="1"/>
  <c r="N893" i="4" s="1"/>
  <c r="N894" i="4" a="1"/>
  <c r="N894" i="4" s="1"/>
  <c r="N258" i="4" a="1"/>
  <c r="N258" i="4" s="1"/>
  <c r="N259" i="4" a="1"/>
  <c r="N259" i="4" s="1"/>
  <c r="N895" i="4" a="1"/>
  <c r="N895" i="4" s="1"/>
  <c r="N896" i="4" a="1"/>
  <c r="N896" i="4" s="1"/>
  <c r="N260" i="4" a="1"/>
  <c r="N260" i="4"/>
  <c r="N897" i="4" a="1"/>
  <c r="N897" i="4" s="1"/>
  <c r="N898" i="4" a="1"/>
  <c r="N898" i="4"/>
  <c r="N899" i="4" a="1"/>
  <c r="N899" i="4" s="1"/>
  <c r="N900" i="4" a="1"/>
  <c r="N900" i="4" s="1"/>
  <c r="N261" i="4" a="1"/>
  <c r="N261" i="4" s="1"/>
  <c r="N901" i="4" a="1"/>
  <c r="N901" i="4" s="1"/>
  <c r="N902" i="4" a="1"/>
  <c r="N902" i="4" s="1"/>
  <c r="N262" i="4" a="1"/>
  <c r="N262" i="4"/>
  <c r="N263" i="4" a="1"/>
  <c r="N263" i="4" s="1"/>
  <c r="N903" i="4" a="1"/>
  <c r="N903" i="4"/>
  <c r="N264" i="4" a="1"/>
  <c r="N264" i="4" s="1"/>
  <c r="N904" i="4" a="1"/>
  <c r="N904" i="4" s="1"/>
  <c r="N905" i="4" a="1"/>
  <c r="N905" i="4" s="1"/>
  <c r="N906" i="4" a="1"/>
  <c r="N906" i="4" s="1"/>
  <c r="N907" i="4" a="1"/>
  <c r="N907" i="4" s="1"/>
  <c r="N908" i="4" a="1"/>
  <c r="N908" i="4"/>
  <c r="N909" i="4" a="1"/>
  <c r="N909" i="4" s="1"/>
  <c r="N910" i="4" a="1"/>
  <c r="N910" i="4"/>
  <c r="N911" i="4" a="1"/>
  <c r="N911" i="4" s="1"/>
  <c r="N912" i="4" a="1"/>
  <c r="N912" i="4" s="1"/>
  <c r="N913" i="4" a="1"/>
  <c r="N913" i="4" s="1"/>
  <c r="N914" i="4" a="1"/>
  <c r="N914" i="4" s="1"/>
  <c r="N915" i="4" a="1"/>
  <c r="N915" i="4" s="1"/>
  <c r="N916" i="4" a="1"/>
  <c r="N916" i="4"/>
  <c r="N265" i="4" a="1"/>
  <c r="N265" i="4" s="1"/>
  <c r="N917" i="4" a="1"/>
  <c r="N917" i="4"/>
  <c r="N918" i="4" a="1"/>
  <c r="N918" i="4" s="1"/>
  <c r="N919" i="4" a="1"/>
  <c r="N919" i="4" s="1"/>
  <c r="N920" i="4" a="1"/>
  <c r="N920" i="4" s="1"/>
  <c r="N921" i="4" a="1"/>
  <c r="N921" i="4" s="1"/>
  <c r="N266" i="4" a="1"/>
  <c r="N266" i="4" s="1"/>
  <c r="N267" i="4" a="1"/>
  <c r="N267" i="4" s="1"/>
  <c r="N922" i="4" a="1"/>
  <c r="N922" i="4" s="1"/>
  <c r="N268" i="4" a="1"/>
  <c r="N268" i="4" s="1"/>
  <c r="N923" i="4" a="1"/>
  <c r="N923" i="4" s="1"/>
  <c r="N924" i="4" a="1"/>
  <c r="N924" i="4" s="1"/>
  <c r="N925" i="4" a="1"/>
  <c r="N925" i="4" s="1"/>
  <c r="N926" i="4" a="1"/>
  <c r="N926" i="4" s="1"/>
  <c r="N927" i="4" a="1"/>
  <c r="N927" i="4" s="1"/>
  <c r="N928" i="4" a="1"/>
  <c r="N928" i="4"/>
  <c r="N929" i="4" a="1"/>
  <c r="N929" i="4" s="1"/>
  <c r="N930" i="4" a="1"/>
  <c r="N930" i="4"/>
  <c r="N931" i="4" a="1"/>
  <c r="N931" i="4" s="1"/>
  <c r="N932" i="4" a="1"/>
  <c r="N932" i="4" s="1"/>
  <c r="N933" i="4" a="1"/>
  <c r="N933" i="4" s="1"/>
  <c r="N269" i="4" a="1"/>
  <c r="N269" i="4" s="1"/>
  <c r="N270" i="4" a="1"/>
  <c r="N270" i="4" s="1"/>
  <c r="N934" i="4" a="1"/>
  <c r="N934" i="4" s="1"/>
  <c r="N935" i="4" a="1"/>
  <c r="N935" i="4" s="1"/>
  <c r="N936" i="4" a="1"/>
  <c r="N936" i="4"/>
  <c r="N937" i="4" a="1"/>
  <c r="N937" i="4" s="1"/>
  <c r="N938" i="4" a="1"/>
  <c r="N938" i="4" s="1"/>
  <c r="N939" i="4" a="1"/>
  <c r="N939" i="4" s="1"/>
  <c r="N940" i="4" a="1"/>
  <c r="N940" i="4" s="1"/>
  <c r="N941" i="4" a="1"/>
  <c r="N941" i="4" s="1"/>
  <c r="N942" i="4" a="1"/>
  <c r="N942" i="4"/>
  <c r="N943" i="4" a="1"/>
  <c r="N943" i="4" s="1"/>
  <c r="N271" i="4" a="1"/>
  <c r="N271" i="4" s="1"/>
  <c r="N944" i="4" a="1"/>
  <c r="N944" i="4" s="1"/>
  <c r="N945" i="4" a="1"/>
  <c r="N945" i="4" s="1"/>
  <c r="N272" i="4" a="1"/>
  <c r="N272" i="4" s="1"/>
  <c r="N273" i="4" a="1"/>
  <c r="N273" i="4" s="1"/>
  <c r="N946" i="4" a="1"/>
  <c r="N946" i="4" s="1"/>
  <c r="N274" i="4" a="1"/>
  <c r="N274" i="4"/>
  <c r="N275" i="4" a="1"/>
  <c r="N275" i="4" s="1"/>
  <c r="N276" i="4" a="1"/>
  <c r="N276" i="4"/>
  <c r="N947" i="4" a="1"/>
  <c r="N947" i="4" s="1"/>
  <c r="N948" i="4" a="1"/>
  <c r="N948" i="4" s="1"/>
  <c r="N277" i="4" a="1"/>
  <c r="N277" i="4" s="1"/>
  <c r="N949" i="4" a="1"/>
  <c r="N949" i="4" s="1"/>
  <c r="N278" i="4" a="1"/>
  <c r="N278" i="4" s="1"/>
  <c r="N279" i="4" a="1"/>
  <c r="N279" i="4" s="1"/>
  <c r="N950" i="4" a="1"/>
  <c r="N950" i="4" s="1"/>
  <c r="N280" i="4" a="1"/>
  <c r="N280" i="4"/>
  <c r="N951" i="4" a="1"/>
  <c r="N951" i="4" s="1"/>
  <c r="N952" i="4" a="1"/>
  <c r="N952" i="4" s="1"/>
  <c r="N953" i="4" a="1"/>
  <c r="N953" i="4" s="1"/>
  <c r="N281" i="4" a="1"/>
  <c r="N281" i="4" s="1"/>
  <c r="N954" i="4" a="1"/>
  <c r="N954" i="4" s="1"/>
  <c r="N955" i="4" a="1"/>
  <c r="N955" i="4"/>
  <c r="N956" i="4" a="1"/>
  <c r="N956" i="4" s="1"/>
  <c r="N282" i="4" a="1"/>
  <c r="N282" i="4"/>
  <c r="N283" i="4" a="1"/>
  <c r="N283" i="4" s="1"/>
  <c r="N957" i="4" a="1"/>
  <c r="N957" i="4" s="1"/>
  <c r="N284" i="4" a="1"/>
  <c r="N284" i="4" s="1"/>
  <c r="N958" i="4" a="1"/>
  <c r="N958" i="4" s="1"/>
  <c r="N959" i="4" a="1"/>
  <c r="N959" i="4" s="1"/>
  <c r="N960" i="4" a="1"/>
  <c r="N960" i="4"/>
  <c r="N961" i="4" a="1"/>
  <c r="N961" i="4" s="1"/>
  <c r="N962" i="4" a="1"/>
  <c r="N962" i="4"/>
  <c r="N963" i="4" a="1"/>
  <c r="N963" i="4" s="1"/>
  <c r="N964" i="4" a="1"/>
  <c r="N964" i="4" s="1"/>
  <c r="N285" i="4" a="1"/>
  <c r="N285" i="4" s="1"/>
  <c r="N965" i="4" a="1"/>
  <c r="N965" i="4" s="1"/>
  <c r="N286" i="4" a="1"/>
  <c r="N286" i="4" s="1"/>
  <c r="N287" i="4" a="1"/>
  <c r="N287" i="4"/>
  <c r="N966" i="4" a="1"/>
  <c r="N966" i="4" s="1"/>
  <c r="N288" i="4" a="1"/>
  <c r="N288" i="4"/>
  <c r="N289" i="4" a="1"/>
  <c r="N289" i="4" s="1"/>
  <c r="N290" i="4" a="1"/>
  <c r="N290" i="4" s="1"/>
  <c r="N967" i="4" a="1"/>
  <c r="N967" i="4" s="1"/>
  <c r="N968" i="4" a="1"/>
  <c r="N968" i="4" s="1"/>
  <c r="N969" i="4" a="1"/>
  <c r="N969" i="4" s="1"/>
  <c r="N970" i="4" a="1"/>
  <c r="N970" i="4"/>
  <c r="N291" i="4" a="1"/>
  <c r="N291" i="4" s="1"/>
  <c r="N971" i="4" a="1"/>
  <c r="N971" i="4"/>
  <c r="N972" i="4" a="1"/>
  <c r="N972" i="4" s="1"/>
  <c r="N973" i="4" a="1"/>
  <c r="N973" i="4" s="1"/>
  <c r="N974" i="4" a="1"/>
  <c r="N974" i="4" s="1"/>
  <c r="N292" i="4" a="1"/>
  <c r="N292" i="4" s="1"/>
  <c r="N975" i="4" a="1"/>
  <c r="N975" i="4" s="1"/>
  <c r="N976" i="4" a="1"/>
  <c r="N976" i="4" s="1"/>
  <c r="N293" i="4" a="1"/>
  <c r="N293" i="4" s="1"/>
  <c r="N977" i="4" a="1"/>
  <c r="N977" i="4" s="1"/>
  <c r="N978" i="4" a="1"/>
  <c r="N978" i="4" s="1"/>
  <c r="N979" i="4" a="1"/>
  <c r="N979" i="4" s="1"/>
  <c r="N980" i="4" a="1"/>
  <c r="N980" i="4" s="1"/>
  <c r="N981" i="4" a="1"/>
  <c r="N981" i="4" s="1"/>
  <c r="N294" i="4" a="1"/>
  <c r="N294" i="4" s="1"/>
  <c r="N295" i="4" a="1"/>
  <c r="N295" i="4"/>
  <c r="N982" i="4" a="1"/>
  <c r="N982" i="4" s="1"/>
  <c r="N983" i="4" a="1"/>
  <c r="N983" i="4"/>
  <c r="N984" i="4" a="1"/>
  <c r="N984" i="4" s="1"/>
  <c r="N985" i="4" a="1"/>
  <c r="N985" i="4" s="1"/>
  <c r="N296" i="4" a="1"/>
  <c r="N296" i="4" s="1"/>
  <c r="N297" i="4" a="1"/>
  <c r="N297" i="4" s="1"/>
  <c r="N298" i="4" a="1"/>
  <c r="N298" i="4" s="1"/>
  <c r="N299" i="4" a="1"/>
  <c r="N299" i="4"/>
  <c r="N986" i="4" a="1"/>
  <c r="N986" i="4" s="1"/>
  <c r="N300" i="4" a="1"/>
  <c r="N300" i="4"/>
  <c r="N987" i="4" a="1"/>
  <c r="N987" i="4" s="1"/>
  <c r="N988" i="4" a="1"/>
  <c r="N988" i="4" s="1"/>
  <c r="N989" i="4" a="1"/>
  <c r="N989" i="4" s="1"/>
  <c r="N990" i="4" a="1"/>
  <c r="N990" i="4" s="1"/>
  <c r="N991" i="4" a="1"/>
  <c r="N991" i="4" s="1"/>
  <c r="N992" i="4" a="1"/>
  <c r="N992" i="4"/>
  <c r="N993" i="4" a="1"/>
  <c r="N993" i="4" s="1"/>
  <c r="N994" i="4" a="1"/>
  <c r="N994" i="4"/>
  <c r="N995" i="4" a="1"/>
  <c r="N995" i="4" s="1"/>
  <c r="N996" i="4" a="1"/>
  <c r="N996" i="4" s="1"/>
  <c r="N997" i="4" a="1"/>
  <c r="N997" i="4" s="1"/>
  <c r="N998" i="4" a="1"/>
  <c r="N998" i="4" s="1"/>
  <c r="N999" i="4" a="1"/>
  <c r="N999" i="4" s="1"/>
  <c r="N1000" i="4" a="1"/>
  <c r="N1000" i="4"/>
  <c r="N301" i="4" a="1"/>
  <c r="N301" i="4" s="1"/>
  <c r="N1001" i="4" a="1"/>
  <c r="N1001" i="4"/>
  <c r="N302" i="4" a="1"/>
  <c r="N302" i="4" s="1"/>
  <c r="M2" i="4" a="1"/>
  <c r="M2" i="4" s="1"/>
  <c r="M303" i="4" a="1"/>
  <c r="M303" i="4" s="1"/>
  <c r="M304" i="4" a="1"/>
  <c r="M304" i="4" s="1"/>
  <c r="M3" i="4" a="1"/>
  <c r="M3" i="4" s="1"/>
  <c r="M305" i="4" a="1"/>
  <c r="M305" i="4" s="1"/>
  <c r="M306" i="4" a="1"/>
  <c r="M306" i="4" s="1"/>
  <c r="M307" i="4" a="1"/>
  <c r="M307" i="4" s="1"/>
  <c r="M308" i="4" a="1"/>
  <c r="M308" i="4"/>
  <c r="M4" i="4" a="1"/>
  <c r="M4" i="4" s="1"/>
  <c r="M5" i="4" a="1"/>
  <c r="M5" i="4"/>
  <c r="M6" i="4" a="1"/>
  <c r="M6" i="4" s="1"/>
  <c r="M309" i="4" a="1"/>
  <c r="M309" i="4" s="1"/>
  <c r="M7" i="4" a="1"/>
  <c r="M7" i="4" s="1"/>
  <c r="M310" i="4" a="1"/>
  <c r="M310" i="4" s="1"/>
  <c r="M8" i="4" a="1"/>
  <c r="M8" i="4"/>
  <c r="M311" i="4" a="1"/>
  <c r="M311" i="4" s="1"/>
  <c r="M312" i="4" a="1"/>
  <c r="M312" i="4" s="1"/>
  <c r="M9" i="4" a="1"/>
  <c r="M9" i="4" s="1"/>
  <c r="M313" i="4" a="1"/>
  <c r="M313" i="4"/>
  <c r="M314" i="4" a="1"/>
  <c r="M314" i="4" s="1"/>
  <c r="M315" i="4" a="1"/>
  <c r="M315" i="4" s="1"/>
  <c r="M316" i="4" a="1"/>
  <c r="M316" i="4"/>
  <c r="M317" i="4" a="1"/>
  <c r="M317" i="4" s="1"/>
  <c r="M318" i="4" a="1"/>
  <c r="M318" i="4" s="1"/>
  <c r="M319" i="4" a="1"/>
  <c r="M319" i="4" s="1"/>
  <c r="M320" i="4" a="1"/>
  <c r="M320" i="4" s="1"/>
  <c r="M321" i="4" a="1"/>
  <c r="M321" i="4"/>
  <c r="M322" i="4" a="1"/>
  <c r="M322" i="4" s="1"/>
  <c r="M10" i="4" a="1"/>
  <c r="M10" i="4"/>
  <c r="M323" i="4" a="1"/>
  <c r="M323" i="4" s="1"/>
  <c r="M324" i="4" a="1"/>
  <c r="M324" i="4" s="1"/>
  <c r="M325" i="4" a="1"/>
  <c r="M325" i="4" s="1"/>
  <c r="M326" i="4" a="1"/>
  <c r="M326" i="4" s="1"/>
  <c r="M327" i="4" a="1"/>
  <c r="M327" i="4" s="1"/>
  <c r="M11" i="4" a="1"/>
  <c r="M11" i="4" s="1"/>
  <c r="M328" i="4" a="1"/>
  <c r="M328" i="4"/>
  <c r="M12" i="4" a="1"/>
  <c r="M12" i="4" s="1"/>
  <c r="M329" i="4" a="1"/>
  <c r="M329" i="4"/>
  <c r="M330" i="4" a="1"/>
  <c r="M330" i="4" s="1"/>
  <c r="M331" i="4" a="1"/>
  <c r="M331" i="4" s="1"/>
  <c r="M332" i="4" a="1"/>
  <c r="M332" i="4" s="1"/>
  <c r="M333" i="4" a="1"/>
  <c r="M333" i="4" s="1"/>
  <c r="M334" i="4" a="1"/>
  <c r="M334" i="4" s="1"/>
  <c r="M13" i="4" a="1"/>
  <c r="M13" i="4" s="1"/>
  <c r="M335" i="4" a="1"/>
  <c r="M335" i="4" s="1"/>
  <c r="M336" i="4" a="1"/>
  <c r="M336" i="4" s="1"/>
  <c r="M337" i="4" a="1"/>
  <c r="M337" i="4"/>
  <c r="M338" i="4" a="1"/>
  <c r="M338" i="4"/>
  <c r="M339" i="4" a="1"/>
  <c r="M339" i="4" s="1"/>
  <c r="M340" i="4" a="1"/>
  <c r="M340" i="4" s="1"/>
  <c r="M341" i="4" a="1"/>
  <c r="M341" i="4" s="1"/>
  <c r="M342" i="4" a="1"/>
  <c r="M342" i="4" s="1"/>
  <c r="M343" i="4" a="1"/>
  <c r="M343" i="4"/>
  <c r="M14" i="4" a="1"/>
  <c r="M14" i="4" s="1"/>
  <c r="M344" i="4" a="1"/>
  <c r="M344" i="4"/>
  <c r="M15" i="4" a="1"/>
  <c r="M15" i="4"/>
  <c r="M345" i="4" a="1"/>
  <c r="M345" i="4" s="1"/>
  <c r="M346" i="4" a="1"/>
  <c r="M346" i="4" s="1"/>
  <c r="M16" i="4" a="1"/>
  <c r="M16" i="4" s="1"/>
  <c r="M347" i="4" a="1"/>
  <c r="M347" i="4" s="1"/>
  <c r="M348" i="4" a="1"/>
  <c r="M348" i="4" s="1"/>
  <c r="M17" i="4" a="1"/>
  <c r="M17" i="4" s="1"/>
  <c r="M18" i="4" a="1"/>
  <c r="M18" i="4" s="1"/>
  <c r="M349" i="4" a="1"/>
  <c r="M349" i="4"/>
  <c r="M350" i="4" a="1"/>
  <c r="M350" i="4" s="1"/>
  <c r="M351" i="4" a="1"/>
  <c r="M351" i="4" s="1"/>
  <c r="M352" i="4" a="1"/>
  <c r="M352" i="4" s="1"/>
  <c r="M19" i="4" a="1"/>
  <c r="M19" i="4" s="1"/>
  <c r="M353" i="4" a="1"/>
  <c r="M353" i="4" s="1"/>
  <c r="M354" i="4" a="1"/>
  <c r="M354" i="4"/>
  <c r="M355" i="4" a="1"/>
  <c r="M355" i="4"/>
  <c r="M356" i="4" a="1"/>
  <c r="M356" i="4" s="1"/>
  <c r="M357" i="4" a="1"/>
  <c r="M357" i="4" s="1"/>
  <c r="M20" i="4" a="1"/>
  <c r="M20" i="4"/>
  <c r="M358" i="4" a="1"/>
  <c r="M358" i="4" s="1"/>
  <c r="M21" i="4" a="1"/>
  <c r="M21" i="4" s="1"/>
  <c r="M359" i="4" a="1"/>
  <c r="M359" i="4" s="1"/>
  <c r="M360" i="4" a="1"/>
  <c r="M360" i="4" s="1"/>
  <c r="M361" i="4" a="1"/>
  <c r="M361" i="4" s="1"/>
  <c r="M22" i="4" a="1"/>
  <c r="M22" i="4" s="1"/>
  <c r="M362" i="4" a="1"/>
  <c r="M362" i="4" s="1"/>
  <c r="M363" i="4" a="1"/>
  <c r="M363" i="4"/>
  <c r="M364" i="4" a="1"/>
  <c r="M364" i="4" s="1"/>
  <c r="M365" i="4" a="1"/>
  <c r="M365" i="4" s="1"/>
  <c r="M366" i="4" a="1"/>
  <c r="M366" i="4" s="1"/>
  <c r="M367" i="4" a="1"/>
  <c r="M367" i="4" s="1"/>
  <c r="M23" i="4" a="1"/>
  <c r="M23" i="4"/>
  <c r="M368" i="4" a="1"/>
  <c r="M368" i="4" s="1"/>
  <c r="M24" i="4" a="1"/>
  <c r="M24" i="4" s="1"/>
  <c r="M369" i="4" a="1"/>
  <c r="M369" i="4" s="1"/>
  <c r="M370" i="4" a="1"/>
  <c r="M370" i="4" s="1"/>
  <c r="M25" i="4" a="1"/>
  <c r="M25" i="4" s="1"/>
  <c r="M371" i="4" a="1"/>
  <c r="M371" i="4" s="1"/>
  <c r="M372" i="4" a="1"/>
  <c r="M372" i="4" s="1"/>
  <c r="M26" i="4" a="1"/>
  <c r="M26" i="4" s="1"/>
  <c r="M373" i="4" a="1"/>
  <c r="M373" i="4" s="1"/>
  <c r="M374" i="4" a="1"/>
  <c r="M374" i="4" s="1"/>
  <c r="M375" i="4" a="1"/>
  <c r="M375" i="4" s="1"/>
  <c r="M376" i="4" a="1"/>
  <c r="M376" i="4"/>
  <c r="M377" i="4" a="1"/>
  <c r="M377" i="4" s="1"/>
  <c r="M378" i="4" a="1"/>
  <c r="M378" i="4" s="1"/>
  <c r="M379" i="4" a="1"/>
  <c r="M379" i="4"/>
  <c r="M380" i="4" a="1"/>
  <c r="M380" i="4" s="1"/>
  <c r="M381" i="4" a="1"/>
  <c r="M381" i="4"/>
  <c r="M27" i="4" a="1"/>
  <c r="M27" i="4" s="1"/>
  <c r="M28" i="4" a="1"/>
  <c r="M28" i="4" s="1"/>
  <c r="M382" i="4" a="1"/>
  <c r="M382" i="4"/>
  <c r="M383" i="4" a="1"/>
  <c r="M383" i="4" s="1"/>
  <c r="M384" i="4" a="1"/>
  <c r="M384" i="4"/>
  <c r="M385" i="4" a="1"/>
  <c r="M385" i="4"/>
  <c r="M386" i="4" a="1"/>
  <c r="M386" i="4"/>
  <c r="M387" i="4" a="1"/>
  <c r="M387" i="4" s="1"/>
  <c r="M29" i="4" a="1"/>
  <c r="M29" i="4" s="1"/>
  <c r="M388" i="4" a="1"/>
  <c r="M388" i="4"/>
  <c r="M389" i="4" a="1"/>
  <c r="M389" i="4" s="1"/>
  <c r="M30" i="4" a="1"/>
  <c r="M30" i="4" s="1"/>
  <c r="M390" i="4" a="1"/>
  <c r="M390" i="4" s="1"/>
  <c r="M31" i="4" a="1"/>
  <c r="M31" i="4" s="1"/>
  <c r="M391" i="4" a="1"/>
  <c r="M391" i="4" s="1"/>
  <c r="M32" i="4" a="1"/>
  <c r="M32" i="4" s="1"/>
  <c r="M392" i="4" a="1"/>
  <c r="M392" i="4" s="1"/>
  <c r="M393" i="4" a="1"/>
  <c r="M393" i="4" s="1"/>
  <c r="M394" i="4" a="1"/>
  <c r="M394" i="4" s="1"/>
  <c r="M33" i="4" a="1"/>
  <c r="M33" i="4"/>
  <c r="M395" i="4" a="1"/>
  <c r="M395" i="4" s="1"/>
  <c r="M396" i="4" a="1"/>
  <c r="M396" i="4"/>
  <c r="M34" i="4" a="1"/>
  <c r="M34" i="4" s="1"/>
  <c r="M397" i="4" a="1"/>
  <c r="M397" i="4" s="1"/>
  <c r="M35" i="4" a="1"/>
  <c r="M35" i="4" s="1"/>
  <c r="M398" i="4" a="1"/>
  <c r="M398" i="4" s="1"/>
  <c r="M36" i="4" a="1"/>
  <c r="M36" i="4" s="1"/>
  <c r="M399" i="4" a="1"/>
  <c r="M399" i="4"/>
  <c r="M400" i="4" a="1"/>
  <c r="M400" i="4"/>
  <c r="M401" i="4" a="1"/>
  <c r="M401" i="4"/>
  <c r="M402" i="4" a="1"/>
  <c r="M402" i="4" s="1"/>
  <c r="M403" i="4" a="1"/>
  <c r="M403" i="4"/>
  <c r="M37" i="4" a="1"/>
  <c r="M37" i="4" s="1"/>
  <c r="M404" i="4" a="1"/>
  <c r="M404" i="4" s="1"/>
  <c r="M405" i="4" a="1"/>
  <c r="M405" i="4" s="1"/>
  <c r="M406" i="4" a="1"/>
  <c r="M406" i="4" s="1"/>
  <c r="M407" i="4" a="1"/>
  <c r="M407" i="4" s="1"/>
  <c r="M408" i="4" a="1"/>
  <c r="M408" i="4"/>
  <c r="M38" i="4" a="1"/>
  <c r="M38" i="4" s="1"/>
  <c r="M409" i="4" a="1"/>
  <c r="M409" i="4" s="1"/>
  <c r="M410" i="4" a="1"/>
  <c r="M410" i="4" s="1"/>
  <c r="M411" i="4" a="1"/>
  <c r="M411" i="4" s="1"/>
  <c r="M412" i="4" a="1"/>
  <c r="M412" i="4"/>
  <c r="M413" i="4" a="1"/>
  <c r="M413" i="4" s="1"/>
  <c r="M414" i="4" a="1"/>
  <c r="M414" i="4" s="1"/>
  <c r="M415" i="4" a="1"/>
  <c r="M415" i="4" s="1"/>
  <c r="M416" i="4" a="1"/>
  <c r="M416" i="4" s="1"/>
  <c r="M417" i="4" a="1"/>
  <c r="M417" i="4" s="1"/>
  <c r="M418" i="4" a="1"/>
  <c r="M418" i="4" s="1"/>
  <c r="M419" i="4" a="1"/>
  <c r="M419" i="4" s="1"/>
  <c r="M39" i="4" a="1"/>
  <c r="M39" i="4" s="1"/>
  <c r="M420" i="4" a="1"/>
  <c r="M420" i="4" s="1"/>
  <c r="M421" i="4" a="1"/>
  <c r="M421" i="4" s="1"/>
  <c r="M422" i="4" a="1"/>
  <c r="M422" i="4" s="1"/>
  <c r="M423" i="4" a="1"/>
  <c r="M423" i="4" s="1"/>
  <c r="M424" i="4" a="1"/>
  <c r="M424" i="4" s="1"/>
  <c r="M425" i="4" a="1"/>
  <c r="M425" i="4" s="1"/>
  <c r="M426" i="4" a="1"/>
  <c r="M426" i="4"/>
  <c r="M427" i="4" a="1"/>
  <c r="M427" i="4" s="1"/>
  <c r="M428" i="4" a="1"/>
  <c r="M428" i="4" s="1"/>
  <c r="M429" i="4" a="1"/>
  <c r="M429" i="4"/>
  <c r="M40" i="4" a="1"/>
  <c r="M40" i="4" s="1"/>
  <c r="M430" i="4" a="1"/>
  <c r="M430" i="4" s="1"/>
  <c r="M431" i="4" a="1"/>
  <c r="M431" i="4" s="1"/>
  <c r="M41" i="4" a="1"/>
  <c r="M41" i="4" s="1"/>
  <c r="M42" i="4" a="1"/>
  <c r="M42" i="4"/>
  <c r="M432" i="4" a="1"/>
  <c r="M432" i="4" s="1"/>
  <c r="M43" i="4" a="1"/>
  <c r="M43" i="4" s="1"/>
  <c r="M433" i="4" a="1"/>
  <c r="M433" i="4" s="1"/>
  <c r="M44" i="4" a="1"/>
  <c r="M44" i="4" s="1"/>
  <c r="M45" i="4" a="1"/>
  <c r="M45" i="4" s="1"/>
  <c r="M434" i="4" a="1"/>
  <c r="M434" i="4"/>
  <c r="M435" i="4" a="1"/>
  <c r="M435" i="4" s="1"/>
  <c r="M436" i="4" a="1"/>
  <c r="M436" i="4" s="1"/>
  <c r="M437" i="4" a="1"/>
  <c r="M437" i="4" s="1"/>
  <c r="M46" i="4" a="1"/>
  <c r="M46" i="4" s="1"/>
  <c r="M47" i="4" a="1"/>
  <c r="M47" i="4" s="1"/>
  <c r="M48" i="4" a="1"/>
  <c r="M48" i="4" s="1"/>
  <c r="M438" i="4" a="1"/>
  <c r="M438" i="4" s="1"/>
  <c r="M49" i="4" a="1"/>
  <c r="M49" i="4"/>
  <c r="M439" i="4" a="1"/>
  <c r="M439" i="4" s="1"/>
  <c r="M50" i="4" a="1"/>
  <c r="M50" i="4" s="1"/>
  <c r="M440" i="4" a="1"/>
  <c r="M440" i="4" s="1"/>
  <c r="M51" i="4" a="1"/>
  <c r="M51" i="4" s="1"/>
  <c r="M441" i="4" a="1"/>
  <c r="M441" i="4" s="1"/>
  <c r="M52" i="4" a="1"/>
  <c r="M52" i="4" s="1"/>
  <c r="M53" i="4" a="1"/>
  <c r="M53" i="4" s="1"/>
  <c r="M54" i="4" a="1"/>
  <c r="M54" i="4"/>
  <c r="M442" i="4" a="1"/>
  <c r="M442" i="4" s="1"/>
  <c r="M55" i="4" a="1"/>
  <c r="M55" i="4" s="1"/>
  <c r="M56" i="4" a="1"/>
  <c r="M56" i="4" s="1"/>
  <c r="M443" i="4" a="1"/>
  <c r="M443" i="4"/>
  <c r="M57" i="4" a="1"/>
  <c r="M57" i="4" s="1"/>
  <c r="M444" i="4" a="1"/>
  <c r="M444" i="4" s="1"/>
  <c r="M58" i="4" a="1"/>
  <c r="M58" i="4" s="1"/>
  <c r="M445" i="4" a="1"/>
  <c r="M445" i="4" s="1"/>
  <c r="M446" i="4" a="1"/>
  <c r="M446" i="4" s="1"/>
  <c r="M447" i="4" a="1"/>
  <c r="M447" i="4" s="1"/>
  <c r="M59" i="4" a="1"/>
  <c r="M59" i="4" s="1"/>
  <c r="M448" i="4" a="1"/>
  <c r="M448" i="4" s="1"/>
  <c r="M449" i="4" a="1"/>
  <c r="M449" i="4"/>
  <c r="M450" i="4" a="1"/>
  <c r="M450" i="4" s="1"/>
  <c r="M451" i="4" a="1"/>
  <c r="M451" i="4" s="1"/>
  <c r="M452" i="4" a="1"/>
  <c r="M452" i="4" s="1"/>
  <c r="M453" i="4" a="1"/>
  <c r="M453" i="4" s="1"/>
  <c r="M454" i="4" a="1"/>
  <c r="M454" i="4" s="1"/>
  <c r="M455" i="4" a="1"/>
  <c r="M455" i="4"/>
  <c r="M60" i="4" a="1"/>
  <c r="M60" i="4" s="1"/>
  <c r="M61" i="4" a="1"/>
  <c r="M61" i="4" s="1"/>
  <c r="M456" i="4" a="1"/>
  <c r="M456" i="4" s="1"/>
  <c r="M457" i="4" a="1"/>
  <c r="M457" i="4"/>
  <c r="M458" i="4" a="1"/>
  <c r="M458" i="4"/>
  <c r="M459" i="4" a="1"/>
  <c r="M459" i="4" s="1"/>
  <c r="M460" i="4" a="1"/>
  <c r="M460" i="4" s="1"/>
  <c r="M461" i="4" a="1"/>
  <c r="M461" i="4" s="1"/>
  <c r="M462" i="4" a="1"/>
  <c r="M462" i="4" s="1"/>
  <c r="M463" i="4" a="1"/>
  <c r="M463" i="4" s="1"/>
  <c r="M464" i="4" a="1"/>
  <c r="M464" i="4" s="1"/>
  <c r="M465" i="4" a="1"/>
  <c r="M465" i="4"/>
  <c r="M466" i="4" a="1"/>
  <c r="M466" i="4" s="1"/>
  <c r="M467" i="4" a="1"/>
  <c r="M467" i="4" s="1"/>
  <c r="M62" i="4" a="1"/>
  <c r="M62" i="4" s="1"/>
  <c r="M63" i="4" a="1"/>
  <c r="M63" i="4" s="1"/>
  <c r="M64" i="4" a="1"/>
  <c r="M64" i="4"/>
  <c r="M468" i="4" a="1"/>
  <c r="M468" i="4" s="1"/>
  <c r="M65" i="4" a="1"/>
  <c r="M65" i="4" s="1"/>
  <c r="M469" i="4" a="1"/>
  <c r="M469" i="4" s="1"/>
  <c r="M470" i="4" a="1"/>
  <c r="M470" i="4"/>
  <c r="M471" i="4" a="1"/>
  <c r="M471" i="4" s="1"/>
  <c r="M472" i="4" a="1"/>
  <c r="M472" i="4" s="1"/>
  <c r="M66" i="4" a="1"/>
  <c r="M66" i="4"/>
  <c r="M67" i="4" a="1"/>
  <c r="M67" i="4" s="1"/>
  <c r="M68" i="4" a="1"/>
  <c r="M68" i="4"/>
  <c r="M473" i="4" a="1"/>
  <c r="M473" i="4" s="1"/>
  <c r="M474" i="4" a="1"/>
  <c r="M474" i="4" s="1"/>
  <c r="M69" i="4" a="1"/>
  <c r="M69" i="4" s="1"/>
  <c r="M475" i="4" a="1"/>
  <c r="M475" i="4" s="1"/>
  <c r="M70" i="4" a="1"/>
  <c r="M70" i="4"/>
  <c r="M476" i="4" a="1"/>
  <c r="M476" i="4" s="1"/>
  <c r="M477" i="4" a="1"/>
  <c r="M477" i="4"/>
  <c r="M478" i="4" a="1"/>
  <c r="M478" i="4" s="1"/>
  <c r="M479" i="4" a="1"/>
  <c r="M479" i="4" s="1"/>
  <c r="M480" i="4" a="1"/>
  <c r="M480" i="4" s="1"/>
  <c r="M481" i="4" a="1"/>
  <c r="M481" i="4" s="1"/>
  <c r="M71" i="4" a="1"/>
  <c r="M71" i="4" s="1"/>
  <c r="M482" i="4" a="1"/>
  <c r="M482" i="4" s="1"/>
  <c r="M483" i="4" a="1"/>
  <c r="M483" i="4" s="1"/>
  <c r="M72" i="4" a="1"/>
  <c r="M72" i="4" s="1"/>
  <c r="M484" i="4" a="1"/>
  <c r="M484" i="4" s="1"/>
  <c r="M485" i="4" a="1"/>
  <c r="M485" i="4"/>
  <c r="M486" i="4" a="1"/>
  <c r="M486" i="4" s="1"/>
  <c r="M487" i="4" a="1"/>
  <c r="M487" i="4" s="1"/>
  <c r="M73" i="4" a="1"/>
  <c r="M73" i="4" s="1"/>
  <c r="M488" i="4" a="1"/>
  <c r="M488" i="4" s="1"/>
  <c r="M489" i="4" a="1"/>
  <c r="M489" i="4" s="1"/>
  <c r="M490" i="4" a="1"/>
  <c r="M490" i="4" s="1"/>
  <c r="M491" i="4" a="1"/>
  <c r="M491" i="4" s="1"/>
  <c r="M492" i="4" a="1"/>
  <c r="M492" i="4" s="1"/>
  <c r="M493" i="4" a="1"/>
  <c r="M493" i="4" s="1"/>
  <c r="M494" i="4" a="1"/>
  <c r="M494" i="4"/>
  <c r="M74" i="4" a="1"/>
  <c r="M74" i="4" s="1"/>
  <c r="M495" i="4" a="1"/>
  <c r="M495" i="4" s="1"/>
  <c r="M496" i="4" a="1"/>
  <c r="M496" i="4" s="1"/>
  <c r="M75" i="4" a="1"/>
  <c r="M75" i="4" s="1"/>
  <c r="M497" i="4" a="1"/>
  <c r="M497" i="4" s="1"/>
  <c r="M498" i="4" a="1"/>
  <c r="M498" i="4"/>
  <c r="M499" i="4" a="1"/>
  <c r="M499" i="4" s="1"/>
  <c r="M500" i="4" a="1"/>
  <c r="M500" i="4"/>
  <c r="M76" i="4" a="1"/>
  <c r="M76" i="4" s="1"/>
  <c r="M77" i="4" a="1"/>
  <c r="M77" i="4" s="1"/>
  <c r="M501" i="4" a="1"/>
  <c r="M501" i="4"/>
  <c r="M502" i="4" a="1"/>
  <c r="M502" i="4" s="1"/>
  <c r="M503" i="4" a="1"/>
  <c r="M503" i="4"/>
  <c r="M78" i="4" a="1"/>
  <c r="M78" i="4"/>
  <c r="M504" i="4" a="1"/>
  <c r="M504" i="4" s="1"/>
  <c r="M505" i="4" a="1"/>
  <c r="M505" i="4" s="1"/>
  <c r="M506" i="4" a="1"/>
  <c r="M506" i="4" s="1"/>
  <c r="M507" i="4" a="1"/>
  <c r="M507" i="4" s="1"/>
  <c r="M508" i="4" a="1"/>
  <c r="M508" i="4" s="1"/>
  <c r="M509" i="4" a="1"/>
  <c r="M509" i="4" s="1"/>
  <c r="M510" i="4" a="1"/>
  <c r="M510" i="4" s="1"/>
  <c r="M511" i="4" a="1"/>
  <c r="M511" i="4" s="1"/>
  <c r="M512" i="4" a="1"/>
  <c r="M512" i="4" s="1"/>
  <c r="M513" i="4" a="1"/>
  <c r="M513" i="4" s="1"/>
  <c r="M79" i="4" a="1"/>
  <c r="M79" i="4" s="1"/>
  <c r="M514" i="4" a="1"/>
  <c r="M514" i="4" s="1"/>
  <c r="M80" i="4" a="1"/>
  <c r="M80" i="4" s="1"/>
  <c r="M515" i="4" a="1"/>
  <c r="M515" i="4" s="1"/>
  <c r="M516" i="4" a="1"/>
  <c r="M516" i="4"/>
  <c r="M517" i="4" a="1"/>
  <c r="M517" i="4" s="1"/>
  <c r="M81" i="4" a="1"/>
  <c r="M81" i="4"/>
  <c r="M518" i="4" a="1"/>
  <c r="M518" i="4" s="1"/>
  <c r="M519" i="4" a="1"/>
  <c r="M519" i="4" s="1"/>
  <c r="M520" i="4" a="1"/>
  <c r="M520" i="4" s="1"/>
  <c r="M521" i="4" a="1"/>
  <c r="M521" i="4" s="1"/>
  <c r="M522" i="4" a="1"/>
  <c r="M522" i="4" s="1"/>
  <c r="M82" i="4" a="1"/>
  <c r="M82" i="4" s="1"/>
  <c r="M83" i="4" a="1"/>
  <c r="M83" i="4" s="1"/>
  <c r="M523" i="4" a="1"/>
  <c r="M523" i="4" s="1"/>
  <c r="M84" i="4" a="1"/>
  <c r="M84" i="4"/>
  <c r="M524" i="4" a="1"/>
  <c r="M524" i="4" s="1"/>
  <c r="M525" i="4" a="1"/>
  <c r="M525" i="4" s="1"/>
  <c r="M85" i="4" a="1"/>
  <c r="M85" i="4" s="1"/>
  <c r="M86" i="4" a="1"/>
  <c r="M86" i="4" s="1"/>
  <c r="M526" i="4" a="1"/>
  <c r="M526" i="4" s="1"/>
  <c r="M527" i="4" a="1"/>
  <c r="M527" i="4" s="1"/>
  <c r="M528" i="4" a="1"/>
  <c r="M528" i="4"/>
  <c r="M529" i="4" a="1"/>
  <c r="M529" i="4" s="1"/>
  <c r="M87" i="4" a="1"/>
  <c r="M87" i="4" s="1"/>
  <c r="M530" i="4" a="1"/>
  <c r="M530" i="4"/>
  <c r="M88" i="4" a="1"/>
  <c r="M88" i="4"/>
  <c r="M531" i="4" a="1"/>
  <c r="M531" i="4" s="1"/>
  <c r="M532" i="4" a="1"/>
  <c r="M532" i="4" s="1"/>
  <c r="M533" i="4" a="1"/>
  <c r="M533" i="4" s="1"/>
  <c r="M534" i="4" a="1"/>
  <c r="M534" i="4" s="1"/>
  <c r="M89" i="4" a="1"/>
  <c r="M89" i="4" s="1"/>
  <c r="M90" i="4" a="1"/>
  <c r="M90" i="4" s="1"/>
  <c r="M535" i="4" a="1"/>
  <c r="M535" i="4"/>
  <c r="M536" i="4" a="1"/>
  <c r="M536" i="4" s="1"/>
  <c r="M537" i="4" a="1"/>
  <c r="M537" i="4" s="1"/>
  <c r="M538" i="4" a="1"/>
  <c r="M538" i="4" s="1"/>
  <c r="M539" i="4" a="1"/>
  <c r="M539" i="4"/>
  <c r="M540" i="4" a="1"/>
  <c r="M540" i="4" s="1"/>
  <c r="M541" i="4" a="1"/>
  <c r="M541" i="4" s="1"/>
  <c r="M542" i="4" a="1"/>
  <c r="M542" i="4" s="1"/>
  <c r="M543" i="4" a="1"/>
  <c r="M543" i="4" s="1"/>
  <c r="M91" i="4" a="1"/>
  <c r="M91" i="4"/>
  <c r="M92" i="4" a="1"/>
  <c r="M92" i="4" s="1"/>
  <c r="M93" i="4" a="1"/>
  <c r="M93" i="4"/>
  <c r="M94" i="4" a="1"/>
  <c r="M94" i="4" s="1"/>
  <c r="M95" i="4" a="1"/>
  <c r="M95" i="4" s="1"/>
  <c r="M544" i="4" a="1"/>
  <c r="M544" i="4" s="1"/>
  <c r="M96" i="4" a="1"/>
  <c r="M96" i="4" s="1"/>
  <c r="M545" i="4" a="1"/>
  <c r="M545" i="4" s="1"/>
  <c r="M546" i="4" a="1"/>
  <c r="M546" i="4" s="1"/>
  <c r="M547" i="4" a="1"/>
  <c r="M547" i="4" s="1"/>
  <c r="M548" i="4" a="1"/>
  <c r="M548" i="4" s="1"/>
  <c r="M549" i="4" a="1"/>
  <c r="M549" i="4" s="1"/>
  <c r="M550" i="4" a="1"/>
  <c r="M550" i="4" s="1"/>
  <c r="M551" i="4" a="1"/>
  <c r="M551" i="4" s="1"/>
  <c r="M552" i="4" a="1"/>
  <c r="M552" i="4" s="1"/>
  <c r="M553" i="4" a="1"/>
  <c r="M553" i="4" s="1"/>
  <c r="M554" i="4" a="1"/>
  <c r="M554" i="4" s="1"/>
  <c r="M555" i="4" a="1"/>
  <c r="M555" i="4" s="1"/>
  <c r="M97" i="4" a="1"/>
  <c r="M97" i="4"/>
  <c r="M556" i="4" a="1"/>
  <c r="M556" i="4"/>
  <c r="M98" i="4" a="1"/>
  <c r="M98" i="4" s="1"/>
  <c r="M557" i="4" a="1"/>
  <c r="M557" i="4" s="1"/>
  <c r="M99" i="4" a="1"/>
  <c r="M99" i="4" s="1"/>
  <c r="M558" i="4" a="1"/>
  <c r="M558" i="4" s="1"/>
  <c r="M100" i="4" a="1"/>
  <c r="M100" i="4" s="1"/>
  <c r="M559" i="4" a="1"/>
  <c r="M559" i="4" s="1"/>
  <c r="M101" i="4" a="1"/>
  <c r="M101" i="4" s="1"/>
  <c r="M560" i="4" a="1"/>
  <c r="M560" i="4" s="1"/>
  <c r="M102" i="4" a="1"/>
  <c r="M102" i="4" s="1"/>
  <c r="M561" i="4" a="1"/>
  <c r="M561" i="4" s="1"/>
  <c r="M562" i="4" a="1"/>
  <c r="M562" i="4" s="1"/>
  <c r="M563" i="4" a="1"/>
  <c r="M563" i="4" s="1"/>
  <c r="M564" i="4" a="1"/>
  <c r="M564" i="4"/>
  <c r="M103" i="4" a="1"/>
  <c r="M103" i="4" s="1"/>
  <c r="M565" i="4" a="1"/>
  <c r="M565" i="4" s="1"/>
  <c r="M566" i="4" a="1"/>
  <c r="M566" i="4" s="1"/>
  <c r="M567" i="4" a="1"/>
  <c r="M567" i="4" s="1"/>
  <c r="M104" i="4" a="1"/>
  <c r="M104" i="4" s="1"/>
  <c r="M568" i="4" a="1"/>
  <c r="M568" i="4" s="1"/>
  <c r="M569" i="4" a="1"/>
  <c r="M569" i="4" s="1"/>
  <c r="M570" i="4" a="1"/>
  <c r="M570" i="4"/>
  <c r="M571" i="4" a="1"/>
  <c r="M571" i="4"/>
  <c r="M572" i="4" a="1"/>
  <c r="M572" i="4"/>
  <c r="M105" i="4" a="1"/>
  <c r="M105" i="4" s="1"/>
  <c r="M106" i="4" a="1"/>
  <c r="M106" i="4" s="1"/>
  <c r="M573" i="4" a="1"/>
  <c r="M573" i="4" s="1"/>
  <c r="M574" i="4" a="1"/>
  <c r="M574" i="4" s="1"/>
  <c r="M107" i="4" a="1"/>
  <c r="M107" i="4" s="1"/>
  <c r="M575" i="4" a="1"/>
  <c r="M575" i="4" s="1"/>
  <c r="M576" i="4" a="1"/>
  <c r="M576" i="4" s="1"/>
  <c r="M108" i="4" a="1"/>
  <c r="M108" i="4" s="1"/>
  <c r="M577" i="4" a="1"/>
  <c r="M577" i="4"/>
  <c r="M578" i="4" a="1"/>
  <c r="M578" i="4" s="1"/>
  <c r="M579" i="4" a="1"/>
  <c r="M579" i="4"/>
  <c r="M580" i="4" a="1"/>
  <c r="M580" i="4" s="1"/>
  <c r="M581" i="4" a="1"/>
  <c r="M581" i="4" s="1"/>
  <c r="M582" i="4" a="1"/>
  <c r="M582" i="4" s="1"/>
  <c r="M583" i="4" a="1"/>
  <c r="M583" i="4" s="1"/>
  <c r="M584" i="4" a="1"/>
  <c r="M584" i="4" s="1"/>
  <c r="M585" i="4" a="1"/>
  <c r="M585" i="4" s="1"/>
  <c r="M586" i="4" a="1"/>
  <c r="M586" i="4" s="1"/>
  <c r="M587" i="4" a="1"/>
  <c r="M587" i="4" s="1"/>
  <c r="M588" i="4" a="1"/>
  <c r="M588" i="4" s="1"/>
  <c r="M589" i="4" a="1"/>
  <c r="M589" i="4" s="1"/>
  <c r="M590" i="4" a="1"/>
  <c r="M590" i="4" s="1"/>
  <c r="M591" i="4" a="1"/>
  <c r="M591" i="4" s="1"/>
  <c r="M592" i="4" a="1"/>
  <c r="M592" i="4"/>
  <c r="M109" i="4" a="1"/>
  <c r="M109" i="4" s="1"/>
  <c r="M593" i="4" a="1"/>
  <c r="M593" i="4" s="1"/>
  <c r="M594" i="4" a="1"/>
  <c r="M594" i="4"/>
  <c r="M595" i="4" a="1"/>
  <c r="M595" i="4" s="1"/>
  <c r="M110" i="4" a="1"/>
  <c r="M110" i="4" s="1"/>
  <c r="M596" i="4" a="1"/>
  <c r="M596" i="4"/>
  <c r="M597" i="4" a="1"/>
  <c r="M597" i="4" s="1"/>
  <c r="M111" i="4" a="1"/>
  <c r="M111" i="4" s="1"/>
  <c r="M598" i="4" a="1"/>
  <c r="M598" i="4"/>
  <c r="M599" i="4" a="1"/>
  <c r="M599" i="4" s="1"/>
  <c r="M600" i="4" a="1"/>
  <c r="M600" i="4" s="1"/>
  <c r="M112" i="4" a="1"/>
  <c r="M112" i="4" s="1"/>
  <c r="M601" i="4" a="1"/>
  <c r="M601" i="4" s="1"/>
  <c r="M602" i="4" a="1"/>
  <c r="M602" i="4" s="1"/>
  <c r="M113" i="4" a="1"/>
  <c r="M113" i="4" s="1"/>
  <c r="M603" i="4" a="1"/>
  <c r="M603" i="4" s="1"/>
  <c r="M114" i="4" a="1"/>
  <c r="M114" i="4" s="1"/>
  <c r="M604" i="4" a="1"/>
  <c r="M604" i="4"/>
  <c r="M115" i="4" a="1"/>
  <c r="M115" i="4" s="1"/>
  <c r="M605" i="4" a="1"/>
  <c r="M605" i="4" s="1"/>
  <c r="M606" i="4" a="1"/>
  <c r="M606" i="4" s="1"/>
  <c r="M116" i="4" a="1"/>
  <c r="M116" i="4" s="1"/>
  <c r="M607" i="4" a="1"/>
  <c r="M607" i="4" s="1"/>
  <c r="M608" i="4" a="1"/>
  <c r="M608" i="4" s="1"/>
  <c r="M609" i="4" a="1"/>
  <c r="M609" i="4" s="1"/>
  <c r="M610" i="4" a="1"/>
  <c r="M610" i="4" s="1"/>
  <c r="M117" i="4" a="1"/>
  <c r="M117" i="4"/>
  <c r="M611" i="4" a="1"/>
  <c r="M611" i="4" s="1"/>
  <c r="M612" i="4" a="1"/>
  <c r="M612" i="4"/>
  <c r="M613" i="4" a="1"/>
  <c r="M613" i="4"/>
  <c r="M614" i="4" a="1"/>
  <c r="M614" i="4" s="1"/>
  <c r="M118" i="4" a="1"/>
  <c r="M118" i="4" s="1"/>
  <c r="M615" i="4" a="1"/>
  <c r="M615" i="4" s="1"/>
  <c r="M119" i="4" a="1"/>
  <c r="M119" i="4" s="1"/>
  <c r="M616" i="4" a="1"/>
  <c r="M616" i="4"/>
  <c r="M617" i="4" a="1"/>
  <c r="M617" i="4" s="1"/>
  <c r="M618" i="4" a="1"/>
  <c r="M618" i="4" s="1"/>
  <c r="M120" i="4" a="1"/>
  <c r="M120" i="4"/>
  <c r="M619" i="4" a="1"/>
  <c r="M619" i="4" s="1"/>
  <c r="M620" i="4" a="1"/>
  <c r="M620" i="4" s="1"/>
  <c r="M621" i="4" a="1"/>
  <c r="M621" i="4" s="1"/>
  <c r="M121" i="4" a="1"/>
  <c r="M121" i="4" s="1"/>
  <c r="M622" i="4" a="1"/>
  <c r="M622" i="4" s="1"/>
  <c r="M623" i="4" a="1"/>
  <c r="M623" i="4" s="1"/>
  <c r="M624" i="4" a="1"/>
  <c r="M624" i="4" s="1"/>
  <c r="M122" i="4" a="1"/>
  <c r="M122" i="4"/>
  <c r="M123" i="4" a="1"/>
  <c r="M123" i="4" s="1"/>
  <c r="M625" i="4" a="1"/>
  <c r="M625" i="4" s="1"/>
  <c r="M124" i="4" a="1"/>
  <c r="M124" i="4" s="1"/>
  <c r="M626" i="4" a="1"/>
  <c r="M626" i="4" s="1"/>
  <c r="M627" i="4" a="1"/>
  <c r="M627" i="4" s="1"/>
  <c r="M125" i="4" a="1"/>
  <c r="M125" i="4" s="1"/>
  <c r="M628" i="4" a="1"/>
  <c r="M628" i="4"/>
  <c r="M629" i="4" a="1"/>
  <c r="M629" i="4" s="1"/>
  <c r="M630" i="4" a="1"/>
  <c r="M630" i="4" s="1"/>
  <c r="M631" i="4" a="1"/>
  <c r="M631" i="4" s="1"/>
  <c r="M126" i="4" a="1"/>
  <c r="M126" i="4"/>
  <c r="M632" i="4" a="1"/>
  <c r="M632" i="4" s="1"/>
  <c r="M633" i="4" a="1"/>
  <c r="M633" i="4" s="1"/>
  <c r="M127" i="4" a="1"/>
  <c r="M127" i="4" s="1"/>
  <c r="M634" i="4" a="1"/>
  <c r="M634" i="4" s="1"/>
  <c r="M635" i="4" a="1"/>
  <c r="M635" i="4" s="1"/>
  <c r="M636" i="4" a="1"/>
  <c r="M636" i="4" s="1"/>
  <c r="M637" i="4" a="1"/>
  <c r="M637" i="4" s="1"/>
  <c r="M638" i="4" a="1"/>
  <c r="M638" i="4" s="1"/>
  <c r="M639" i="4" a="1"/>
  <c r="M639" i="4" s="1"/>
  <c r="M640" i="4" a="1"/>
  <c r="M640" i="4" s="1"/>
  <c r="M641" i="4" a="1"/>
  <c r="M641" i="4" s="1"/>
  <c r="M128" i="4" a="1"/>
  <c r="M128" i="4" s="1"/>
  <c r="M642" i="4" a="1"/>
  <c r="M642" i="4" s="1"/>
  <c r="M643" i="4" a="1"/>
  <c r="M643" i="4" s="1"/>
  <c r="M644" i="4" a="1"/>
  <c r="M644" i="4" s="1"/>
  <c r="M129" i="4" a="1"/>
  <c r="M129" i="4" s="1"/>
  <c r="M130" i="4" a="1"/>
  <c r="M130" i="4" s="1"/>
  <c r="M131" i="4" a="1"/>
  <c r="M131" i="4" s="1"/>
  <c r="M645" i="4" a="1"/>
  <c r="M645" i="4" s="1"/>
  <c r="M132" i="4" a="1"/>
  <c r="M132" i="4"/>
  <c r="M133" i="4" a="1"/>
  <c r="M133" i="4" s="1"/>
  <c r="M646" i="4" a="1"/>
  <c r="M646" i="4" s="1"/>
  <c r="M647" i="4" a="1"/>
  <c r="M647" i="4" s="1"/>
  <c r="M648" i="4" a="1"/>
  <c r="M648" i="4"/>
  <c r="M649" i="4" a="1"/>
  <c r="M649" i="4" s="1"/>
  <c r="M650" i="4" a="1"/>
  <c r="M650" i="4" s="1"/>
  <c r="M651" i="4" a="1"/>
  <c r="M651" i="4" s="1"/>
  <c r="M652" i="4" a="1"/>
  <c r="M652" i="4" s="1"/>
  <c r="M653" i="4" a="1"/>
  <c r="M653" i="4" s="1"/>
  <c r="M654" i="4" a="1"/>
  <c r="M654" i="4" s="1"/>
  <c r="M134" i="4" a="1"/>
  <c r="M134" i="4" s="1"/>
  <c r="M655" i="4" a="1"/>
  <c r="M655" i="4" s="1"/>
  <c r="M656" i="4" a="1"/>
  <c r="M656" i="4" s="1"/>
  <c r="M657" i="4" a="1"/>
  <c r="M657" i="4"/>
  <c r="M658" i="4" a="1"/>
  <c r="M658" i="4" s="1"/>
  <c r="M659" i="4" a="1"/>
  <c r="M659" i="4" s="1"/>
  <c r="M135" i="4" a="1"/>
  <c r="M135" i="4"/>
  <c r="M660" i="4" a="1"/>
  <c r="M660" i="4" s="1"/>
  <c r="M661" i="4" a="1"/>
  <c r="M661" i="4" s="1"/>
  <c r="M662" i="4" a="1"/>
  <c r="M662" i="4" s="1"/>
  <c r="M136" i="4" a="1"/>
  <c r="M136" i="4" s="1"/>
  <c r="M137" i="4" a="1"/>
  <c r="M137" i="4" s="1"/>
  <c r="M663" i="4" a="1"/>
  <c r="M663" i="4" s="1"/>
  <c r="M664" i="4" a="1"/>
  <c r="M664" i="4" s="1"/>
  <c r="M665" i="4" a="1"/>
  <c r="M665" i="4" s="1"/>
  <c r="M138" i="4" a="1"/>
  <c r="M138" i="4" s="1"/>
  <c r="M666" i="4" a="1"/>
  <c r="M666" i="4" s="1"/>
  <c r="M667" i="4" a="1"/>
  <c r="M667" i="4" s="1"/>
  <c r="M139" i="4" a="1"/>
  <c r="M139" i="4" s="1"/>
  <c r="M140" i="4" a="1"/>
  <c r="M140" i="4" s="1"/>
  <c r="M141" i="4" a="1"/>
  <c r="M141" i="4" s="1"/>
  <c r="M668" i="4" a="1"/>
  <c r="M668" i="4" s="1"/>
  <c r="M142" i="4" a="1"/>
  <c r="M142" i="4" s="1"/>
  <c r="M669" i="4" a="1"/>
  <c r="M669" i="4"/>
  <c r="M670" i="4" a="1"/>
  <c r="M670" i="4"/>
  <c r="M143" i="4" a="1"/>
  <c r="M143" i="4"/>
  <c r="M671" i="4" a="1"/>
  <c r="M671" i="4" s="1"/>
  <c r="M672" i="4" a="1"/>
  <c r="M672" i="4"/>
  <c r="M673" i="4" a="1"/>
  <c r="M673" i="4" s="1"/>
  <c r="M674" i="4" a="1"/>
  <c r="M674" i="4" s="1"/>
  <c r="M675" i="4" a="1"/>
  <c r="M675" i="4" s="1"/>
  <c r="M676" i="4" a="1"/>
  <c r="M676" i="4" s="1"/>
  <c r="M144" i="4" a="1"/>
  <c r="M144" i="4" s="1"/>
  <c r="M677" i="4" a="1"/>
  <c r="M677" i="4" s="1"/>
  <c r="M678" i="4" a="1"/>
  <c r="M678" i="4" s="1"/>
  <c r="M679" i="4" a="1"/>
  <c r="M679" i="4"/>
  <c r="M145" i="4" a="1"/>
  <c r="M145" i="4" s="1"/>
  <c r="M146" i="4" a="1"/>
  <c r="M146" i="4" s="1"/>
  <c r="M680" i="4" a="1"/>
  <c r="M680" i="4" s="1"/>
  <c r="M681" i="4" a="1"/>
  <c r="M681" i="4" s="1"/>
  <c r="M682" i="4" a="1"/>
  <c r="M682" i="4" s="1"/>
  <c r="M683" i="4" a="1"/>
  <c r="M683" i="4" s="1"/>
  <c r="M684" i="4" a="1"/>
  <c r="M684" i="4" s="1"/>
  <c r="M147" i="4" a="1"/>
  <c r="M147" i="4" s="1"/>
  <c r="M685" i="4" a="1"/>
  <c r="M685" i="4" s="1"/>
  <c r="M686" i="4" a="1"/>
  <c r="M686" i="4" s="1"/>
  <c r="M148" i="4" a="1"/>
  <c r="M148" i="4" s="1"/>
  <c r="M687" i="4" a="1"/>
  <c r="M687" i="4" s="1"/>
  <c r="M688" i="4" a="1"/>
  <c r="M688" i="4" s="1"/>
  <c r="M689" i="4" a="1"/>
  <c r="M689" i="4" s="1"/>
  <c r="M149" i="4" a="1"/>
  <c r="M149" i="4"/>
  <c r="M690" i="4" a="1"/>
  <c r="M690" i="4" s="1"/>
  <c r="M691" i="4" a="1"/>
  <c r="M691" i="4" s="1"/>
  <c r="M150" i="4" a="1"/>
  <c r="M150" i="4" s="1"/>
  <c r="M692" i="4" a="1"/>
  <c r="M692" i="4" s="1"/>
  <c r="M151" i="4" a="1"/>
  <c r="M151" i="4" s="1"/>
  <c r="M693" i="4" a="1"/>
  <c r="M693" i="4" s="1"/>
  <c r="M152" i="4" a="1"/>
  <c r="M152" i="4" s="1"/>
  <c r="M153" i="4" a="1"/>
  <c r="M153" i="4" s="1"/>
  <c r="M694" i="4" a="1"/>
  <c r="M694" i="4"/>
  <c r="M154" i="4" a="1"/>
  <c r="M154" i="4" s="1"/>
  <c r="M695" i="4" a="1"/>
  <c r="M695" i="4"/>
  <c r="M696" i="4" a="1"/>
  <c r="M696" i="4" s="1"/>
  <c r="M155" i="4" a="1"/>
  <c r="M155" i="4" s="1"/>
  <c r="M697" i="4" a="1"/>
  <c r="M697" i="4" s="1"/>
  <c r="M698" i="4" a="1"/>
  <c r="M698" i="4" s="1"/>
  <c r="M699" i="4" a="1"/>
  <c r="M699" i="4" s="1"/>
  <c r="M156" i="4" a="1"/>
  <c r="M156" i="4" s="1"/>
  <c r="M700" i="4" a="1"/>
  <c r="M700" i="4" s="1"/>
  <c r="M701" i="4" a="1"/>
  <c r="M701" i="4" s="1"/>
  <c r="M157" i="4" a="1"/>
  <c r="M157" i="4" s="1"/>
  <c r="M158" i="4" a="1"/>
  <c r="M158" i="4" s="1"/>
  <c r="M159" i="4" a="1"/>
  <c r="M159" i="4" s="1"/>
  <c r="M160" i="4" a="1"/>
  <c r="M160" i="4" s="1"/>
  <c r="M161" i="4" a="1"/>
  <c r="M161" i="4" s="1"/>
  <c r="M702" i="4" a="1"/>
  <c r="M702" i="4"/>
  <c r="M162" i="4" a="1"/>
  <c r="M162" i="4" s="1"/>
  <c r="M703" i="4" a="1"/>
  <c r="M703" i="4" s="1"/>
  <c r="M163" i="4" a="1"/>
  <c r="M163" i="4" s="1"/>
  <c r="M704" i="4" a="1"/>
  <c r="M704" i="4" s="1"/>
  <c r="M705" i="4" a="1"/>
  <c r="M705" i="4"/>
  <c r="M164" i="4" a="1"/>
  <c r="M164" i="4" s="1"/>
  <c r="M706" i="4" a="1"/>
  <c r="M706" i="4" s="1"/>
  <c r="M707" i="4" a="1"/>
  <c r="M707" i="4" s="1"/>
  <c r="M165" i="4" a="1"/>
  <c r="M165" i="4" s="1"/>
  <c r="M166" i="4" a="1"/>
  <c r="M166" i="4" s="1"/>
  <c r="M708" i="4" a="1"/>
  <c r="M708" i="4" s="1"/>
  <c r="M709" i="4" a="1"/>
  <c r="M709" i="4" s="1"/>
  <c r="M710" i="4" a="1"/>
  <c r="M710" i="4" s="1"/>
  <c r="M711" i="4" a="1"/>
  <c r="M711" i="4" s="1"/>
  <c r="M712" i="4" a="1"/>
  <c r="M712" i="4" s="1"/>
  <c r="M713" i="4" a="1"/>
  <c r="M713" i="4" s="1"/>
  <c r="M714" i="4" a="1"/>
  <c r="M714" i="4" s="1"/>
  <c r="M167" i="4" a="1"/>
  <c r="M167" i="4" s="1"/>
  <c r="M715" i="4" a="1"/>
  <c r="M715" i="4" s="1"/>
  <c r="M168" i="4" a="1"/>
  <c r="M168" i="4" s="1"/>
  <c r="M716" i="4" a="1"/>
  <c r="M716" i="4" s="1"/>
  <c r="M717" i="4" a="1"/>
  <c r="M717" i="4" s="1"/>
  <c r="M169" i="4" a="1"/>
  <c r="M169" i="4" s="1"/>
  <c r="M718" i="4" a="1"/>
  <c r="M718" i="4" s="1"/>
  <c r="M170" i="4" a="1"/>
  <c r="M170" i="4" s="1"/>
  <c r="M719" i="4" a="1"/>
  <c r="M719" i="4"/>
  <c r="M720" i="4" a="1"/>
  <c r="M720" i="4"/>
  <c r="M171" i="4" a="1"/>
  <c r="M171" i="4" s="1"/>
  <c r="M172" i="4" a="1"/>
  <c r="M172" i="4"/>
  <c r="M721" i="4" a="1"/>
  <c r="M721" i="4" s="1"/>
  <c r="M722" i="4" a="1"/>
  <c r="M722" i="4" s="1"/>
  <c r="M723" i="4" a="1"/>
  <c r="M723" i="4" s="1"/>
  <c r="M173" i="4" a="1"/>
  <c r="M173" i="4" s="1"/>
  <c r="M174" i="4" a="1"/>
  <c r="M174" i="4"/>
  <c r="M175" i="4" a="1"/>
  <c r="M175" i="4" s="1"/>
  <c r="M176" i="4" a="1"/>
  <c r="M176" i="4" s="1"/>
  <c r="M177" i="4" a="1"/>
  <c r="M177" i="4" s="1"/>
  <c r="M178" i="4" a="1"/>
  <c r="M178" i="4" s="1"/>
  <c r="M724" i="4" a="1"/>
  <c r="M724" i="4" s="1"/>
  <c r="M725" i="4" a="1"/>
  <c r="M725" i="4" s="1"/>
  <c r="M179" i="4" a="1"/>
  <c r="M179" i="4" s="1"/>
  <c r="M180" i="4" a="1"/>
  <c r="M180" i="4" s="1"/>
  <c r="M181" i="4" a="1"/>
  <c r="M181" i="4" s="1"/>
  <c r="M726" i="4" a="1"/>
  <c r="M726" i="4"/>
  <c r="M727" i="4" a="1"/>
  <c r="M727" i="4" s="1"/>
  <c r="M728" i="4" a="1"/>
  <c r="M728" i="4"/>
  <c r="M182" i="4" a="1"/>
  <c r="M182" i="4" s="1"/>
  <c r="M729" i="4" a="1"/>
  <c r="M729" i="4" s="1"/>
  <c r="M730" i="4" a="1"/>
  <c r="M730" i="4" s="1"/>
  <c r="M183" i="4" a="1"/>
  <c r="M183" i="4" s="1"/>
  <c r="M184" i="4" a="1"/>
  <c r="M184" i="4" s="1"/>
  <c r="M731" i="4" a="1"/>
  <c r="M731" i="4" s="1"/>
  <c r="M732" i="4" a="1"/>
  <c r="M732" i="4" s="1"/>
  <c r="M185" i="4" a="1"/>
  <c r="M185" i="4" s="1"/>
  <c r="M733" i="4" a="1"/>
  <c r="M733" i="4" s="1"/>
  <c r="M734" i="4" a="1"/>
  <c r="M734" i="4"/>
  <c r="M735" i="4" a="1"/>
  <c r="M735" i="4" s="1"/>
  <c r="M186" i="4" a="1"/>
  <c r="M186" i="4" s="1"/>
  <c r="M736" i="4" a="1"/>
  <c r="M736" i="4"/>
  <c r="M737" i="4" a="1"/>
  <c r="M737" i="4"/>
  <c r="M187" i="4" a="1"/>
  <c r="M187" i="4" s="1"/>
  <c r="M188" i="4" a="1"/>
  <c r="M188" i="4" s="1"/>
  <c r="M738" i="4" a="1"/>
  <c r="M738" i="4" s="1"/>
  <c r="M189" i="4" a="1"/>
  <c r="M189" i="4" s="1"/>
  <c r="M739" i="4" a="1"/>
  <c r="M739" i="4" s="1"/>
  <c r="M740" i="4" a="1"/>
  <c r="M740" i="4" s="1"/>
  <c r="M190" i="4" a="1"/>
  <c r="M190" i="4" s="1"/>
  <c r="M741" i="4" a="1"/>
  <c r="M741" i="4"/>
  <c r="M742" i="4" a="1"/>
  <c r="M742" i="4"/>
  <c r="M743" i="4" a="1"/>
  <c r="M743" i="4"/>
  <c r="M191" i="4" a="1"/>
  <c r="M191" i="4"/>
  <c r="M744" i="4" a="1"/>
  <c r="M744" i="4" s="1"/>
  <c r="M192" i="4" a="1"/>
  <c r="M192" i="4" s="1"/>
  <c r="M193" i="4" a="1"/>
  <c r="M193" i="4" s="1"/>
  <c r="M745" i="4" a="1"/>
  <c r="M745" i="4" s="1"/>
  <c r="M746" i="4" a="1"/>
  <c r="M746" i="4"/>
  <c r="M747" i="4" a="1"/>
  <c r="M747" i="4" s="1"/>
  <c r="M748" i="4" a="1"/>
  <c r="M748" i="4"/>
  <c r="M194" i="4" a="1"/>
  <c r="M194" i="4" s="1"/>
  <c r="M195" i="4" a="1"/>
  <c r="M195" i="4"/>
  <c r="M749" i="4" a="1"/>
  <c r="M749" i="4" s="1"/>
  <c r="M196" i="4" a="1"/>
  <c r="M196" i="4" s="1"/>
  <c r="M750" i="4" a="1"/>
  <c r="M750" i="4" s="1"/>
  <c r="M751" i="4" a="1"/>
  <c r="M751" i="4" s="1"/>
  <c r="M197" i="4" a="1"/>
  <c r="M197" i="4" s="1"/>
  <c r="M752" i="4" a="1"/>
  <c r="M752" i="4" s="1"/>
  <c r="M198" i="4" a="1"/>
  <c r="M198" i="4"/>
  <c r="M199" i="4" a="1"/>
  <c r="M199" i="4" s="1"/>
  <c r="M200" i="4" a="1"/>
  <c r="M200" i="4" s="1"/>
  <c r="M753" i="4" a="1"/>
  <c r="M753" i="4" s="1"/>
  <c r="M201" i="4" a="1"/>
  <c r="M201" i="4" s="1"/>
  <c r="M202" i="4" a="1"/>
  <c r="M202" i="4" s="1"/>
  <c r="M203" i="4" a="1"/>
  <c r="M203" i="4" s="1"/>
  <c r="M754" i="4" a="1"/>
  <c r="M754" i="4" s="1"/>
  <c r="M755" i="4" a="1"/>
  <c r="M755" i="4" s="1"/>
  <c r="M204" i="4" a="1"/>
  <c r="M204" i="4" s="1"/>
  <c r="M756" i="4" a="1"/>
  <c r="M756" i="4" s="1"/>
  <c r="M757" i="4" a="1"/>
  <c r="M757" i="4" s="1"/>
  <c r="M758" i="4" a="1"/>
  <c r="M758" i="4" s="1"/>
  <c r="M759" i="4" a="1"/>
  <c r="M759" i="4" s="1"/>
  <c r="M205" i="4" a="1"/>
  <c r="M205" i="4" s="1"/>
  <c r="M760" i="4" a="1"/>
  <c r="M760" i="4" s="1"/>
  <c r="M761" i="4" a="1"/>
  <c r="M761" i="4" s="1"/>
  <c r="M762" i="4" a="1"/>
  <c r="M762" i="4" s="1"/>
  <c r="M763" i="4" a="1"/>
  <c r="M763" i="4" s="1"/>
  <c r="M764" i="4" a="1"/>
  <c r="M764" i="4"/>
  <c r="M765" i="4" a="1"/>
  <c r="M765" i="4" s="1"/>
  <c r="M206" i="4" a="1"/>
  <c r="M206" i="4" s="1"/>
  <c r="M766" i="4" a="1"/>
  <c r="M766" i="4" s="1"/>
  <c r="M767" i="4" a="1"/>
  <c r="M767" i="4"/>
  <c r="M768" i="4" a="1"/>
  <c r="M768" i="4" s="1"/>
  <c r="M769" i="4" a="1"/>
  <c r="M769" i="4" s="1"/>
  <c r="M770" i="4" a="1"/>
  <c r="M770" i="4" s="1"/>
  <c r="M207" i="4" a="1"/>
  <c r="M207" i="4" s="1"/>
  <c r="M771" i="4" a="1"/>
  <c r="M771" i="4" s="1"/>
  <c r="M772" i="4" a="1"/>
  <c r="M772" i="4" s="1"/>
  <c r="M208" i="4" a="1"/>
  <c r="M208" i="4" s="1"/>
  <c r="M773" i="4" a="1"/>
  <c r="M773" i="4" s="1"/>
  <c r="M774" i="4" a="1"/>
  <c r="M774" i="4" s="1"/>
  <c r="M775" i="4" a="1"/>
  <c r="M775" i="4" s="1"/>
  <c r="M776" i="4" a="1"/>
  <c r="M776" i="4"/>
  <c r="M777" i="4" a="1"/>
  <c r="M777" i="4" s="1"/>
  <c r="M778" i="4" a="1"/>
  <c r="M778" i="4" s="1"/>
  <c r="M779" i="4" a="1"/>
  <c r="M779" i="4" s="1"/>
  <c r="M780" i="4" a="1"/>
  <c r="M780" i="4" s="1"/>
  <c r="M781" i="4" a="1"/>
  <c r="M781" i="4" s="1"/>
  <c r="M782" i="4" a="1"/>
  <c r="M782" i="4"/>
  <c r="M783" i="4" a="1"/>
  <c r="M783" i="4" s="1"/>
  <c r="M784" i="4" a="1"/>
  <c r="M784" i="4"/>
  <c r="M785" i="4" a="1"/>
  <c r="M785" i="4" s="1"/>
  <c r="M786" i="4" a="1"/>
  <c r="M786" i="4" s="1"/>
  <c r="M787" i="4" a="1"/>
  <c r="M787" i="4" s="1"/>
  <c r="M788" i="4" a="1"/>
  <c r="M788" i="4" s="1"/>
  <c r="M789" i="4" a="1"/>
  <c r="M789" i="4" s="1"/>
  <c r="M790" i="4" a="1"/>
  <c r="M790" i="4" s="1"/>
  <c r="M791" i="4" a="1"/>
  <c r="M791" i="4" s="1"/>
  <c r="M792" i="4" a="1"/>
  <c r="M792" i="4" s="1"/>
  <c r="M793" i="4" a="1"/>
  <c r="M793" i="4"/>
  <c r="M794" i="4" a="1"/>
  <c r="M794" i="4" s="1"/>
  <c r="M209" i="4" a="1"/>
  <c r="M209" i="4"/>
  <c r="M210" i="4" a="1"/>
  <c r="M210" i="4" s="1"/>
  <c r="M795" i="4" a="1"/>
  <c r="M795" i="4" s="1"/>
  <c r="M796" i="4" a="1"/>
  <c r="M796" i="4"/>
  <c r="M797" i="4" a="1"/>
  <c r="M797" i="4" s="1"/>
  <c r="M798" i="4" a="1"/>
  <c r="M798" i="4" s="1"/>
  <c r="M211" i="4" a="1"/>
  <c r="M211" i="4"/>
  <c r="M212" i="4" a="1"/>
  <c r="M212" i="4" s="1"/>
  <c r="M799" i="4" a="1"/>
  <c r="M799" i="4" s="1"/>
  <c r="M800" i="4" a="1"/>
  <c r="M800" i="4" s="1"/>
  <c r="M801" i="4" a="1"/>
  <c r="M801" i="4" s="1"/>
  <c r="M213" i="4" a="1"/>
  <c r="M213" i="4" s="1"/>
  <c r="M802" i="4" a="1"/>
  <c r="M802" i="4"/>
  <c r="M803" i="4" a="1"/>
  <c r="M803" i="4" s="1"/>
  <c r="M214" i="4" a="1"/>
  <c r="M214" i="4" s="1"/>
  <c r="M804" i="4" a="1"/>
  <c r="M804" i="4" s="1"/>
  <c r="M805" i="4" a="1"/>
  <c r="M805" i="4" s="1"/>
  <c r="M806" i="4" a="1"/>
  <c r="M806" i="4" s="1"/>
  <c r="M807" i="4" a="1"/>
  <c r="M807" i="4" s="1"/>
  <c r="M808" i="4" a="1"/>
  <c r="M808" i="4" s="1"/>
  <c r="M215" i="4" a="1"/>
  <c r="M215" i="4" s="1"/>
  <c r="M216" i="4" a="1"/>
  <c r="M216" i="4" s="1"/>
  <c r="M217" i="4" a="1"/>
  <c r="M217" i="4" s="1"/>
  <c r="M809" i="4" a="1"/>
  <c r="M809" i="4" s="1"/>
  <c r="M218" i="4" a="1"/>
  <c r="M218" i="4" s="1"/>
  <c r="M810" i="4" a="1"/>
  <c r="M810" i="4" s="1"/>
  <c r="M811" i="4" a="1"/>
  <c r="M811" i="4" s="1"/>
  <c r="M219" i="4" a="1"/>
  <c r="M219" i="4" s="1"/>
  <c r="M220" i="4" a="1"/>
  <c r="M220" i="4" s="1"/>
  <c r="M812" i="4" a="1"/>
  <c r="M812" i="4"/>
  <c r="M813" i="4" a="1"/>
  <c r="M813" i="4" s="1"/>
  <c r="M221" i="4" a="1"/>
  <c r="M221" i="4" s="1"/>
  <c r="M814" i="4" a="1"/>
  <c r="M814" i="4" s="1"/>
  <c r="M815" i="4" a="1"/>
  <c r="M815" i="4" s="1"/>
  <c r="M816" i="4" a="1"/>
  <c r="M816" i="4" s="1"/>
  <c r="M817" i="4" a="1"/>
  <c r="M817" i="4"/>
  <c r="M222" i="4" a="1"/>
  <c r="M222" i="4" s="1"/>
  <c r="M818" i="4" a="1"/>
  <c r="M818" i="4"/>
  <c r="M819" i="4" a="1"/>
  <c r="M819" i="4" s="1"/>
  <c r="M223" i="4" a="1"/>
  <c r="M223" i="4" s="1"/>
  <c r="M820" i="4" a="1"/>
  <c r="M820" i="4"/>
  <c r="M821" i="4" a="1"/>
  <c r="M821" i="4" s="1"/>
  <c r="M822" i="4" a="1"/>
  <c r="M822" i="4" s="1"/>
  <c r="M823" i="4" a="1"/>
  <c r="M823" i="4" s="1"/>
  <c r="M824" i="4" a="1"/>
  <c r="M824" i="4" s="1"/>
  <c r="M825" i="4" a="1"/>
  <c r="M825" i="4" s="1"/>
  <c r="M826" i="4" a="1"/>
  <c r="M826" i="4" s="1"/>
  <c r="M224" i="4" a="1"/>
  <c r="M224" i="4" s="1"/>
  <c r="M827" i="4" a="1"/>
  <c r="M827" i="4"/>
  <c r="M828" i="4" a="1"/>
  <c r="M828" i="4" s="1"/>
  <c r="M829" i="4" a="1"/>
  <c r="M829" i="4" s="1"/>
  <c r="M225" i="4" a="1"/>
  <c r="M225" i="4" s="1"/>
  <c r="M830" i="4" a="1"/>
  <c r="M830" i="4"/>
  <c r="M831" i="4" a="1"/>
  <c r="M831" i="4" s="1"/>
  <c r="M226" i="4" a="1"/>
  <c r="M226" i="4" s="1"/>
  <c r="M227" i="4" a="1"/>
  <c r="M227" i="4" s="1"/>
  <c r="M832" i="4" a="1"/>
  <c r="M832" i="4" s="1"/>
  <c r="M228" i="4" a="1"/>
  <c r="M228" i="4" s="1"/>
  <c r="M833" i="4" a="1"/>
  <c r="M833" i="4" s="1"/>
  <c r="M229" i="4" a="1"/>
  <c r="M229" i="4"/>
  <c r="M834" i="4" a="1"/>
  <c r="M834" i="4" s="1"/>
  <c r="M230" i="4" a="1"/>
  <c r="M230" i="4"/>
  <c r="M835" i="4" a="1"/>
  <c r="M835" i="4" s="1"/>
  <c r="M231" i="4" a="1"/>
  <c r="M231" i="4" s="1"/>
  <c r="M836" i="4" a="1"/>
  <c r="M836" i="4" s="1"/>
  <c r="M837" i="4" a="1"/>
  <c r="M837" i="4" s="1"/>
  <c r="M232" i="4" a="1"/>
  <c r="M232" i="4" s="1"/>
  <c r="M838" i="4" a="1"/>
  <c r="M838" i="4"/>
  <c r="M839" i="4" a="1"/>
  <c r="M839" i="4"/>
  <c r="M840" i="4" a="1"/>
  <c r="M840" i="4" s="1"/>
  <c r="M841" i="4" a="1"/>
  <c r="M841" i="4"/>
  <c r="M233" i="4" a="1"/>
  <c r="M233" i="4" s="1"/>
  <c r="M842" i="4" a="1"/>
  <c r="M842" i="4" s="1"/>
  <c r="M843" i="4" a="1"/>
  <c r="M843" i="4" s="1"/>
  <c r="M844" i="4" a="1"/>
  <c r="M844" i="4" s="1"/>
  <c r="M234" i="4" a="1"/>
  <c r="M234" i="4"/>
  <c r="M845" i="4" a="1"/>
  <c r="M845" i="4" s="1"/>
  <c r="M846" i="4" a="1"/>
  <c r="M846" i="4" s="1"/>
  <c r="M847" i="4" a="1"/>
  <c r="M847" i="4"/>
  <c r="M848" i="4" a="1"/>
  <c r="M848" i="4" s="1"/>
  <c r="M235" i="4" a="1"/>
  <c r="M235" i="4" s="1"/>
  <c r="M849" i="4" a="1"/>
  <c r="M849" i="4" s="1"/>
  <c r="M850" i="4" a="1"/>
  <c r="M850" i="4" s="1"/>
  <c r="M236" i="4" a="1"/>
  <c r="M236" i="4" s="1"/>
  <c r="M851" i="4" a="1"/>
  <c r="M851" i="4" s="1"/>
  <c r="M852" i="4" a="1"/>
  <c r="M852" i="4" s="1"/>
  <c r="M853" i="4" a="1"/>
  <c r="M853" i="4"/>
  <c r="M854" i="4" a="1"/>
  <c r="M854" i="4" s="1"/>
  <c r="M237" i="4" a="1"/>
  <c r="M237" i="4" s="1"/>
  <c r="M238" i="4" a="1"/>
  <c r="M238" i="4" s="1"/>
  <c r="M239" i="4" a="1"/>
  <c r="M239" i="4" s="1"/>
  <c r="M855" i="4" a="1"/>
  <c r="M855" i="4" s="1"/>
  <c r="M856" i="4" a="1"/>
  <c r="M856" i="4" s="1"/>
  <c r="M857" i="4" a="1"/>
  <c r="M857" i="4" s="1"/>
  <c r="M858" i="4" a="1"/>
  <c r="M858" i="4" s="1"/>
  <c r="M859" i="4" a="1"/>
  <c r="M859" i="4" s="1"/>
  <c r="M240" i="4" a="1"/>
  <c r="M240" i="4"/>
  <c r="M860" i="4" a="1"/>
  <c r="M860" i="4" s="1"/>
  <c r="M861" i="4" a="1"/>
  <c r="M861" i="4" s="1"/>
  <c r="M862" i="4" a="1"/>
  <c r="M862" i="4"/>
  <c r="M863" i="4" a="1"/>
  <c r="M863" i="4" s="1"/>
  <c r="M864" i="4" a="1"/>
  <c r="M864" i="4" s="1"/>
  <c r="M865" i="4" a="1"/>
  <c r="M865" i="4" s="1"/>
  <c r="M866" i="4" a="1"/>
  <c r="M866" i="4" s="1"/>
  <c r="M867" i="4" a="1"/>
  <c r="M867" i="4" s="1"/>
  <c r="M241" i="4" a="1"/>
  <c r="M241" i="4" s="1"/>
  <c r="M868" i="4" a="1"/>
  <c r="M868" i="4" s="1"/>
  <c r="M869" i="4" a="1"/>
  <c r="M869" i="4"/>
  <c r="M870" i="4" a="1"/>
  <c r="M870" i="4" s="1"/>
  <c r="M242" i="4" a="1"/>
  <c r="M242" i="4"/>
  <c r="M871" i="4" a="1"/>
  <c r="M871" i="4" s="1"/>
  <c r="M872" i="4" a="1"/>
  <c r="M872" i="4" s="1"/>
  <c r="M243" i="4" a="1"/>
  <c r="M243" i="4" s="1"/>
  <c r="M244" i="4" a="1"/>
  <c r="M244" i="4" s="1"/>
  <c r="M245" i="4" a="1"/>
  <c r="M245" i="4" s="1"/>
  <c r="M873" i="4" a="1"/>
  <c r="M873" i="4"/>
  <c r="M874" i="4" a="1"/>
  <c r="M874" i="4"/>
  <c r="M875" i="4" a="1"/>
  <c r="M875" i="4"/>
  <c r="M876" i="4" a="1"/>
  <c r="M876" i="4" s="1"/>
  <c r="M246" i="4" a="1"/>
  <c r="M246" i="4" s="1"/>
  <c r="M877" i="4" a="1"/>
  <c r="M877" i="4" s="1"/>
  <c r="M878" i="4" a="1"/>
  <c r="M878" i="4" s="1"/>
  <c r="M247" i="4" a="1"/>
  <c r="M247" i="4" s="1"/>
  <c r="M879" i="4" a="1"/>
  <c r="M879" i="4" s="1"/>
  <c r="M880" i="4" a="1"/>
  <c r="M880" i="4" s="1"/>
  <c r="M881" i="4" a="1"/>
  <c r="M881" i="4" s="1"/>
  <c r="M248" i="4" a="1"/>
  <c r="M248" i="4"/>
  <c r="M249" i="4" a="1"/>
  <c r="M249" i="4" s="1"/>
  <c r="M250" i="4" a="1"/>
  <c r="M250" i="4" s="1"/>
  <c r="M882" i="4" a="1"/>
  <c r="M882" i="4" s="1"/>
  <c r="M883" i="4" a="1"/>
  <c r="M883" i="4" s="1"/>
  <c r="M251" i="4" a="1"/>
  <c r="M251" i="4" s="1"/>
  <c r="M252" i="4" a="1"/>
  <c r="M252" i="4" s="1"/>
  <c r="M884" i="4" a="1"/>
  <c r="M884" i="4" s="1"/>
  <c r="M253" i="4" a="1"/>
  <c r="M253" i="4" s="1"/>
  <c r="M254" i="4" a="1"/>
  <c r="M254" i="4" s="1"/>
  <c r="M885" i="4" a="1"/>
  <c r="M885" i="4" s="1"/>
  <c r="M886" i="4" a="1"/>
  <c r="M886" i="4" s="1"/>
  <c r="M887" i="4" a="1"/>
  <c r="M887" i="4" s="1"/>
  <c r="M888" i="4" a="1"/>
  <c r="M888" i="4" s="1"/>
  <c r="M255" i="4" a="1"/>
  <c r="M255" i="4"/>
  <c r="M889" i="4" a="1"/>
  <c r="M889" i="4" s="1"/>
  <c r="M256" i="4" a="1"/>
  <c r="M256" i="4" s="1"/>
  <c r="M890" i="4" a="1"/>
  <c r="M890" i="4" s="1"/>
  <c r="M891" i="4" a="1"/>
  <c r="M891" i="4" s="1"/>
  <c r="M892" i="4" a="1"/>
  <c r="M892" i="4" s="1"/>
  <c r="M257" i="4" a="1"/>
  <c r="M257" i="4" s="1"/>
  <c r="M893" i="4" a="1"/>
  <c r="M893" i="4" s="1"/>
  <c r="M894" i="4" a="1"/>
  <c r="M894" i="4" s="1"/>
  <c r="M258" i="4" a="1"/>
  <c r="M258" i="4" s="1"/>
  <c r="M259" i="4" a="1"/>
  <c r="M259" i="4" s="1"/>
  <c r="M895" i="4" a="1"/>
  <c r="M895" i="4" s="1"/>
  <c r="M896" i="4" a="1"/>
  <c r="M896" i="4" s="1"/>
  <c r="M260" i="4" a="1"/>
  <c r="M260" i="4" s="1"/>
  <c r="M897" i="4" a="1"/>
  <c r="M897" i="4" s="1"/>
  <c r="M898" i="4" a="1"/>
  <c r="M898" i="4" s="1"/>
  <c r="M899" i="4" a="1"/>
  <c r="M899" i="4" s="1"/>
  <c r="M900" i="4" a="1"/>
  <c r="M900" i="4" s="1"/>
  <c r="M261" i="4" a="1"/>
  <c r="M261" i="4"/>
  <c r="M901" i="4" a="1"/>
  <c r="M901" i="4" s="1"/>
  <c r="M902" i="4" a="1"/>
  <c r="M902" i="4" s="1"/>
  <c r="M262" i="4" a="1"/>
  <c r="M262" i="4" s="1"/>
  <c r="M263" i="4" a="1"/>
  <c r="M263" i="4" s="1"/>
  <c r="M903" i="4" a="1"/>
  <c r="M903" i="4" s="1"/>
  <c r="M264" i="4" a="1"/>
  <c r="M264" i="4" s="1"/>
  <c r="M904" i="4" a="1"/>
  <c r="M904" i="4" s="1"/>
  <c r="M905" i="4" a="1"/>
  <c r="M905" i="4" s="1"/>
  <c r="M906" i="4" a="1"/>
  <c r="M906" i="4" s="1"/>
  <c r="M907" i="4" a="1"/>
  <c r="M907" i="4" s="1"/>
  <c r="M908" i="4" a="1"/>
  <c r="M908" i="4" s="1"/>
  <c r="M909" i="4" a="1"/>
  <c r="M909" i="4" s="1"/>
  <c r="M910" i="4" a="1"/>
  <c r="M910" i="4" s="1"/>
  <c r="M911" i="4" a="1"/>
  <c r="M911" i="4"/>
  <c r="M912" i="4" a="1"/>
  <c r="M912" i="4" s="1"/>
  <c r="M913" i="4" a="1"/>
  <c r="M913" i="4" s="1"/>
  <c r="M914" i="4" a="1"/>
  <c r="M914" i="4" s="1"/>
  <c r="M915" i="4" a="1"/>
  <c r="M915" i="4" s="1"/>
  <c r="M916" i="4" a="1"/>
  <c r="M916" i="4" s="1"/>
  <c r="M265" i="4" a="1"/>
  <c r="M265" i="4" s="1"/>
  <c r="M917" i="4" a="1"/>
  <c r="M917" i="4"/>
  <c r="M918" i="4" a="1"/>
  <c r="M918" i="4" s="1"/>
  <c r="M919" i="4" a="1"/>
  <c r="M919" i="4"/>
  <c r="M920" i="4" a="1"/>
  <c r="M920" i="4" s="1"/>
  <c r="M921" i="4" a="1"/>
  <c r="M921" i="4" s="1"/>
  <c r="M266" i="4" a="1"/>
  <c r="M266" i="4" s="1"/>
  <c r="M267" i="4" a="1"/>
  <c r="M267" i="4" s="1"/>
  <c r="M922" i="4" a="1"/>
  <c r="M922" i="4" s="1"/>
  <c r="M268" i="4" a="1"/>
  <c r="M268" i="4" s="1"/>
  <c r="M923" i="4" a="1"/>
  <c r="M923" i="4" s="1"/>
  <c r="M924" i="4" a="1"/>
  <c r="M924" i="4" s="1"/>
  <c r="M925" i="4" a="1"/>
  <c r="M925" i="4"/>
  <c r="M926" i="4" a="1"/>
  <c r="M926" i="4" s="1"/>
  <c r="M927" i="4" a="1"/>
  <c r="M927" i="4" s="1"/>
  <c r="M928" i="4" a="1"/>
  <c r="M928" i="4" s="1"/>
  <c r="M929" i="4" a="1"/>
  <c r="M929" i="4" s="1"/>
  <c r="M930" i="4" a="1"/>
  <c r="M930" i="4" s="1"/>
  <c r="M931" i="4" a="1"/>
  <c r="M931" i="4" s="1"/>
  <c r="M932" i="4" a="1"/>
  <c r="M932" i="4" s="1"/>
  <c r="M933" i="4" a="1"/>
  <c r="M933" i="4" s="1"/>
  <c r="M269" i="4" a="1"/>
  <c r="M269" i="4" s="1"/>
  <c r="M270" i="4" a="1"/>
  <c r="M270" i="4" s="1"/>
  <c r="M934" i="4" a="1"/>
  <c r="M934" i="4" s="1"/>
  <c r="M935" i="4" a="1"/>
  <c r="M935" i="4" s="1"/>
  <c r="M936" i="4" a="1"/>
  <c r="M936" i="4" s="1"/>
  <c r="M937" i="4" a="1"/>
  <c r="M937" i="4"/>
  <c r="M938" i="4" a="1"/>
  <c r="M938" i="4" s="1"/>
  <c r="M939" i="4" a="1"/>
  <c r="M939" i="4" s="1"/>
  <c r="M940" i="4" a="1"/>
  <c r="M940" i="4" s="1"/>
  <c r="M941" i="4" a="1"/>
  <c r="M941" i="4" s="1"/>
  <c r="M942" i="4" a="1"/>
  <c r="M942" i="4" s="1"/>
  <c r="M943" i="4" a="1"/>
  <c r="M943" i="4" s="1"/>
  <c r="M271" i="4" a="1"/>
  <c r="M271" i="4" s="1"/>
  <c r="M944" i="4" a="1"/>
  <c r="M944" i="4" s="1"/>
  <c r="M945" i="4" a="1"/>
  <c r="M945" i="4"/>
  <c r="M272" i="4" a="1"/>
  <c r="M272" i="4" s="1"/>
  <c r="M273" i="4" a="1"/>
  <c r="M273" i="4" s="1"/>
  <c r="M946" i="4" a="1"/>
  <c r="M946" i="4" s="1"/>
  <c r="M274" i="4" a="1"/>
  <c r="M274" i="4" s="1"/>
  <c r="M275" i="4" a="1"/>
  <c r="M275" i="4" s="1"/>
  <c r="M276" i="4" a="1"/>
  <c r="M276" i="4" s="1"/>
  <c r="M947" i="4" a="1"/>
  <c r="M947" i="4" s="1"/>
  <c r="M948" i="4" a="1"/>
  <c r="M948" i="4" s="1"/>
  <c r="M277" i="4" a="1"/>
  <c r="M277" i="4" s="1"/>
  <c r="M949" i="4" a="1"/>
  <c r="M949" i="4" s="1"/>
  <c r="M278" i="4" a="1"/>
  <c r="M278" i="4" s="1"/>
  <c r="M279" i="4" a="1"/>
  <c r="M279" i="4" s="1"/>
  <c r="M950" i="4" a="1"/>
  <c r="M950" i="4" s="1"/>
  <c r="M280" i="4" a="1"/>
  <c r="M280" i="4" s="1"/>
  <c r="M951" i="4" a="1"/>
  <c r="M951" i="4" s="1"/>
  <c r="M952" i="4" a="1"/>
  <c r="M952" i="4" s="1"/>
  <c r="M953" i="4" a="1"/>
  <c r="M953" i="4" s="1"/>
  <c r="M281" i="4" a="1"/>
  <c r="M281" i="4" s="1"/>
  <c r="M954" i="4" a="1"/>
  <c r="M954" i="4" s="1"/>
  <c r="M955" i="4" a="1"/>
  <c r="M955" i="4" s="1"/>
  <c r="M956" i="4" a="1"/>
  <c r="M956" i="4" s="1"/>
  <c r="M282" i="4" a="1"/>
  <c r="M282" i="4" s="1"/>
  <c r="M283" i="4" a="1"/>
  <c r="M283" i="4" s="1"/>
  <c r="M957" i="4" a="1"/>
  <c r="M957" i="4" s="1"/>
  <c r="M284" i="4" a="1"/>
  <c r="M284" i="4" s="1"/>
  <c r="M958" i="4" a="1"/>
  <c r="M958" i="4" s="1"/>
  <c r="M959" i="4" a="1"/>
  <c r="M959" i="4" s="1"/>
  <c r="M960" i="4" a="1"/>
  <c r="M960" i="4" s="1"/>
  <c r="M961" i="4" a="1"/>
  <c r="M961" i="4" s="1"/>
  <c r="M962" i="4" a="1"/>
  <c r="M962" i="4"/>
  <c r="M963" i="4" a="1"/>
  <c r="M963" i="4" s="1"/>
  <c r="M964" i="4" a="1"/>
  <c r="M964" i="4"/>
  <c r="M285" i="4" a="1"/>
  <c r="M285" i="4" s="1"/>
  <c r="M965" i="4" a="1"/>
  <c r="M965" i="4" s="1"/>
  <c r="M286" i="4" a="1"/>
  <c r="M286" i="4" s="1"/>
  <c r="M287" i="4" a="1"/>
  <c r="M287" i="4" s="1"/>
  <c r="M966" i="4" a="1"/>
  <c r="M966" i="4" s="1"/>
  <c r="M288" i="4" a="1"/>
  <c r="M288" i="4" s="1"/>
  <c r="M289" i="4" a="1"/>
  <c r="M289" i="4" s="1"/>
  <c r="M290" i="4" a="1"/>
  <c r="M290" i="4" s="1"/>
  <c r="M967" i="4" a="1"/>
  <c r="M967" i="4"/>
  <c r="M968" i="4" a="1"/>
  <c r="M968" i="4" s="1"/>
  <c r="M969" i="4" a="1"/>
  <c r="M969" i="4" s="1"/>
  <c r="M970" i="4" a="1"/>
  <c r="M970" i="4" s="1"/>
  <c r="M291" i="4" a="1"/>
  <c r="M291" i="4" s="1"/>
  <c r="M971" i="4" a="1"/>
  <c r="M971" i="4" s="1"/>
  <c r="M972" i="4" a="1"/>
  <c r="M972" i="4" s="1"/>
  <c r="M973" i="4" a="1"/>
  <c r="M973" i="4" s="1"/>
  <c r="M974" i="4" a="1"/>
  <c r="M974" i="4" s="1"/>
  <c r="M292" i="4" a="1"/>
  <c r="M292" i="4" s="1"/>
  <c r="M975" i="4" a="1"/>
  <c r="M975" i="4" s="1"/>
  <c r="M976" i="4" a="1"/>
  <c r="M976" i="4" s="1"/>
  <c r="M293" i="4" a="1"/>
  <c r="M293" i="4" s="1"/>
  <c r="M977" i="4" a="1"/>
  <c r="M977" i="4" s="1"/>
  <c r="M978" i="4" a="1"/>
  <c r="M978" i="4"/>
  <c r="M979" i="4" a="1"/>
  <c r="M979" i="4" s="1"/>
  <c r="M980" i="4" a="1"/>
  <c r="M980" i="4" s="1"/>
  <c r="M981" i="4" a="1"/>
  <c r="M981" i="4" s="1"/>
  <c r="M294" i="4" a="1"/>
  <c r="M294" i="4" s="1"/>
  <c r="M295" i="4" a="1"/>
  <c r="M295" i="4" s="1"/>
  <c r="M982" i="4" a="1"/>
  <c r="M982" i="4" s="1"/>
  <c r="M983" i="4" a="1"/>
  <c r="M983" i="4" s="1"/>
  <c r="M984" i="4" a="1"/>
  <c r="M984" i="4" s="1"/>
  <c r="M985" i="4" a="1"/>
  <c r="M985" i="4" s="1"/>
  <c r="M296" i="4" a="1"/>
  <c r="M296" i="4" s="1"/>
  <c r="M297" i="4" a="1"/>
  <c r="M297" i="4" s="1"/>
  <c r="M298" i="4" a="1"/>
  <c r="M298" i="4" s="1"/>
  <c r="M299" i="4" a="1"/>
  <c r="M299" i="4" s="1"/>
  <c r="M986" i="4" a="1"/>
  <c r="M986" i="4" s="1"/>
  <c r="M300" i="4" a="1"/>
  <c r="M300" i="4" s="1"/>
  <c r="M987" i="4" a="1"/>
  <c r="M987" i="4" s="1"/>
  <c r="M988" i="4" a="1"/>
  <c r="M988" i="4" s="1"/>
  <c r="M989" i="4" a="1"/>
  <c r="M989" i="4"/>
  <c r="M990" i="4" a="1"/>
  <c r="M990" i="4" s="1"/>
  <c r="M991" i="4" a="1"/>
  <c r="M991" i="4" s="1"/>
  <c r="M992" i="4" a="1"/>
  <c r="M992" i="4" s="1"/>
  <c r="M993" i="4" a="1"/>
  <c r="M993" i="4" s="1"/>
  <c r="M994" i="4" a="1"/>
  <c r="M994" i="4" s="1"/>
  <c r="M995" i="4" a="1"/>
  <c r="M995" i="4" s="1"/>
  <c r="M996" i="4" a="1"/>
  <c r="M996" i="4" s="1"/>
  <c r="M997" i="4" a="1"/>
  <c r="M997" i="4" s="1"/>
  <c r="M998" i="4" a="1"/>
  <c r="M998" i="4" s="1"/>
  <c r="M999" i="4" a="1"/>
  <c r="M999" i="4" s="1"/>
  <c r="M1000" i="4" a="1"/>
  <c r="M1000" i="4" s="1"/>
  <c r="M301" i="4" a="1"/>
  <c r="M301" i="4" s="1"/>
  <c r="M1001" i="4" a="1"/>
  <c r="M1001" i="4" s="1"/>
  <c r="M302" i="4" a="1"/>
  <c r="M302" i="4"/>
  <c r="L2" i="4" a="1"/>
  <c r="L2" i="4" s="1"/>
  <c r="L303" i="4" a="1"/>
  <c r="L303" i="4" s="1"/>
  <c r="L304" i="4" a="1"/>
  <c r="L304" i="4" s="1"/>
  <c r="L3" i="4" a="1"/>
  <c r="L3" i="4" s="1"/>
  <c r="L305" i="4" a="1"/>
  <c r="L305" i="4" s="1"/>
  <c r="L306" i="4" a="1"/>
  <c r="L306" i="4" s="1"/>
  <c r="L307" i="4" a="1"/>
  <c r="L307" i="4" s="1"/>
  <c r="L308" i="4" a="1"/>
  <c r="L308" i="4" s="1"/>
  <c r="L4" i="4" a="1"/>
  <c r="L4" i="4" s="1"/>
  <c r="L5" i="4" a="1"/>
  <c r="L5" i="4" s="1"/>
  <c r="L6" i="4" a="1"/>
  <c r="L6" i="4" s="1"/>
  <c r="L309" i="4" a="1"/>
  <c r="L309" i="4" s="1"/>
  <c r="L7" i="4" a="1"/>
  <c r="L7" i="4" s="1"/>
  <c r="L310" i="4" a="1"/>
  <c r="L310" i="4" s="1"/>
  <c r="L8" i="4" a="1"/>
  <c r="L8" i="4" s="1"/>
  <c r="L311" i="4" a="1"/>
  <c r="L311" i="4" s="1"/>
  <c r="L312" i="4" a="1"/>
  <c r="L312" i="4" s="1"/>
  <c r="L9" i="4" a="1"/>
  <c r="L9" i="4" s="1"/>
  <c r="L313" i="4" a="1"/>
  <c r="L313" i="4" s="1"/>
  <c r="L314" i="4" a="1"/>
  <c r="L314" i="4" s="1"/>
  <c r="L315" i="4" a="1"/>
  <c r="L315" i="4" s="1"/>
  <c r="L316" i="4" a="1"/>
  <c r="L316" i="4" s="1"/>
  <c r="L317" i="4" a="1"/>
  <c r="L317" i="4" s="1"/>
  <c r="L318" i="4" a="1"/>
  <c r="L318" i="4"/>
  <c r="L319" i="4" a="1"/>
  <c r="L319" i="4" s="1"/>
  <c r="L320" i="4" a="1"/>
  <c r="L320" i="4" s="1"/>
  <c r="L321" i="4" a="1"/>
  <c r="L321" i="4" s="1"/>
  <c r="L322" i="4" a="1"/>
  <c r="L322" i="4"/>
  <c r="L10" i="4" a="1"/>
  <c r="L10" i="4" s="1"/>
  <c r="L323" i="4" a="1"/>
  <c r="L323" i="4" s="1"/>
  <c r="L324" i="4" a="1"/>
  <c r="L324" i="4" s="1"/>
  <c r="L325" i="4" a="1"/>
  <c r="L325" i="4" s="1"/>
  <c r="L326" i="4" a="1"/>
  <c r="L326" i="4" s="1"/>
  <c r="L327" i="4" a="1"/>
  <c r="L327" i="4" s="1"/>
  <c r="L11" i="4" a="1"/>
  <c r="L11" i="4" s="1"/>
  <c r="L328" i="4" a="1"/>
  <c r="L328" i="4" s="1"/>
  <c r="L12" i="4" a="1"/>
  <c r="L12" i="4"/>
  <c r="L329" i="4" a="1"/>
  <c r="L329" i="4" s="1"/>
  <c r="L330" i="4" a="1"/>
  <c r="L330" i="4" s="1"/>
  <c r="L331" i="4" a="1"/>
  <c r="L331" i="4" s="1"/>
  <c r="L332" i="4" a="1"/>
  <c r="L332" i="4" s="1"/>
  <c r="L333" i="4" a="1"/>
  <c r="L333" i="4" s="1"/>
  <c r="L334" i="4" a="1"/>
  <c r="L334" i="4" s="1"/>
  <c r="L13" i="4" a="1"/>
  <c r="L13" i="4" s="1"/>
  <c r="L335" i="4" a="1"/>
  <c r="L335" i="4"/>
  <c r="L336" i="4" a="1"/>
  <c r="L336" i="4" s="1"/>
  <c r="L337" i="4" a="1"/>
  <c r="L337" i="4" s="1"/>
  <c r="L338" i="4" a="1"/>
  <c r="L338" i="4" s="1"/>
  <c r="L339" i="4" a="1"/>
  <c r="L339" i="4" s="1"/>
  <c r="L340" i="4" a="1"/>
  <c r="L340" i="4" s="1"/>
  <c r="L341" i="4" a="1"/>
  <c r="L341" i="4" s="1"/>
  <c r="L342" i="4" a="1"/>
  <c r="L342" i="4" s="1"/>
  <c r="L343" i="4" a="1"/>
  <c r="L343" i="4" s="1"/>
  <c r="L14" i="4" a="1"/>
  <c r="L14" i="4" s="1"/>
  <c r="L344" i="4" a="1"/>
  <c r="L344" i="4" s="1"/>
  <c r="L15" i="4" a="1"/>
  <c r="L15" i="4"/>
  <c r="L345" i="4" a="1"/>
  <c r="L345" i="4" s="1"/>
  <c r="L346" i="4" a="1"/>
  <c r="L346" i="4" s="1"/>
  <c r="L16" i="4" a="1"/>
  <c r="L16" i="4" s="1"/>
  <c r="L347" i="4" a="1"/>
  <c r="L347" i="4" s="1"/>
  <c r="L348" i="4" a="1"/>
  <c r="L348" i="4" s="1"/>
  <c r="L17" i="4" a="1"/>
  <c r="L17" i="4" s="1"/>
  <c r="L18" i="4" a="1"/>
  <c r="L18" i="4"/>
  <c r="L349" i="4" a="1"/>
  <c r="L349" i="4" s="1"/>
  <c r="L350" i="4" a="1"/>
  <c r="L350" i="4" s="1"/>
  <c r="L351" i="4" a="1"/>
  <c r="L351" i="4" s="1"/>
  <c r="L352" i="4" a="1"/>
  <c r="L352" i="4" s="1"/>
  <c r="L19" i="4" a="1"/>
  <c r="L19" i="4" s="1"/>
  <c r="L353" i="4" a="1"/>
  <c r="L353" i="4" s="1"/>
  <c r="L354" i="4" a="1"/>
  <c r="L354" i="4" s="1"/>
  <c r="L355" i="4" a="1"/>
  <c r="L355" i="4" s="1"/>
  <c r="L356" i="4" a="1"/>
  <c r="L356" i="4" s="1"/>
  <c r="L357" i="4" a="1"/>
  <c r="L357" i="4" s="1"/>
  <c r="L20" i="4" a="1"/>
  <c r="L20" i="4" s="1"/>
  <c r="L358" i="4" a="1"/>
  <c r="L358" i="4" s="1"/>
  <c r="L21" i="4" a="1"/>
  <c r="L21" i="4" s="1"/>
  <c r="L359" i="4" a="1"/>
  <c r="L359" i="4" s="1"/>
  <c r="L360" i="4" a="1"/>
  <c r="L360" i="4" s="1"/>
  <c r="L361" i="4" a="1"/>
  <c r="L361" i="4" s="1"/>
  <c r="L22" i="4" a="1"/>
  <c r="L22" i="4"/>
  <c r="L362" i="4" a="1"/>
  <c r="L362" i="4" s="1"/>
  <c r="L363" i="4" a="1"/>
  <c r="L363" i="4" s="1"/>
  <c r="L364" i="4" a="1"/>
  <c r="L364" i="4" s="1"/>
  <c r="L365" i="4" a="1"/>
  <c r="L365" i="4" s="1"/>
  <c r="L366" i="4" a="1"/>
  <c r="L366" i="4" s="1"/>
  <c r="L367" i="4" a="1"/>
  <c r="L367" i="4" s="1"/>
  <c r="L23" i="4" a="1"/>
  <c r="L23" i="4" s="1"/>
  <c r="L368" i="4" a="1"/>
  <c r="L368" i="4" s="1"/>
  <c r="L24" i="4" a="1"/>
  <c r="L24" i="4" s="1"/>
  <c r="L369" i="4" a="1"/>
  <c r="L369" i="4" s="1"/>
  <c r="L370" i="4" a="1"/>
  <c r="L370" i="4" s="1"/>
  <c r="L25" i="4" a="1"/>
  <c r="L25" i="4" s="1"/>
  <c r="L371" i="4" a="1"/>
  <c r="L371" i="4" s="1"/>
  <c r="L372" i="4" a="1"/>
  <c r="L372" i="4" s="1"/>
  <c r="L26" i="4" a="1"/>
  <c r="L26" i="4" s="1"/>
  <c r="L373" i="4" a="1"/>
  <c r="L373" i="4" s="1"/>
  <c r="L374" i="4" a="1"/>
  <c r="L374" i="4" s="1"/>
  <c r="L375" i="4" a="1"/>
  <c r="L375" i="4" s="1"/>
  <c r="L376" i="4" a="1"/>
  <c r="L376" i="4" s="1"/>
  <c r="L377" i="4" a="1"/>
  <c r="L377" i="4" s="1"/>
  <c r="L378" i="4" a="1"/>
  <c r="L378" i="4" s="1"/>
  <c r="L379" i="4" a="1"/>
  <c r="L379" i="4" s="1"/>
  <c r="L380" i="4" a="1"/>
  <c r="L380" i="4" s="1"/>
  <c r="L381" i="4" a="1"/>
  <c r="L381" i="4" s="1"/>
  <c r="L27" i="4" a="1"/>
  <c r="L27" i="4" s="1"/>
  <c r="L28" i="4" a="1"/>
  <c r="L28" i="4" s="1"/>
  <c r="L382" i="4" a="1"/>
  <c r="L382" i="4" s="1"/>
  <c r="L383" i="4" a="1"/>
  <c r="L383" i="4" s="1"/>
  <c r="L384" i="4" a="1"/>
  <c r="L384" i="4" s="1"/>
  <c r="L385" i="4" a="1"/>
  <c r="L385" i="4"/>
  <c r="L386" i="4" a="1"/>
  <c r="L386" i="4" s="1"/>
  <c r="L387" i="4" a="1"/>
  <c r="L387" i="4" s="1"/>
  <c r="L29" i="4" a="1"/>
  <c r="L29" i="4" s="1"/>
  <c r="L388" i="4" a="1"/>
  <c r="L388" i="4" s="1"/>
  <c r="L389" i="4" a="1"/>
  <c r="L389" i="4" s="1"/>
  <c r="L30" i="4" a="1"/>
  <c r="L30" i="4" s="1"/>
  <c r="L390" i="4" a="1"/>
  <c r="L390" i="4" s="1"/>
  <c r="L31" i="4" a="1"/>
  <c r="L31" i="4" s="1"/>
  <c r="L391" i="4" a="1"/>
  <c r="L391" i="4" s="1"/>
  <c r="L32" i="4" a="1"/>
  <c r="L32" i="4" s="1"/>
  <c r="L392" i="4" a="1"/>
  <c r="L392" i="4" s="1"/>
  <c r="L393" i="4" a="1"/>
  <c r="L393" i="4" s="1"/>
  <c r="L394" i="4" a="1"/>
  <c r="L394" i="4" s="1"/>
  <c r="L33" i="4" a="1"/>
  <c r="L33" i="4"/>
  <c r="L395" i="4" a="1"/>
  <c r="L395" i="4" s="1"/>
  <c r="L396" i="4" a="1"/>
  <c r="L396" i="4" s="1"/>
  <c r="L34" i="4" a="1"/>
  <c r="L34" i="4" s="1"/>
  <c r="L397" i="4" a="1"/>
  <c r="L397" i="4" s="1"/>
  <c r="L35" i="4" a="1"/>
  <c r="L35" i="4" s="1"/>
  <c r="L398" i="4" a="1"/>
  <c r="L398" i="4" s="1"/>
  <c r="L36" i="4" a="1"/>
  <c r="L36" i="4" s="1"/>
  <c r="L399" i="4" a="1"/>
  <c r="L399" i="4"/>
  <c r="L400" i="4" a="1"/>
  <c r="L400" i="4"/>
  <c r="L401" i="4" a="1"/>
  <c r="L401" i="4" s="1"/>
  <c r="L402" i="4" a="1"/>
  <c r="L402" i="4"/>
  <c r="L403" i="4" a="1"/>
  <c r="L403" i="4" s="1"/>
  <c r="L37" i="4" a="1"/>
  <c r="L37" i="4" s="1"/>
  <c r="L404" i="4" a="1"/>
  <c r="L404" i="4" s="1"/>
  <c r="L405" i="4" a="1"/>
  <c r="L405" i="4" s="1"/>
  <c r="L406" i="4" a="1"/>
  <c r="L406" i="4" s="1"/>
  <c r="L407" i="4" a="1"/>
  <c r="L407" i="4" s="1"/>
  <c r="L408" i="4" a="1"/>
  <c r="L408" i="4" s="1"/>
  <c r="L38" i="4" a="1"/>
  <c r="L38" i="4" s="1"/>
  <c r="L409" i="4" a="1"/>
  <c r="L409" i="4"/>
  <c r="L410" i="4" a="1"/>
  <c r="L410" i="4" s="1"/>
  <c r="L411" i="4" a="1"/>
  <c r="L411" i="4" s="1"/>
  <c r="L412" i="4" a="1"/>
  <c r="L412" i="4" s="1"/>
  <c r="L413" i="4" a="1"/>
  <c r="L413" i="4" s="1"/>
  <c r="L414" i="4" a="1"/>
  <c r="L414" i="4" s="1"/>
  <c r="L415" i="4" a="1"/>
  <c r="L415" i="4" s="1"/>
  <c r="L416" i="4" a="1"/>
  <c r="L416" i="4"/>
  <c r="L417" i="4" a="1"/>
  <c r="L417" i="4" s="1"/>
  <c r="L418" i="4" a="1"/>
  <c r="L418" i="4" s="1"/>
  <c r="L419" i="4" a="1"/>
  <c r="L419" i="4" s="1"/>
  <c r="L39" i="4" a="1"/>
  <c r="L39" i="4" s="1"/>
  <c r="L420" i="4" a="1"/>
  <c r="L420" i="4" s="1"/>
  <c r="L421" i="4" a="1"/>
  <c r="L421" i="4" s="1"/>
  <c r="L422" i="4" a="1"/>
  <c r="L422" i="4" s="1"/>
  <c r="L423" i="4" a="1"/>
  <c r="L423" i="4"/>
  <c r="L424" i="4" a="1"/>
  <c r="L424" i="4" s="1"/>
  <c r="L425" i="4" a="1"/>
  <c r="L425" i="4" s="1"/>
  <c r="L426" i="4" a="1"/>
  <c r="L426" i="4" s="1"/>
  <c r="L427" i="4" a="1"/>
  <c r="L427" i="4" s="1"/>
  <c r="L428" i="4" a="1"/>
  <c r="L428" i="4" s="1"/>
  <c r="L429" i="4" a="1"/>
  <c r="L429" i="4" s="1"/>
  <c r="L40" i="4" a="1"/>
  <c r="L40" i="4" s="1"/>
  <c r="L430" i="4" a="1"/>
  <c r="L430" i="4" s="1"/>
  <c r="L431" i="4" a="1"/>
  <c r="L431" i="4" s="1"/>
  <c r="L41" i="4" a="1"/>
  <c r="L41" i="4" s="1"/>
  <c r="L42" i="4" a="1"/>
  <c r="L42" i="4" s="1"/>
  <c r="L432" i="4" a="1"/>
  <c r="L432" i="4" s="1"/>
  <c r="L43" i="4" a="1"/>
  <c r="L43" i="4" s="1"/>
  <c r="L433" i="4" a="1"/>
  <c r="L433" i="4" s="1"/>
  <c r="L44" i="4" a="1"/>
  <c r="L44" i="4"/>
  <c r="L45" i="4" a="1"/>
  <c r="L45" i="4" s="1"/>
  <c r="L434" i="4" a="1"/>
  <c r="L434" i="4" s="1"/>
  <c r="L435" i="4" a="1"/>
  <c r="L435" i="4" s="1"/>
  <c r="L436" i="4" a="1"/>
  <c r="L436" i="4" s="1"/>
  <c r="L437" i="4" a="1"/>
  <c r="L437" i="4" s="1"/>
  <c r="L46" i="4" a="1"/>
  <c r="L46" i="4" s="1"/>
  <c r="L47" i="4" a="1"/>
  <c r="L47" i="4" s="1"/>
  <c r="L48" i="4" a="1"/>
  <c r="L48" i="4" s="1"/>
  <c r="L438" i="4" a="1"/>
  <c r="L438" i="4" s="1"/>
  <c r="L49" i="4" a="1"/>
  <c r="L49" i="4" s="1"/>
  <c r="L439" i="4" a="1"/>
  <c r="L439" i="4" s="1"/>
  <c r="L50" i="4" a="1"/>
  <c r="L50" i="4" s="1"/>
  <c r="L440" i="4" a="1"/>
  <c r="L440" i="4" s="1"/>
  <c r="L51" i="4" a="1"/>
  <c r="L51" i="4" s="1"/>
  <c r="L441" i="4" a="1"/>
  <c r="L441" i="4" s="1"/>
  <c r="L52" i="4" a="1"/>
  <c r="L52" i="4"/>
  <c r="L53" i="4" a="1"/>
  <c r="L53" i="4" s="1"/>
  <c r="L54" i="4" a="1"/>
  <c r="L54" i="4" s="1"/>
  <c r="L442" i="4" a="1"/>
  <c r="L442" i="4" s="1"/>
  <c r="L55" i="4" a="1"/>
  <c r="L55" i="4" s="1"/>
  <c r="L56" i="4" a="1"/>
  <c r="L56" i="4" s="1"/>
  <c r="L443" i="4" a="1"/>
  <c r="L443" i="4" s="1"/>
  <c r="L57" i="4" a="1"/>
  <c r="L57" i="4" s="1"/>
  <c r="L444" i="4" a="1"/>
  <c r="L444" i="4" s="1"/>
  <c r="L58" i="4" a="1"/>
  <c r="L58" i="4" s="1"/>
  <c r="L445" i="4" a="1"/>
  <c r="L445" i="4" s="1"/>
  <c r="L446" i="4" a="1"/>
  <c r="L446" i="4" s="1"/>
  <c r="L447" i="4" a="1"/>
  <c r="L447" i="4" s="1"/>
  <c r="L59" i="4" a="1"/>
  <c r="L59" i="4" s="1"/>
  <c r="L448" i="4" a="1"/>
  <c r="L448" i="4" s="1"/>
  <c r="L449" i="4" a="1"/>
  <c r="L449" i="4"/>
  <c r="L450" i="4" a="1"/>
  <c r="L450" i="4" s="1"/>
  <c r="L451" i="4" a="1"/>
  <c r="L451" i="4"/>
  <c r="L452" i="4" a="1"/>
  <c r="L452" i="4" s="1"/>
  <c r="L453" i="4" a="1"/>
  <c r="L453" i="4" s="1"/>
  <c r="L454" i="4" a="1"/>
  <c r="L454" i="4" s="1"/>
  <c r="L455" i="4" a="1"/>
  <c r="L455" i="4" s="1"/>
  <c r="L60" i="4" a="1"/>
  <c r="L60" i="4" s="1"/>
  <c r="L61" i="4" a="1"/>
  <c r="L61" i="4" s="1"/>
  <c r="L456" i="4" a="1"/>
  <c r="L456" i="4" s="1"/>
  <c r="L457" i="4" a="1"/>
  <c r="L457" i="4" s="1"/>
  <c r="L458" i="4" a="1"/>
  <c r="L458" i="4" s="1"/>
  <c r="L459" i="4" a="1"/>
  <c r="L459" i="4" s="1"/>
  <c r="L460" i="4" a="1"/>
  <c r="L460" i="4" s="1"/>
  <c r="L461" i="4" a="1"/>
  <c r="L461" i="4" s="1"/>
  <c r="L462" i="4" a="1"/>
  <c r="L462" i="4"/>
  <c r="L463" i="4" a="1"/>
  <c r="L463" i="4" s="1"/>
  <c r="L464" i="4" a="1"/>
  <c r="L464" i="4" s="1"/>
  <c r="L465" i="4" a="1"/>
  <c r="L465" i="4" s="1"/>
  <c r="L466" i="4" a="1"/>
  <c r="L466" i="4" s="1"/>
  <c r="L467" i="4" a="1"/>
  <c r="L467" i="4" s="1"/>
  <c r="L62" i="4" a="1"/>
  <c r="L62" i="4" s="1"/>
  <c r="L63" i="4" a="1"/>
  <c r="L63" i="4" s="1"/>
  <c r="L64" i="4" a="1"/>
  <c r="L64" i="4" s="1"/>
  <c r="L468" i="4" a="1"/>
  <c r="L468" i="4" s="1"/>
  <c r="L65" i="4" a="1"/>
  <c r="L65" i="4" s="1"/>
  <c r="L469" i="4" a="1"/>
  <c r="L469" i="4" s="1"/>
  <c r="L470" i="4" a="1"/>
  <c r="L470" i="4" s="1"/>
  <c r="L471" i="4" a="1"/>
  <c r="L471" i="4" s="1"/>
  <c r="L472" i="4" a="1"/>
  <c r="L472" i="4" s="1"/>
  <c r="L66" i="4" a="1"/>
  <c r="L66" i="4" s="1"/>
  <c r="L67" i="4" a="1"/>
  <c r="L67" i="4" s="1"/>
  <c r="L68" i="4" a="1"/>
  <c r="L68" i="4" s="1"/>
  <c r="L473" i="4" a="1"/>
  <c r="L473" i="4" s="1"/>
  <c r="L474" i="4" a="1"/>
  <c r="L474" i="4" s="1"/>
  <c r="L69" i="4" a="1"/>
  <c r="L69" i="4" s="1"/>
  <c r="L475" i="4" a="1"/>
  <c r="L475" i="4" s="1"/>
  <c r="L70" i="4" a="1"/>
  <c r="L70" i="4" s="1"/>
  <c r="L476" i="4" a="1"/>
  <c r="L476" i="4" s="1"/>
  <c r="L477" i="4" a="1"/>
  <c r="L477" i="4" s="1"/>
  <c r="L478" i="4" a="1"/>
  <c r="L478" i="4" s="1"/>
  <c r="L479" i="4" a="1"/>
  <c r="L479" i="4" s="1"/>
  <c r="L480" i="4" a="1"/>
  <c r="L480" i="4" s="1"/>
  <c r="L481" i="4" a="1"/>
  <c r="L481" i="4" s="1"/>
  <c r="L71" i="4" a="1"/>
  <c r="L71" i="4" s="1"/>
  <c r="L482" i="4" a="1"/>
  <c r="L482" i="4" s="1"/>
  <c r="L483" i="4" a="1"/>
  <c r="L483" i="4" s="1"/>
  <c r="L72" i="4" a="1"/>
  <c r="L72" i="4" s="1"/>
  <c r="L484" i="4" a="1"/>
  <c r="L484" i="4"/>
  <c r="L485" i="4" a="1"/>
  <c r="L485" i="4" s="1"/>
  <c r="L486" i="4" a="1"/>
  <c r="L486" i="4" s="1"/>
  <c r="L487" i="4" a="1"/>
  <c r="L487" i="4" s="1"/>
  <c r="L73" i="4" a="1"/>
  <c r="L73" i="4" s="1"/>
  <c r="L488" i="4" a="1"/>
  <c r="L488" i="4" s="1"/>
  <c r="L489" i="4" a="1"/>
  <c r="L489" i="4" s="1"/>
  <c r="L490" i="4" a="1"/>
  <c r="L490" i="4"/>
  <c r="L491" i="4" a="1"/>
  <c r="L491" i="4" s="1"/>
  <c r="L492" i="4" a="1"/>
  <c r="L492" i="4" s="1"/>
  <c r="L493" i="4" a="1"/>
  <c r="L493" i="4" s="1"/>
  <c r="L494" i="4" a="1"/>
  <c r="L494" i="4" s="1"/>
  <c r="L74" i="4" a="1"/>
  <c r="L74" i="4" s="1"/>
  <c r="L495" i="4" a="1"/>
  <c r="L495" i="4" s="1"/>
  <c r="L496" i="4" a="1"/>
  <c r="L496" i="4" s="1"/>
  <c r="L75" i="4" a="1"/>
  <c r="L75" i="4"/>
  <c r="L497" i="4" a="1"/>
  <c r="L497" i="4"/>
  <c r="L498" i="4" a="1"/>
  <c r="L498" i="4" s="1"/>
  <c r="L499" i="4" a="1"/>
  <c r="L499" i="4" s="1"/>
  <c r="L500" i="4" a="1"/>
  <c r="L500" i="4" s="1"/>
  <c r="L76" i="4" a="1"/>
  <c r="L76" i="4" s="1"/>
  <c r="L77" i="4" a="1"/>
  <c r="L77" i="4" s="1"/>
  <c r="L501" i="4" a="1"/>
  <c r="L501" i="4" s="1"/>
  <c r="L502" i="4" a="1"/>
  <c r="L502" i="4" s="1"/>
  <c r="L503" i="4" a="1"/>
  <c r="L503" i="4" s="1"/>
  <c r="L78" i="4" a="1"/>
  <c r="L78" i="4" s="1"/>
  <c r="L504" i="4" a="1"/>
  <c r="L504" i="4" s="1"/>
  <c r="L505" i="4" a="1"/>
  <c r="L505" i="4"/>
  <c r="L506" i="4" a="1"/>
  <c r="L506" i="4" s="1"/>
  <c r="L507" i="4" a="1"/>
  <c r="L507" i="4" s="1"/>
  <c r="L508" i="4" a="1"/>
  <c r="L508" i="4" s="1"/>
  <c r="L509" i="4" a="1"/>
  <c r="L509" i="4" s="1"/>
  <c r="L510" i="4" a="1"/>
  <c r="L510" i="4" s="1"/>
  <c r="L511" i="4" a="1"/>
  <c r="L511" i="4" s="1"/>
  <c r="L512" i="4" a="1"/>
  <c r="L512" i="4" s="1"/>
  <c r="L513" i="4" a="1"/>
  <c r="L513" i="4" s="1"/>
  <c r="L79" i="4" a="1"/>
  <c r="L79" i="4" s="1"/>
  <c r="L514" i="4" a="1"/>
  <c r="L514" i="4" s="1"/>
  <c r="L80" i="4" a="1"/>
  <c r="L80" i="4" s="1"/>
  <c r="L515" i="4" a="1"/>
  <c r="L515" i="4" s="1"/>
  <c r="L516" i="4" a="1"/>
  <c r="L516" i="4"/>
  <c r="L517" i="4" a="1"/>
  <c r="L517" i="4" s="1"/>
  <c r="L81" i="4" a="1"/>
  <c r="L81" i="4" s="1"/>
  <c r="L518" i="4" a="1"/>
  <c r="L518" i="4" s="1"/>
  <c r="L519" i="4" a="1"/>
  <c r="L519" i="4" s="1"/>
  <c r="L520" i="4" a="1"/>
  <c r="L520" i="4" s="1"/>
  <c r="L521" i="4" a="1"/>
  <c r="L521" i="4" s="1"/>
  <c r="L522" i="4" a="1"/>
  <c r="L522" i="4" s="1"/>
  <c r="L82" i="4" a="1"/>
  <c r="L82" i="4" s="1"/>
  <c r="L83" i="4" a="1"/>
  <c r="L83" i="4" s="1"/>
  <c r="L523" i="4" a="1"/>
  <c r="L523" i="4" s="1"/>
  <c r="L84" i="4" a="1"/>
  <c r="L84" i="4" s="1"/>
  <c r="L524" i="4" a="1"/>
  <c r="L524" i="4" s="1"/>
  <c r="L525" i="4" a="1"/>
  <c r="L525" i="4" s="1"/>
  <c r="L85" i="4" a="1"/>
  <c r="L85" i="4" s="1"/>
  <c r="L86" i="4" a="1"/>
  <c r="L86" i="4" s="1"/>
  <c r="L526" i="4" a="1"/>
  <c r="L526" i="4" s="1"/>
  <c r="L527" i="4" a="1"/>
  <c r="L527" i="4" s="1"/>
  <c r="L528" i="4" a="1"/>
  <c r="L528" i="4" s="1"/>
  <c r="L529" i="4" a="1"/>
  <c r="L529" i="4" s="1"/>
  <c r="L87" i="4" a="1"/>
  <c r="L87" i="4" s="1"/>
  <c r="L530" i="4" a="1"/>
  <c r="L530" i="4" s="1"/>
  <c r="L88" i="4" a="1"/>
  <c r="L88" i="4" s="1"/>
  <c r="L531" i="4" a="1"/>
  <c r="L531" i="4" s="1"/>
  <c r="L532" i="4" a="1"/>
  <c r="L532" i="4" s="1"/>
  <c r="L533" i="4" a="1"/>
  <c r="L533" i="4" s="1"/>
  <c r="L534" i="4" a="1"/>
  <c r="L534" i="4"/>
  <c r="L89" i="4" a="1"/>
  <c r="L89" i="4" s="1"/>
  <c r="L90" i="4" a="1"/>
  <c r="L90" i="4" s="1"/>
  <c r="L535" i="4" a="1"/>
  <c r="L535" i="4" s="1"/>
  <c r="L536" i="4" a="1"/>
  <c r="L536" i="4" s="1"/>
  <c r="L537" i="4" a="1"/>
  <c r="L537" i="4" s="1"/>
  <c r="L538" i="4" a="1"/>
  <c r="L538" i="4" s="1"/>
  <c r="L539" i="4" a="1"/>
  <c r="L539" i="4" s="1"/>
  <c r="L540" i="4" a="1"/>
  <c r="L540" i="4" s="1"/>
  <c r="L541" i="4" a="1"/>
  <c r="L541" i="4" s="1"/>
  <c r="L542" i="4" a="1"/>
  <c r="L542" i="4" s="1"/>
  <c r="L543" i="4" a="1"/>
  <c r="L543" i="4" s="1"/>
  <c r="L91" i="4" a="1"/>
  <c r="L91" i="4" s="1"/>
  <c r="L92" i="4" a="1"/>
  <c r="L92" i="4" s="1"/>
  <c r="L93" i="4" a="1"/>
  <c r="L93" i="4" s="1"/>
  <c r="L94" i="4" a="1"/>
  <c r="L94" i="4"/>
  <c r="L95" i="4" a="1"/>
  <c r="L95" i="4" s="1"/>
  <c r="L544" i="4" a="1"/>
  <c r="L544" i="4"/>
  <c r="L96" i="4" a="1"/>
  <c r="L96" i="4" s="1"/>
  <c r="L545" i="4" a="1"/>
  <c r="L545" i="4" s="1"/>
  <c r="L546" i="4" a="1"/>
  <c r="L546" i="4" s="1"/>
  <c r="L547" i="4" a="1"/>
  <c r="L547" i="4" s="1"/>
  <c r="L548" i="4" a="1"/>
  <c r="L548" i="4" s="1"/>
  <c r="L549" i="4" a="1"/>
  <c r="L549" i="4" s="1"/>
  <c r="L550" i="4" a="1"/>
  <c r="L550" i="4" s="1"/>
  <c r="L551" i="4" a="1"/>
  <c r="L551" i="4" s="1"/>
  <c r="L552" i="4" a="1"/>
  <c r="L552" i="4" s="1"/>
  <c r="L553" i="4" a="1"/>
  <c r="L553" i="4" s="1"/>
  <c r="L554" i="4" a="1"/>
  <c r="L554" i="4" s="1"/>
  <c r="L555" i="4" a="1"/>
  <c r="L555" i="4" s="1"/>
  <c r="L97" i="4" a="1"/>
  <c r="L97" i="4" s="1"/>
  <c r="L556" i="4" a="1"/>
  <c r="L556" i="4" s="1"/>
  <c r="L98" i="4" a="1"/>
  <c r="L98" i="4" s="1"/>
  <c r="L557" i="4" a="1"/>
  <c r="L557" i="4" s="1"/>
  <c r="L99" i="4" a="1"/>
  <c r="L99" i="4" s="1"/>
  <c r="L558" i="4" a="1"/>
  <c r="L558" i="4" s="1"/>
  <c r="L100" i="4" a="1"/>
  <c r="L100" i="4" s="1"/>
  <c r="L559" i="4" a="1"/>
  <c r="L559" i="4" s="1"/>
  <c r="L101" i="4" a="1"/>
  <c r="L101" i="4" s="1"/>
  <c r="L560" i="4" a="1"/>
  <c r="L560" i="4" s="1"/>
  <c r="L102" i="4" a="1"/>
  <c r="L102" i="4" s="1"/>
  <c r="L561" i="4" a="1"/>
  <c r="L561" i="4" s="1"/>
  <c r="L562" i="4" a="1"/>
  <c r="L562" i="4" s="1"/>
  <c r="L563" i="4" a="1"/>
  <c r="L563" i="4" s="1"/>
  <c r="L564" i="4" a="1"/>
  <c r="L564" i="4" s="1"/>
  <c r="L103" i="4" a="1"/>
  <c r="L103" i="4" s="1"/>
  <c r="L565" i="4" a="1"/>
  <c r="L565" i="4"/>
  <c r="L566" i="4" a="1"/>
  <c r="L566" i="4" s="1"/>
  <c r="L567" i="4" a="1"/>
  <c r="L567" i="4"/>
  <c r="L104" i="4" a="1"/>
  <c r="L104" i="4" s="1"/>
  <c r="L568" i="4" a="1"/>
  <c r="L568" i="4" s="1"/>
  <c r="L569" i="4" a="1"/>
  <c r="L569" i="4" s="1"/>
  <c r="L570" i="4" a="1"/>
  <c r="L570" i="4" s="1"/>
  <c r="L571" i="4" a="1"/>
  <c r="L571" i="4" s="1"/>
  <c r="L572" i="4" a="1"/>
  <c r="L572" i="4" s="1"/>
  <c r="L105" i="4" a="1"/>
  <c r="L105" i="4" s="1"/>
  <c r="L106" i="4" a="1"/>
  <c r="L106" i="4" s="1"/>
  <c r="L573" i="4" a="1"/>
  <c r="L573" i="4" s="1"/>
  <c r="L574" i="4" a="1"/>
  <c r="L574" i="4" s="1"/>
  <c r="L107" i="4" a="1"/>
  <c r="L107" i="4" s="1"/>
  <c r="L575" i="4" a="1"/>
  <c r="L575" i="4" s="1"/>
  <c r="L576" i="4" a="1"/>
  <c r="L576" i="4" s="1"/>
  <c r="L108" i="4" a="1"/>
  <c r="L108" i="4"/>
  <c r="L577" i="4" a="1"/>
  <c r="L577" i="4" s="1"/>
  <c r="L578" i="4" a="1"/>
  <c r="L578" i="4" s="1"/>
  <c r="L579" i="4" a="1"/>
  <c r="L579" i="4" s="1"/>
  <c r="L580" i="4" a="1"/>
  <c r="L580" i="4" s="1"/>
  <c r="L581" i="4" a="1"/>
  <c r="L581" i="4" s="1"/>
  <c r="L582" i="4" a="1"/>
  <c r="L582" i="4" s="1"/>
  <c r="L583" i="4" a="1"/>
  <c r="L583" i="4" s="1"/>
  <c r="L584" i="4" a="1"/>
  <c r="L584" i="4" s="1"/>
  <c r="L585" i="4" a="1"/>
  <c r="L585" i="4" s="1"/>
  <c r="L586" i="4" a="1"/>
  <c r="L586" i="4" s="1"/>
  <c r="L587" i="4" a="1"/>
  <c r="L587" i="4" s="1"/>
  <c r="L588" i="4" a="1"/>
  <c r="L588" i="4" s="1"/>
  <c r="L589" i="4" a="1"/>
  <c r="L589" i="4" s="1"/>
  <c r="L590" i="4" a="1"/>
  <c r="L590" i="4" s="1"/>
  <c r="L591" i="4" a="1"/>
  <c r="L591" i="4" s="1"/>
  <c r="L592" i="4" a="1"/>
  <c r="L592" i="4" s="1"/>
  <c r="L109" i="4" a="1"/>
  <c r="L109" i="4" s="1"/>
  <c r="L593" i="4" a="1"/>
  <c r="L593" i="4" s="1"/>
  <c r="L594" i="4" a="1"/>
  <c r="L594" i="4" s="1"/>
  <c r="L595" i="4" a="1"/>
  <c r="L595" i="4" s="1"/>
  <c r="L110" i="4" a="1"/>
  <c r="L110" i="4" s="1"/>
  <c r="L596" i="4" a="1"/>
  <c r="L596" i="4" s="1"/>
  <c r="L597" i="4" a="1"/>
  <c r="L597" i="4" s="1"/>
  <c r="L111" i="4" a="1"/>
  <c r="L111" i="4" s="1"/>
  <c r="L598" i="4" a="1"/>
  <c r="L598" i="4" s="1"/>
  <c r="L599" i="4" a="1"/>
  <c r="L599" i="4" s="1"/>
  <c r="L600" i="4" a="1"/>
  <c r="L600" i="4" s="1"/>
  <c r="L112" i="4" a="1"/>
  <c r="L112" i="4" s="1"/>
  <c r="L601" i="4" a="1"/>
  <c r="L601" i="4" s="1"/>
  <c r="L602" i="4" a="1"/>
  <c r="L602" i="4" s="1"/>
  <c r="L113" i="4" a="1"/>
  <c r="L113" i="4" s="1"/>
  <c r="L603" i="4" a="1"/>
  <c r="L603" i="4" s="1"/>
  <c r="L114" i="4" a="1"/>
  <c r="L114" i="4" s="1"/>
  <c r="L604" i="4" a="1"/>
  <c r="L604" i="4" s="1"/>
  <c r="L115" i="4" a="1"/>
  <c r="L115" i="4" s="1"/>
  <c r="L605" i="4" a="1"/>
  <c r="L605" i="4" s="1"/>
  <c r="L606" i="4" a="1"/>
  <c r="L606" i="4" s="1"/>
  <c r="L116" i="4" a="1"/>
  <c r="L116" i="4" s="1"/>
  <c r="L607" i="4" a="1"/>
  <c r="L607" i="4" s="1"/>
  <c r="L608" i="4" a="1"/>
  <c r="L608" i="4" s="1"/>
  <c r="L609" i="4" a="1"/>
  <c r="L609" i="4" s="1"/>
  <c r="L610" i="4" a="1"/>
  <c r="L610" i="4" s="1"/>
  <c r="L117" i="4" a="1"/>
  <c r="L117" i="4" s="1"/>
  <c r="L611" i="4" a="1"/>
  <c r="L611" i="4" s="1"/>
  <c r="L612" i="4" a="1"/>
  <c r="L612" i="4" s="1"/>
  <c r="L613" i="4" a="1"/>
  <c r="L613" i="4" s="1"/>
  <c r="L614" i="4" a="1"/>
  <c r="L614" i="4"/>
  <c r="L118" i="4" a="1"/>
  <c r="L118" i="4" s="1"/>
  <c r="L615" i="4" a="1"/>
  <c r="L615" i="4" s="1"/>
  <c r="L119" i="4" a="1"/>
  <c r="L119" i="4" s="1"/>
  <c r="L616" i="4" a="1"/>
  <c r="L616" i="4" s="1"/>
  <c r="L617" i="4" a="1"/>
  <c r="L617" i="4" s="1"/>
  <c r="L618" i="4" a="1"/>
  <c r="L618" i="4" s="1"/>
  <c r="L120" i="4" a="1"/>
  <c r="L120" i="4" s="1"/>
  <c r="L619" i="4" a="1"/>
  <c r="L619" i="4" s="1"/>
  <c r="L620" i="4" a="1"/>
  <c r="L620" i="4" s="1"/>
  <c r="L621" i="4" a="1"/>
  <c r="L621" i="4" s="1"/>
  <c r="L121" i="4" a="1"/>
  <c r="L121" i="4" s="1"/>
  <c r="L622" i="4" a="1"/>
  <c r="L622" i="4" s="1"/>
  <c r="L623" i="4" a="1"/>
  <c r="L623" i="4" s="1"/>
  <c r="L624" i="4" a="1"/>
  <c r="L624" i="4" s="1"/>
  <c r="L122" i="4" a="1"/>
  <c r="L122" i="4" s="1"/>
  <c r="L123" i="4" a="1"/>
  <c r="L123" i="4" s="1"/>
  <c r="L625" i="4" a="1"/>
  <c r="L625" i="4"/>
  <c r="L124" i="4" a="1"/>
  <c r="L124" i="4" s="1"/>
  <c r="L626" i="4" a="1"/>
  <c r="L626" i="4" s="1"/>
  <c r="L627" i="4" a="1"/>
  <c r="L627" i="4" s="1"/>
  <c r="L125" i="4" a="1"/>
  <c r="L125" i="4" s="1"/>
  <c r="L628" i="4" a="1"/>
  <c r="L628" i="4" s="1"/>
  <c r="L629" i="4" a="1"/>
  <c r="L629" i="4" s="1"/>
  <c r="L630" i="4" a="1"/>
  <c r="L630" i="4" s="1"/>
  <c r="L631" i="4" a="1"/>
  <c r="L631" i="4" s="1"/>
  <c r="L126" i="4" a="1"/>
  <c r="L126" i="4" s="1"/>
  <c r="L632" i="4" a="1"/>
  <c r="L632" i="4" s="1"/>
  <c r="L633" i="4" a="1"/>
  <c r="L633" i="4" s="1"/>
  <c r="L127" i="4" a="1"/>
  <c r="L127" i="4" s="1"/>
  <c r="L634" i="4" a="1"/>
  <c r="L634" i="4" s="1"/>
  <c r="L635" i="4" a="1"/>
  <c r="L635" i="4" s="1"/>
  <c r="L636" i="4" a="1"/>
  <c r="L636" i="4"/>
  <c r="L637" i="4" a="1"/>
  <c r="L637" i="4" s="1"/>
  <c r="L638" i="4" a="1"/>
  <c r="L638" i="4" s="1"/>
  <c r="L639" i="4" a="1"/>
  <c r="L639" i="4" s="1"/>
  <c r="L640" i="4" a="1"/>
  <c r="L640" i="4" s="1"/>
  <c r="L641" i="4" a="1"/>
  <c r="L641" i="4" s="1"/>
  <c r="L128" i="4" a="1"/>
  <c r="L128" i="4" s="1"/>
  <c r="L642" i="4" a="1"/>
  <c r="L642" i="4" s="1"/>
  <c r="L643" i="4" a="1"/>
  <c r="L643" i="4" s="1"/>
  <c r="L644" i="4" a="1"/>
  <c r="L644" i="4" s="1"/>
  <c r="L129" i="4" a="1"/>
  <c r="L129" i="4" s="1"/>
  <c r="L130" i="4" a="1"/>
  <c r="L130" i="4" s="1"/>
  <c r="L131" i="4" a="1"/>
  <c r="L131" i="4" s="1"/>
  <c r="L645" i="4" a="1"/>
  <c r="L645" i="4" s="1"/>
  <c r="L132" i="4" a="1"/>
  <c r="L132" i="4" s="1"/>
  <c r="L133" i="4" a="1"/>
  <c r="L133" i="4" s="1"/>
  <c r="L646" i="4" a="1"/>
  <c r="L646" i="4" s="1"/>
  <c r="L647" i="4" a="1"/>
  <c r="L647" i="4" s="1"/>
  <c r="L648" i="4" a="1"/>
  <c r="L648" i="4" s="1"/>
  <c r="L649" i="4" a="1"/>
  <c r="L649" i="4"/>
  <c r="L650" i="4" a="1"/>
  <c r="L650" i="4" s="1"/>
  <c r="L651" i="4" a="1"/>
  <c r="L651" i="4" s="1"/>
  <c r="L652" i="4" a="1"/>
  <c r="L652" i="4" s="1"/>
  <c r="L653" i="4" a="1"/>
  <c r="L653" i="4" s="1"/>
  <c r="L654" i="4" a="1"/>
  <c r="L654" i="4" s="1"/>
  <c r="L134" i="4" a="1"/>
  <c r="L134" i="4" s="1"/>
  <c r="L655" i="4" a="1"/>
  <c r="L655" i="4" s="1"/>
  <c r="L656" i="4" a="1"/>
  <c r="L656" i="4" s="1"/>
  <c r="L657" i="4" a="1"/>
  <c r="L657" i="4" s="1"/>
  <c r="L658" i="4" a="1"/>
  <c r="L658" i="4" s="1"/>
  <c r="L659" i="4" a="1"/>
  <c r="L659" i="4" s="1"/>
  <c r="L135" i="4" a="1"/>
  <c r="L135" i="4" s="1"/>
  <c r="L660" i="4" a="1"/>
  <c r="L660" i="4" s="1"/>
  <c r="L661" i="4" a="1"/>
  <c r="L661" i="4" s="1"/>
  <c r="L662" i="4" a="1"/>
  <c r="L662" i="4"/>
  <c r="L136" i="4" a="1"/>
  <c r="L136" i="4"/>
  <c r="L137" i="4" a="1"/>
  <c r="L137" i="4"/>
  <c r="L663" i="4" a="1"/>
  <c r="L663" i="4" s="1"/>
  <c r="L664" i="4" a="1"/>
  <c r="L664" i="4" s="1"/>
  <c r="L665" i="4" a="1"/>
  <c r="L665" i="4" s="1"/>
  <c r="L138" i="4" a="1"/>
  <c r="L138" i="4" s="1"/>
  <c r="L666" i="4" a="1"/>
  <c r="L666" i="4"/>
  <c r="L667" i="4" a="1"/>
  <c r="L667" i="4" s="1"/>
  <c r="L139" i="4" a="1"/>
  <c r="L139" i="4" s="1"/>
  <c r="L140" i="4" a="1"/>
  <c r="L140" i="4" s="1"/>
  <c r="L141" i="4" a="1"/>
  <c r="L141" i="4" s="1"/>
  <c r="L668" i="4" a="1"/>
  <c r="L668" i="4" s="1"/>
  <c r="L142" i="4" a="1"/>
  <c r="L142" i="4" s="1"/>
  <c r="L669" i="4" a="1"/>
  <c r="L669" i="4" s="1"/>
  <c r="L670" i="4" a="1"/>
  <c r="L670" i="4" s="1"/>
  <c r="L143" i="4" a="1"/>
  <c r="L143" i="4" s="1"/>
  <c r="L671" i="4" a="1"/>
  <c r="L671" i="4" s="1"/>
  <c r="L672" i="4" a="1"/>
  <c r="L672" i="4" s="1"/>
  <c r="L673" i="4" a="1"/>
  <c r="L673" i="4" s="1"/>
  <c r="L674" i="4" a="1"/>
  <c r="L674" i="4" s="1"/>
  <c r="L675" i="4" a="1"/>
  <c r="L675" i="4" s="1"/>
  <c r="L676" i="4" a="1"/>
  <c r="L676" i="4" s="1"/>
  <c r="L144" i="4" a="1"/>
  <c r="L144" i="4"/>
  <c r="L677" i="4" a="1"/>
  <c r="L677" i="4" s="1"/>
  <c r="L678" i="4" a="1"/>
  <c r="L678" i="4" s="1"/>
  <c r="L679" i="4" a="1"/>
  <c r="L679" i="4" s="1"/>
  <c r="L145" i="4" a="1"/>
  <c r="L145" i="4" s="1"/>
  <c r="L146" i="4" a="1"/>
  <c r="L146" i="4" s="1"/>
  <c r="L680" i="4" a="1"/>
  <c r="L680" i="4" s="1"/>
  <c r="L681" i="4" a="1"/>
  <c r="L681" i="4" s="1"/>
  <c r="L682" i="4" a="1"/>
  <c r="L682" i="4" s="1"/>
  <c r="L683" i="4" a="1"/>
  <c r="L683" i="4"/>
  <c r="L684" i="4" a="1"/>
  <c r="L684" i="4" s="1"/>
  <c r="L147" i="4" a="1"/>
  <c r="L147" i="4" s="1"/>
  <c r="L685" i="4" a="1"/>
  <c r="L685" i="4" s="1"/>
  <c r="L686" i="4" a="1"/>
  <c r="L686" i="4" s="1"/>
  <c r="L148" i="4" a="1"/>
  <c r="L148" i="4" s="1"/>
  <c r="L687" i="4" a="1"/>
  <c r="L687" i="4" s="1"/>
  <c r="L688" i="4" a="1"/>
  <c r="L688" i="4" s="1"/>
  <c r="L689" i="4" a="1"/>
  <c r="L689" i="4" s="1"/>
  <c r="L149" i="4" a="1"/>
  <c r="L149" i="4" s="1"/>
  <c r="L690" i="4" a="1"/>
  <c r="L690" i="4" s="1"/>
  <c r="L691" i="4" a="1"/>
  <c r="L691" i="4" s="1"/>
  <c r="L150" i="4" a="1"/>
  <c r="L150" i="4" s="1"/>
  <c r="L692" i="4" a="1"/>
  <c r="L692" i="4" s="1"/>
  <c r="L151" i="4" a="1"/>
  <c r="L151" i="4" s="1"/>
  <c r="L693" i="4" a="1"/>
  <c r="L693" i="4" s="1"/>
  <c r="L152" i="4" a="1"/>
  <c r="L152" i="4"/>
  <c r="L153" i="4" a="1"/>
  <c r="L153" i="4"/>
  <c r="L694" i="4" a="1"/>
  <c r="L694" i="4"/>
  <c r="L154" i="4" a="1"/>
  <c r="L154" i="4" s="1"/>
  <c r="L695" i="4" a="1"/>
  <c r="L695" i="4" s="1"/>
  <c r="L696" i="4" a="1"/>
  <c r="L696" i="4" s="1"/>
  <c r="L155" i="4" a="1"/>
  <c r="L155" i="4" s="1"/>
  <c r="L697" i="4" a="1"/>
  <c r="L697" i="4" s="1"/>
  <c r="L698" i="4" a="1"/>
  <c r="L698" i="4" s="1"/>
  <c r="L699" i="4" a="1"/>
  <c r="L699" i="4" s="1"/>
  <c r="L156" i="4" a="1"/>
  <c r="L156" i="4" s="1"/>
  <c r="L700" i="4" a="1"/>
  <c r="L700" i="4" s="1"/>
  <c r="L701" i="4" a="1"/>
  <c r="L701" i="4" s="1"/>
  <c r="L157" i="4" a="1"/>
  <c r="L157" i="4" s="1"/>
  <c r="L158" i="4" a="1"/>
  <c r="L158" i="4" s="1"/>
  <c r="L159" i="4" a="1"/>
  <c r="L159" i="4" s="1"/>
  <c r="L160" i="4" a="1"/>
  <c r="L160" i="4"/>
  <c r="L161" i="4" a="1"/>
  <c r="L161" i="4" s="1"/>
  <c r="L702" i="4" a="1"/>
  <c r="L702" i="4" s="1"/>
  <c r="L162" i="4" a="1"/>
  <c r="L162" i="4" s="1"/>
  <c r="L703" i="4" a="1"/>
  <c r="L703" i="4" s="1"/>
  <c r="L163" i="4" a="1"/>
  <c r="L163" i="4" s="1"/>
  <c r="L704" i="4" a="1"/>
  <c r="L704" i="4" s="1"/>
  <c r="L705" i="4" a="1"/>
  <c r="L705" i="4" s="1"/>
  <c r="L164" i="4" a="1"/>
  <c r="L164" i="4" s="1"/>
  <c r="L706" i="4" a="1"/>
  <c r="L706" i="4" s="1"/>
  <c r="L707" i="4" a="1"/>
  <c r="L707" i="4"/>
  <c r="L165" i="4" a="1"/>
  <c r="L165" i="4" s="1"/>
  <c r="L166" i="4" a="1"/>
  <c r="L166" i="4" s="1"/>
  <c r="L708" i="4" a="1"/>
  <c r="L708" i="4" s="1"/>
  <c r="L709" i="4" a="1"/>
  <c r="L709" i="4" s="1"/>
  <c r="L710" i="4" a="1"/>
  <c r="L710" i="4" s="1"/>
  <c r="L711" i="4" a="1"/>
  <c r="L711" i="4" s="1"/>
  <c r="L712" i="4" a="1"/>
  <c r="L712" i="4" s="1"/>
  <c r="L713" i="4" a="1"/>
  <c r="L713" i="4" s="1"/>
  <c r="L714" i="4" a="1"/>
  <c r="L714" i="4" s="1"/>
  <c r="L167" i="4" a="1"/>
  <c r="L167" i="4" s="1"/>
  <c r="L715" i="4" a="1"/>
  <c r="L715" i="4" s="1"/>
  <c r="L168" i="4" a="1"/>
  <c r="L168" i="4"/>
  <c r="L716" i="4" a="1"/>
  <c r="L716" i="4" s="1"/>
  <c r="L717" i="4" a="1"/>
  <c r="L717" i="4" s="1"/>
  <c r="L169" i="4" a="1"/>
  <c r="L169" i="4" s="1"/>
  <c r="L718" i="4" a="1"/>
  <c r="L718" i="4" s="1"/>
  <c r="L170" i="4" a="1"/>
  <c r="L170" i="4" s="1"/>
  <c r="L719" i="4" a="1"/>
  <c r="L719" i="4" s="1"/>
  <c r="L720" i="4" a="1"/>
  <c r="L720" i="4" s="1"/>
  <c r="L171" i="4" a="1"/>
  <c r="L171" i="4" s="1"/>
  <c r="L172" i="4" a="1"/>
  <c r="L172" i="4" s="1"/>
  <c r="L721" i="4" a="1"/>
  <c r="L721" i="4" s="1"/>
  <c r="L722" i="4" a="1"/>
  <c r="L722" i="4" s="1"/>
  <c r="L723" i="4" a="1"/>
  <c r="L723" i="4" s="1"/>
  <c r="L173" i="4" a="1"/>
  <c r="L173" i="4" s="1"/>
  <c r="L174" i="4" a="1"/>
  <c r="L174" i="4" s="1"/>
  <c r="L175" i="4" a="1"/>
  <c r="L175" i="4" s="1"/>
  <c r="L176" i="4" a="1"/>
  <c r="L176" i="4" s="1"/>
  <c r="L177" i="4" a="1"/>
  <c r="L177" i="4" s="1"/>
  <c r="L178" i="4" a="1"/>
  <c r="L178" i="4" s="1"/>
  <c r="L724" i="4" a="1"/>
  <c r="L724" i="4" s="1"/>
  <c r="L725" i="4" a="1"/>
  <c r="L725" i="4" s="1"/>
  <c r="L179" i="4" a="1"/>
  <c r="L179" i="4" s="1"/>
  <c r="L180" i="4" a="1"/>
  <c r="L180" i="4" s="1"/>
  <c r="L181" i="4" a="1"/>
  <c r="L181" i="4" s="1"/>
  <c r="L726" i="4" a="1"/>
  <c r="L726" i="4" s="1"/>
  <c r="L727" i="4" a="1"/>
  <c r="L727" i="4" s="1"/>
  <c r="L728" i="4" a="1"/>
  <c r="L728" i="4" s="1"/>
  <c r="L182" i="4" a="1"/>
  <c r="L182" i="4" s="1"/>
  <c r="L729" i="4" a="1"/>
  <c r="L729" i="4" s="1"/>
  <c r="L730" i="4" a="1"/>
  <c r="L730" i="4" s="1"/>
  <c r="L183" i="4" a="1"/>
  <c r="L183" i="4" s="1"/>
  <c r="L184" i="4" a="1"/>
  <c r="L184" i="4" s="1"/>
  <c r="L731" i="4" a="1"/>
  <c r="L731" i="4" s="1"/>
  <c r="L732" i="4" a="1"/>
  <c r="L732" i="4" s="1"/>
  <c r="L185" i="4" a="1"/>
  <c r="L185" i="4" s="1"/>
  <c r="L733" i="4" a="1"/>
  <c r="L733" i="4"/>
  <c r="L734" i="4" a="1"/>
  <c r="L734" i="4"/>
  <c r="L735" i="4" a="1"/>
  <c r="L735" i="4" s="1"/>
  <c r="L186" i="4" a="1"/>
  <c r="L186" i="4" s="1"/>
  <c r="L736" i="4" a="1"/>
  <c r="L736" i="4" s="1"/>
  <c r="L737" i="4" a="1"/>
  <c r="L737" i="4" s="1"/>
  <c r="L187" i="4" a="1"/>
  <c r="L187" i="4" s="1"/>
  <c r="L188" i="4" a="1"/>
  <c r="L188" i="4"/>
  <c r="L738" i="4" a="1"/>
  <c r="L738" i="4" s="1"/>
  <c r="L189" i="4" a="1"/>
  <c r="L189" i="4"/>
  <c r="L739" i="4" a="1"/>
  <c r="L739" i="4" s="1"/>
  <c r="L740" i="4" a="1"/>
  <c r="L740" i="4" s="1"/>
  <c r="L190" i="4" a="1"/>
  <c r="L190" i="4" s="1"/>
  <c r="L741" i="4" a="1"/>
  <c r="L741" i="4" s="1"/>
  <c r="L742" i="4" a="1"/>
  <c r="L742" i="4"/>
  <c r="L743" i="4" a="1"/>
  <c r="L743" i="4" s="1"/>
  <c r="L191" i="4" a="1"/>
  <c r="L191" i="4" s="1"/>
  <c r="L744" i="4" a="1"/>
  <c r="L744" i="4" s="1"/>
  <c r="L192" i="4" a="1"/>
  <c r="L192" i="4" s="1"/>
  <c r="L193" i="4" a="1"/>
  <c r="L193" i="4" s="1"/>
  <c r="L745" i="4" a="1"/>
  <c r="L745" i="4" s="1"/>
  <c r="L746" i="4" a="1"/>
  <c r="L746" i="4"/>
  <c r="L747" i="4" a="1"/>
  <c r="L747" i="4" s="1"/>
  <c r="L748" i="4" a="1"/>
  <c r="L748" i="4"/>
  <c r="L194" i="4" a="1"/>
  <c r="L194" i="4" s="1"/>
  <c r="L195" i="4" a="1"/>
  <c r="L195" i="4"/>
  <c r="L749" i="4" a="1"/>
  <c r="L749" i="4" s="1"/>
  <c r="L196" i="4" a="1"/>
  <c r="L196" i="4" s="1"/>
  <c r="L750" i="4" a="1"/>
  <c r="L750" i="4" s="1"/>
  <c r="L751" i="4" a="1"/>
  <c r="L751" i="4" s="1"/>
  <c r="L197" i="4" a="1"/>
  <c r="L197" i="4" s="1"/>
  <c r="L752" i="4" a="1"/>
  <c r="L752" i="4" s="1"/>
  <c r="L198" i="4" a="1"/>
  <c r="L198" i="4" s="1"/>
  <c r="L199" i="4" a="1"/>
  <c r="L199" i="4" s="1"/>
  <c r="L200" i="4" a="1"/>
  <c r="L200" i="4" s="1"/>
  <c r="L753" i="4" a="1"/>
  <c r="L753" i="4" s="1"/>
  <c r="L201" i="4" a="1"/>
  <c r="L201" i="4"/>
  <c r="L202" i="4" a="1"/>
  <c r="L202" i="4"/>
  <c r="L203" i="4" a="1"/>
  <c r="L203" i="4" s="1"/>
  <c r="L754" i="4" a="1"/>
  <c r="L754" i="4" s="1"/>
  <c r="L755" i="4" a="1"/>
  <c r="L755" i="4"/>
  <c r="L204" i="4" a="1"/>
  <c r="L204" i="4" s="1"/>
  <c r="L756" i="4" a="1"/>
  <c r="L756" i="4" s="1"/>
  <c r="L757" i="4" a="1"/>
  <c r="L757" i="4" s="1"/>
  <c r="L758" i="4" a="1"/>
  <c r="L758" i="4" s="1"/>
  <c r="L759" i="4" a="1"/>
  <c r="L759" i="4" s="1"/>
  <c r="L205" i="4" a="1"/>
  <c r="L205" i="4"/>
  <c r="L760" i="4" a="1"/>
  <c r="L760" i="4"/>
  <c r="L761" i="4" a="1"/>
  <c r="L761" i="4" s="1"/>
  <c r="L762" i="4" a="1"/>
  <c r="L762" i="4" s="1"/>
  <c r="L763" i="4" a="1"/>
  <c r="L763" i="4" s="1"/>
  <c r="L764" i="4" a="1"/>
  <c r="L764" i="4" s="1"/>
  <c r="L765" i="4" a="1"/>
  <c r="L765" i="4" s="1"/>
  <c r="L206" i="4" a="1"/>
  <c r="L206" i="4" s="1"/>
  <c r="L766" i="4" a="1"/>
  <c r="L766" i="4" s="1"/>
  <c r="L767" i="4" a="1"/>
  <c r="L767" i="4" s="1"/>
  <c r="L768" i="4" a="1"/>
  <c r="L768" i="4" s="1"/>
  <c r="L769" i="4" a="1"/>
  <c r="L769" i="4"/>
  <c r="L770" i="4" a="1"/>
  <c r="L770" i="4" s="1"/>
  <c r="L207" i="4" a="1"/>
  <c r="L207" i="4" s="1"/>
  <c r="L771" i="4" a="1"/>
  <c r="L771" i="4" s="1"/>
  <c r="L772" i="4" a="1"/>
  <c r="L772" i="4" s="1"/>
  <c r="L208" i="4" a="1"/>
  <c r="L208" i="4" s="1"/>
  <c r="L773" i="4" a="1"/>
  <c r="L773" i="4" s="1"/>
  <c r="L774" i="4" a="1"/>
  <c r="L774" i="4" s="1"/>
  <c r="L775" i="4" a="1"/>
  <c r="L775" i="4"/>
  <c r="L776" i="4" a="1"/>
  <c r="L776" i="4" s="1"/>
  <c r="L777" i="4" a="1"/>
  <c r="L777" i="4" s="1"/>
  <c r="L778" i="4" a="1"/>
  <c r="L778" i="4" s="1"/>
  <c r="L779" i="4" a="1"/>
  <c r="L779" i="4" s="1"/>
  <c r="L780" i="4" a="1"/>
  <c r="L780" i="4" s="1"/>
  <c r="L781" i="4" a="1"/>
  <c r="L781" i="4" s="1"/>
  <c r="L782" i="4" a="1"/>
  <c r="L782" i="4" s="1"/>
  <c r="L783" i="4" a="1"/>
  <c r="L783" i="4" s="1"/>
  <c r="L784" i="4" a="1"/>
  <c r="L784" i="4" s="1"/>
  <c r="L785" i="4" a="1"/>
  <c r="L785" i="4" s="1"/>
  <c r="L786" i="4" a="1"/>
  <c r="L786" i="4" s="1"/>
  <c r="L787" i="4" a="1"/>
  <c r="L787" i="4" s="1"/>
  <c r="L788" i="4" a="1"/>
  <c r="L788" i="4"/>
  <c r="L789" i="4" a="1"/>
  <c r="L789" i="4" s="1"/>
  <c r="L790" i="4" a="1"/>
  <c r="L790" i="4"/>
  <c r="L791" i="4" a="1"/>
  <c r="L791" i="4" s="1"/>
  <c r="L792" i="4" a="1"/>
  <c r="L792" i="4" s="1"/>
  <c r="L793" i="4" a="1"/>
  <c r="L793" i="4" s="1"/>
  <c r="L794" i="4" a="1"/>
  <c r="L794" i="4" s="1"/>
  <c r="L209" i="4" a="1"/>
  <c r="L209" i="4" s="1"/>
  <c r="L210" i="4" a="1"/>
  <c r="L210" i="4" s="1"/>
  <c r="L795" i="4" a="1"/>
  <c r="L795" i="4"/>
  <c r="L796" i="4" a="1"/>
  <c r="L796" i="4" s="1"/>
  <c r="L797" i="4" a="1"/>
  <c r="L797" i="4" s="1"/>
  <c r="L798" i="4" a="1"/>
  <c r="L798" i="4" s="1"/>
  <c r="L211" i="4" a="1"/>
  <c r="L211" i="4" s="1"/>
  <c r="L212" i="4" a="1"/>
  <c r="L212" i="4" s="1"/>
  <c r="L799" i="4" a="1"/>
  <c r="L799" i="4" s="1"/>
  <c r="L800" i="4" a="1"/>
  <c r="L800" i="4"/>
  <c r="L801" i="4" a="1"/>
  <c r="L801" i="4" s="1"/>
  <c r="L213" i="4" a="1"/>
  <c r="L213" i="4" s="1"/>
  <c r="L802" i="4" a="1"/>
  <c r="L802" i="4" s="1"/>
  <c r="L803" i="4" a="1"/>
  <c r="L803" i="4" s="1"/>
  <c r="L214" i="4" a="1"/>
  <c r="L214" i="4" s="1"/>
  <c r="L804" i="4" a="1"/>
  <c r="L804" i="4" s="1"/>
  <c r="L805" i="4" a="1"/>
  <c r="L805" i="4" s="1"/>
  <c r="L806" i="4" a="1"/>
  <c r="L806" i="4" s="1"/>
  <c r="L807" i="4" a="1"/>
  <c r="L807" i="4" s="1"/>
  <c r="L808" i="4" a="1"/>
  <c r="L808" i="4"/>
  <c r="L215" i="4" a="1"/>
  <c r="L215" i="4" s="1"/>
  <c r="L216" i="4" a="1"/>
  <c r="L216" i="4" s="1"/>
  <c r="L217" i="4" a="1"/>
  <c r="L217" i="4" s="1"/>
  <c r="L809" i="4" a="1"/>
  <c r="L809" i="4" s="1"/>
  <c r="L218" i="4" a="1"/>
  <c r="L218" i="4" s="1"/>
  <c r="L810" i="4" a="1"/>
  <c r="L810" i="4" s="1"/>
  <c r="L811" i="4" a="1"/>
  <c r="L811" i="4" s="1"/>
  <c r="L219" i="4" a="1"/>
  <c r="L219" i="4" s="1"/>
  <c r="L220" i="4" a="1"/>
  <c r="L220" i="4" s="1"/>
  <c r="L812" i="4" a="1"/>
  <c r="L812" i="4" s="1"/>
  <c r="L813" i="4" a="1"/>
  <c r="L813" i="4" s="1"/>
  <c r="L221" i="4" a="1"/>
  <c r="L221" i="4" s="1"/>
  <c r="L814" i="4" a="1"/>
  <c r="L814" i="4" s="1"/>
  <c r="L815" i="4" a="1"/>
  <c r="L815" i="4"/>
  <c r="L816" i="4" a="1"/>
  <c r="L816" i="4"/>
  <c r="L817" i="4" a="1"/>
  <c r="L817" i="4" s="1"/>
  <c r="L222" i="4" a="1"/>
  <c r="L222" i="4" s="1"/>
  <c r="L818" i="4" a="1"/>
  <c r="L818" i="4" s="1"/>
  <c r="L819" i="4" a="1"/>
  <c r="L819" i="4" s="1"/>
  <c r="L223" i="4" a="1"/>
  <c r="L223" i="4" s="1"/>
  <c r="L820" i="4" a="1"/>
  <c r="L820" i="4" s="1"/>
  <c r="L821" i="4" a="1"/>
  <c r="L821" i="4" s="1"/>
  <c r="L822" i="4" a="1"/>
  <c r="L822" i="4" s="1"/>
  <c r="L823" i="4" a="1"/>
  <c r="L823" i="4" s="1"/>
  <c r="L824" i="4" a="1"/>
  <c r="L824" i="4" s="1"/>
  <c r="L825" i="4" a="1"/>
  <c r="L825" i="4" s="1"/>
  <c r="L826" i="4" a="1"/>
  <c r="L826" i="4" s="1"/>
  <c r="L224" i="4" a="1"/>
  <c r="L224" i="4" s="1"/>
  <c r="L827" i="4" a="1"/>
  <c r="L827" i="4" s="1"/>
  <c r="L828" i="4" a="1"/>
  <c r="L828" i="4" s="1"/>
  <c r="L829" i="4" a="1"/>
  <c r="L829" i="4" s="1"/>
  <c r="L225" i="4" a="1"/>
  <c r="L225" i="4" s="1"/>
  <c r="L830" i="4" a="1"/>
  <c r="L830" i="4" s="1"/>
  <c r="L831" i="4" a="1"/>
  <c r="L831" i="4" s="1"/>
  <c r="L226" i="4" a="1"/>
  <c r="L226" i="4" s="1"/>
  <c r="L227" i="4" a="1"/>
  <c r="L227" i="4" s="1"/>
  <c r="L832" i="4" a="1"/>
  <c r="L832" i="4" s="1"/>
  <c r="L228" i="4" a="1"/>
  <c r="L228" i="4"/>
  <c r="L833" i="4" a="1"/>
  <c r="L833" i="4" s="1"/>
  <c r="L229" i="4" a="1"/>
  <c r="L229" i="4"/>
  <c r="L834" i="4" a="1"/>
  <c r="L834" i="4" s="1"/>
  <c r="L230" i="4" a="1"/>
  <c r="L230" i="4" s="1"/>
  <c r="L835" i="4" a="1"/>
  <c r="L835" i="4" s="1"/>
  <c r="L231" i="4" a="1"/>
  <c r="L231" i="4" s="1"/>
  <c r="L836" i="4" a="1"/>
  <c r="L836" i="4" s="1"/>
  <c r="L837" i="4" a="1"/>
  <c r="L837" i="4" s="1"/>
  <c r="L232" i="4" a="1"/>
  <c r="L232" i="4" s="1"/>
  <c r="L838" i="4" a="1"/>
  <c r="L838" i="4" s="1"/>
  <c r="L839" i="4" a="1"/>
  <c r="L839" i="4" s="1"/>
  <c r="L840" i="4" a="1"/>
  <c r="L840" i="4" s="1"/>
  <c r="L841" i="4" a="1"/>
  <c r="L841" i="4" s="1"/>
  <c r="L233" i="4" a="1"/>
  <c r="L233" i="4" s="1"/>
  <c r="L842" i="4" a="1"/>
  <c r="L842" i="4" s="1"/>
  <c r="L843" i="4" a="1"/>
  <c r="L843" i="4" s="1"/>
  <c r="L844" i="4" a="1"/>
  <c r="L844" i="4" s="1"/>
  <c r="L234" i="4" a="1"/>
  <c r="L234" i="4" s="1"/>
  <c r="L845" i="4" a="1"/>
  <c r="L845" i="4" s="1"/>
  <c r="L846" i="4" a="1"/>
  <c r="L846" i="4" s="1"/>
  <c r="L847" i="4" a="1"/>
  <c r="L847" i="4" s="1"/>
  <c r="L848" i="4" a="1"/>
  <c r="L848" i="4" s="1"/>
  <c r="L235" i="4" a="1"/>
  <c r="L235" i="4" s="1"/>
  <c r="L849" i="4" a="1"/>
  <c r="L849" i="4"/>
  <c r="L850" i="4" a="1"/>
  <c r="L850" i="4" s="1"/>
  <c r="L236" i="4" a="1"/>
  <c r="L236" i="4"/>
  <c r="L851" i="4" a="1"/>
  <c r="L851" i="4" s="1"/>
  <c r="L852" i="4" a="1"/>
  <c r="L852" i="4" s="1"/>
  <c r="L853" i="4" a="1"/>
  <c r="L853" i="4" s="1"/>
  <c r="L854" i="4" a="1"/>
  <c r="L854" i="4" s="1"/>
  <c r="L237" i="4" a="1"/>
  <c r="L237" i="4" s="1"/>
  <c r="L238" i="4" a="1"/>
  <c r="L238" i="4" s="1"/>
  <c r="L239" i="4" a="1"/>
  <c r="L239" i="4" s="1"/>
  <c r="L855" i="4" a="1"/>
  <c r="L855" i="4"/>
  <c r="L856" i="4" a="1"/>
  <c r="L856" i="4" s="1"/>
  <c r="L857" i="4" a="1"/>
  <c r="L857" i="4" s="1"/>
  <c r="L858" i="4" a="1"/>
  <c r="L858" i="4" s="1"/>
  <c r="L859" i="4" a="1"/>
  <c r="L859" i="4" s="1"/>
  <c r="L240" i="4" a="1"/>
  <c r="L240" i="4" s="1"/>
  <c r="L860" i="4" a="1"/>
  <c r="L860" i="4"/>
  <c r="L861" i="4" a="1"/>
  <c r="L861" i="4" s="1"/>
  <c r="L862" i="4" a="1"/>
  <c r="L862" i="4" s="1"/>
  <c r="L863" i="4" a="1"/>
  <c r="L863" i="4" s="1"/>
  <c r="L864" i="4" a="1"/>
  <c r="L864" i="4" s="1"/>
  <c r="L865" i="4" a="1"/>
  <c r="L865" i="4" s="1"/>
  <c r="L866" i="4" a="1"/>
  <c r="L866" i="4" s="1"/>
  <c r="L867" i="4" a="1"/>
  <c r="L867" i="4" s="1"/>
  <c r="L241" i="4" a="1"/>
  <c r="L241" i="4"/>
  <c r="L868" i="4" a="1"/>
  <c r="L868" i="4" s="1"/>
  <c r="L869" i="4" a="1"/>
  <c r="L869" i="4"/>
  <c r="L870" i="4" a="1"/>
  <c r="L870" i="4"/>
  <c r="L242" i="4" a="1"/>
  <c r="L242" i="4" s="1"/>
  <c r="L871" i="4" a="1"/>
  <c r="L871" i="4" s="1"/>
  <c r="L872" i="4" a="1"/>
  <c r="L872" i="4" s="1"/>
  <c r="L243" i="4" a="1"/>
  <c r="L243" i="4" s="1"/>
  <c r="L244" i="4" a="1"/>
  <c r="L244" i="4" s="1"/>
  <c r="L245" i="4" a="1"/>
  <c r="L245" i="4" s="1"/>
  <c r="L873" i="4" a="1"/>
  <c r="L873" i="4"/>
  <c r="L874" i="4" a="1"/>
  <c r="L874" i="4" s="1"/>
  <c r="L875" i="4" a="1"/>
  <c r="L875" i="4" s="1"/>
  <c r="L876" i="4" a="1"/>
  <c r="L876" i="4" s="1"/>
  <c r="L246" i="4" a="1"/>
  <c r="L246" i="4" s="1"/>
  <c r="L877" i="4" a="1"/>
  <c r="L877" i="4" s="1"/>
  <c r="L878" i="4" a="1"/>
  <c r="L878" i="4" s="1"/>
  <c r="L247" i="4" a="1"/>
  <c r="L247" i="4" s="1"/>
  <c r="L879" i="4" a="1"/>
  <c r="L879" i="4" s="1"/>
  <c r="L880" i="4" a="1"/>
  <c r="L880" i="4" s="1"/>
  <c r="L881" i="4" a="1"/>
  <c r="L881" i="4" s="1"/>
  <c r="L248" i="4" a="1"/>
  <c r="L248" i="4" s="1"/>
  <c r="L249" i="4" a="1"/>
  <c r="L249" i="4" s="1"/>
  <c r="L250" i="4" a="1"/>
  <c r="L250" i="4" s="1"/>
  <c r="L882" i="4" a="1"/>
  <c r="L882" i="4"/>
  <c r="L883" i="4" a="1"/>
  <c r="L883" i="4"/>
  <c r="L251" i="4" a="1"/>
  <c r="L251" i="4" s="1"/>
  <c r="L252" i="4" a="1"/>
  <c r="L252" i="4" s="1"/>
  <c r="L884" i="4" a="1"/>
  <c r="L884" i="4" s="1"/>
  <c r="L253" i="4" a="1"/>
  <c r="L253" i="4" s="1"/>
  <c r="L254" i="4" a="1"/>
  <c r="L254" i="4" s="1"/>
  <c r="L885" i="4" a="1"/>
  <c r="L885" i="4" s="1"/>
  <c r="L886" i="4" a="1"/>
  <c r="L886" i="4" s="1"/>
  <c r="L887" i="4" a="1"/>
  <c r="L887" i="4" s="1"/>
  <c r="L888" i="4" a="1"/>
  <c r="L888" i="4" s="1"/>
  <c r="L255" i="4" a="1"/>
  <c r="L255" i="4" s="1"/>
  <c r="L889" i="4" a="1"/>
  <c r="L889" i="4" s="1"/>
  <c r="L256" i="4" a="1"/>
  <c r="L256" i="4" s="1"/>
  <c r="L890" i="4" a="1"/>
  <c r="L890" i="4" s="1"/>
  <c r="L891" i="4" a="1"/>
  <c r="L891" i="4" s="1"/>
  <c r="L892" i="4" a="1"/>
  <c r="L892" i="4" s="1"/>
  <c r="L257" i="4" a="1"/>
  <c r="L257" i="4" s="1"/>
  <c r="L893" i="4" a="1"/>
  <c r="L893" i="4" s="1"/>
  <c r="L894" i="4" a="1"/>
  <c r="L894" i="4" s="1"/>
  <c r="L258" i="4" a="1"/>
  <c r="L258" i="4" s="1"/>
  <c r="L259" i="4" a="1"/>
  <c r="L259" i="4" s="1"/>
  <c r="L895" i="4" a="1"/>
  <c r="L895" i="4" s="1"/>
  <c r="L896" i="4" a="1"/>
  <c r="L896" i="4" s="1"/>
  <c r="L260" i="4" a="1"/>
  <c r="L260" i="4"/>
  <c r="L897" i="4" a="1"/>
  <c r="L897" i="4" s="1"/>
  <c r="L898" i="4" a="1"/>
  <c r="L898" i="4"/>
  <c r="L899" i="4" a="1"/>
  <c r="L899" i="4" s="1"/>
  <c r="L900" i="4" a="1"/>
  <c r="L900" i="4" s="1"/>
  <c r="L261" i="4" a="1"/>
  <c r="L261" i="4" s="1"/>
  <c r="L901" i="4" a="1"/>
  <c r="L901" i="4" s="1"/>
  <c r="L902" i="4" a="1"/>
  <c r="L902" i="4" s="1"/>
  <c r="L262" i="4" a="1"/>
  <c r="L262" i="4" s="1"/>
  <c r="L263" i="4" a="1"/>
  <c r="L263" i="4" s="1"/>
  <c r="L903" i="4" a="1"/>
  <c r="L903" i="4"/>
  <c r="L264" i="4" a="1"/>
  <c r="L264" i="4" s="1"/>
  <c r="L904" i="4" a="1"/>
  <c r="L904" i="4" s="1"/>
  <c r="L905" i="4" a="1"/>
  <c r="L905" i="4" s="1"/>
  <c r="L906" i="4" a="1"/>
  <c r="L906" i="4" s="1"/>
  <c r="L907" i="4" a="1"/>
  <c r="L907" i="4" s="1"/>
  <c r="L908" i="4" a="1"/>
  <c r="L908" i="4"/>
  <c r="L909" i="4" a="1"/>
  <c r="L909" i="4" s="1"/>
  <c r="L910" i="4" a="1"/>
  <c r="L910" i="4" s="1"/>
  <c r="L911" i="4" a="1"/>
  <c r="L911" i="4" s="1"/>
  <c r="L912" i="4" a="1"/>
  <c r="L912" i="4" s="1"/>
  <c r="L913" i="4" a="1"/>
  <c r="L913" i="4" s="1"/>
  <c r="L914" i="4" a="1"/>
  <c r="L914" i="4" s="1"/>
  <c r="L915" i="4" a="1"/>
  <c r="L915" i="4" s="1"/>
  <c r="L916" i="4" a="1"/>
  <c r="L916" i="4"/>
  <c r="L265" i="4" a="1"/>
  <c r="L265" i="4" s="1"/>
  <c r="L917" i="4" a="1"/>
  <c r="L917" i="4" s="1"/>
  <c r="L918" i="4" a="1"/>
  <c r="L918" i="4" s="1"/>
  <c r="L919" i="4" a="1"/>
  <c r="L919" i="4" s="1"/>
  <c r="L920" i="4" a="1"/>
  <c r="L920" i="4" s="1"/>
  <c r="L921" i="4" a="1"/>
  <c r="L921" i="4" s="1"/>
  <c r="L266" i="4" a="1"/>
  <c r="L266" i="4" s="1"/>
  <c r="L267" i="4" a="1"/>
  <c r="L267" i="4" s="1"/>
  <c r="L922" i="4" a="1"/>
  <c r="L922" i="4" s="1"/>
  <c r="L268" i="4" a="1"/>
  <c r="L268" i="4" s="1"/>
  <c r="L923" i="4" a="1"/>
  <c r="L923" i="4" s="1"/>
  <c r="L924" i="4" a="1"/>
  <c r="L924" i="4" s="1"/>
  <c r="L925" i="4" a="1"/>
  <c r="L925" i="4" s="1"/>
  <c r="L926" i="4" a="1"/>
  <c r="L926" i="4" s="1"/>
  <c r="L927" i="4" a="1"/>
  <c r="L927" i="4" s="1"/>
  <c r="L928" i="4" a="1"/>
  <c r="L928" i="4"/>
  <c r="L929" i="4" a="1"/>
  <c r="L929" i="4"/>
  <c r="L930" i="4" a="1"/>
  <c r="L930" i="4" s="1"/>
  <c r="L931" i="4" a="1"/>
  <c r="L931" i="4" s="1"/>
  <c r="L932" i="4" a="1"/>
  <c r="L932" i="4" s="1"/>
  <c r="L933" i="4" a="1"/>
  <c r="L933" i="4" s="1"/>
  <c r="L269" i="4" a="1"/>
  <c r="L269" i="4" s="1"/>
  <c r="L270" i="4" a="1"/>
  <c r="L270" i="4" s="1"/>
  <c r="L934" i="4" a="1"/>
  <c r="L934" i="4"/>
  <c r="L935" i="4" a="1"/>
  <c r="L935" i="4" s="1"/>
  <c r="L936" i="4" a="1"/>
  <c r="L936" i="4"/>
  <c r="L937" i="4" a="1"/>
  <c r="L937" i="4" s="1"/>
  <c r="L938" i="4" a="1"/>
  <c r="L938" i="4" s="1"/>
  <c r="L939" i="4" a="1"/>
  <c r="L939" i="4" s="1"/>
  <c r="L940" i="4" a="1"/>
  <c r="L940" i="4" s="1"/>
  <c r="L941" i="4" a="1"/>
  <c r="L941" i="4" s="1"/>
  <c r="L942" i="4" a="1"/>
  <c r="L942" i="4" s="1"/>
  <c r="L943" i="4" a="1"/>
  <c r="L943" i="4" s="1"/>
  <c r="L271" i="4" a="1"/>
  <c r="L271" i="4" s="1"/>
  <c r="L944" i="4" a="1"/>
  <c r="L944" i="4" s="1"/>
  <c r="L945" i="4" a="1"/>
  <c r="L945" i="4" s="1"/>
  <c r="L272" i="4" a="1"/>
  <c r="L272" i="4" s="1"/>
  <c r="L273" i="4" a="1"/>
  <c r="L273" i="4" s="1"/>
  <c r="L946" i="4" a="1"/>
  <c r="L946" i="4" s="1"/>
  <c r="L274" i="4" a="1"/>
  <c r="L274" i="4" s="1"/>
  <c r="L275" i="4" a="1"/>
  <c r="L275" i="4" s="1"/>
  <c r="L276" i="4" a="1"/>
  <c r="L276" i="4" s="1"/>
  <c r="L947" i="4" a="1"/>
  <c r="L947" i="4" s="1"/>
  <c r="L948" i="4" a="1"/>
  <c r="L948" i="4" s="1"/>
  <c r="L277" i="4" a="1"/>
  <c r="L277" i="4" s="1"/>
  <c r="L949" i="4" a="1"/>
  <c r="L949" i="4" s="1"/>
  <c r="L278" i="4" a="1"/>
  <c r="L278" i="4" s="1"/>
  <c r="L279" i="4" a="1"/>
  <c r="L279" i="4" s="1"/>
  <c r="L950" i="4" a="1"/>
  <c r="L950" i="4" s="1"/>
  <c r="L280" i="4" a="1"/>
  <c r="L280" i="4" s="1"/>
  <c r="L951" i="4" a="1"/>
  <c r="L951" i="4" s="1"/>
  <c r="L952" i="4" a="1"/>
  <c r="L952" i="4" s="1"/>
  <c r="L953" i="4" a="1"/>
  <c r="L953" i="4" s="1"/>
  <c r="L281" i="4" a="1"/>
  <c r="L281" i="4" s="1"/>
  <c r="L954" i="4" a="1"/>
  <c r="L954" i="4" s="1"/>
  <c r="L955" i="4" a="1"/>
  <c r="L955" i="4" s="1"/>
  <c r="L956" i="4" a="1"/>
  <c r="L956" i="4" s="1"/>
  <c r="L282" i="4" a="1"/>
  <c r="L282" i="4" s="1"/>
  <c r="L283" i="4" a="1"/>
  <c r="L283" i="4"/>
  <c r="L957" i="4" a="1"/>
  <c r="L957" i="4" s="1"/>
  <c r="L284" i="4" a="1"/>
  <c r="L284" i="4" s="1"/>
  <c r="L958" i="4" a="1"/>
  <c r="L958" i="4" s="1"/>
  <c r="L959" i="4" a="1"/>
  <c r="L959" i="4" s="1"/>
  <c r="L960" i="4" a="1"/>
  <c r="L960" i="4" s="1"/>
  <c r="L961" i="4" a="1"/>
  <c r="L961" i="4" s="1"/>
  <c r="L962" i="4" a="1"/>
  <c r="L962" i="4" s="1"/>
  <c r="L963" i="4" a="1"/>
  <c r="L963" i="4" s="1"/>
  <c r="L964" i="4" a="1"/>
  <c r="L964" i="4" s="1"/>
  <c r="L285" i="4" a="1"/>
  <c r="L285" i="4" s="1"/>
  <c r="L965" i="4" a="1"/>
  <c r="L965" i="4" s="1"/>
  <c r="L286" i="4" a="1"/>
  <c r="L286" i="4" s="1"/>
  <c r="L287" i="4" a="1"/>
  <c r="L287" i="4"/>
  <c r="L966" i="4" a="1"/>
  <c r="L966" i="4" s="1"/>
  <c r="L288" i="4" a="1"/>
  <c r="L288" i="4" s="1"/>
  <c r="L289" i="4" a="1"/>
  <c r="L289" i="4" s="1"/>
  <c r="L290" i="4" a="1"/>
  <c r="L290" i="4" s="1"/>
  <c r="L967" i="4" a="1"/>
  <c r="L967" i="4" s="1"/>
  <c r="L968" i="4" a="1"/>
  <c r="L968" i="4" s="1"/>
  <c r="L969" i="4" a="1"/>
  <c r="L969" i="4" s="1"/>
  <c r="L970" i="4" a="1"/>
  <c r="L970" i="4" s="1"/>
  <c r="L291" i="4" a="1"/>
  <c r="L291" i="4"/>
  <c r="L971" i="4" a="1"/>
  <c r="L971" i="4" s="1"/>
  <c r="L972" i="4" a="1"/>
  <c r="L972" i="4" s="1"/>
  <c r="L973" i="4" a="1"/>
  <c r="L973" i="4" s="1"/>
  <c r="L974" i="4" a="1"/>
  <c r="L974" i="4" s="1"/>
  <c r="L292" i="4" a="1"/>
  <c r="L292" i="4" s="1"/>
  <c r="L975" i="4" a="1"/>
  <c r="L975" i="4" s="1"/>
  <c r="L976" i="4" a="1"/>
  <c r="L976" i="4" s="1"/>
  <c r="L293" i="4" a="1"/>
  <c r="L293" i="4" s="1"/>
  <c r="L977" i="4" a="1"/>
  <c r="L977" i="4" s="1"/>
  <c r="L978" i="4" a="1"/>
  <c r="L978" i="4" s="1"/>
  <c r="L979" i="4" a="1"/>
  <c r="L979" i="4" s="1"/>
  <c r="L980" i="4" a="1"/>
  <c r="L980" i="4" s="1"/>
  <c r="L981" i="4" a="1"/>
  <c r="L981" i="4" s="1"/>
  <c r="L294" i="4" a="1"/>
  <c r="L294" i="4" s="1"/>
  <c r="L295" i="4" a="1"/>
  <c r="L295" i="4"/>
  <c r="L982" i="4" a="1"/>
  <c r="L982" i="4" s="1"/>
  <c r="L983" i="4" a="1"/>
  <c r="L983" i="4"/>
  <c r="L984" i="4" a="1"/>
  <c r="L984" i="4" s="1"/>
  <c r="L985" i="4" a="1"/>
  <c r="L985" i="4" s="1"/>
  <c r="L296" i="4" a="1"/>
  <c r="L296" i="4" s="1"/>
  <c r="L297" i="4" a="1"/>
  <c r="L297" i="4" s="1"/>
  <c r="L298" i="4" a="1"/>
  <c r="L298" i="4" s="1"/>
  <c r="L299" i="4" a="1"/>
  <c r="L299" i="4" s="1"/>
  <c r="L986" i="4" a="1"/>
  <c r="L986" i="4" s="1"/>
  <c r="L300" i="4" a="1"/>
  <c r="L300" i="4" s="1"/>
  <c r="L987" i="4" a="1"/>
  <c r="L987" i="4" s="1"/>
  <c r="L988" i="4" a="1"/>
  <c r="L988" i="4" s="1"/>
  <c r="L989" i="4" a="1"/>
  <c r="L989" i="4" s="1"/>
  <c r="L990" i="4" a="1"/>
  <c r="L990" i="4" s="1"/>
  <c r="L991" i="4" a="1"/>
  <c r="L991" i="4" s="1"/>
  <c r="L992" i="4" a="1"/>
  <c r="L992" i="4"/>
  <c r="L993" i="4" a="1"/>
  <c r="L993" i="4" s="1"/>
  <c r="L994" i="4" a="1"/>
  <c r="L994" i="4"/>
  <c r="L995" i="4" a="1"/>
  <c r="L995" i="4" s="1"/>
  <c r="L996" i="4" a="1"/>
  <c r="L996" i="4" s="1"/>
  <c r="L997" i="4" a="1"/>
  <c r="L997" i="4" s="1"/>
  <c r="L998" i="4" a="1"/>
  <c r="L998" i="4" s="1"/>
  <c r="L999" i="4" a="1"/>
  <c r="L999" i="4" s="1"/>
  <c r="L1000" i="4" a="1"/>
  <c r="L1000" i="4"/>
  <c r="L301" i="4" a="1"/>
  <c r="L301" i="4" s="1"/>
  <c r="L1001" i="4" a="1"/>
  <c r="L1001" i="4"/>
  <c r="L302" i="4" a="1"/>
  <c r="L302" i="4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2" i="3"/>
  <c r="V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7220F-D602-49BC-9B41-FC265C552BE3}" keepAlive="1" name="Запит – german_credit_cleaned" description="Підключення до запита &quot;german_credit_cleaned&quot; у книзі." type="5" refreshedVersion="7" background="1" saveData="1">
    <dbPr connection="Provider=Microsoft.Mashup.OleDb.1;Data Source=$Workbook$;Location=german_credit_cleaned;Extended Properties=&quot;&quot;" command="SELECT * FROM [german_credit_cleaned]"/>
  </connection>
  <connection id="2" xr16:uid="{94ACDC8D-F802-43EB-9FEF-913489908E9C}" keepAlive="1" name="Запит – german_credit_cleaned (2)" description="Підключення до запита &quot;german_credit_cleaned (2)&quot; у книзі." type="5" refreshedVersion="7" background="1" saveData="1">
    <dbPr connection="Provider=Microsoft.Mashup.OleDb.1;Data Source=$Workbook$;Location=&quot;german_credit_cleaned (2)&quot;;Extended Properties=&quot;&quot;" command="SELECT * FROM [german_credit_cleaned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<sst xmlns="http://schemas.openxmlformats.org/spreadsheetml/2006/main" count="36201" uniqueCount="148">
  <si>
    <t>Status</t>
  </si>
  <si>
    <t>Duration</t>
  </si>
  <si>
    <t>CreditHistory</t>
  </si>
  <si>
    <t>Purpose</t>
  </si>
  <si>
    <t>Amount</t>
  </si>
  <si>
    <t>Savings</t>
  </si>
  <si>
    <t>Employment</t>
  </si>
  <si>
    <t>InstallmentRate</t>
  </si>
  <si>
    <t>PersonalStatus</t>
  </si>
  <si>
    <t>OtherDebtors</t>
  </si>
  <si>
    <t>ResidenceTime</t>
  </si>
  <si>
    <t>Property</t>
  </si>
  <si>
    <t>Age</t>
  </si>
  <si>
    <t>OtherInstallmentPlans</t>
  </si>
  <si>
    <t>Housing</t>
  </si>
  <si>
    <t>ExistingCredits</t>
  </si>
  <si>
    <t>Job</t>
  </si>
  <si>
    <t>Dependents</t>
  </si>
  <si>
    <t>Telephone</t>
  </si>
  <si>
    <t>ForeignWorker</t>
  </si>
  <si>
    <t>CreditRisk</t>
  </si>
  <si>
    <t>A11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</si>
  <si>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</si>
  <si>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</si>
  <si>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</si>
  <si>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</si>
  <si>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</si>
  <si>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</si>
  <si>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</si>
  <si>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</si>
  <si>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</si>
  <si>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</si>
  <si>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</si>
  <si>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</si>
  <si>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Good</t>
  </si>
  <si>
    <t>A12</t>
  </si>
  <si>
    <t>A32</t>
  </si>
  <si>
    <t>A61</t>
  </si>
  <si>
    <t>A73</t>
  </si>
  <si>
    <t>A92</t>
  </si>
  <si>
    <t>A191</t>
  </si>
  <si>
    <t>Bad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</si>
  <si>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</si>
  <si>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</si>
  <si>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</si>
  <si>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</si>
  <si>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</si>
  <si>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</si>
  <si>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</si>
  <si>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</si>
  <si>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</si>
  <si>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</si>
  <si>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</si>
  <si>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</si>
  <si>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</si>
  <si>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</si>
  <si>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</si>
  <si>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</si>
  <si>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</si>
  <si>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</si>
  <si>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</si>
  <si>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</si>
  <si>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</si>
  <si>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</si>
  <si>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</si>
  <si>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</si>
  <si>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</si>
  <si>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</si>
  <si>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</si>
  <si>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</si>
  <si>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</si>
  <si>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</si>
  <si>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</si>
  <si>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</si>
  <si>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</si>
  <si>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</si>
  <si>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</si>
  <si>
    <t>Low balance</t>
  </si>
  <si>
    <t>No information</t>
  </si>
  <si>
    <t>StatusCode</t>
  </si>
  <si>
    <t>Negative balance</t>
  </si>
  <si>
    <t>Normal balance</t>
  </si>
  <si>
    <t>StatusName</t>
  </si>
  <si>
    <t>PurposeCode</t>
  </si>
  <si>
    <t>PurposeName</t>
  </si>
  <si>
    <t>A47</t>
  </si>
  <si>
    <t>car (new)</t>
  </si>
  <si>
    <t>car (used)</t>
  </si>
  <si>
    <t>furniture/equipment</t>
  </si>
  <si>
    <t>radio/television</t>
  </si>
  <si>
    <t>domestic appliances</t>
  </si>
  <si>
    <t>repairs</t>
  </si>
  <si>
    <t>education</t>
  </si>
  <si>
    <t>retraining</t>
  </si>
  <si>
    <t>business</t>
  </si>
  <si>
    <t>others</t>
  </si>
  <si>
    <t>vacation</t>
  </si>
  <si>
    <t>SavingsCode</t>
  </si>
  <si>
    <t>SavingsName</t>
  </si>
  <si>
    <t>Less 100</t>
  </si>
  <si>
    <t>Up to 500</t>
  </si>
  <si>
    <t>Up to 1000</t>
  </si>
  <si>
    <t>More 1000</t>
  </si>
  <si>
    <t>PersonalStatusCode</t>
  </si>
  <si>
    <t>A95</t>
  </si>
  <si>
    <t>male : divorced/separated</t>
  </si>
  <si>
    <t>female : divorced/separated/married</t>
  </si>
  <si>
    <t>male : single</t>
  </si>
  <si>
    <t>male : married/widowed</t>
  </si>
  <si>
    <t>female : single</t>
  </si>
  <si>
    <t>PersonalSatusName</t>
  </si>
  <si>
    <t>JobCode</t>
  </si>
  <si>
    <t>unemployed/ unskilled  - non-resident</t>
  </si>
  <si>
    <t>unskilled - resident</t>
  </si>
  <si>
    <t>skilled employee / official</t>
  </si>
  <si>
    <t>management/ self-employed/ highly qualified employee/ officer</t>
  </si>
  <si>
    <t>JobName</t>
  </si>
  <si>
    <t>HousingName</t>
  </si>
  <si>
    <t>HousingCode</t>
  </si>
  <si>
    <t>rent</t>
  </si>
  <si>
    <t>own</t>
  </si>
  <si>
    <t>for free</t>
  </si>
  <si>
    <t xml:space="preserve">male </t>
  </si>
  <si>
    <t xml:space="preserve"> single</t>
  </si>
  <si>
    <t xml:space="preserve">female </t>
  </si>
  <si>
    <t xml:space="preserve"> divorced/separated/married</t>
  </si>
  <si>
    <t xml:space="preserve"> divorced/separated</t>
  </si>
  <si>
    <t xml:space="preserve"> married/widowed</t>
  </si>
  <si>
    <t>FamilyStatus</t>
  </si>
  <si>
    <t>AmountCategory</t>
  </si>
  <si>
    <t>Позначки рядків</t>
  </si>
  <si>
    <t>Загальний підсумок</t>
  </si>
  <si>
    <t>Hight</t>
  </si>
  <si>
    <t xml:space="preserve">AVG Loan Amount </t>
  </si>
  <si>
    <t>TermType</t>
  </si>
  <si>
    <t>ClientPriority</t>
  </si>
  <si>
    <t>Review Required</t>
  </si>
  <si>
    <t>Standart Client</t>
  </si>
  <si>
    <t>VIP Client</t>
  </si>
  <si>
    <t>AVG Age</t>
  </si>
  <si>
    <t>AVG Amount</t>
  </si>
  <si>
    <t>AVG Duration</t>
  </si>
  <si>
    <t>General Defolt %</t>
  </si>
  <si>
    <t>SUM DefoltAmount</t>
  </si>
  <si>
    <t>SUM Amount</t>
  </si>
  <si>
    <t>AmountDefolt</t>
  </si>
  <si>
    <t>SUM Defolt%</t>
  </si>
  <si>
    <t>Status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</si>
</sst>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₴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303030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pivotButton="1" applyNumberFormat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0" xfId="0" applyAlignment="1">
      <alignment horizontal="left" indent="1"/>
    </xf>
    <xf numFmtId="164" fontId="0" fillId="0" borderId="0" xfId="0" applyNumberFormat="1"/>
    <xf numFmtId="1" fontId="0" fillId="0" borderId="0" xfId="0" applyNumberFormat="1"/>
  </cellXfs>
  <cellStyles count="1">
    <cellStyle name="Звичайний" xfId="0" builtinId="0"/>
  </cellStyles>
  <dxfs count="42">
    <dxf>
      <numFmt numFmtId="164" formatCode="#,##0.00\ &quot;₴&quot;"/>
    </dxf>
    <dxf>
      <numFmt numFmtId="164" formatCode="#,##0.00\ &quot;₴&quot;"/>
    </dxf>
    <dxf>
      <numFmt numFmtId="1" formatCode="0"/>
    </dxf>
    <dxf>
      <numFmt numFmtId="1" formatCode="0"/>
    </dxf>
    <dxf>
      <numFmt numFmtId="164" formatCode="#,##0.00\ &quot;₴&quot;"/>
    </dxf>
    <dxf>
      <numFmt numFmtId="164" formatCode="#,##0.00\ &quot;₴&quot;"/>
    </dxf>
    <dxf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истувач" refreshedDate="46050.498580208332" createdVersion="7" refreshedVersion="7" minRefreshableVersion="3" recordCount="1000" xr:uid="{E60137FA-B5F8-46D2-B94C-3A6339354FD9}">
  <cacheSource type="worksheet">
    <worksheetSource name="Таблиця3"/>
  </cacheSource>
  <cacheFields count="12">
    <cacheField name="CreditRisk" numFmtId="0">
      <sharedItems/>
    </cacheField>
    <cacheField name="StatusName" numFmtId="0">
      <sharedItems count="4">
        <s v="Negative balance"/>
        <s v="Low balance"/>
        <s v="No information"/>
        <s v="Normal balance"/>
      </sharedItems>
    </cacheField>
    <cacheField name="PurposeName" numFmtId="0">
      <sharedItems count="10">
        <s v="radio/television"/>
        <s v="education"/>
        <s v="furniture/equipment"/>
        <s v="car (new)"/>
        <s v="car (used)"/>
        <s v="business"/>
        <s v="domestic appliances"/>
        <s v="repairs"/>
        <s v="others"/>
        <s v="retraining"/>
      </sharedItems>
    </cacheField>
    <cacheField name="SavingsName" numFmtId="0">
      <sharedItems count="5">
        <s v="No information"/>
        <s v="Less 100"/>
        <s v="Up to 1000"/>
        <s v="More 1000"/>
        <s v="Up to 500"/>
      </sharedItems>
    </cacheField>
    <cacheField name="PersonalSatusName" numFmtId="0">
      <sharedItems count="2">
        <s v="male "/>
        <s v="female "/>
      </sharedItems>
    </cacheField>
    <cacheField name="FamilyStatus" numFmtId="0">
      <sharedItems/>
    </cacheField>
    <cacheField name="JobName" numFmtId="0">
      <sharedItems count="4">
        <s v="skilled employee / official"/>
        <s v="unskilled - resident"/>
        <s v="management/ self-employed/ highly qualified employee/ officer"/>
        <s v="unemployed/ unskilled  - non-resident"/>
      </sharedItems>
    </cacheField>
    <cacheField name="HousingName" numFmtId="0">
      <sharedItems count="3">
        <s v="own"/>
        <s v="for free"/>
        <s v="rent"/>
      </sharedItems>
    </cacheField>
    <cacheField name="Duration" numFmtId="0">
      <sharedItems containsSemiMixedTypes="0" containsString="0" containsNumber="1" containsInteger="1" minValue="4" maxValue="72"/>
    </cacheField>
    <cacheField name="Amount" numFmtId="0">
      <sharedItems containsSemiMixedTypes="0" containsString="0" containsNumber="1" containsInteger="1" minValue="250" maxValue="18424"/>
    </cacheField>
    <cacheField name="Age" numFmtId="0">
      <sharedItems containsSemiMixedTypes="0" containsString="0" containsNumber="1" containsInteger="1" minValue="19" maxValue="75"/>
    </cacheField>
    <cacheField name="Amount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истувач" refreshedDate="46050.521856250001" createdVersion="7" refreshedVersion="7" minRefreshableVersion="3" recordCount="1001" xr:uid="{A5C14074-C3F4-439C-B8E4-ED22F270C532}">
  <cacheSource type="worksheet">
    <worksheetSource ref="A1:N1048576" sheet="Ger_credit_clean_data"/>
  </cacheSource>
  <cacheFields count="14">
    <cacheField name="CreditRisk" numFmtId="0">
      <sharedItems containsBlank="1"/>
    </cacheField>
    <cacheField name="StatusName" numFmtId="0">
      <sharedItems containsBlank="1"/>
    </cacheField>
    <cacheField name="PurposeName" numFmtId="0">
      <sharedItems containsBlank="1" count="11">
        <s v="radio/television"/>
        <s v="education"/>
        <s v="furniture/equipment"/>
        <s v="car (new)"/>
        <s v="car (used)"/>
        <s v="business"/>
        <s v="domestic appliances"/>
        <s v="repairs"/>
        <s v="others"/>
        <s v="retraining"/>
        <m/>
      </sharedItems>
    </cacheField>
    <cacheField name="SavingsName" numFmtId="0">
      <sharedItems containsBlank="1"/>
    </cacheField>
    <cacheField name="PersonalSatusName" numFmtId="0">
      <sharedItems containsBlank="1"/>
    </cacheField>
    <cacheField name="FamilyStatus" numFmtId="0">
      <sharedItems containsBlank="1"/>
    </cacheField>
    <cacheField name="JobName" numFmtId="0">
      <sharedItems containsBlank="1"/>
    </cacheField>
    <cacheField name="HousingName" numFmtId="0">
      <sharedItems containsBlank="1"/>
    </cacheField>
    <cacheField name="Duration" numFmtId="0">
      <sharedItems containsString="0" containsBlank="1" containsNumber="1" containsInteger="1" minValue="4" maxValue="72"/>
    </cacheField>
    <cacheField name="Amount" numFmtId="0">
      <sharedItems containsString="0" containsBlank="1" containsNumber="1" containsInteger="1" minValue="250" maxValue="18424"/>
    </cacheField>
    <cacheField name="Age" numFmtId="0">
      <sharedItems containsString="0" containsBlank="1" containsNumber="1" containsInteger="1" minValue="19" maxValue="75" count="54">
        <n v="67"/>
        <n v="22"/>
        <n v="49"/>
        <n v="45"/>
        <n v="53"/>
        <n v="35"/>
        <n v="61"/>
        <n v="28"/>
        <n v="25"/>
        <n v="24"/>
        <n v="60"/>
        <n v="32"/>
        <n v="44"/>
        <n v="31"/>
        <n v="48"/>
        <n v="26"/>
        <n v="36"/>
        <n v="39"/>
        <n v="42"/>
        <n v="34"/>
        <n v="63"/>
        <n v="27"/>
        <n v="30"/>
        <n v="57"/>
        <n v="33"/>
        <n v="37"/>
        <n v="58"/>
        <n v="23"/>
        <n v="29"/>
        <n v="52"/>
        <n v="50"/>
        <n v="46"/>
        <n v="51"/>
        <n v="41"/>
        <n v="40"/>
        <n v="66"/>
        <n v="47"/>
        <n v="56"/>
        <n v="54"/>
        <n v="20"/>
        <n v="21"/>
        <n v="38"/>
        <n v="70"/>
        <n v="65"/>
        <n v="74"/>
        <n v="68"/>
        <n v="43"/>
        <n v="55"/>
        <n v="64"/>
        <n v="75"/>
        <n v="19"/>
        <n v="62"/>
        <n v="59"/>
        <m/>
      </sharedItems>
    </cacheField>
    <cacheField name="AmountCategory" numFmtId="0">
      <sharedItems containsBlank="1" count="4">
        <s v="Low"/>
        <s v="Hight"/>
        <s v="Medium"/>
        <m/>
      </sharedItems>
    </cacheField>
    <cacheField name="TermType" numFmtId="0">
      <sharedItems containsBlank="1"/>
    </cacheField>
    <cacheField name="ClientPriority" numFmtId="0">
      <sharedItems containsBlank="1" count="4">
        <s v="Standart Client"/>
        <s v="Review Required"/>
        <s v="VIP Cli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ористувач" refreshedDate="46052.502742129633" createdVersion="7" refreshedVersion="7" minRefreshableVersion="3" recordCount="1001" xr:uid="{B20501F0-A4AD-464B-8BCC-791D69754E7A}">
  <cacheSource type="worksheet">
    <worksheetSource ref="A1:O1048576" sheet="Ger_credit_clean_data"/>
  </cacheSource>
  <cacheFields count="16">
    <cacheField name="CreditRisk" numFmtId="0">
      <sharedItems containsBlank="1"/>
    </cacheField>
    <cacheField name="StatusName" numFmtId="0">
      <sharedItems containsBlank="1" count="5">
        <s v="Low balance"/>
        <s v="Negative balance"/>
        <s v="Normal balance"/>
        <s v="No information"/>
        <m/>
      </sharedItems>
    </cacheField>
    <cacheField name="PurposeName" numFmtId="0">
      <sharedItems containsBlank="1"/>
    </cacheField>
    <cacheField name="SavingsName" numFmtId="0">
      <sharedItems containsBlank="1"/>
    </cacheField>
    <cacheField name="PersonalSatusName" numFmtId="0">
      <sharedItems containsBlank="1"/>
    </cacheField>
    <cacheField name="FamilyStatus" numFmtId="0">
      <sharedItems containsBlank="1"/>
    </cacheField>
    <cacheField name="JobName" numFmtId="0">
      <sharedItems containsBlank="1" count="5">
        <s v="skilled employee / official"/>
        <s v="management/ self-employed/ highly qualified employee/ officer"/>
        <s v="unskilled - resident"/>
        <s v="unemployed/ unskilled  - non-resident"/>
        <m/>
      </sharedItems>
    </cacheField>
    <cacheField name="HousingName" numFmtId="0">
      <sharedItems containsBlank="1" count="4">
        <s v="own"/>
        <s v="for free"/>
        <s v="rent"/>
        <m/>
      </sharedItems>
    </cacheField>
    <cacheField name="Duration" numFmtId="0">
      <sharedItems containsString="0" containsBlank="1" containsNumber="1" containsInteger="1" minValue="4" maxValue="72"/>
    </cacheField>
    <cacheField name="Amount" numFmtId="0">
      <sharedItems containsString="0" containsBlank="1" containsNumber="1" containsInteger="1" minValue="250" maxValue="18424"/>
    </cacheField>
    <cacheField name="Age" numFmtId="0">
      <sharedItems containsString="0" containsBlank="1" containsNumber="1" containsInteger="1" minValue="19" maxValue="75"/>
    </cacheField>
    <cacheField name="AmountCategory" numFmtId="0">
      <sharedItems containsBlank="1"/>
    </cacheField>
    <cacheField name="TermType" numFmtId="0">
      <sharedItems containsBlank="1"/>
    </cacheField>
    <cacheField name="ClientPriority" numFmtId="0">
      <sharedItems containsBlank="1"/>
    </cacheField>
    <cacheField name="AmountDefolt" numFmtId="0">
      <sharedItems containsString="0" containsBlank="1" containsNumber="1" containsInteger="1" minValue="433" maxValue="18424"/>
    </cacheField>
    <cacheField name="Defolt%" numFmtId="0" formula="SUM(AmountDefolt)/SUM(Amoun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Good"/>
    <x v="0"/>
    <x v="0"/>
    <x v="0"/>
    <x v="0"/>
    <s v=" single"/>
    <x v="0"/>
    <x v="0"/>
    <n v="6"/>
    <n v="1169"/>
    <n v="67"/>
    <s v="Low"/>
  </r>
  <r>
    <s v="Bad"/>
    <x v="1"/>
    <x v="0"/>
    <x v="1"/>
    <x v="1"/>
    <s v=" divorced/separated/married"/>
    <x v="0"/>
    <x v="0"/>
    <n v="48"/>
    <n v="5951"/>
    <n v="22"/>
    <s v="Hight"/>
  </r>
  <r>
    <s v="Good"/>
    <x v="2"/>
    <x v="1"/>
    <x v="1"/>
    <x v="0"/>
    <s v=" single"/>
    <x v="1"/>
    <x v="0"/>
    <n v="12"/>
    <n v="2096"/>
    <n v="49"/>
    <s v="Medium"/>
  </r>
  <r>
    <s v="Good"/>
    <x v="0"/>
    <x v="2"/>
    <x v="1"/>
    <x v="0"/>
    <s v=" single"/>
    <x v="0"/>
    <x v="1"/>
    <n v="42"/>
    <n v="7882"/>
    <n v="45"/>
    <s v="Hight"/>
  </r>
  <r>
    <s v="Bad"/>
    <x v="0"/>
    <x v="3"/>
    <x v="1"/>
    <x v="0"/>
    <s v=" single"/>
    <x v="0"/>
    <x v="1"/>
    <n v="24"/>
    <n v="4870"/>
    <n v="53"/>
    <s v="Medium"/>
  </r>
  <r>
    <s v="Good"/>
    <x v="2"/>
    <x v="1"/>
    <x v="0"/>
    <x v="0"/>
    <s v=" single"/>
    <x v="1"/>
    <x v="1"/>
    <n v="36"/>
    <n v="9055"/>
    <n v="35"/>
    <s v="Hight"/>
  </r>
  <r>
    <s v="Good"/>
    <x v="2"/>
    <x v="2"/>
    <x v="2"/>
    <x v="0"/>
    <s v=" single"/>
    <x v="0"/>
    <x v="0"/>
    <n v="24"/>
    <n v="2835"/>
    <n v="53"/>
    <s v="Medium"/>
  </r>
  <r>
    <s v="Good"/>
    <x v="1"/>
    <x v="4"/>
    <x v="1"/>
    <x v="0"/>
    <s v=" single"/>
    <x v="2"/>
    <x v="2"/>
    <n v="36"/>
    <n v="6948"/>
    <n v="35"/>
    <s v="Hight"/>
  </r>
  <r>
    <s v="Good"/>
    <x v="2"/>
    <x v="0"/>
    <x v="3"/>
    <x v="0"/>
    <s v=" divorced/separated"/>
    <x v="1"/>
    <x v="0"/>
    <n v="12"/>
    <n v="3059"/>
    <n v="61"/>
    <s v="Medium"/>
  </r>
  <r>
    <s v="Bad"/>
    <x v="1"/>
    <x v="3"/>
    <x v="1"/>
    <x v="0"/>
    <s v=" married/widowed"/>
    <x v="2"/>
    <x v="0"/>
    <n v="30"/>
    <n v="5234"/>
    <n v="28"/>
    <s v="Hight"/>
  </r>
  <r>
    <s v="Bad"/>
    <x v="1"/>
    <x v="3"/>
    <x v="1"/>
    <x v="1"/>
    <s v=" divorced/separated/married"/>
    <x v="0"/>
    <x v="2"/>
    <n v="12"/>
    <n v="1295"/>
    <n v="25"/>
    <s v="Low"/>
  </r>
  <r>
    <s v="Bad"/>
    <x v="0"/>
    <x v="5"/>
    <x v="1"/>
    <x v="1"/>
    <s v=" divorced/separated/married"/>
    <x v="0"/>
    <x v="2"/>
    <n v="48"/>
    <n v="4308"/>
    <n v="24"/>
    <s v="Medium"/>
  </r>
  <r>
    <s v="Good"/>
    <x v="1"/>
    <x v="0"/>
    <x v="1"/>
    <x v="1"/>
    <s v=" divorced/separated/married"/>
    <x v="0"/>
    <x v="0"/>
    <n v="12"/>
    <n v="1567"/>
    <n v="22"/>
    <s v="Low"/>
  </r>
  <r>
    <s v="Bad"/>
    <x v="0"/>
    <x v="3"/>
    <x v="1"/>
    <x v="0"/>
    <s v=" single"/>
    <x v="1"/>
    <x v="0"/>
    <n v="24"/>
    <n v="1199"/>
    <n v="60"/>
    <s v="Low"/>
  </r>
  <r>
    <s v="Good"/>
    <x v="0"/>
    <x v="3"/>
    <x v="1"/>
    <x v="1"/>
    <s v=" divorced/separated/married"/>
    <x v="0"/>
    <x v="2"/>
    <n v="15"/>
    <n v="1403"/>
    <n v="28"/>
    <s v="Low"/>
  </r>
  <r>
    <s v="Bad"/>
    <x v="0"/>
    <x v="0"/>
    <x v="4"/>
    <x v="1"/>
    <s v=" divorced/separated/married"/>
    <x v="1"/>
    <x v="0"/>
    <n v="24"/>
    <n v="1282"/>
    <n v="32"/>
    <s v="Low"/>
  </r>
  <r>
    <s v="Good"/>
    <x v="2"/>
    <x v="0"/>
    <x v="0"/>
    <x v="0"/>
    <s v=" single"/>
    <x v="0"/>
    <x v="0"/>
    <n v="24"/>
    <n v="2424"/>
    <n v="53"/>
    <s v="Medium"/>
  </r>
  <r>
    <s v="Good"/>
    <x v="0"/>
    <x v="5"/>
    <x v="0"/>
    <x v="0"/>
    <s v=" single"/>
    <x v="0"/>
    <x v="0"/>
    <n v="30"/>
    <n v="8072"/>
    <n v="25"/>
    <s v="Hight"/>
  </r>
  <r>
    <s v="Bad"/>
    <x v="1"/>
    <x v="4"/>
    <x v="1"/>
    <x v="1"/>
    <s v=" divorced/separated/married"/>
    <x v="2"/>
    <x v="1"/>
    <n v="24"/>
    <n v="12579"/>
    <n v="44"/>
    <s v="Hight"/>
  </r>
  <r>
    <s v="Good"/>
    <x v="2"/>
    <x v="0"/>
    <x v="2"/>
    <x v="0"/>
    <s v=" single"/>
    <x v="0"/>
    <x v="0"/>
    <n v="24"/>
    <n v="3430"/>
    <n v="31"/>
    <s v="Medium"/>
  </r>
  <r>
    <s v="Good"/>
    <x v="2"/>
    <x v="3"/>
    <x v="1"/>
    <x v="0"/>
    <s v=" single"/>
    <x v="0"/>
    <x v="0"/>
    <n v="9"/>
    <n v="2134"/>
    <n v="48"/>
    <s v="Medium"/>
  </r>
  <r>
    <s v="Good"/>
    <x v="0"/>
    <x v="0"/>
    <x v="2"/>
    <x v="0"/>
    <s v=" single"/>
    <x v="0"/>
    <x v="2"/>
    <n v="6"/>
    <n v="2647"/>
    <n v="44"/>
    <s v="Medium"/>
  </r>
  <r>
    <s v="Good"/>
    <x v="0"/>
    <x v="3"/>
    <x v="1"/>
    <x v="0"/>
    <s v=" single"/>
    <x v="1"/>
    <x v="2"/>
    <n v="10"/>
    <n v="2241"/>
    <n v="48"/>
    <s v="Medium"/>
  </r>
  <r>
    <s v="Good"/>
    <x v="1"/>
    <x v="4"/>
    <x v="4"/>
    <x v="0"/>
    <s v=" single"/>
    <x v="0"/>
    <x v="0"/>
    <n v="12"/>
    <n v="1804"/>
    <n v="44"/>
    <s v="Low"/>
  </r>
  <r>
    <s v="Good"/>
    <x v="2"/>
    <x v="2"/>
    <x v="0"/>
    <x v="0"/>
    <s v=" married/widowed"/>
    <x v="0"/>
    <x v="0"/>
    <n v="10"/>
    <n v="2069"/>
    <n v="26"/>
    <s v="Medium"/>
  </r>
  <r>
    <s v="Good"/>
    <x v="0"/>
    <x v="2"/>
    <x v="1"/>
    <x v="0"/>
    <s v=" single"/>
    <x v="1"/>
    <x v="0"/>
    <n v="6"/>
    <n v="1374"/>
    <n v="36"/>
    <s v="Low"/>
  </r>
  <r>
    <s v="Good"/>
    <x v="2"/>
    <x v="0"/>
    <x v="1"/>
    <x v="0"/>
    <s v=" married/widowed"/>
    <x v="1"/>
    <x v="0"/>
    <n v="6"/>
    <n v="426"/>
    <n v="39"/>
    <s v="Low"/>
  </r>
  <r>
    <s v="Good"/>
    <x v="3"/>
    <x v="0"/>
    <x v="3"/>
    <x v="1"/>
    <s v=" divorced/separated/married"/>
    <x v="0"/>
    <x v="2"/>
    <n v="12"/>
    <n v="409"/>
    <n v="42"/>
    <s v="Low"/>
  </r>
  <r>
    <s v="Good"/>
    <x v="1"/>
    <x v="0"/>
    <x v="1"/>
    <x v="0"/>
    <s v=" single"/>
    <x v="0"/>
    <x v="0"/>
    <n v="7"/>
    <n v="2415"/>
    <n v="34"/>
    <s v="Medium"/>
  </r>
  <r>
    <s v="Bad"/>
    <x v="0"/>
    <x v="5"/>
    <x v="1"/>
    <x v="0"/>
    <s v=" single"/>
    <x v="0"/>
    <x v="0"/>
    <n v="60"/>
    <n v="6836"/>
    <n v="63"/>
    <s v="Hight"/>
  </r>
  <r>
    <s v="Good"/>
    <x v="1"/>
    <x v="5"/>
    <x v="3"/>
    <x v="0"/>
    <s v=" married/widowed"/>
    <x v="0"/>
    <x v="0"/>
    <n v="18"/>
    <n v="1913"/>
    <n v="36"/>
    <s v="Low"/>
  </r>
  <r>
    <s v="Good"/>
    <x v="0"/>
    <x v="2"/>
    <x v="1"/>
    <x v="0"/>
    <s v=" single"/>
    <x v="0"/>
    <x v="0"/>
    <n v="24"/>
    <n v="4020"/>
    <n v="27"/>
    <s v="Medium"/>
  </r>
  <r>
    <s v="Good"/>
    <x v="1"/>
    <x v="3"/>
    <x v="4"/>
    <x v="0"/>
    <s v=" single"/>
    <x v="0"/>
    <x v="0"/>
    <n v="18"/>
    <n v="5866"/>
    <n v="30"/>
    <s v="Hight"/>
  </r>
  <r>
    <s v="Good"/>
    <x v="2"/>
    <x v="5"/>
    <x v="0"/>
    <x v="0"/>
    <s v=" single"/>
    <x v="1"/>
    <x v="2"/>
    <n v="12"/>
    <n v="1264"/>
    <n v="57"/>
    <s v="Low"/>
  </r>
  <r>
    <s v="Good"/>
    <x v="3"/>
    <x v="2"/>
    <x v="1"/>
    <x v="1"/>
    <s v=" divorced/separated/married"/>
    <x v="2"/>
    <x v="0"/>
    <n v="12"/>
    <n v="1474"/>
    <n v="33"/>
    <s v="Low"/>
  </r>
  <r>
    <s v="Bad"/>
    <x v="1"/>
    <x v="0"/>
    <x v="1"/>
    <x v="0"/>
    <s v=" single"/>
    <x v="1"/>
    <x v="0"/>
    <n v="45"/>
    <n v="4746"/>
    <n v="25"/>
    <s v="Medium"/>
  </r>
  <r>
    <s v="Good"/>
    <x v="2"/>
    <x v="1"/>
    <x v="1"/>
    <x v="0"/>
    <s v=" single"/>
    <x v="0"/>
    <x v="1"/>
    <n v="48"/>
    <n v="6110"/>
    <n v="31"/>
    <s v="Hight"/>
  </r>
  <r>
    <s v="Bad"/>
    <x v="3"/>
    <x v="0"/>
    <x v="1"/>
    <x v="0"/>
    <s v=" single"/>
    <x v="0"/>
    <x v="0"/>
    <n v="18"/>
    <n v="2100"/>
    <n v="37"/>
    <s v="Medium"/>
  </r>
  <r>
    <s v="Good"/>
    <x v="3"/>
    <x v="6"/>
    <x v="1"/>
    <x v="0"/>
    <s v=" single"/>
    <x v="0"/>
    <x v="0"/>
    <n v="10"/>
    <n v="1225"/>
    <n v="37"/>
    <s v="Low"/>
  </r>
  <r>
    <s v="Good"/>
    <x v="1"/>
    <x v="0"/>
    <x v="1"/>
    <x v="0"/>
    <s v=" single"/>
    <x v="0"/>
    <x v="0"/>
    <n v="9"/>
    <n v="458"/>
    <n v="24"/>
    <s v="Low"/>
  </r>
  <r>
    <s v="Good"/>
    <x v="2"/>
    <x v="0"/>
    <x v="2"/>
    <x v="0"/>
    <s v=" single"/>
    <x v="2"/>
    <x v="0"/>
    <n v="30"/>
    <n v="2333"/>
    <n v="30"/>
    <s v="Medium"/>
  </r>
  <r>
    <s v="Good"/>
    <x v="1"/>
    <x v="0"/>
    <x v="2"/>
    <x v="0"/>
    <s v=" divorced/separated"/>
    <x v="0"/>
    <x v="0"/>
    <n v="12"/>
    <n v="1158"/>
    <n v="26"/>
    <s v="Low"/>
  </r>
  <r>
    <s v="Good"/>
    <x v="1"/>
    <x v="7"/>
    <x v="1"/>
    <x v="0"/>
    <s v=" single"/>
    <x v="1"/>
    <x v="0"/>
    <n v="18"/>
    <n v="6204"/>
    <n v="44"/>
    <s v="Hight"/>
  </r>
  <r>
    <s v="Good"/>
    <x v="0"/>
    <x v="4"/>
    <x v="4"/>
    <x v="0"/>
    <s v=" married/widowed"/>
    <x v="0"/>
    <x v="2"/>
    <n v="30"/>
    <n v="6187"/>
    <n v="24"/>
    <s v="Hight"/>
  </r>
  <r>
    <s v="Bad"/>
    <x v="0"/>
    <x v="4"/>
    <x v="1"/>
    <x v="1"/>
    <s v=" divorced/separated/married"/>
    <x v="1"/>
    <x v="1"/>
    <n v="48"/>
    <n v="6143"/>
    <n v="58"/>
    <s v="Hight"/>
  </r>
  <r>
    <s v="Good"/>
    <x v="2"/>
    <x v="3"/>
    <x v="1"/>
    <x v="1"/>
    <s v=" divorced/separated/married"/>
    <x v="2"/>
    <x v="0"/>
    <n v="11"/>
    <n v="1393"/>
    <n v="35"/>
    <s v="Low"/>
  </r>
  <r>
    <s v="Good"/>
    <x v="2"/>
    <x v="0"/>
    <x v="2"/>
    <x v="0"/>
    <s v=" single"/>
    <x v="0"/>
    <x v="0"/>
    <n v="36"/>
    <n v="2299"/>
    <n v="39"/>
    <s v="Medium"/>
  </r>
  <r>
    <s v="Good"/>
    <x v="0"/>
    <x v="4"/>
    <x v="2"/>
    <x v="1"/>
    <s v=" divorced/separated/married"/>
    <x v="3"/>
    <x v="2"/>
    <n v="6"/>
    <n v="1352"/>
    <n v="23"/>
    <s v="Low"/>
  </r>
  <r>
    <s v="Good"/>
    <x v="2"/>
    <x v="3"/>
    <x v="1"/>
    <x v="0"/>
    <s v=" single"/>
    <x v="1"/>
    <x v="0"/>
    <n v="11"/>
    <n v="7228"/>
    <n v="39"/>
    <s v="Hight"/>
  </r>
  <r>
    <s v="Good"/>
    <x v="2"/>
    <x v="0"/>
    <x v="4"/>
    <x v="1"/>
    <s v=" divorced/separated/married"/>
    <x v="0"/>
    <x v="0"/>
    <n v="12"/>
    <n v="2073"/>
    <n v="28"/>
    <s v="Medium"/>
  </r>
  <r>
    <s v="Good"/>
    <x v="1"/>
    <x v="2"/>
    <x v="0"/>
    <x v="0"/>
    <s v=" single"/>
    <x v="1"/>
    <x v="0"/>
    <n v="24"/>
    <n v="2333"/>
    <n v="29"/>
    <s v="Medium"/>
  </r>
  <r>
    <s v="Good"/>
    <x v="1"/>
    <x v="4"/>
    <x v="1"/>
    <x v="0"/>
    <s v=" single"/>
    <x v="2"/>
    <x v="0"/>
    <n v="27"/>
    <n v="5965"/>
    <n v="30"/>
    <s v="Hight"/>
  </r>
  <r>
    <s v="Good"/>
    <x v="2"/>
    <x v="0"/>
    <x v="1"/>
    <x v="0"/>
    <s v=" single"/>
    <x v="0"/>
    <x v="0"/>
    <n v="12"/>
    <n v="1262"/>
    <n v="25"/>
    <s v="Low"/>
  </r>
  <r>
    <s v="Good"/>
    <x v="2"/>
    <x v="4"/>
    <x v="0"/>
    <x v="0"/>
    <s v=" single"/>
    <x v="0"/>
    <x v="0"/>
    <n v="18"/>
    <n v="3378"/>
    <n v="31"/>
    <s v="Medium"/>
  </r>
  <r>
    <s v="Bad"/>
    <x v="1"/>
    <x v="3"/>
    <x v="1"/>
    <x v="0"/>
    <s v=" single"/>
    <x v="0"/>
    <x v="1"/>
    <n v="36"/>
    <n v="2225"/>
    <n v="57"/>
    <s v="Medium"/>
  </r>
  <r>
    <s v="Good"/>
    <x v="2"/>
    <x v="3"/>
    <x v="0"/>
    <x v="0"/>
    <s v=" single"/>
    <x v="1"/>
    <x v="0"/>
    <n v="6"/>
    <n v="783"/>
    <n v="26"/>
    <s v="Low"/>
  </r>
  <r>
    <s v="Bad"/>
    <x v="1"/>
    <x v="0"/>
    <x v="0"/>
    <x v="0"/>
    <s v=" single"/>
    <x v="2"/>
    <x v="0"/>
    <n v="12"/>
    <n v="6468"/>
    <n v="52"/>
    <s v="Hight"/>
  </r>
  <r>
    <s v="Good"/>
    <x v="2"/>
    <x v="0"/>
    <x v="1"/>
    <x v="1"/>
    <s v=" divorced/separated/married"/>
    <x v="0"/>
    <x v="0"/>
    <n v="36"/>
    <n v="9566"/>
    <n v="31"/>
    <s v="Hight"/>
  </r>
  <r>
    <s v="Good"/>
    <x v="3"/>
    <x v="3"/>
    <x v="1"/>
    <x v="1"/>
    <s v=" divorced/separated/married"/>
    <x v="2"/>
    <x v="0"/>
    <n v="18"/>
    <n v="1961"/>
    <n v="23"/>
    <s v="Low"/>
  </r>
  <r>
    <s v="Bad"/>
    <x v="0"/>
    <x v="2"/>
    <x v="1"/>
    <x v="1"/>
    <s v=" divorced/separated/married"/>
    <x v="1"/>
    <x v="2"/>
    <n v="36"/>
    <n v="6229"/>
    <n v="23"/>
    <s v="Hight"/>
  </r>
  <r>
    <s v="Good"/>
    <x v="1"/>
    <x v="5"/>
    <x v="1"/>
    <x v="0"/>
    <s v=" married/widowed"/>
    <x v="0"/>
    <x v="0"/>
    <n v="9"/>
    <n v="1391"/>
    <n v="27"/>
    <s v="Low"/>
  </r>
  <r>
    <s v="Good"/>
    <x v="1"/>
    <x v="0"/>
    <x v="0"/>
    <x v="0"/>
    <s v=" single"/>
    <x v="0"/>
    <x v="0"/>
    <n v="15"/>
    <n v="1537"/>
    <n v="50"/>
    <s v="Low"/>
  </r>
  <r>
    <s v="Bad"/>
    <x v="1"/>
    <x v="5"/>
    <x v="1"/>
    <x v="0"/>
    <s v=" single"/>
    <x v="2"/>
    <x v="1"/>
    <n v="36"/>
    <n v="1953"/>
    <n v="61"/>
    <s v="Low"/>
  </r>
  <r>
    <s v="Bad"/>
    <x v="1"/>
    <x v="5"/>
    <x v="1"/>
    <x v="0"/>
    <s v=" single"/>
    <x v="0"/>
    <x v="0"/>
    <n v="48"/>
    <n v="14421"/>
    <n v="25"/>
    <s v="Hight"/>
  </r>
  <r>
    <s v="Good"/>
    <x v="2"/>
    <x v="0"/>
    <x v="1"/>
    <x v="1"/>
    <s v=" divorced/separated/married"/>
    <x v="0"/>
    <x v="0"/>
    <n v="24"/>
    <n v="3181"/>
    <n v="26"/>
    <s v="Medium"/>
  </r>
  <r>
    <s v="Good"/>
    <x v="2"/>
    <x v="7"/>
    <x v="0"/>
    <x v="0"/>
    <s v=" single"/>
    <x v="0"/>
    <x v="0"/>
    <n v="27"/>
    <n v="5190"/>
    <n v="48"/>
    <s v="Hight"/>
  </r>
  <r>
    <s v="Good"/>
    <x v="2"/>
    <x v="0"/>
    <x v="1"/>
    <x v="1"/>
    <s v=" divorced/separated/married"/>
    <x v="0"/>
    <x v="0"/>
    <n v="12"/>
    <n v="2171"/>
    <n v="29"/>
    <s v="Medium"/>
  </r>
  <r>
    <s v="Good"/>
    <x v="1"/>
    <x v="3"/>
    <x v="3"/>
    <x v="0"/>
    <s v=" married/widowed"/>
    <x v="0"/>
    <x v="0"/>
    <n v="12"/>
    <n v="1007"/>
    <n v="22"/>
    <s v="Low"/>
  </r>
  <r>
    <s v="Bad"/>
    <x v="2"/>
    <x v="1"/>
    <x v="1"/>
    <x v="0"/>
    <s v=" single"/>
    <x v="0"/>
    <x v="1"/>
    <n v="36"/>
    <n v="1819"/>
    <n v="37"/>
    <s v="Low"/>
  </r>
  <r>
    <s v="Good"/>
    <x v="2"/>
    <x v="0"/>
    <x v="0"/>
    <x v="1"/>
    <s v=" divorced/separated/married"/>
    <x v="0"/>
    <x v="0"/>
    <n v="36"/>
    <n v="2394"/>
    <n v="25"/>
    <s v="Medium"/>
  </r>
  <r>
    <s v="Good"/>
    <x v="2"/>
    <x v="4"/>
    <x v="1"/>
    <x v="1"/>
    <s v=" divorced/separated/married"/>
    <x v="0"/>
    <x v="0"/>
    <n v="36"/>
    <n v="8133"/>
    <n v="30"/>
    <s v="Hight"/>
  </r>
  <r>
    <s v="Good"/>
    <x v="2"/>
    <x v="0"/>
    <x v="0"/>
    <x v="0"/>
    <s v=" single"/>
    <x v="1"/>
    <x v="2"/>
    <n v="7"/>
    <n v="730"/>
    <n v="46"/>
    <s v="Low"/>
  </r>
  <r>
    <s v="Good"/>
    <x v="0"/>
    <x v="8"/>
    <x v="1"/>
    <x v="0"/>
    <s v=" single"/>
    <x v="2"/>
    <x v="1"/>
    <n v="8"/>
    <n v="1164"/>
    <n v="51"/>
    <s v="Low"/>
  </r>
  <r>
    <s v="Good"/>
    <x v="1"/>
    <x v="5"/>
    <x v="1"/>
    <x v="1"/>
    <s v=" divorced/separated/married"/>
    <x v="1"/>
    <x v="0"/>
    <n v="42"/>
    <n v="5954"/>
    <n v="41"/>
    <s v="Hight"/>
  </r>
  <r>
    <s v="Bad"/>
    <x v="0"/>
    <x v="1"/>
    <x v="0"/>
    <x v="0"/>
    <s v=" single"/>
    <x v="2"/>
    <x v="0"/>
    <n v="36"/>
    <n v="1977"/>
    <n v="40"/>
    <s v="Low"/>
  </r>
  <r>
    <s v="Good"/>
    <x v="0"/>
    <x v="4"/>
    <x v="1"/>
    <x v="0"/>
    <s v=" single"/>
    <x v="2"/>
    <x v="1"/>
    <n v="12"/>
    <n v="1526"/>
    <n v="66"/>
    <s v="Low"/>
  </r>
  <r>
    <s v="Bad"/>
    <x v="0"/>
    <x v="0"/>
    <x v="1"/>
    <x v="0"/>
    <s v=" single"/>
    <x v="0"/>
    <x v="0"/>
    <n v="42"/>
    <n v="3965"/>
    <n v="34"/>
    <s v="Medium"/>
  </r>
  <r>
    <s v="Good"/>
    <x v="1"/>
    <x v="0"/>
    <x v="1"/>
    <x v="0"/>
    <s v=" single"/>
    <x v="0"/>
    <x v="0"/>
    <n v="11"/>
    <n v="4771"/>
    <n v="51"/>
    <s v="Medium"/>
  </r>
  <r>
    <s v="Good"/>
    <x v="2"/>
    <x v="4"/>
    <x v="0"/>
    <x v="0"/>
    <s v=" single"/>
    <x v="1"/>
    <x v="0"/>
    <n v="54"/>
    <n v="9436"/>
    <n v="39"/>
    <s v="Hight"/>
  </r>
  <r>
    <s v="Good"/>
    <x v="1"/>
    <x v="2"/>
    <x v="1"/>
    <x v="0"/>
    <s v=" married/widowed"/>
    <x v="0"/>
    <x v="0"/>
    <n v="30"/>
    <n v="3832"/>
    <n v="22"/>
    <s v="Medium"/>
  </r>
  <r>
    <s v="Bad"/>
    <x v="2"/>
    <x v="0"/>
    <x v="0"/>
    <x v="1"/>
    <s v=" divorced/separated/married"/>
    <x v="0"/>
    <x v="0"/>
    <n v="24"/>
    <n v="5943"/>
    <n v="44"/>
    <s v="Hight"/>
  </r>
  <r>
    <s v="Good"/>
    <x v="2"/>
    <x v="0"/>
    <x v="2"/>
    <x v="0"/>
    <s v=" single"/>
    <x v="0"/>
    <x v="0"/>
    <n v="15"/>
    <n v="1213"/>
    <n v="47"/>
    <s v="Low"/>
  </r>
  <r>
    <s v="Good"/>
    <x v="2"/>
    <x v="5"/>
    <x v="4"/>
    <x v="1"/>
    <s v=" divorced/separated/married"/>
    <x v="1"/>
    <x v="2"/>
    <n v="18"/>
    <n v="1568"/>
    <n v="24"/>
    <s v="Low"/>
  </r>
  <r>
    <s v="Good"/>
    <x v="0"/>
    <x v="8"/>
    <x v="1"/>
    <x v="1"/>
    <s v=" divorced/separated/married"/>
    <x v="1"/>
    <x v="0"/>
    <n v="24"/>
    <n v="1755"/>
    <n v="58"/>
    <s v="Low"/>
  </r>
  <r>
    <s v="Good"/>
    <x v="0"/>
    <x v="0"/>
    <x v="1"/>
    <x v="0"/>
    <s v=" single"/>
    <x v="1"/>
    <x v="0"/>
    <n v="10"/>
    <n v="2315"/>
    <n v="52"/>
    <s v="Medium"/>
  </r>
  <r>
    <s v="Good"/>
    <x v="2"/>
    <x v="5"/>
    <x v="1"/>
    <x v="1"/>
    <s v=" divorced/separated/married"/>
    <x v="2"/>
    <x v="0"/>
    <n v="12"/>
    <n v="1412"/>
    <n v="29"/>
    <s v="Low"/>
  </r>
  <r>
    <s v="Good"/>
    <x v="1"/>
    <x v="2"/>
    <x v="1"/>
    <x v="1"/>
    <s v=" divorced/separated/married"/>
    <x v="0"/>
    <x v="0"/>
    <n v="18"/>
    <n v="1295"/>
    <n v="27"/>
    <s v="Low"/>
  </r>
  <r>
    <s v="Bad"/>
    <x v="1"/>
    <x v="1"/>
    <x v="4"/>
    <x v="0"/>
    <s v=" single"/>
    <x v="0"/>
    <x v="1"/>
    <n v="36"/>
    <n v="12612"/>
    <n v="47"/>
    <s v="Hight"/>
  </r>
  <r>
    <s v="Good"/>
    <x v="0"/>
    <x v="3"/>
    <x v="4"/>
    <x v="0"/>
    <s v=" single"/>
    <x v="2"/>
    <x v="0"/>
    <n v="18"/>
    <n v="2249"/>
    <n v="30"/>
    <s v="Medium"/>
  </r>
  <r>
    <s v="Bad"/>
    <x v="0"/>
    <x v="7"/>
    <x v="1"/>
    <x v="0"/>
    <s v=" single"/>
    <x v="0"/>
    <x v="0"/>
    <n v="12"/>
    <n v="1108"/>
    <n v="28"/>
    <s v="Low"/>
  </r>
  <r>
    <s v="Good"/>
    <x v="2"/>
    <x v="0"/>
    <x v="1"/>
    <x v="0"/>
    <s v=" single"/>
    <x v="0"/>
    <x v="0"/>
    <n v="12"/>
    <n v="618"/>
    <n v="56"/>
    <s v="Low"/>
  </r>
  <r>
    <s v="Good"/>
    <x v="0"/>
    <x v="4"/>
    <x v="1"/>
    <x v="0"/>
    <s v=" single"/>
    <x v="0"/>
    <x v="0"/>
    <n v="12"/>
    <n v="1409"/>
    <n v="54"/>
    <s v="Low"/>
  </r>
  <r>
    <s v="Bad"/>
    <x v="2"/>
    <x v="0"/>
    <x v="0"/>
    <x v="1"/>
    <s v=" divorced/separated/married"/>
    <x v="1"/>
    <x v="0"/>
    <n v="12"/>
    <n v="797"/>
    <n v="33"/>
    <s v="Low"/>
  </r>
  <r>
    <s v="Good"/>
    <x v="3"/>
    <x v="2"/>
    <x v="0"/>
    <x v="0"/>
    <s v=" single"/>
    <x v="0"/>
    <x v="2"/>
    <n v="24"/>
    <n v="3617"/>
    <n v="20"/>
    <s v="Medium"/>
  </r>
  <r>
    <s v="Good"/>
    <x v="1"/>
    <x v="3"/>
    <x v="3"/>
    <x v="0"/>
    <s v=" single"/>
    <x v="0"/>
    <x v="0"/>
    <n v="12"/>
    <n v="1318"/>
    <n v="54"/>
    <s v="Low"/>
  </r>
  <r>
    <s v="Bad"/>
    <x v="1"/>
    <x v="5"/>
    <x v="1"/>
    <x v="0"/>
    <s v=" single"/>
    <x v="0"/>
    <x v="2"/>
    <n v="54"/>
    <n v="15945"/>
    <n v="58"/>
    <s v="Hight"/>
  </r>
  <r>
    <s v="Good"/>
    <x v="2"/>
    <x v="1"/>
    <x v="0"/>
    <x v="1"/>
    <s v=" divorced/separated/married"/>
    <x v="0"/>
    <x v="0"/>
    <n v="12"/>
    <n v="2012"/>
    <n v="61"/>
    <s v="Medium"/>
  </r>
  <r>
    <s v="Good"/>
    <x v="1"/>
    <x v="5"/>
    <x v="4"/>
    <x v="0"/>
    <s v=" single"/>
    <x v="0"/>
    <x v="0"/>
    <n v="18"/>
    <n v="2622"/>
    <n v="34"/>
    <s v="Medium"/>
  </r>
  <r>
    <s v="Good"/>
    <x v="1"/>
    <x v="0"/>
    <x v="1"/>
    <x v="0"/>
    <s v=" single"/>
    <x v="0"/>
    <x v="0"/>
    <n v="36"/>
    <n v="2337"/>
    <n v="36"/>
    <s v="Medium"/>
  </r>
  <r>
    <s v="Good"/>
    <x v="1"/>
    <x v="4"/>
    <x v="0"/>
    <x v="0"/>
    <s v=" single"/>
    <x v="2"/>
    <x v="2"/>
    <n v="20"/>
    <n v="7057"/>
    <n v="36"/>
    <s v="Hight"/>
  </r>
  <r>
    <s v="Good"/>
    <x v="2"/>
    <x v="3"/>
    <x v="4"/>
    <x v="0"/>
    <s v=" married/widowed"/>
    <x v="1"/>
    <x v="2"/>
    <n v="24"/>
    <n v="1469"/>
    <n v="41"/>
    <s v="Low"/>
  </r>
  <r>
    <s v="Good"/>
    <x v="1"/>
    <x v="0"/>
    <x v="1"/>
    <x v="0"/>
    <s v=" single"/>
    <x v="0"/>
    <x v="2"/>
    <n v="36"/>
    <n v="2323"/>
    <n v="24"/>
    <s v="Medium"/>
  </r>
  <r>
    <s v="Good"/>
    <x v="2"/>
    <x v="0"/>
    <x v="1"/>
    <x v="1"/>
    <s v=" divorced/separated/married"/>
    <x v="0"/>
    <x v="0"/>
    <n v="6"/>
    <n v="932"/>
    <n v="24"/>
    <s v="Low"/>
  </r>
  <r>
    <s v="Good"/>
    <x v="1"/>
    <x v="2"/>
    <x v="1"/>
    <x v="0"/>
    <s v=" single"/>
    <x v="0"/>
    <x v="2"/>
    <n v="9"/>
    <n v="1919"/>
    <n v="35"/>
    <s v="Low"/>
  </r>
  <r>
    <s v="Good"/>
    <x v="2"/>
    <x v="4"/>
    <x v="0"/>
    <x v="0"/>
    <s v=" married/widowed"/>
    <x v="0"/>
    <x v="2"/>
    <n v="12"/>
    <n v="2445"/>
    <n v="26"/>
    <s v="Medium"/>
  </r>
  <r>
    <s v="Bad"/>
    <x v="1"/>
    <x v="8"/>
    <x v="1"/>
    <x v="0"/>
    <s v=" single"/>
    <x v="2"/>
    <x v="0"/>
    <n v="24"/>
    <n v="11938"/>
    <n v="39"/>
    <s v="Hight"/>
  </r>
  <r>
    <s v="Bad"/>
    <x v="2"/>
    <x v="3"/>
    <x v="1"/>
    <x v="0"/>
    <s v=" single"/>
    <x v="2"/>
    <x v="0"/>
    <n v="18"/>
    <n v="6458"/>
    <n v="39"/>
    <s v="Hight"/>
  </r>
  <r>
    <s v="Good"/>
    <x v="1"/>
    <x v="3"/>
    <x v="1"/>
    <x v="0"/>
    <s v=" single"/>
    <x v="0"/>
    <x v="0"/>
    <n v="12"/>
    <n v="6078"/>
    <n v="32"/>
    <s v="Hight"/>
  </r>
  <r>
    <s v="Good"/>
    <x v="0"/>
    <x v="2"/>
    <x v="0"/>
    <x v="1"/>
    <s v=" divorced/separated/married"/>
    <x v="0"/>
    <x v="0"/>
    <n v="24"/>
    <n v="7721"/>
    <n v="30"/>
    <s v="Hight"/>
  </r>
  <r>
    <s v="Good"/>
    <x v="1"/>
    <x v="5"/>
    <x v="2"/>
    <x v="0"/>
    <s v=" married/widowed"/>
    <x v="0"/>
    <x v="0"/>
    <n v="14"/>
    <n v="1410"/>
    <n v="35"/>
    <s v="Low"/>
  </r>
  <r>
    <s v="Good"/>
    <x v="1"/>
    <x v="5"/>
    <x v="4"/>
    <x v="0"/>
    <s v=" divorced/separated"/>
    <x v="0"/>
    <x v="0"/>
    <n v="6"/>
    <n v="1449"/>
    <n v="31"/>
    <s v="Low"/>
  </r>
  <r>
    <s v="Good"/>
    <x v="3"/>
    <x v="1"/>
    <x v="1"/>
    <x v="1"/>
    <s v=" divorced/separated/married"/>
    <x v="0"/>
    <x v="2"/>
    <n v="15"/>
    <n v="392"/>
    <n v="23"/>
    <s v="Low"/>
  </r>
  <r>
    <s v="Good"/>
    <x v="1"/>
    <x v="3"/>
    <x v="1"/>
    <x v="0"/>
    <s v=" single"/>
    <x v="1"/>
    <x v="2"/>
    <n v="18"/>
    <n v="6260"/>
    <n v="28"/>
    <s v="Hight"/>
  </r>
  <r>
    <s v="Bad"/>
    <x v="2"/>
    <x v="3"/>
    <x v="1"/>
    <x v="1"/>
    <s v=" divorced/separated/married"/>
    <x v="0"/>
    <x v="0"/>
    <n v="36"/>
    <n v="7855"/>
    <n v="25"/>
    <s v="Hight"/>
  </r>
  <r>
    <s v="Good"/>
    <x v="0"/>
    <x v="0"/>
    <x v="2"/>
    <x v="0"/>
    <s v=" married/widowed"/>
    <x v="0"/>
    <x v="0"/>
    <n v="12"/>
    <n v="1680"/>
    <n v="35"/>
    <s v="Low"/>
  </r>
  <r>
    <s v="Good"/>
    <x v="2"/>
    <x v="0"/>
    <x v="0"/>
    <x v="0"/>
    <s v=" single"/>
    <x v="0"/>
    <x v="0"/>
    <n v="48"/>
    <n v="3578"/>
    <n v="47"/>
    <s v="Medium"/>
  </r>
  <r>
    <s v="Bad"/>
    <x v="0"/>
    <x v="0"/>
    <x v="0"/>
    <x v="1"/>
    <s v=" divorced/separated/married"/>
    <x v="2"/>
    <x v="0"/>
    <n v="42"/>
    <n v="7174"/>
    <n v="30"/>
    <s v="Hight"/>
  </r>
  <r>
    <s v="Good"/>
    <x v="0"/>
    <x v="2"/>
    <x v="0"/>
    <x v="1"/>
    <s v=" divorced/separated/married"/>
    <x v="0"/>
    <x v="2"/>
    <n v="10"/>
    <n v="2132"/>
    <n v="27"/>
    <s v="Medium"/>
  </r>
  <r>
    <s v="Bad"/>
    <x v="0"/>
    <x v="2"/>
    <x v="2"/>
    <x v="1"/>
    <s v=" divorced/separated/married"/>
    <x v="0"/>
    <x v="0"/>
    <n v="33"/>
    <n v="4281"/>
    <n v="23"/>
    <s v="Medium"/>
  </r>
  <r>
    <s v="Good"/>
    <x v="1"/>
    <x v="3"/>
    <x v="2"/>
    <x v="0"/>
    <s v=" divorced/separated"/>
    <x v="2"/>
    <x v="0"/>
    <n v="12"/>
    <n v="2366"/>
    <n v="36"/>
    <s v="Medium"/>
  </r>
  <r>
    <s v="Bad"/>
    <x v="0"/>
    <x v="0"/>
    <x v="1"/>
    <x v="1"/>
    <s v=" divorced/separated/married"/>
    <x v="0"/>
    <x v="0"/>
    <n v="21"/>
    <n v="1835"/>
    <n v="25"/>
    <s v="Low"/>
  </r>
  <r>
    <s v="Good"/>
    <x v="2"/>
    <x v="4"/>
    <x v="1"/>
    <x v="1"/>
    <s v=" divorced/separated/married"/>
    <x v="2"/>
    <x v="2"/>
    <n v="24"/>
    <n v="3868"/>
    <n v="41"/>
    <s v="Medium"/>
  </r>
  <r>
    <s v="Good"/>
    <x v="2"/>
    <x v="2"/>
    <x v="1"/>
    <x v="0"/>
    <s v=" single"/>
    <x v="1"/>
    <x v="2"/>
    <n v="12"/>
    <n v="1768"/>
    <n v="24"/>
    <s v="Low"/>
  </r>
  <r>
    <s v="Good"/>
    <x v="3"/>
    <x v="3"/>
    <x v="1"/>
    <x v="0"/>
    <s v=" single"/>
    <x v="0"/>
    <x v="1"/>
    <n v="10"/>
    <n v="781"/>
    <n v="63"/>
    <s v="Low"/>
  </r>
  <r>
    <s v="Bad"/>
    <x v="1"/>
    <x v="2"/>
    <x v="0"/>
    <x v="1"/>
    <s v=" divorced/separated/married"/>
    <x v="0"/>
    <x v="2"/>
    <n v="18"/>
    <n v="1924"/>
    <n v="27"/>
    <s v="Low"/>
  </r>
  <r>
    <s v="Good"/>
    <x v="0"/>
    <x v="3"/>
    <x v="1"/>
    <x v="0"/>
    <s v=" single"/>
    <x v="0"/>
    <x v="0"/>
    <n v="12"/>
    <n v="2121"/>
    <n v="30"/>
    <s v="Medium"/>
  </r>
  <r>
    <s v="Good"/>
    <x v="0"/>
    <x v="0"/>
    <x v="1"/>
    <x v="0"/>
    <s v=" married/widowed"/>
    <x v="1"/>
    <x v="0"/>
    <n v="12"/>
    <n v="701"/>
    <n v="40"/>
    <s v="Low"/>
  </r>
  <r>
    <s v="Bad"/>
    <x v="1"/>
    <x v="7"/>
    <x v="1"/>
    <x v="0"/>
    <s v=" single"/>
    <x v="0"/>
    <x v="0"/>
    <n v="12"/>
    <n v="639"/>
    <n v="30"/>
    <s v="Low"/>
  </r>
  <r>
    <s v="Good"/>
    <x v="1"/>
    <x v="4"/>
    <x v="1"/>
    <x v="0"/>
    <s v=" single"/>
    <x v="2"/>
    <x v="0"/>
    <n v="12"/>
    <n v="1860"/>
    <n v="34"/>
    <s v="Low"/>
  </r>
  <r>
    <s v="Bad"/>
    <x v="0"/>
    <x v="3"/>
    <x v="1"/>
    <x v="1"/>
    <s v=" divorced/separated/married"/>
    <x v="0"/>
    <x v="0"/>
    <n v="12"/>
    <n v="3499"/>
    <n v="29"/>
    <s v="Medium"/>
  </r>
  <r>
    <s v="Good"/>
    <x v="1"/>
    <x v="3"/>
    <x v="0"/>
    <x v="1"/>
    <s v=" divorced/separated/married"/>
    <x v="0"/>
    <x v="0"/>
    <n v="48"/>
    <n v="8487"/>
    <n v="24"/>
    <s v="Hight"/>
  </r>
  <r>
    <s v="Bad"/>
    <x v="0"/>
    <x v="1"/>
    <x v="1"/>
    <x v="0"/>
    <s v=" single"/>
    <x v="0"/>
    <x v="0"/>
    <n v="36"/>
    <n v="6887"/>
    <n v="29"/>
    <s v="Hight"/>
  </r>
  <r>
    <s v="Good"/>
    <x v="2"/>
    <x v="2"/>
    <x v="1"/>
    <x v="0"/>
    <s v=" single"/>
    <x v="1"/>
    <x v="0"/>
    <n v="15"/>
    <n v="2708"/>
    <n v="27"/>
    <s v="Medium"/>
  </r>
  <r>
    <s v="Good"/>
    <x v="2"/>
    <x v="2"/>
    <x v="1"/>
    <x v="0"/>
    <s v=" single"/>
    <x v="0"/>
    <x v="1"/>
    <n v="18"/>
    <n v="1984"/>
    <n v="47"/>
    <s v="Low"/>
  </r>
  <r>
    <s v="Good"/>
    <x v="2"/>
    <x v="0"/>
    <x v="4"/>
    <x v="1"/>
    <s v=" divorced/separated/married"/>
    <x v="0"/>
    <x v="0"/>
    <n v="60"/>
    <n v="10144"/>
    <n v="21"/>
    <s v="Hight"/>
  </r>
  <r>
    <s v="Good"/>
    <x v="2"/>
    <x v="0"/>
    <x v="0"/>
    <x v="1"/>
    <s v=" divorced/separated/married"/>
    <x v="0"/>
    <x v="0"/>
    <n v="12"/>
    <n v="1240"/>
    <n v="38"/>
    <s v="Low"/>
  </r>
  <r>
    <s v="Good"/>
    <x v="2"/>
    <x v="4"/>
    <x v="3"/>
    <x v="0"/>
    <s v=" single"/>
    <x v="0"/>
    <x v="0"/>
    <n v="27"/>
    <n v="8613"/>
    <n v="27"/>
    <s v="Hight"/>
  </r>
  <r>
    <s v="Bad"/>
    <x v="1"/>
    <x v="0"/>
    <x v="2"/>
    <x v="0"/>
    <s v=" single"/>
    <x v="1"/>
    <x v="0"/>
    <n v="12"/>
    <n v="766"/>
    <n v="66"/>
    <s v="Low"/>
  </r>
  <r>
    <s v="Good"/>
    <x v="1"/>
    <x v="0"/>
    <x v="0"/>
    <x v="0"/>
    <s v=" single"/>
    <x v="0"/>
    <x v="0"/>
    <n v="15"/>
    <n v="2728"/>
    <n v="35"/>
    <s v="Medium"/>
  </r>
  <r>
    <s v="Good"/>
    <x v="3"/>
    <x v="0"/>
    <x v="1"/>
    <x v="1"/>
    <s v=" divorced/separated/married"/>
    <x v="1"/>
    <x v="2"/>
    <n v="12"/>
    <n v="1881"/>
    <n v="44"/>
    <s v="Low"/>
  </r>
  <r>
    <s v="Good"/>
    <x v="3"/>
    <x v="3"/>
    <x v="3"/>
    <x v="0"/>
    <s v=" married/widowed"/>
    <x v="3"/>
    <x v="0"/>
    <n v="6"/>
    <n v="709"/>
    <n v="27"/>
    <s v="Low"/>
  </r>
  <r>
    <s v="Good"/>
    <x v="1"/>
    <x v="0"/>
    <x v="1"/>
    <x v="1"/>
    <s v=" divorced/separated/married"/>
    <x v="2"/>
    <x v="0"/>
    <n v="36"/>
    <n v="4795"/>
    <n v="30"/>
    <s v="Medium"/>
  </r>
  <r>
    <s v="Good"/>
    <x v="0"/>
    <x v="0"/>
    <x v="1"/>
    <x v="0"/>
    <s v=" single"/>
    <x v="2"/>
    <x v="0"/>
    <n v="27"/>
    <n v="3416"/>
    <n v="27"/>
    <s v="Medium"/>
  </r>
  <r>
    <s v="Bad"/>
    <x v="0"/>
    <x v="2"/>
    <x v="1"/>
    <x v="0"/>
    <s v=" single"/>
    <x v="0"/>
    <x v="0"/>
    <n v="18"/>
    <n v="2462"/>
    <n v="22"/>
    <s v="Medium"/>
  </r>
  <r>
    <s v="Good"/>
    <x v="2"/>
    <x v="2"/>
    <x v="1"/>
    <x v="1"/>
    <s v=" divorced/separated/married"/>
    <x v="0"/>
    <x v="0"/>
    <n v="21"/>
    <n v="2288"/>
    <n v="23"/>
    <s v="Medium"/>
  </r>
  <r>
    <s v="Good"/>
    <x v="1"/>
    <x v="5"/>
    <x v="4"/>
    <x v="0"/>
    <s v=" single"/>
    <x v="0"/>
    <x v="0"/>
    <n v="48"/>
    <n v="3566"/>
    <n v="30"/>
    <s v="Medium"/>
  </r>
  <r>
    <s v="Good"/>
    <x v="0"/>
    <x v="3"/>
    <x v="1"/>
    <x v="1"/>
    <s v=" divorced/separated/married"/>
    <x v="0"/>
    <x v="0"/>
    <n v="6"/>
    <n v="860"/>
    <n v="39"/>
    <s v="Low"/>
  </r>
  <r>
    <s v="Good"/>
    <x v="2"/>
    <x v="3"/>
    <x v="4"/>
    <x v="1"/>
    <s v=" divorced/separated/married"/>
    <x v="0"/>
    <x v="0"/>
    <n v="12"/>
    <n v="682"/>
    <n v="51"/>
    <s v="Low"/>
  </r>
  <r>
    <s v="Good"/>
    <x v="0"/>
    <x v="2"/>
    <x v="1"/>
    <x v="0"/>
    <s v=" single"/>
    <x v="0"/>
    <x v="0"/>
    <n v="36"/>
    <n v="5371"/>
    <n v="28"/>
    <s v="Hight"/>
  </r>
  <r>
    <s v="Good"/>
    <x v="2"/>
    <x v="0"/>
    <x v="3"/>
    <x v="0"/>
    <s v=" single"/>
    <x v="0"/>
    <x v="0"/>
    <n v="18"/>
    <n v="1582"/>
    <n v="46"/>
    <s v="Low"/>
  </r>
  <r>
    <s v="Good"/>
    <x v="2"/>
    <x v="0"/>
    <x v="4"/>
    <x v="0"/>
    <s v=" single"/>
    <x v="0"/>
    <x v="1"/>
    <n v="6"/>
    <n v="1346"/>
    <n v="42"/>
    <s v="Low"/>
  </r>
  <r>
    <s v="Good"/>
    <x v="2"/>
    <x v="0"/>
    <x v="1"/>
    <x v="0"/>
    <s v=" single"/>
    <x v="0"/>
    <x v="0"/>
    <n v="10"/>
    <n v="1924"/>
    <n v="38"/>
    <s v="Low"/>
  </r>
  <r>
    <s v="Good"/>
    <x v="3"/>
    <x v="0"/>
    <x v="1"/>
    <x v="0"/>
    <s v=" single"/>
    <x v="0"/>
    <x v="0"/>
    <n v="36"/>
    <n v="5848"/>
    <n v="24"/>
    <s v="Hight"/>
  </r>
  <r>
    <s v="Good"/>
    <x v="1"/>
    <x v="4"/>
    <x v="3"/>
    <x v="1"/>
    <s v=" divorced/separated/married"/>
    <x v="0"/>
    <x v="2"/>
    <n v="24"/>
    <n v="7758"/>
    <n v="29"/>
    <s v="Hight"/>
  </r>
  <r>
    <s v="Good"/>
    <x v="1"/>
    <x v="5"/>
    <x v="4"/>
    <x v="0"/>
    <s v=" single"/>
    <x v="2"/>
    <x v="2"/>
    <n v="24"/>
    <n v="6967"/>
    <n v="36"/>
    <s v="Hight"/>
  </r>
  <r>
    <s v="Bad"/>
    <x v="0"/>
    <x v="2"/>
    <x v="1"/>
    <x v="1"/>
    <s v=" divorced/separated/married"/>
    <x v="0"/>
    <x v="2"/>
    <n v="12"/>
    <n v="1282"/>
    <n v="20"/>
    <s v="Low"/>
  </r>
  <r>
    <s v="Good"/>
    <x v="0"/>
    <x v="7"/>
    <x v="4"/>
    <x v="0"/>
    <s v=" single"/>
    <x v="0"/>
    <x v="0"/>
    <n v="9"/>
    <n v="1288"/>
    <n v="48"/>
    <s v="Low"/>
  </r>
  <r>
    <s v="Good"/>
    <x v="0"/>
    <x v="9"/>
    <x v="1"/>
    <x v="0"/>
    <s v=" married/widowed"/>
    <x v="1"/>
    <x v="0"/>
    <n v="12"/>
    <n v="339"/>
    <n v="45"/>
    <s v="Low"/>
  </r>
  <r>
    <s v="Good"/>
    <x v="1"/>
    <x v="3"/>
    <x v="4"/>
    <x v="0"/>
    <s v=" single"/>
    <x v="0"/>
    <x v="0"/>
    <n v="24"/>
    <n v="3512"/>
    <n v="38"/>
    <s v="Medium"/>
  </r>
  <r>
    <s v="Good"/>
    <x v="2"/>
    <x v="0"/>
    <x v="0"/>
    <x v="0"/>
    <s v=" single"/>
    <x v="1"/>
    <x v="0"/>
    <n v="6"/>
    <n v="1898"/>
    <n v="34"/>
    <s v="Low"/>
  </r>
  <r>
    <s v="Good"/>
    <x v="2"/>
    <x v="0"/>
    <x v="4"/>
    <x v="0"/>
    <s v=" single"/>
    <x v="0"/>
    <x v="0"/>
    <n v="24"/>
    <n v="2872"/>
    <n v="36"/>
    <s v="Medium"/>
  </r>
  <r>
    <s v="Good"/>
    <x v="2"/>
    <x v="3"/>
    <x v="1"/>
    <x v="1"/>
    <s v=" divorced/separated/married"/>
    <x v="0"/>
    <x v="0"/>
    <n v="18"/>
    <n v="1055"/>
    <n v="30"/>
    <s v="Low"/>
  </r>
  <r>
    <s v="Good"/>
    <x v="2"/>
    <x v="6"/>
    <x v="2"/>
    <x v="0"/>
    <s v=" single"/>
    <x v="0"/>
    <x v="0"/>
    <n v="15"/>
    <n v="1262"/>
    <n v="36"/>
    <s v="Low"/>
  </r>
  <r>
    <s v="Good"/>
    <x v="1"/>
    <x v="3"/>
    <x v="1"/>
    <x v="0"/>
    <s v=" single"/>
    <x v="2"/>
    <x v="1"/>
    <n v="10"/>
    <n v="7308"/>
    <n v="70"/>
    <s v="Hight"/>
  </r>
  <r>
    <s v="Good"/>
    <x v="2"/>
    <x v="3"/>
    <x v="2"/>
    <x v="0"/>
    <s v=" single"/>
    <x v="0"/>
    <x v="0"/>
    <n v="36"/>
    <n v="909"/>
    <n v="36"/>
    <s v="Low"/>
  </r>
  <r>
    <s v="Good"/>
    <x v="2"/>
    <x v="2"/>
    <x v="2"/>
    <x v="0"/>
    <s v=" single"/>
    <x v="0"/>
    <x v="0"/>
    <n v="6"/>
    <n v="2978"/>
    <n v="32"/>
    <s v="Medium"/>
  </r>
  <r>
    <s v="Bad"/>
    <x v="0"/>
    <x v="2"/>
    <x v="1"/>
    <x v="1"/>
    <s v=" divorced/separated/married"/>
    <x v="0"/>
    <x v="0"/>
    <n v="18"/>
    <n v="1131"/>
    <n v="33"/>
    <s v="Low"/>
  </r>
  <r>
    <s v="Good"/>
    <x v="1"/>
    <x v="2"/>
    <x v="3"/>
    <x v="1"/>
    <s v=" divorced/separated/married"/>
    <x v="0"/>
    <x v="0"/>
    <n v="11"/>
    <n v="1577"/>
    <n v="20"/>
    <s v="Low"/>
  </r>
  <r>
    <s v="Good"/>
    <x v="2"/>
    <x v="2"/>
    <x v="1"/>
    <x v="1"/>
    <s v=" divorced/separated/married"/>
    <x v="0"/>
    <x v="2"/>
    <n v="24"/>
    <n v="3972"/>
    <n v="25"/>
    <s v="Medium"/>
  </r>
  <r>
    <s v="Bad"/>
    <x v="1"/>
    <x v="5"/>
    <x v="1"/>
    <x v="0"/>
    <s v=" divorced/separated"/>
    <x v="0"/>
    <x v="0"/>
    <n v="24"/>
    <n v="1935"/>
    <n v="31"/>
    <s v="Low"/>
  </r>
  <r>
    <s v="Bad"/>
    <x v="0"/>
    <x v="3"/>
    <x v="1"/>
    <x v="0"/>
    <s v=" single"/>
    <x v="0"/>
    <x v="2"/>
    <n v="15"/>
    <n v="950"/>
    <n v="33"/>
    <s v="Low"/>
  </r>
  <r>
    <s v="Good"/>
    <x v="2"/>
    <x v="2"/>
    <x v="1"/>
    <x v="1"/>
    <s v=" divorced/separated/married"/>
    <x v="0"/>
    <x v="0"/>
    <n v="12"/>
    <n v="763"/>
    <n v="26"/>
    <s v="Low"/>
  </r>
  <r>
    <s v="Bad"/>
    <x v="1"/>
    <x v="2"/>
    <x v="1"/>
    <x v="1"/>
    <s v=" divorced/separated/married"/>
    <x v="2"/>
    <x v="0"/>
    <n v="24"/>
    <n v="2064"/>
    <n v="34"/>
    <s v="Medium"/>
  </r>
  <r>
    <s v="Good"/>
    <x v="1"/>
    <x v="0"/>
    <x v="1"/>
    <x v="0"/>
    <s v=" single"/>
    <x v="0"/>
    <x v="0"/>
    <n v="8"/>
    <n v="1414"/>
    <n v="33"/>
    <s v="Low"/>
  </r>
  <r>
    <s v="Bad"/>
    <x v="0"/>
    <x v="1"/>
    <x v="1"/>
    <x v="0"/>
    <s v=" single"/>
    <x v="0"/>
    <x v="0"/>
    <n v="21"/>
    <n v="3414"/>
    <n v="26"/>
    <s v="Medium"/>
  </r>
  <r>
    <s v="Bad"/>
    <x v="2"/>
    <x v="4"/>
    <x v="0"/>
    <x v="1"/>
    <s v=" divorced/separated/married"/>
    <x v="2"/>
    <x v="0"/>
    <n v="30"/>
    <n v="7485"/>
    <n v="53"/>
    <s v="Hight"/>
  </r>
  <r>
    <s v="Good"/>
    <x v="0"/>
    <x v="2"/>
    <x v="1"/>
    <x v="0"/>
    <s v=" divorced/separated"/>
    <x v="0"/>
    <x v="0"/>
    <n v="12"/>
    <n v="2577"/>
    <n v="42"/>
    <s v="Medium"/>
  </r>
  <r>
    <s v="Good"/>
    <x v="0"/>
    <x v="0"/>
    <x v="2"/>
    <x v="0"/>
    <s v=" single"/>
    <x v="0"/>
    <x v="0"/>
    <n v="6"/>
    <n v="338"/>
    <n v="52"/>
    <s v="Low"/>
  </r>
  <r>
    <s v="Good"/>
    <x v="2"/>
    <x v="0"/>
    <x v="1"/>
    <x v="0"/>
    <s v=" single"/>
    <x v="2"/>
    <x v="2"/>
    <n v="12"/>
    <n v="1963"/>
    <n v="31"/>
    <s v="Low"/>
  </r>
  <r>
    <s v="Good"/>
    <x v="0"/>
    <x v="3"/>
    <x v="1"/>
    <x v="0"/>
    <s v=" single"/>
    <x v="0"/>
    <x v="0"/>
    <n v="21"/>
    <n v="571"/>
    <n v="65"/>
    <s v="Low"/>
  </r>
  <r>
    <s v="Bad"/>
    <x v="2"/>
    <x v="5"/>
    <x v="1"/>
    <x v="0"/>
    <s v=" divorced/separated"/>
    <x v="0"/>
    <x v="0"/>
    <n v="36"/>
    <n v="9572"/>
    <n v="28"/>
    <s v="Hight"/>
  </r>
  <r>
    <s v="Bad"/>
    <x v="1"/>
    <x v="5"/>
    <x v="1"/>
    <x v="0"/>
    <s v=" divorced/separated"/>
    <x v="2"/>
    <x v="0"/>
    <n v="36"/>
    <n v="4455"/>
    <n v="30"/>
    <s v="Medium"/>
  </r>
  <r>
    <s v="Bad"/>
    <x v="0"/>
    <x v="3"/>
    <x v="0"/>
    <x v="0"/>
    <s v=" single"/>
    <x v="1"/>
    <x v="0"/>
    <n v="21"/>
    <n v="1647"/>
    <n v="40"/>
    <s v="Low"/>
  </r>
  <r>
    <s v="Good"/>
    <x v="2"/>
    <x v="2"/>
    <x v="3"/>
    <x v="0"/>
    <s v=" single"/>
    <x v="0"/>
    <x v="0"/>
    <n v="24"/>
    <n v="3777"/>
    <n v="50"/>
    <s v="Medium"/>
  </r>
  <r>
    <s v="Bad"/>
    <x v="1"/>
    <x v="3"/>
    <x v="1"/>
    <x v="0"/>
    <s v=" single"/>
    <x v="0"/>
    <x v="0"/>
    <n v="18"/>
    <n v="884"/>
    <n v="36"/>
    <s v="Low"/>
  </r>
  <r>
    <s v="Good"/>
    <x v="2"/>
    <x v="0"/>
    <x v="1"/>
    <x v="0"/>
    <s v=" single"/>
    <x v="0"/>
    <x v="0"/>
    <n v="15"/>
    <n v="1360"/>
    <n v="31"/>
    <s v="Low"/>
  </r>
  <r>
    <s v="Bad"/>
    <x v="1"/>
    <x v="4"/>
    <x v="1"/>
    <x v="1"/>
    <s v=" divorced/separated/married"/>
    <x v="2"/>
    <x v="1"/>
    <n v="9"/>
    <n v="5129"/>
    <n v="74"/>
    <s v="Hight"/>
  </r>
  <r>
    <s v="Good"/>
    <x v="1"/>
    <x v="3"/>
    <x v="1"/>
    <x v="0"/>
    <s v=" single"/>
    <x v="3"/>
    <x v="1"/>
    <n v="16"/>
    <n v="1175"/>
    <n v="68"/>
    <s v="Low"/>
  </r>
  <r>
    <s v="Bad"/>
    <x v="0"/>
    <x v="0"/>
    <x v="4"/>
    <x v="0"/>
    <s v=" married/widowed"/>
    <x v="0"/>
    <x v="0"/>
    <n v="12"/>
    <n v="674"/>
    <n v="20"/>
    <s v="Low"/>
  </r>
  <r>
    <s v="Good"/>
    <x v="1"/>
    <x v="2"/>
    <x v="1"/>
    <x v="1"/>
    <s v=" divorced/separated/married"/>
    <x v="0"/>
    <x v="0"/>
    <n v="18"/>
    <n v="3244"/>
    <n v="33"/>
    <s v="Medium"/>
  </r>
  <r>
    <s v="Bad"/>
    <x v="2"/>
    <x v="5"/>
    <x v="3"/>
    <x v="0"/>
    <s v=" single"/>
    <x v="2"/>
    <x v="0"/>
    <n v="24"/>
    <n v="4591"/>
    <n v="54"/>
    <s v="Medium"/>
  </r>
  <r>
    <s v="Bad"/>
    <x v="1"/>
    <x v="5"/>
    <x v="4"/>
    <x v="0"/>
    <s v=" single"/>
    <x v="1"/>
    <x v="1"/>
    <n v="48"/>
    <n v="3844"/>
    <n v="34"/>
    <s v="Medium"/>
  </r>
  <r>
    <s v="Bad"/>
    <x v="1"/>
    <x v="5"/>
    <x v="1"/>
    <x v="0"/>
    <s v=" single"/>
    <x v="0"/>
    <x v="0"/>
    <n v="27"/>
    <n v="3915"/>
    <n v="36"/>
    <s v="Medium"/>
  </r>
  <r>
    <s v="Good"/>
    <x v="2"/>
    <x v="0"/>
    <x v="1"/>
    <x v="0"/>
    <s v=" married/widowed"/>
    <x v="0"/>
    <x v="2"/>
    <n v="6"/>
    <n v="2108"/>
    <n v="29"/>
    <s v="Medium"/>
  </r>
  <r>
    <s v="Bad"/>
    <x v="1"/>
    <x v="0"/>
    <x v="4"/>
    <x v="0"/>
    <s v=" single"/>
    <x v="0"/>
    <x v="2"/>
    <n v="45"/>
    <n v="3031"/>
    <n v="21"/>
    <s v="Medium"/>
  </r>
  <r>
    <s v="Bad"/>
    <x v="1"/>
    <x v="1"/>
    <x v="1"/>
    <x v="1"/>
    <s v=" divorced/separated/married"/>
    <x v="2"/>
    <x v="0"/>
    <n v="9"/>
    <n v="1501"/>
    <n v="34"/>
    <s v="Low"/>
  </r>
  <r>
    <s v="Good"/>
    <x v="2"/>
    <x v="0"/>
    <x v="1"/>
    <x v="1"/>
    <s v=" divorced/separated/married"/>
    <x v="0"/>
    <x v="0"/>
    <n v="6"/>
    <n v="1382"/>
    <n v="28"/>
    <s v="Low"/>
  </r>
  <r>
    <s v="Bad"/>
    <x v="1"/>
    <x v="2"/>
    <x v="4"/>
    <x v="1"/>
    <s v=" divorced/separated/married"/>
    <x v="0"/>
    <x v="2"/>
    <n v="12"/>
    <n v="951"/>
    <n v="27"/>
    <s v="Low"/>
  </r>
  <r>
    <s v="Good"/>
    <x v="1"/>
    <x v="4"/>
    <x v="0"/>
    <x v="0"/>
    <s v=" single"/>
    <x v="0"/>
    <x v="1"/>
    <n v="24"/>
    <n v="2760"/>
    <n v="36"/>
    <s v="Medium"/>
  </r>
  <r>
    <s v="Bad"/>
    <x v="1"/>
    <x v="2"/>
    <x v="1"/>
    <x v="0"/>
    <s v=" divorced/separated"/>
    <x v="2"/>
    <x v="0"/>
    <n v="18"/>
    <n v="4297"/>
    <n v="40"/>
    <s v="Medium"/>
  </r>
  <r>
    <s v="Good"/>
    <x v="2"/>
    <x v="1"/>
    <x v="2"/>
    <x v="0"/>
    <s v=" single"/>
    <x v="0"/>
    <x v="0"/>
    <n v="9"/>
    <n v="936"/>
    <n v="52"/>
    <s v="Low"/>
  </r>
  <r>
    <s v="Good"/>
    <x v="0"/>
    <x v="3"/>
    <x v="1"/>
    <x v="0"/>
    <s v=" married/widowed"/>
    <x v="1"/>
    <x v="0"/>
    <n v="12"/>
    <n v="1168"/>
    <n v="27"/>
    <s v="Low"/>
  </r>
  <r>
    <s v="Good"/>
    <x v="2"/>
    <x v="5"/>
    <x v="1"/>
    <x v="0"/>
    <s v=" single"/>
    <x v="0"/>
    <x v="0"/>
    <n v="27"/>
    <n v="5117"/>
    <n v="26"/>
    <s v="Hight"/>
  </r>
  <r>
    <s v="Bad"/>
    <x v="0"/>
    <x v="9"/>
    <x v="1"/>
    <x v="0"/>
    <s v=" married/widowed"/>
    <x v="0"/>
    <x v="2"/>
    <n v="12"/>
    <n v="902"/>
    <n v="21"/>
    <s v="Low"/>
  </r>
  <r>
    <s v="Good"/>
    <x v="2"/>
    <x v="3"/>
    <x v="1"/>
    <x v="0"/>
    <s v=" single"/>
    <x v="1"/>
    <x v="0"/>
    <n v="12"/>
    <n v="1495"/>
    <n v="38"/>
    <s v="Low"/>
  </r>
  <r>
    <s v="Good"/>
    <x v="0"/>
    <x v="4"/>
    <x v="1"/>
    <x v="0"/>
    <s v=" single"/>
    <x v="2"/>
    <x v="1"/>
    <n v="30"/>
    <n v="10623"/>
    <n v="38"/>
    <s v="Hight"/>
  </r>
  <r>
    <s v="Good"/>
    <x v="2"/>
    <x v="2"/>
    <x v="1"/>
    <x v="0"/>
    <s v=" single"/>
    <x v="0"/>
    <x v="0"/>
    <n v="12"/>
    <n v="1935"/>
    <n v="43"/>
    <s v="Low"/>
  </r>
  <r>
    <s v="Good"/>
    <x v="1"/>
    <x v="6"/>
    <x v="1"/>
    <x v="0"/>
    <s v=" single"/>
    <x v="0"/>
    <x v="0"/>
    <n v="12"/>
    <n v="1424"/>
    <n v="26"/>
    <s v="Low"/>
  </r>
  <r>
    <s v="Good"/>
    <x v="0"/>
    <x v="5"/>
    <x v="1"/>
    <x v="0"/>
    <s v=" married/widowed"/>
    <x v="1"/>
    <x v="0"/>
    <n v="24"/>
    <n v="6568"/>
    <n v="21"/>
    <s v="Hight"/>
  </r>
  <r>
    <s v="Good"/>
    <x v="2"/>
    <x v="4"/>
    <x v="3"/>
    <x v="0"/>
    <s v=" single"/>
    <x v="0"/>
    <x v="0"/>
    <n v="12"/>
    <n v="1413"/>
    <n v="55"/>
    <s v="Low"/>
  </r>
  <r>
    <s v="Good"/>
    <x v="2"/>
    <x v="0"/>
    <x v="0"/>
    <x v="0"/>
    <s v=" single"/>
    <x v="0"/>
    <x v="0"/>
    <n v="9"/>
    <n v="3074"/>
    <n v="33"/>
    <s v="Medium"/>
  </r>
  <r>
    <s v="Good"/>
    <x v="2"/>
    <x v="0"/>
    <x v="0"/>
    <x v="1"/>
    <s v=" divorced/separated/married"/>
    <x v="1"/>
    <x v="0"/>
    <n v="36"/>
    <n v="3835"/>
    <n v="45"/>
    <s v="Medium"/>
  </r>
  <r>
    <s v="Bad"/>
    <x v="0"/>
    <x v="5"/>
    <x v="1"/>
    <x v="0"/>
    <s v=" single"/>
    <x v="0"/>
    <x v="0"/>
    <n v="27"/>
    <n v="5293"/>
    <n v="50"/>
    <s v="Hight"/>
  </r>
  <r>
    <s v="Bad"/>
    <x v="3"/>
    <x v="5"/>
    <x v="1"/>
    <x v="0"/>
    <s v=" single"/>
    <x v="2"/>
    <x v="0"/>
    <n v="30"/>
    <n v="1908"/>
    <n v="66"/>
    <s v="Low"/>
  </r>
  <r>
    <s v="Good"/>
    <x v="2"/>
    <x v="0"/>
    <x v="0"/>
    <x v="0"/>
    <s v=" single"/>
    <x v="0"/>
    <x v="0"/>
    <n v="36"/>
    <n v="3342"/>
    <n v="51"/>
    <s v="Medium"/>
  </r>
  <r>
    <s v="Good"/>
    <x v="1"/>
    <x v="9"/>
    <x v="0"/>
    <x v="1"/>
    <s v=" divorced/separated/married"/>
    <x v="1"/>
    <x v="0"/>
    <n v="6"/>
    <n v="932"/>
    <n v="39"/>
    <s v="Low"/>
  </r>
  <r>
    <s v="Good"/>
    <x v="0"/>
    <x v="5"/>
    <x v="1"/>
    <x v="0"/>
    <s v=" single"/>
    <x v="0"/>
    <x v="0"/>
    <n v="18"/>
    <n v="3104"/>
    <n v="31"/>
    <s v="Medium"/>
  </r>
  <r>
    <s v="Good"/>
    <x v="3"/>
    <x v="0"/>
    <x v="1"/>
    <x v="0"/>
    <s v=" single"/>
    <x v="0"/>
    <x v="0"/>
    <n v="36"/>
    <n v="3913"/>
    <n v="23"/>
    <s v="Medium"/>
  </r>
  <r>
    <s v="Good"/>
    <x v="0"/>
    <x v="2"/>
    <x v="1"/>
    <x v="0"/>
    <s v=" divorced/separated"/>
    <x v="1"/>
    <x v="2"/>
    <n v="24"/>
    <n v="3021"/>
    <n v="24"/>
    <s v="Medium"/>
  </r>
  <r>
    <s v="Good"/>
    <x v="2"/>
    <x v="3"/>
    <x v="1"/>
    <x v="1"/>
    <s v=" divorced/separated/married"/>
    <x v="0"/>
    <x v="0"/>
    <n v="10"/>
    <n v="1364"/>
    <n v="64"/>
    <s v="Low"/>
  </r>
  <r>
    <s v="Good"/>
    <x v="1"/>
    <x v="0"/>
    <x v="1"/>
    <x v="0"/>
    <s v=" married/widowed"/>
    <x v="1"/>
    <x v="0"/>
    <n v="12"/>
    <n v="625"/>
    <n v="26"/>
    <s v="Low"/>
  </r>
  <r>
    <s v="Good"/>
    <x v="0"/>
    <x v="1"/>
    <x v="0"/>
    <x v="1"/>
    <s v=" divorced/separated/married"/>
    <x v="0"/>
    <x v="2"/>
    <n v="12"/>
    <n v="1200"/>
    <n v="23"/>
    <s v="Low"/>
  </r>
  <r>
    <s v="Good"/>
    <x v="2"/>
    <x v="0"/>
    <x v="1"/>
    <x v="0"/>
    <s v=" single"/>
    <x v="0"/>
    <x v="0"/>
    <n v="12"/>
    <n v="707"/>
    <n v="30"/>
    <s v="Low"/>
  </r>
  <r>
    <s v="Good"/>
    <x v="2"/>
    <x v="5"/>
    <x v="0"/>
    <x v="0"/>
    <s v=" single"/>
    <x v="0"/>
    <x v="0"/>
    <n v="24"/>
    <n v="2978"/>
    <n v="32"/>
    <s v="Medium"/>
  </r>
  <r>
    <s v="Good"/>
    <x v="2"/>
    <x v="4"/>
    <x v="1"/>
    <x v="0"/>
    <s v=" single"/>
    <x v="0"/>
    <x v="0"/>
    <n v="15"/>
    <n v="4657"/>
    <n v="30"/>
    <s v="Medium"/>
  </r>
  <r>
    <s v="Good"/>
    <x v="2"/>
    <x v="7"/>
    <x v="1"/>
    <x v="0"/>
    <s v=" single"/>
    <x v="0"/>
    <x v="0"/>
    <n v="36"/>
    <n v="2613"/>
    <n v="27"/>
    <s v="Medium"/>
  </r>
  <r>
    <s v="Bad"/>
    <x v="1"/>
    <x v="0"/>
    <x v="3"/>
    <x v="0"/>
    <s v=" single"/>
    <x v="0"/>
    <x v="0"/>
    <n v="48"/>
    <n v="10961"/>
    <n v="27"/>
    <s v="Hight"/>
  </r>
  <r>
    <s v="Bad"/>
    <x v="0"/>
    <x v="2"/>
    <x v="1"/>
    <x v="0"/>
    <s v=" single"/>
    <x v="2"/>
    <x v="1"/>
    <n v="12"/>
    <n v="7865"/>
    <n v="53"/>
    <s v="Hight"/>
  </r>
  <r>
    <s v="Bad"/>
    <x v="2"/>
    <x v="0"/>
    <x v="1"/>
    <x v="0"/>
    <s v=" single"/>
    <x v="0"/>
    <x v="0"/>
    <n v="9"/>
    <n v="1478"/>
    <n v="22"/>
    <s v="Low"/>
  </r>
  <r>
    <s v="Good"/>
    <x v="0"/>
    <x v="2"/>
    <x v="1"/>
    <x v="0"/>
    <s v=" single"/>
    <x v="0"/>
    <x v="1"/>
    <n v="24"/>
    <n v="3149"/>
    <n v="22"/>
    <s v="Medium"/>
  </r>
  <r>
    <s v="Bad"/>
    <x v="3"/>
    <x v="0"/>
    <x v="1"/>
    <x v="0"/>
    <s v=" single"/>
    <x v="0"/>
    <x v="0"/>
    <n v="36"/>
    <n v="4210"/>
    <n v="26"/>
    <s v="Medium"/>
  </r>
  <r>
    <s v="Good"/>
    <x v="2"/>
    <x v="3"/>
    <x v="2"/>
    <x v="0"/>
    <s v=" single"/>
    <x v="1"/>
    <x v="1"/>
    <n v="9"/>
    <n v="2507"/>
    <n v="51"/>
    <s v="Medium"/>
  </r>
  <r>
    <s v="Good"/>
    <x v="2"/>
    <x v="0"/>
    <x v="4"/>
    <x v="0"/>
    <s v=" single"/>
    <x v="0"/>
    <x v="0"/>
    <n v="12"/>
    <n v="2141"/>
    <n v="35"/>
    <s v="Medium"/>
  </r>
  <r>
    <s v="Good"/>
    <x v="1"/>
    <x v="0"/>
    <x v="1"/>
    <x v="0"/>
    <s v=" married/widowed"/>
    <x v="1"/>
    <x v="0"/>
    <n v="18"/>
    <n v="866"/>
    <n v="25"/>
    <s v="Low"/>
  </r>
  <r>
    <s v="Good"/>
    <x v="2"/>
    <x v="0"/>
    <x v="1"/>
    <x v="0"/>
    <s v=" single"/>
    <x v="1"/>
    <x v="0"/>
    <n v="4"/>
    <n v="1544"/>
    <n v="42"/>
    <s v="Low"/>
  </r>
  <r>
    <s v="Bad"/>
    <x v="0"/>
    <x v="0"/>
    <x v="1"/>
    <x v="0"/>
    <s v=" single"/>
    <x v="2"/>
    <x v="0"/>
    <n v="24"/>
    <n v="1823"/>
    <n v="30"/>
    <s v="Low"/>
  </r>
  <r>
    <s v="Bad"/>
    <x v="1"/>
    <x v="3"/>
    <x v="0"/>
    <x v="0"/>
    <s v=" single"/>
    <x v="3"/>
    <x v="0"/>
    <n v="6"/>
    <n v="14555"/>
    <n v="23"/>
    <s v="Hight"/>
  </r>
  <r>
    <s v="Bad"/>
    <x v="1"/>
    <x v="5"/>
    <x v="4"/>
    <x v="0"/>
    <s v=" divorced/separated"/>
    <x v="1"/>
    <x v="2"/>
    <n v="21"/>
    <n v="2767"/>
    <n v="61"/>
    <s v="Medium"/>
  </r>
  <r>
    <s v="Good"/>
    <x v="2"/>
    <x v="0"/>
    <x v="1"/>
    <x v="1"/>
    <s v=" divorced/separated/married"/>
    <x v="0"/>
    <x v="0"/>
    <n v="12"/>
    <n v="1291"/>
    <n v="35"/>
    <s v="Low"/>
  </r>
  <r>
    <s v="Good"/>
    <x v="0"/>
    <x v="0"/>
    <x v="1"/>
    <x v="0"/>
    <s v=" single"/>
    <x v="0"/>
    <x v="0"/>
    <n v="30"/>
    <n v="2522"/>
    <n v="39"/>
    <s v="Medium"/>
  </r>
  <r>
    <s v="Bad"/>
    <x v="0"/>
    <x v="3"/>
    <x v="0"/>
    <x v="1"/>
    <s v=" divorced/separated/married"/>
    <x v="0"/>
    <x v="0"/>
    <n v="24"/>
    <n v="915"/>
    <n v="29"/>
    <s v="Low"/>
  </r>
  <r>
    <s v="Good"/>
    <x v="2"/>
    <x v="0"/>
    <x v="1"/>
    <x v="0"/>
    <s v=" single"/>
    <x v="0"/>
    <x v="0"/>
    <n v="6"/>
    <n v="1595"/>
    <n v="51"/>
    <s v="Low"/>
  </r>
  <r>
    <s v="Bad"/>
    <x v="0"/>
    <x v="4"/>
    <x v="1"/>
    <x v="0"/>
    <s v=" single"/>
    <x v="0"/>
    <x v="1"/>
    <n v="48"/>
    <n v="4605"/>
    <n v="24"/>
    <s v="Medium"/>
  </r>
  <r>
    <s v="Good"/>
    <x v="2"/>
    <x v="5"/>
    <x v="1"/>
    <x v="1"/>
    <s v=" divorced/separated/married"/>
    <x v="0"/>
    <x v="0"/>
    <n v="12"/>
    <n v="1185"/>
    <n v="27"/>
    <s v="Low"/>
  </r>
  <r>
    <s v="Good"/>
    <x v="2"/>
    <x v="9"/>
    <x v="2"/>
    <x v="1"/>
    <s v=" divorced/separated/married"/>
    <x v="1"/>
    <x v="0"/>
    <n v="12"/>
    <n v="3447"/>
    <n v="35"/>
    <s v="Medium"/>
  </r>
  <r>
    <s v="Good"/>
    <x v="2"/>
    <x v="5"/>
    <x v="1"/>
    <x v="0"/>
    <s v=" single"/>
    <x v="0"/>
    <x v="0"/>
    <n v="24"/>
    <n v="1258"/>
    <n v="25"/>
    <s v="Low"/>
  </r>
  <r>
    <s v="Good"/>
    <x v="2"/>
    <x v="0"/>
    <x v="1"/>
    <x v="0"/>
    <s v=" single"/>
    <x v="0"/>
    <x v="0"/>
    <n v="12"/>
    <n v="717"/>
    <n v="52"/>
    <s v="Low"/>
  </r>
  <r>
    <s v="Good"/>
    <x v="2"/>
    <x v="3"/>
    <x v="4"/>
    <x v="0"/>
    <s v=" single"/>
    <x v="0"/>
    <x v="2"/>
    <n v="6"/>
    <n v="1204"/>
    <n v="35"/>
    <s v="Low"/>
  </r>
  <r>
    <s v="Good"/>
    <x v="3"/>
    <x v="2"/>
    <x v="1"/>
    <x v="0"/>
    <s v=" single"/>
    <x v="0"/>
    <x v="0"/>
    <n v="24"/>
    <n v="1925"/>
    <n v="26"/>
    <s v="Low"/>
  </r>
  <r>
    <s v="Bad"/>
    <x v="2"/>
    <x v="0"/>
    <x v="1"/>
    <x v="1"/>
    <s v=" divorced/separated/married"/>
    <x v="0"/>
    <x v="2"/>
    <n v="18"/>
    <n v="433"/>
    <n v="22"/>
    <s v="Low"/>
  </r>
  <r>
    <s v="Good"/>
    <x v="0"/>
    <x v="3"/>
    <x v="3"/>
    <x v="1"/>
    <s v=" divorced/separated/married"/>
    <x v="1"/>
    <x v="0"/>
    <n v="6"/>
    <n v="666"/>
    <n v="39"/>
    <s v="Low"/>
  </r>
  <r>
    <s v="Good"/>
    <x v="3"/>
    <x v="2"/>
    <x v="1"/>
    <x v="1"/>
    <s v=" divorced/separated/married"/>
    <x v="1"/>
    <x v="0"/>
    <n v="12"/>
    <n v="2251"/>
    <n v="46"/>
    <s v="Medium"/>
  </r>
  <r>
    <s v="Bad"/>
    <x v="1"/>
    <x v="3"/>
    <x v="1"/>
    <x v="1"/>
    <s v=" divorced/separated/married"/>
    <x v="0"/>
    <x v="0"/>
    <n v="30"/>
    <n v="2150"/>
    <n v="24"/>
    <s v="Medium"/>
  </r>
  <r>
    <s v="Good"/>
    <x v="2"/>
    <x v="2"/>
    <x v="4"/>
    <x v="0"/>
    <s v=" single"/>
    <x v="0"/>
    <x v="0"/>
    <n v="24"/>
    <n v="4151"/>
    <n v="35"/>
    <s v="Medium"/>
  </r>
  <r>
    <s v="Good"/>
    <x v="1"/>
    <x v="2"/>
    <x v="0"/>
    <x v="0"/>
    <s v=" single"/>
    <x v="0"/>
    <x v="0"/>
    <n v="9"/>
    <n v="2030"/>
    <n v="24"/>
    <s v="Medium"/>
  </r>
  <r>
    <s v="Good"/>
    <x v="1"/>
    <x v="0"/>
    <x v="0"/>
    <x v="0"/>
    <s v=" single"/>
    <x v="1"/>
    <x v="0"/>
    <n v="60"/>
    <n v="7418"/>
    <n v="27"/>
    <s v="Hight"/>
  </r>
  <r>
    <s v="Good"/>
    <x v="2"/>
    <x v="0"/>
    <x v="1"/>
    <x v="0"/>
    <s v=" single"/>
    <x v="1"/>
    <x v="0"/>
    <n v="24"/>
    <n v="2684"/>
    <n v="35"/>
    <s v="Medium"/>
  </r>
  <r>
    <s v="Bad"/>
    <x v="0"/>
    <x v="0"/>
    <x v="1"/>
    <x v="0"/>
    <s v=" divorced/separated"/>
    <x v="0"/>
    <x v="1"/>
    <n v="12"/>
    <n v="2149"/>
    <n v="29"/>
    <s v="Medium"/>
  </r>
  <r>
    <s v="Good"/>
    <x v="2"/>
    <x v="4"/>
    <x v="4"/>
    <x v="1"/>
    <s v=" divorced/separated/married"/>
    <x v="0"/>
    <x v="0"/>
    <n v="15"/>
    <n v="3812"/>
    <n v="23"/>
    <s v="Medium"/>
  </r>
  <r>
    <s v="Good"/>
    <x v="2"/>
    <x v="0"/>
    <x v="4"/>
    <x v="1"/>
    <s v=" divorced/separated/married"/>
    <x v="1"/>
    <x v="0"/>
    <n v="11"/>
    <n v="1154"/>
    <n v="57"/>
    <s v="Low"/>
  </r>
  <r>
    <s v="Good"/>
    <x v="0"/>
    <x v="2"/>
    <x v="1"/>
    <x v="0"/>
    <s v=" single"/>
    <x v="0"/>
    <x v="0"/>
    <n v="12"/>
    <n v="1657"/>
    <n v="27"/>
    <s v="Low"/>
  </r>
  <r>
    <s v="Good"/>
    <x v="0"/>
    <x v="0"/>
    <x v="1"/>
    <x v="1"/>
    <s v=" divorced/separated/married"/>
    <x v="0"/>
    <x v="0"/>
    <n v="24"/>
    <n v="1603"/>
    <n v="55"/>
    <s v="Low"/>
  </r>
  <r>
    <s v="Good"/>
    <x v="0"/>
    <x v="3"/>
    <x v="1"/>
    <x v="0"/>
    <s v=" single"/>
    <x v="2"/>
    <x v="1"/>
    <n v="18"/>
    <n v="5302"/>
    <n v="36"/>
    <s v="Hight"/>
  </r>
  <r>
    <s v="Good"/>
    <x v="2"/>
    <x v="1"/>
    <x v="1"/>
    <x v="1"/>
    <s v=" divorced/separated/married"/>
    <x v="1"/>
    <x v="1"/>
    <n v="12"/>
    <n v="2748"/>
    <n v="57"/>
    <s v="Medium"/>
  </r>
  <r>
    <s v="Good"/>
    <x v="2"/>
    <x v="3"/>
    <x v="1"/>
    <x v="0"/>
    <s v=" single"/>
    <x v="1"/>
    <x v="0"/>
    <n v="10"/>
    <n v="1231"/>
    <n v="32"/>
    <s v="Low"/>
  </r>
  <r>
    <s v="Bad"/>
    <x v="1"/>
    <x v="0"/>
    <x v="1"/>
    <x v="0"/>
    <s v=" single"/>
    <x v="0"/>
    <x v="0"/>
    <n v="15"/>
    <n v="802"/>
    <n v="37"/>
    <s v="Low"/>
  </r>
  <r>
    <s v="Good"/>
    <x v="2"/>
    <x v="5"/>
    <x v="0"/>
    <x v="0"/>
    <s v=" single"/>
    <x v="0"/>
    <x v="0"/>
    <n v="36"/>
    <n v="6304"/>
    <n v="36"/>
    <s v="Hight"/>
  </r>
  <r>
    <s v="Good"/>
    <x v="2"/>
    <x v="0"/>
    <x v="1"/>
    <x v="1"/>
    <s v=" divorced/separated/married"/>
    <x v="0"/>
    <x v="0"/>
    <n v="24"/>
    <n v="1533"/>
    <n v="38"/>
    <s v="Low"/>
  </r>
  <r>
    <s v="Bad"/>
    <x v="0"/>
    <x v="3"/>
    <x v="1"/>
    <x v="0"/>
    <s v=" divorced/separated"/>
    <x v="2"/>
    <x v="0"/>
    <n v="14"/>
    <n v="8978"/>
    <n v="45"/>
    <s v="Hight"/>
  </r>
  <r>
    <s v="Good"/>
    <x v="2"/>
    <x v="0"/>
    <x v="0"/>
    <x v="0"/>
    <s v=" single"/>
    <x v="0"/>
    <x v="0"/>
    <n v="24"/>
    <n v="999"/>
    <n v="25"/>
    <s v="Low"/>
  </r>
  <r>
    <s v="Good"/>
    <x v="2"/>
    <x v="3"/>
    <x v="0"/>
    <x v="0"/>
    <s v=" single"/>
    <x v="0"/>
    <x v="0"/>
    <n v="18"/>
    <n v="2662"/>
    <n v="32"/>
    <s v="Medium"/>
  </r>
  <r>
    <s v="Good"/>
    <x v="2"/>
    <x v="2"/>
    <x v="2"/>
    <x v="1"/>
    <s v=" divorced/separated/married"/>
    <x v="0"/>
    <x v="2"/>
    <n v="12"/>
    <n v="1402"/>
    <n v="37"/>
    <s v="Low"/>
  </r>
  <r>
    <s v="Good"/>
    <x v="1"/>
    <x v="3"/>
    <x v="0"/>
    <x v="0"/>
    <s v=" single"/>
    <x v="2"/>
    <x v="1"/>
    <n v="48"/>
    <n v="12169"/>
    <n v="36"/>
    <s v="Hight"/>
  </r>
  <r>
    <s v="Bad"/>
    <x v="1"/>
    <x v="0"/>
    <x v="1"/>
    <x v="0"/>
    <s v=" single"/>
    <x v="0"/>
    <x v="0"/>
    <n v="48"/>
    <n v="3060"/>
    <n v="28"/>
    <s v="Medium"/>
  </r>
  <r>
    <s v="Bad"/>
    <x v="0"/>
    <x v="7"/>
    <x v="1"/>
    <x v="0"/>
    <s v=" divorced/separated"/>
    <x v="1"/>
    <x v="0"/>
    <n v="30"/>
    <n v="11998"/>
    <n v="34"/>
    <s v="Hight"/>
  </r>
  <r>
    <s v="Good"/>
    <x v="2"/>
    <x v="0"/>
    <x v="1"/>
    <x v="0"/>
    <s v=" single"/>
    <x v="0"/>
    <x v="0"/>
    <n v="9"/>
    <n v="2697"/>
    <n v="32"/>
    <s v="Medium"/>
  </r>
  <r>
    <s v="Good"/>
    <x v="2"/>
    <x v="0"/>
    <x v="1"/>
    <x v="1"/>
    <s v=" divorced/separated/married"/>
    <x v="0"/>
    <x v="0"/>
    <n v="18"/>
    <n v="2404"/>
    <n v="26"/>
    <s v="Medium"/>
  </r>
  <r>
    <s v="Good"/>
    <x v="0"/>
    <x v="2"/>
    <x v="0"/>
    <x v="0"/>
    <s v=" divorced/separated"/>
    <x v="1"/>
    <x v="0"/>
    <n v="12"/>
    <n v="1262"/>
    <n v="49"/>
    <s v="Low"/>
  </r>
  <r>
    <s v="Bad"/>
    <x v="2"/>
    <x v="2"/>
    <x v="1"/>
    <x v="1"/>
    <s v=" divorced/separated/married"/>
    <x v="0"/>
    <x v="0"/>
    <n v="6"/>
    <n v="4611"/>
    <n v="32"/>
    <s v="Medium"/>
  </r>
  <r>
    <s v="Good"/>
    <x v="2"/>
    <x v="0"/>
    <x v="4"/>
    <x v="0"/>
    <s v=" single"/>
    <x v="2"/>
    <x v="2"/>
    <n v="24"/>
    <n v="1901"/>
    <n v="29"/>
    <s v="Low"/>
  </r>
  <r>
    <s v="Good"/>
    <x v="2"/>
    <x v="4"/>
    <x v="3"/>
    <x v="0"/>
    <s v=" single"/>
    <x v="0"/>
    <x v="2"/>
    <n v="15"/>
    <n v="3368"/>
    <n v="23"/>
    <s v="Medium"/>
  </r>
  <r>
    <s v="Good"/>
    <x v="2"/>
    <x v="2"/>
    <x v="1"/>
    <x v="0"/>
    <s v=" single"/>
    <x v="0"/>
    <x v="0"/>
    <n v="12"/>
    <n v="1574"/>
    <n v="50"/>
    <s v="Low"/>
  </r>
  <r>
    <s v="Good"/>
    <x v="3"/>
    <x v="0"/>
    <x v="0"/>
    <x v="0"/>
    <s v=" single"/>
    <x v="1"/>
    <x v="0"/>
    <n v="18"/>
    <n v="1445"/>
    <n v="49"/>
    <s v="Low"/>
  </r>
  <r>
    <s v="Good"/>
    <x v="2"/>
    <x v="2"/>
    <x v="0"/>
    <x v="0"/>
    <s v=" single"/>
    <x v="0"/>
    <x v="0"/>
    <n v="15"/>
    <n v="1520"/>
    <n v="63"/>
    <s v="Low"/>
  </r>
  <r>
    <s v="Good"/>
    <x v="1"/>
    <x v="3"/>
    <x v="4"/>
    <x v="0"/>
    <s v=" divorced/separated"/>
    <x v="0"/>
    <x v="0"/>
    <n v="24"/>
    <n v="3878"/>
    <n v="37"/>
    <s v="Medium"/>
  </r>
  <r>
    <s v="Good"/>
    <x v="0"/>
    <x v="3"/>
    <x v="1"/>
    <x v="1"/>
    <s v=" divorced/separated/married"/>
    <x v="1"/>
    <x v="0"/>
    <n v="47"/>
    <n v="10722"/>
    <n v="35"/>
    <s v="Hight"/>
  </r>
  <r>
    <s v="Good"/>
    <x v="0"/>
    <x v="4"/>
    <x v="1"/>
    <x v="0"/>
    <s v=" single"/>
    <x v="0"/>
    <x v="0"/>
    <n v="48"/>
    <n v="4788"/>
    <n v="26"/>
    <s v="Medium"/>
  </r>
  <r>
    <s v="Good"/>
    <x v="1"/>
    <x v="8"/>
    <x v="4"/>
    <x v="0"/>
    <s v=" single"/>
    <x v="2"/>
    <x v="1"/>
    <n v="48"/>
    <n v="7582"/>
    <n v="31"/>
    <s v="Hight"/>
  </r>
  <r>
    <s v="Good"/>
    <x v="1"/>
    <x v="0"/>
    <x v="1"/>
    <x v="1"/>
    <s v=" divorced/separated/married"/>
    <x v="0"/>
    <x v="0"/>
    <n v="12"/>
    <n v="1092"/>
    <n v="49"/>
    <s v="Low"/>
  </r>
  <r>
    <s v="Bad"/>
    <x v="0"/>
    <x v="0"/>
    <x v="1"/>
    <x v="0"/>
    <s v=" married/widowed"/>
    <x v="0"/>
    <x v="0"/>
    <n v="24"/>
    <n v="1024"/>
    <n v="48"/>
    <s v="Low"/>
  </r>
  <r>
    <s v="Good"/>
    <x v="2"/>
    <x v="5"/>
    <x v="1"/>
    <x v="0"/>
    <s v=" married/widowed"/>
    <x v="0"/>
    <x v="0"/>
    <n v="12"/>
    <n v="1076"/>
    <n v="26"/>
    <s v="Low"/>
  </r>
  <r>
    <s v="Bad"/>
    <x v="1"/>
    <x v="4"/>
    <x v="1"/>
    <x v="0"/>
    <s v=" married/widowed"/>
    <x v="2"/>
    <x v="2"/>
    <n v="36"/>
    <n v="9398"/>
    <n v="28"/>
    <s v="Hight"/>
  </r>
  <r>
    <s v="Good"/>
    <x v="0"/>
    <x v="4"/>
    <x v="1"/>
    <x v="1"/>
    <s v=" divorced/separated/married"/>
    <x v="2"/>
    <x v="1"/>
    <n v="24"/>
    <n v="6419"/>
    <n v="44"/>
    <s v="Hight"/>
  </r>
  <r>
    <s v="Good"/>
    <x v="3"/>
    <x v="4"/>
    <x v="1"/>
    <x v="0"/>
    <s v=" single"/>
    <x v="0"/>
    <x v="1"/>
    <n v="42"/>
    <n v="4796"/>
    <n v="56"/>
    <s v="Medium"/>
  </r>
  <r>
    <s v="Good"/>
    <x v="2"/>
    <x v="5"/>
    <x v="0"/>
    <x v="0"/>
    <s v=" divorced/separated"/>
    <x v="2"/>
    <x v="0"/>
    <n v="48"/>
    <n v="7629"/>
    <n v="46"/>
    <s v="Hight"/>
  </r>
  <r>
    <s v="Bad"/>
    <x v="1"/>
    <x v="2"/>
    <x v="1"/>
    <x v="1"/>
    <s v=" divorced/separated/married"/>
    <x v="0"/>
    <x v="0"/>
    <n v="48"/>
    <n v="9960"/>
    <n v="26"/>
    <s v="Hight"/>
  </r>
  <r>
    <s v="Good"/>
    <x v="2"/>
    <x v="4"/>
    <x v="0"/>
    <x v="1"/>
    <s v=" divorced/separated/married"/>
    <x v="0"/>
    <x v="2"/>
    <n v="12"/>
    <n v="4675"/>
    <n v="20"/>
    <s v="Medium"/>
  </r>
  <r>
    <s v="Good"/>
    <x v="2"/>
    <x v="3"/>
    <x v="0"/>
    <x v="0"/>
    <s v=" single"/>
    <x v="1"/>
    <x v="0"/>
    <n v="10"/>
    <n v="1287"/>
    <n v="45"/>
    <s v="Low"/>
  </r>
  <r>
    <s v="Good"/>
    <x v="2"/>
    <x v="2"/>
    <x v="1"/>
    <x v="0"/>
    <s v=" single"/>
    <x v="0"/>
    <x v="0"/>
    <n v="18"/>
    <n v="2515"/>
    <n v="43"/>
    <s v="Medium"/>
  </r>
  <r>
    <s v="Good"/>
    <x v="1"/>
    <x v="2"/>
    <x v="3"/>
    <x v="0"/>
    <s v=" single"/>
    <x v="0"/>
    <x v="0"/>
    <n v="21"/>
    <n v="2745"/>
    <n v="32"/>
    <s v="Medium"/>
  </r>
  <r>
    <s v="Good"/>
    <x v="2"/>
    <x v="3"/>
    <x v="1"/>
    <x v="1"/>
    <s v=" divorced/separated/married"/>
    <x v="3"/>
    <x v="0"/>
    <n v="6"/>
    <n v="672"/>
    <n v="54"/>
    <s v="Low"/>
  </r>
  <r>
    <s v="Bad"/>
    <x v="1"/>
    <x v="0"/>
    <x v="1"/>
    <x v="1"/>
    <s v=" divorced/separated/married"/>
    <x v="0"/>
    <x v="0"/>
    <n v="36"/>
    <n v="3804"/>
    <n v="42"/>
    <s v="Medium"/>
  </r>
  <r>
    <s v="Bad"/>
    <x v="3"/>
    <x v="3"/>
    <x v="0"/>
    <x v="0"/>
    <s v=" single"/>
    <x v="1"/>
    <x v="0"/>
    <n v="24"/>
    <n v="1344"/>
    <n v="37"/>
    <s v="Low"/>
  </r>
  <r>
    <s v="Good"/>
    <x v="0"/>
    <x v="3"/>
    <x v="1"/>
    <x v="0"/>
    <s v=" single"/>
    <x v="0"/>
    <x v="0"/>
    <n v="10"/>
    <n v="1038"/>
    <n v="49"/>
    <s v="Low"/>
  </r>
  <r>
    <s v="Bad"/>
    <x v="2"/>
    <x v="3"/>
    <x v="2"/>
    <x v="0"/>
    <s v=" single"/>
    <x v="0"/>
    <x v="1"/>
    <n v="48"/>
    <n v="10127"/>
    <n v="44"/>
    <s v="Hight"/>
  </r>
  <r>
    <s v="Good"/>
    <x v="2"/>
    <x v="2"/>
    <x v="3"/>
    <x v="0"/>
    <s v=" divorced/separated"/>
    <x v="0"/>
    <x v="0"/>
    <n v="6"/>
    <n v="1543"/>
    <n v="33"/>
    <s v="Low"/>
  </r>
  <r>
    <s v="Good"/>
    <x v="2"/>
    <x v="4"/>
    <x v="0"/>
    <x v="1"/>
    <s v=" divorced/separated/married"/>
    <x v="1"/>
    <x v="2"/>
    <n v="30"/>
    <n v="4811"/>
    <n v="24"/>
    <s v="Medium"/>
  </r>
  <r>
    <s v="Bad"/>
    <x v="0"/>
    <x v="0"/>
    <x v="4"/>
    <x v="0"/>
    <s v=" married/widowed"/>
    <x v="1"/>
    <x v="0"/>
    <n v="12"/>
    <n v="727"/>
    <n v="33"/>
    <s v="Low"/>
  </r>
  <r>
    <s v="Bad"/>
    <x v="1"/>
    <x v="2"/>
    <x v="1"/>
    <x v="1"/>
    <s v=" divorced/separated/married"/>
    <x v="0"/>
    <x v="0"/>
    <n v="8"/>
    <n v="1237"/>
    <n v="24"/>
    <s v="Low"/>
  </r>
  <r>
    <s v="Good"/>
    <x v="1"/>
    <x v="3"/>
    <x v="1"/>
    <x v="0"/>
    <s v=" married/widowed"/>
    <x v="1"/>
    <x v="2"/>
    <n v="9"/>
    <n v="276"/>
    <n v="22"/>
    <s v="Low"/>
  </r>
  <r>
    <s v="Good"/>
    <x v="1"/>
    <x v="8"/>
    <x v="0"/>
    <x v="0"/>
    <s v=" single"/>
    <x v="3"/>
    <x v="1"/>
    <n v="48"/>
    <n v="5381"/>
    <n v="40"/>
    <s v="Hight"/>
  </r>
  <r>
    <s v="Good"/>
    <x v="2"/>
    <x v="2"/>
    <x v="4"/>
    <x v="0"/>
    <s v=" single"/>
    <x v="0"/>
    <x v="0"/>
    <n v="24"/>
    <n v="5511"/>
    <n v="25"/>
    <s v="Hight"/>
  </r>
  <r>
    <s v="Good"/>
    <x v="3"/>
    <x v="2"/>
    <x v="1"/>
    <x v="1"/>
    <s v=" divorced/separated/married"/>
    <x v="0"/>
    <x v="0"/>
    <n v="24"/>
    <n v="3749"/>
    <n v="26"/>
    <s v="Medium"/>
  </r>
  <r>
    <s v="Bad"/>
    <x v="1"/>
    <x v="3"/>
    <x v="1"/>
    <x v="0"/>
    <s v=" married/widowed"/>
    <x v="1"/>
    <x v="0"/>
    <n v="12"/>
    <n v="685"/>
    <n v="25"/>
    <s v="Low"/>
  </r>
  <r>
    <s v="Good"/>
    <x v="3"/>
    <x v="3"/>
    <x v="0"/>
    <x v="0"/>
    <s v=" single"/>
    <x v="1"/>
    <x v="0"/>
    <n v="4"/>
    <n v="1494"/>
    <n v="29"/>
    <s v="Low"/>
  </r>
  <r>
    <s v="Bad"/>
    <x v="0"/>
    <x v="2"/>
    <x v="1"/>
    <x v="0"/>
    <s v=" single"/>
    <x v="0"/>
    <x v="0"/>
    <n v="36"/>
    <n v="2746"/>
    <n v="31"/>
    <s v="Medium"/>
  </r>
  <r>
    <s v="Good"/>
    <x v="0"/>
    <x v="2"/>
    <x v="1"/>
    <x v="0"/>
    <s v=" single"/>
    <x v="1"/>
    <x v="0"/>
    <n v="12"/>
    <n v="708"/>
    <n v="38"/>
    <s v="Low"/>
  </r>
  <r>
    <s v="Good"/>
    <x v="1"/>
    <x v="2"/>
    <x v="0"/>
    <x v="1"/>
    <s v=" divorced/separated/married"/>
    <x v="1"/>
    <x v="0"/>
    <n v="24"/>
    <n v="4351"/>
    <n v="48"/>
    <s v="Medium"/>
  </r>
  <r>
    <s v="Good"/>
    <x v="2"/>
    <x v="1"/>
    <x v="1"/>
    <x v="0"/>
    <s v=" single"/>
    <x v="0"/>
    <x v="0"/>
    <n v="12"/>
    <n v="701"/>
    <n v="32"/>
    <s v="Low"/>
  </r>
  <r>
    <s v="Good"/>
    <x v="0"/>
    <x v="2"/>
    <x v="1"/>
    <x v="1"/>
    <s v=" divorced/separated/married"/>
    <x v="1"/>
    <x v="0"/>
    <n v="15"/>
    <n v="3643"/>
    <n v="27"/>
    <s v="Medium"/>
  </r>
  <r>
    <s v="Bad"/>
    <x v="1"/>
    <x v="3"/>
    <x v="1"/>
    <x v="0"/>
    <s v=" married/widowed"/>
    <x v="2"/>
    <x v="0"/>
    <n v="30"/>
    <n v="4249"/>
    <n v="28"/>
    <s v="Medium"/>
  </r>
  <r>
    <s v="Bad"/>
    <x v="0"/>
    <x v="0"/>
    <x v="1"/>
    <x v="0"/>
    <s v=" divorced/separated"/>
    <x v="0"/>
    <x v="0"/>
    <n v="24"/>
    <n v="1938"/>
    <n v="32"/>
    <s v="Low"/>
  </r>
  <r>
    <s v="Good"/>
    <x v="0"/>
    <x v="4"/>
    <x v="1"/>
    <x v="0"/>
    <s v=" single"/>
    <x v="2"/>
    <x v="1"/>
    <n v="24"/>
    <n v="2910"/>
    <n v="34"/>
    <s v="Medium"/>
  </r>
  <r>
    <s v="Good"/>
    <x v="0"/>
    <x v="2"/>
    <x v="3"/>
    <x v="0"/>
    <s v=" single"/>
    <x v="0"/>
    <x v="0"/>
    <n v="18"/>
    <n v="2659"/>
    <n v="28"/>
    <s v="Medium"/>
  </r>
  <r>
    <s v="Good"/>
    <x v="2"/>
    <x v="3"/>
    <x v="1"/>
    <x v="1"/>
    <s v=" divorced/separated/married"/>
    <x v="0"/>
    <x v="0"/>
    <n v="18"/>
    <n v="1028"/>
    <n v="36"/>
    <s v="Low"/>
  </r>
  <r>
    <s v="Good"/>
    <x v="0"/>
    <x v="3"/>
    <x v="1"/>
    <x v="0"/>
    <s v=" single"/>
    <x v="1"/>
    <x v="0"/>
    <n v="8"/>
    <n v="3398"/>
    <n v="39"/>
    <s v="Medium"/>
  </r>
  <r>
    <s v="Good"/>
    <x v="2"/>
    <x v="2"/>
    <x v="0"/>
    <x v="0"/>
    <s v=" single"/>
    <x v="0"/>
    <x v="2"/>
    <n v="12"/>
    <n v="5801"/>
    <n v="49"/>
    <s v="Hight"/>
  </r>
  <r>
    <s v="Good"/>
    <x v="2"/>
    <x v="3"/>
    <x v="3"/>
    <x v="1"/>
    <s v=" divorced/separated/married"/>
    <x v="0"/>
    <x v="0"/>
    <n v="24"/>
    <n v="1525"/>
    <n v="34"/>
    <s v="Low"/>
  </r>
  <r>
    <s v="Good"/>
    <x v="3"/>
    <x v="0"/>
    <x v="1"/>
    <x v="0"/>
    <s v=" single"/>
    <x v="0"/>
    <x v="0"/>
    <n v="36"/>
    <n v="4473"/>
    <n v="31"/>
    <s v="Medium"/>
  </r>
  <r>
    <s v="Good"/>
    <x v="1"/>
    <x v="0"/>
    <x v="1"/>
    <x v="0"/>
    <s v=" single"/>
    <x v="0"/>
    <x v="0"/>
    <n v="6"/>
    <n v="1068"/>
    <n v="28"/>
    <s v="Low"/>
  </r>
  <r>
    <s v="Good"/>
    <x v="0"/>
    <x v="4"/>
    <x v="1"/>
    <x v="0"/>
    <s v=" single"/>
    <x v="2"/>
    <x v="1"/>
    <n v="24"/>
    <n v="6615"/>
    <n v="75"/>
    <s v="Hight"/>
  </r>
  <r>
    <s v="Bad"/>
    <x v="2"/>
    <x v="1"/>
    <x v="4"/>
    <x v="1"/>
    <s v=" divorced/separated/married"/>
    <x v="0"/>
    <x v="0"/>
    <n v="18"/>
    <n v="1864"/>
    <n v="30"/>
    <s v="Low"/>
  </r>
  <r>
    <s v="Bad"/>
    <x v="1"/>
    <x v="3"/>
    <x v="4"/>
    <x v="1"/>
    <s v=" divorced/separated/married"/>
    <x v="2"/>
    <x v="0"/>
    <n v="60"/>
    <n v="7408"/>
    <n v="24"/>
    <s v="Hight"/>
  </r>
  <r>
    <s v="Bad"/>
    <x v="2"/>
    <x v="4"/>
    <x v="4"/>
    <x v="1"/>
    <s v=" divorced/separated/married"/>
    <x v="1"/>
    <x v="2"/>
    <n v="48"/>
    <n v="11590"/>
    <n v="24"/>
    <s v="Hight"/>
  </r>
  <r>
    <s v="Bad"/>
    <x v="0"/>
    <x v="2"/>
    <x v="1"/>
    <x v="0"/>
    <s v=" single"/>
    <x v="0"/>
    <x v="2"/>
    <n v="24"/>
    <n v="4110"/>
    <n v="23"/>
    <s v="Medium"/>
  </r>
  <r>
    <s v="Bad"/>
    <x v="0"/>
    <x v="2"/>
    <x v="1"/>
    <x v="0"/>
    <s v=" divorced/separated"/>
    <x v="2"/>
    <x v="2"/>
    <n v="6"/>
    <n v="3384"/>
    <n v="44"/>
    <s v="Medium"/>
  </r>
  <r>
    <s v="Good"/>
    <x v="1"/>
    <x v="0"/>
    <x v="1"/>
    <x v="1"/>
    <s v=" divorced/separated/married"/>
    <x v="1"/>
    <x v="0"/>
    <n v="13"/>
    <n v="2101"/>
    <n v="23"/>
    <s v="Medium"/>
  </r>
  <r>
    <s v="Bad"/>
    <x v="0"/>
    <x v="6"/>
    <x v="0"/>
    <x v="1"/>
    <s v=" divorced/separated/married"/>
    <x v="0"/>
    <x v="2"/>
    <n v="15"/>
    <n v="1275"/>
    <n v="24"/>
    <s v="Low"/>
  </r>
  <r>
    <s v="Good"/>
    <x v="0"/>
    <x v="2"/>
    <x v="1"/>
    <x v="0"/>
    <s v=" single"/>
    <x v="0"/>
    <x v="0"/>
    <n v="24"/>
    <n v="4169"/>
    <n v="28"/>
    <s v="Medium"/>
  </r>
  <r>
    <s v="Good"/>
    <x v="1"/>
    <x v="2"/>
    <x v="1"/>
    <x v="0"/>
    <s v=" divorced/separated"/>
    <x v="1"/>
    <x v="0"/>
    <n v="10"/>
    <n v="1521"/>
    <n v="31"/>
    <s v="Low"/>
  </r>
  <r>
    <s v="Good"/>
    <x v="1"/>
    <x v="1"/>
    <x v="1"/>
    <x v="1"/>
    <s v=" divorced/separated/married"/>
    <x v="0"/>
    <x v="1"/>
    <n v="24"/>
    <n v="5743"/>
    <n v="24"/>
    <s v="Hight"/>
  </r>
  <r>
    <s v="Good"/>
    <x v="0"/>
    <x v="2"/>
    <x v="1"/>
    <x v="1"/>
    <s v=" divorced/separated/married"/>
    <x v="1"/>
    <x v="2"/>
    <n v="21"/>
    <n v="3599"/>
    <n v="26"/>
    <s v="Medium"/>
  </r>
  <r>
    <s v="Good"/>
    <x v="1"/>
    <x v="0"/>
    <x v="2"/>
    <x v="0"/>
    <s v=" married/widowed"/>
    <x v="0"/>
    <x v="2"/>
    <n v="18"/>
    <n v="3213"/>
    <n v="25"/>
    <s v="Medium"/>
  </r>
  <r>
    <s v="Good"/>
    <x v="1"/>
    <x v="5"/>
    <x v="1"/>
    <x v="0"/>
    <s v=" single"/>
    <x v="2"/>
    <x v="0"/>
    <n v="18"/>
    <n v="4439"/>
    <n v="33"/>
    <s v="Medium"/>
  </r>
  <r>
    <s v="Good"/>
    <x v="3"/>
    <x v="3"/>
    <x v="1"/>
    <x v="0"/>
    <s v=" single"/>
    <x v="1"/>
    <x v="0"/>
    <n v="10"/>
    <n v="3949"/>
    <n v="37"/>
    <s v="Medium"/>
  </r>
  <r>
    <s v="Good"/>
    <x v="2"/>
    <x v="0"/>
    <x v="1"/>
    <x v="1"/>
    <s v=" divorced/separated/married"/>
    <x v="1"/>
    <x v="0"/>
    <n v="15"/>
    <n v="1459"/>
    <n v="43"/>
    <s v="Low"/>
  </r>
  <r>
    <s v="Good"/>
    <x v="1"/>
    <x v="0"/>
    <x v="1"/>
    <x v="0"/>
    <s v=" single"/>
    <x v="0"/>
    <x v="0"/>
    <n v="13"/>
    <n v="882"/>
    <n v="23"/>
    <s v="Low"/>
  </r>
  <r>
    <s v="Good"/>
    <x v="1"/>
    <x v="0"/>
    <x v="2"/>
    <x v="1"/>
    <s v=" divorced/separated/married"/>
    <x v="3"/>
    <x v="2"/>
    <n v="24"/>
    <n v="3758"/>
    <n v="23"/>
    <s v="Medium"/>
  </r>
  <r>
    <s v="Good"/>
    <x v="2"/>
    <x v="5"/>
    <x v="4"/>
    <x v="0"/>
    <s v=" single"/>
    <x v="1"/>
    <x v="0"/>
    <n v="6"/>
    <n v="1743"/>
    <n v="34"/>
    <s v="Low"/>
  </r>
  <r>
    <s v="Bad"/>
    <x v="1"/>
    <x v="1"/>
    <x v="3"/>
    <x v="0"/>
    <s v=" single"/>
    <x v="0"/>
    <x v="1"/>
    <n v="9"/>
    <n v="1136"/>
    <n v="32"/>
    <s v="Low"/>
  </r>
  <r>
    <s v="Good"/>
    <x v="2"/>
    <x v="6"/>
    <x v="1"/>
    <x v="1"/>
    <s v=" divorced/separated/married"/>
    <x v="0"/>
    <x v="2"/>
    <n v="9"/>
    <n v="1236"/>
    <n v="23"/>
    <s v="Low"/>
  </r>
  <r>
    <s v="Bad"/>
    <x v="1"/>
    <x v="2"/>
    <x v="1"/>
    <x v="1"/>
    <s v=" divorced/separated/married"/>
    <x v="0"/>
    <x v="0"/>
    <n v="9"/>
    <n v="959"/>
    <n v="29"/>
    <s v="Low"/>
  </r>
  <r>
    <s v="Good"/>
    <x v="2"/>
    <x v="4"/>
    <x v="0"/>
    <x v="0"/>
    <s v=" single"/>
    <x v="2"/>
    <x v="0"/>
    <n v="18"/>
    <n v="3229"/>
    <n v="38"/>
    <s v="Medium"/>
  </r>
  <r>
    <s v="Bad"/>
    <x v="0"/>
    <x v="0"/>
    <x v="1"/>
    <x v="0"/>
    <s v=" single"/>
    <x v="0"/>
    <x v="2"/>
    <n v="12"/>
    <n v="6199"/>
    <n v="28"/>
    <s v="Hight"/>
  </r>
  <r>
    <s v="Good"/>
    <x v="2"/>
    <x v="1"/>
    <x v="2"/>
    <x v="0"/>
    <s v=" single"/>
    <x v="0"/>
    <x v="1"/>
    <n v="10"/>
    <n v="727"/>
    <n v="46"/>
    <s v="Low"/>
  </r>
  <r>
    <s v="Bad"/>
    <x v="1"/>
    <x v="3"/>
    <x v="1"/>
    <x v="0"/>
    <s v=" single"/>
    <x v="1"/>
    <x v="0"/>
    <n v="24"/>
    <n v="1246"/>
    <n v="23"/>
    <s v="Low"/>
  </r>
  <r>
    <s v="Good"/>
    <x v="2"/>
    <x v="0"/>
    <x v="0"/>
    <x v="0"/>
    <s v=" single"/>
    <x v="0"/>
    <x v="0"/>
    <n v="12"/>
    <n v="2331"/>
    <n v="49"/>
    <s v="Medium"/>
  </r>
  <r>
    <s v="Bad"/>
    <x v="2"/>
    <x v="0"/>
    <x v="1"/>
    <x v="0"/>
    <s v=" single"/>
    <x v="2"/>
    <x v="0"/>
    <n v="36"/>
    <n v="4463"/>
    <n v="26"/>
    <s v="Medium"/>
  </r>
  <r>
    <s v="Good"/>
    <x v="2"/>
    <x v="0"/>
    <x v="1"/>
    <x v="0"/>
    <s v=" married/widowed"/>
    <x v="0"/>
    <x v="0"/>
    <n v="12"/>
    <n v="776"/>
    <n v="28"/>
    <s v="Low"/>
  </r>
  <r>
    <s v="Bad"/>
    <x v="0"/>
    <x v="2"/>
    <x v="1"/>
    <x v="1"/>
    <s v=" divorced/separated/married"/>
    <x v="0"/>
    <x v="2"/>
    <n v="30"/>
    <n v="2406"/>
    <n v="23"/>
    <s v="Medium"/>
  </r>
  <r>
    <s v="Good"/>
    <x v="1"/>
    <x v="1"/>
    <x v="0"/>
    <x v="0"/>
    <s v=" single"/>
    <x v="0"/>
    <x v="1"/>
    <n v="18"/>
    <n v="1239"/>
    <n v="61"/>
    <s v="Low"/>
  </r>
  <r>
    <s v="Good"/>
    <x v="3"/>
    <x v="0"/>
    <x v="0"/>
    <x v="0"/>
    <s v=" single"/>
    <x v="2"/>
    <x v="0"/>
    <n v="12"/>
    <n v="3399"/>
    <n v="37"/>
    <s v="Medium"/>
  </r>
  <r>
    <s v="Good"/>
    <x v="3"/>
    <x v="3"/>
    <x v="1"/>
    <x v="1"/>
    <s v=" divorced/separated/married"/>
    <x v="0"/>
    <x v="0"/>
    <n v="12"/>
    <n v="2247"/>
    <n v="36"/>
    <s v="Medium"/>
  </r>
  <r>
    <s v="Good"/>
    <x v="2"/>
    <x v="2"/>
    <x v="1"/>
    <x v="0"/>
    <s v=" married/widowed"/>
    <x v="0"/>
    <x v="2"/>
    <n v="6"/>
    <n v="1766"/>
    <n v="21"/>
    <s v="Low"/>
  </r>
  <r>
    <s v="Bad"/>
    <x v="0"/>
    <x v="2"/>
    <x v="1"/>
    <x v="0"/>
    <s v=" single"/>
    <x v="3"/>
    <x v="0"/>
    <n v="18"/>
    <n v="2473"/>
    <n v="25"/>
    <s v="Medium"/>
  </r>
  <r>
    <s v="Good"/>
    <x v="2"/>
    <x v="5"/>
    <x v="1"/>
    <x v="0"/>
    <s v=" single"/>
    <x v="0"/>
    <x v="0"/>
    <n v="12"/>
    <n v="1542"/>
    <n v="36"/>
    <s v="Low"/>
  </r>
  <r>
    <s v="Good"/>
    <x v="2"/>
    <x v="4"/>
    <x v="1"/>
    <x v="0"/>
    <s v=" single"/>
    <x v="0"/>
    <x v="0"/>
    <n v="18"/>
    <n v="3850"/>
    <n v="27"/>
    <s v="Medium"/>
  </r>
  <r>
    <s v="Good"/>
    <x v="0"/>
    <x v="2"/>
    <x v="1"/>
    <x v="1"/>
    <s v=" divorced/separated/married"/>
    <x v="0"/>
    <x v="2"/>
    <n v="18"/>
    <n v="3650"/>
    <n v="22"/>
    <s v="Medium"/>
  </r>
  <r>
    <s v="Bad"/>
    <x v="0"/>
    <x v="2"/>
    <x v="1"/>
    <x v="0"/>
    <s v=" single"/>
    <x v="0"/>
    <x v="0"/>
    <n v="36"/>
    <n v="3446"/>
    <n v="42"/>
    <s v="Medium"/>
  </r>
  <r>
    <s v="Good"/>
    <x v="1"/>
    <x v="2"/>
    <x v="1"/>
    <x v="1"/>
    <s v=" divorced/separated/married"/>
    <x v="0"/>
    <x v="2"/>
    <n v="18"/>
    <n v="3001"/>
    <n v="40"/>
    <s v="Medium"/>
  </r>
  <r>
    <s v="Good"/>
    <x v="2"/>
    <x v="3"/>
    <x v="0"/>
    <x v="0"/>
    <s v=" single"/>
    <x v="0"/>
    <x v="0"/>
    <n v="36"/>
    <n v="3079"/>
    <n v="36"/>
    <s v="Medium"/>
  </r>
  <r>
    <s v="Good"/>
    <x v="2"/>
    <x v="0"/>
    <x v="1"/>
    <x v="0"/>
    <s v=" single"/>
    <x v="0"/>
    <x v="0"/>
    <n v="18"/>
    <n v="6070"/>
    <n v="33"/>
    <s v="Hight"/>
  </r>
  <r>
    <s v="Good"/>
    <x v="2"/>
    <x v="2"/>
    <x v="1"/>
    <x v="1"/>
    <s v=" divorced/separated/married"/>
    <x v="0"/>
    <x v="2"/>
    <n v="10"/>
    <n v="2146"/>
    <n v="23"/>
    <s v="Medium"/>
  </r>
  <r>
    <s v="Good"/>
    <x v="2"/>
    <x v="3"/>
    <x v="0"/>
    <x v="0"/>
    <s v=" single"/>
    <x v="2"/>
    <x v="1"/>
    <n v="60"/>
    <n v="13756"/>
    <n v="63"/>
    <s v="Hight"/>
  </r>
  <r>
    <s v="Bad"/>
    <x v="1"/>
    <x v="8"/>
    <x v="4"/>
    <x v="1"/>
    <s v=" divorced/separated/married"/>
    <x v="2"/>
    <x v="1"/>
    <n v="60"/>
    <n v="14782"/>
    <n v="60"/>
    <s v="Hight"/>
  </r>
  <r>
    <s v="Bad"/>
    <x v="0"/>
    <x v="5"/>
    <x v="1"/>
    <x v="1"/>
    <s v=" divorced/separated/married"/>
    <x v="0"/>
    <x v="2"/>
    <n v="48"/>
    <n v="7685"/>
    <n v="37"/>
    <s v="Hight"/>
  </r>
  <r>
    <s v="Good"/>
    <x v="2"/>
    <x v="0"/>
    <x v="1"/>
    <x v="0"/>
    <s v=" married/widowed"/>
    <x v="0"/>
    <x v="0"/>
    <n v="18"/>
    <n v="2320"/>
    <n v="34"/>
    <s v="Medium"/>
  </r>
  <r>
    <s v="Good"/>
    <x v="2"/>
    <x v="0"/>
    <x v="0"/>
    <x v="0"/>
    <s v=" single"/>
    <x v="0"/>
    <x v="1"/>
    <n v="7"/>
    <n v="846"/>
    <n v="36"/>
    <s v="Low"/>
  </r>
  <r>
    <s v="Bad"/>
    <x v="1"/>
    <x v="3"/>
    <x v="1"/>
    <x v="0"/>
    <s v=" single"/>
    <x v="2"/>
    <x v="1"/>
    <n v="36"/>
    <n v="14318"/>
    <n v="57"/>
    <s v="Hight"/>
  </r>
  <r>
    <s v="Good"/>
    <x v="2"/>
    <x v="3"/>
    <x v="4"/>
    <x v="1"/>
    <s v=" divorced/separated/married"/>
    <x v="1"/>
    <x v="0"/>
    <n v="6"/>
    <n v="362"/>
    <n v="52"/>
    <s v="Low"/>
  </r>
  <r>
    <s v="Good"/>
    <x v="0"/>
    <x v="2"/>
    <x v="0"/>
    <x v="0"/>
    <s v=" single"/>
    <x v="0"/>
    <x v="0"/>
    <n v="20"/>
    <n v="2212"/>
    <n v="39"/>
    <s v="Medium"/>
  </r>
  <r>
    <s v="Bad"/>
    <x v="1"/>
    <x v="4"/>
    <x v="1"/>
    <x v="1"/>
    <s v=" divorced/separated/married"/>
    <x v="2"/>
    <x v="1"/>
    <n v="18"/>
    <n v="12976"/>
    <n v="38"/>
    <s v="Hight"/>
  </r>
  <r>
    <s v="Good"/>
    <x v="2"/>
    <x v="3"/>
    <x v="0"/>
    <x v="1"/>
    <s v=" divorced/separated/married"/>
    <x v="0"/>
    <x v="2"/>
    <n v="22"/>
    <n v="1283"/>
    <n v="25"/>
    <s v="Low"/>
  </r>
  <r>
    <s v="Good"/>
    <x v="3"/>
    <x v="3"/>
    <x v="1"/>
    <x v="0"/>
    <s v=" single"/>
    <x v="0"/>
    <x v="0"/>
    <n v="12"/>
    <n v="1330"/>
    <n v="26"/>
    <s v="Low"/>
  </r>
  <r>
    <s v="Good"/>
    <x v="2"/>
    <x v="5"/>
    <x v="4"/>
    <x v="0"/>
    <s v=" single"/>
    <x v="1"/>
    <x v="0"/>
    <n v="30"/>
    <n v="4272"/>
    <n v="26"/>
    <s v="Medium"/>
  </r>
  <r>
    <s v="Good"/>
    <x v="2"/>
    <x v="0"/>
    <x v="1"/>
    <x v="1"/>
    <s v=" divorced/separated/married"/>
    <x v="0"/>
    <x v="0"/>
    <n v="18"/>
    <n v="2238"/>
    <n v="25"/>
    <s v="Medium"/>
  </r>
  <r>
    <s v="Good"/>
    <x v="2"/>
    <x v="0"/>
    <x v="0"/>
    <x v="1"/>
    <s v=" divorced/separated/married"/>
    <x v="0"/>
    <x v="2"/>
    <n v="18"/>
    <n v="1126"/>
    <n v="21"/>
    <s v="Low"/>
  </r>
  <r>
    <s v="Good"/>
    <x v="1"/>
    <x v="2"/>
    <x v="1"/>
    <x v="0"/>
    <s v=" single"/>
    <x v="2"/>
    <x v="0"/>
    <n v="18"/>
    <n v="7374"/>
    <n v="40"/>
    <s v="Hight"/>
  </r>
  <r>
    <s v="Good"/>
    <x v="1"/>
    <x v="5"/>
    <x v="2"/>
    <x v="0"/>
    <s v=" single"/>
    <x v="0"/>
    <x v="0"/>
    <n v="15"/>
    <n v="2326"/>
    <n v="27"/>
    <s v="Medium"/>
  </r>
  <r>
    <s v="Good"/>
    <x v="2"/>
    <x v="5"/>
    <x v="1"/>
    <x v="1"/>
    <s v=" divorced/separated/married"/>
    <x v="0"/>
    <x v="0"/>
    <n v="9"/>
    <n v="1449"/>
    <n v="27"/>
    <s v="Low"/>
  </r>
  <r>
    <s v="Good"/>
    <x v="2"/>
    <x v="3"/>
    <x v="1"/>
    <x v="0"/>
    <s v=" married/widowed"/>
    <x v="2"/>
    <x v="0"/>
    <n v="18"/>
    <n v="1820"/>
    <n v="30"/>
    <s v="Low"/>
  </r>
  <r>
    <s v="Good"/>
    <x v="1"/>
    <x v="2"/>
    <x v="3"/>
    <x v="1"/>
    <s v=" divorced/separated/married"/>
    <x v="1"/>
    <x v="2"/>
    <n v="12"/>
    <n v="983"/>
    <n v="19"/>
    <s v="Low"/>
  </r>
  <r>
    <s v="Good"/>
    <x v="0"/>
    <x v="3"/>
    <x v="1"/>
    <x v="0"/>
    <s v=" single"/>
    <x v="2"/>
    <x v="1"/>
    <n v="36"/>
    <n v="3249"/>
    <n v="39"/>
    <s v="Medium"/>
  </r>
  <r>
    <s v="Good"/>
    <x v="0"/>
    <x v="0"/>
    <x v="1"/>
    <x v="1"/>
    <s v=" divorced/separated/married"/>
    <x v="0"/>
    <x v="0"/>
    <n v="6"/>
    <n v="1957"/>
    <n v="31"/>
    <s v="Low"/>
  </r>
  <r>
    <s v="Good"/>
    <x v="2"/>
    <x v="2"/>
    <x v="1"/>
    <x v="0"/>
    <s v=" single"/>
    <x v="2"/>
    <x v="0"/>
    <n v="9"/>
    <n v="2406"/>
    <n v="31"/>
    <s v="Medium"/>
  </r>
  <r>
    <s v="Good"/>
    <x v="1"/>
    <x v="1"/>
    <x v="4"/>
    <x v="0"/>
    <s v=" single"/>
    <x v="0"/>
    <x v="2"/>
    <n v="39"/>
    <n v="11760"/>
    <n v="32"/>
    <s v="Hight"/>
  </r>
  <r>
    <s v="Good"/>
    <x v="0"/>
    <x v="2"/>
    <x v="1"/>
    <x v="1"/>
    <s v=" divorced/separated/married"/>
    <x v="2"/>
    <x v="1"/>
    <n v="12"/>
    <n v="2578"/>
    <n v="55"/>
    <s v="Medium"/>
  </r>
  <r>
    <s v="Good"/>
    <x v="0"/>
    <x v="2"/>
    <x v="1"/>
    <x v="0"/>
    <s v=" married/widowed"/>
    <x v="0"/>
    <x v="0"/>
    <n v="36"/>
    <n v="2348"/>
    <n v="46"/>
    <s v="Medium"/>
  </r>
  <r>
    <s v="Bad"/>
    <x v="1"/>
    <x v="3"/>
    <x v="1"/>
    <x v="0"/>
    <s v=" divorced/separated"/>
    <x v="0"/>
    <x v="2"/>
    <n v="12"/>
    <n v="1223"/>
    <n v="46"/>
    <s v="Low"/>
  </r>
  <r>
    <s v="Good"/>
    <x v="2"/>
    <x v="0"/>
    <x v="3"/>
    <x v="1"/>
    <s v=" divorced/separated/married"/>
    <x v="1"/>
    <x v="0"/>
    <n v="24"/>
    <n v="1516"/>
    <n v="43"/>
    <s v="Low"/>
  </r>
  <r>
    <s v="Good"/>
    <x v="2"/>
    <x v="0"/>
    <x v="1"/>
    <x v="0"/>
    <s v=" married/widowed"/>
    <x v="0"/>
    <x v="0"/>
    <n v="18"/>
    <n v="1473"/>
    <n v="39"/>
    <s v="Low"/>
  </r>
  <r>
    <s v="Good"/>
    <x v="1"/>
    <x v="5"/>
    <x v="0"/>
    <x v="0"/>
    <s v=" married/widowed"/>
    <x v="0"/>
    <x v="0"/>
    <n v="18"/>
    <n v="1887"/>
    <n v="28"/>
    <s v="Low"/>
  </r>
  <r>
    <s v="Bad"/>
    <x v="2"/>
    <x v="5"/>
    <x v="1"/>
    <x v="0"/>
    <s v=" single"/>
    <x v="0"/>
    <x v="0"/>
    <n v="24"/>
    <n v="8648"/>
    <n v="27"/>
    <s v="Hight"/>
  </r>
  <r>
    <s v="Good"/>
    <x v="2"/>
    <x v="3"/>
    <x v="1"/>
    <x v="0"/>
    <s v=" single"/>
    <x v="1"/>
    <x v="0"/>
    <n v="14"/>
    <n v="802"/>
    <n v="27"/>
    <s v="Low"/>
  </r>
  <r>
    <s v="Good"/>
    <x v="1"/>
    <x v="3"/>
    <x v="0"/>
    <x v="0"/>
    <s v=" single"/>
    <x v="0"/>
    <x v="0"/>
    <n v="18"/>
    <n v="2899"/>
    <n v="43"/>
    <s v="Medium"/>
  </r>
  <r>
    <s v="Bad"/>
    <x v="1"/>
    <x v="0"/>
    <x v="1"/>
    <x v="0"/>
    <s v=" married/widowed"/>
    <x v="0"/>
    <x v="0"/>
    <n v="24"/>
    <n v="2039"/>
    <n v="22"/>
    <s v="Medium"/>
  </r>
  <r>
    <s v="Good"/>
    <x v="2"/>
    <x v="4"/>
    <x v="0"/>
    <x v="0"/>
    <s v=" single"/>
    <x v="0"/>
    <x v="0"/>
    <n v="24"/>
    <n v="2197"/>
    <n v="43"/>
    <s v="Medium"/>
  </r>
  <r>
    <s v="Good"/>
    <x v="0"/>
    <x v="0"/>
    <x v="1"/>
    <x v="0"/>
    <s v=" married/widowed"/>
    <x v="0"/>
    <x v="0"/>
    <n v="15"/>
    <n v="1053"/>
    <n v="27"/>
    <s v="Low"/>
  </r>
  <r>
    <s v="Good"/>
    <x v="2"/>
    <x v="0"/>
    <x v="2"/>
    <x v="0"/>
    <s v=" divorced/separated"/>
    <x v="2"/>
    <x v="0"/>
    <n v="24"/>
    <n v="3235"/>
    <n v="26"/>
    <s v="Medium"/>
  </r>
  <r>
    <s v="Bad"/>
    <x v="3"/>
    <x v="3"/>
    <x v="2"/>
    <x v="0"/>
    <s v=" married/widowed"/>
    <x v="0"/>
    <x v="0"/>
    <n v="12"/>
    <n v="939"/>
    <n v="28"/>
    <s v="Low"/>
  </r>
  <r>
    <s v="Good"/>
    <x v="1"/>
    <x v="0"/>
    <x v="1"/>
    <x v="1"/>
    <s v=" divorced/separated/married"/>
    <x v="0"/>
    <x v="0"/>
    <n v="24"/>
    <n v="1967"/>
    <n v="20"/>
    <s v="Low"/>
  </r>
  <r>
    <s v="Good"/>
    <x v="2"/>
    <x v="4"/>
    <x v="1"/>
    <x v="0"/>
    <s v=" single"/>
    <x v="2"/>
    <x v="0"/>
    <n v="33"/>
    <n v="7253"/>
    <n v="35"/>
    <s v="Hight"/>
  </r>
  <r>
    <s v="Bad"/>
    <x v="2"/>
    <x v="5"/>
    <x v="1"/>
    <x v="0"/>
    <s v=" single"/>
    <x v="2"/>
    <x v="0"/>
    <n v="12"/>
    <n v="2292"/>
    <n v="42"/>
    <s v="Medium"/>
  </r>
  <r>
    <s v="Good"/>
    <x v="2"/>
    <x v="3"/>
    <x v="2"/>
    <x v="0"/>
    <s v=" single"/>
    <x v="1"/>
    <x v="2"/>
    <n v="10"/>
    <n v="1597"/>
    <n v="40"/>
    <s v="Low"/>
  </r>
  <r>
    <s v="Bad"/>
    <x v="0"/>
    <x v="3"/>
    <x v="0"/>
    <x v="1"/>
    <s v=" divorced/separated/married"/>
    <x v="0"/>
    <x v="0"/>
    <n v="24"/>
    <n v="1381"/>
    <n v="35"/>
    <s v="Low"/>
  </r>
  <r>
    <s v="Good"/>
    <x v="2"/>
    <x v="4"/>
    <x v="1"/>
    <x v="0"/>
    <s v=" single"/>
    <x v="0"/>
    <x v="0"/>
    <n v="36"/>
    <n v="5842"/>
    <n v="35"/>
    <s v="Hight"/>
  </r>
  <r>
    <s v="Bad"/>
    <x v="0"/>
    <x v="3"/>
    <x v="1"/>
    <x v="0"/>
    <s v=" single"/>
    <x v="1"/>
    <x v="0"/>
    <n v="12"/>
    <n v="2579"/>
    <n v="33"/>
    <s v="Medium"/>
  </r>
  <r>
    <s v="Good"/>
    <x v="0"/>
    <x v="1"/>
    <x v="0"/>
    <x v="1"/>
    <s v=" divorced/separated/married"/>
    <x v="0"/>
    <x v="2"/>
    <n v="18"/>
    <n v="8471"/>
    <n v="23"/>
    <s v="Hight"/>
  </r>
  <r>
    <s v="Good"/>
    <x v="2"/>
    <x v="3"/>
    <x v="2"/>
    <x v="1"/>
    <s v=" divorced/separated/married"/>
    <x v="2"/>
    <x v="0"/>
    <n v="21"/>
    <n v="2782"/>
    <n v="31"/>
    <s v="Medium"/>
  </r>
  <r>
    <s v="Bad"/>
    <x v="1"/>
    <x v="3"/>
    <x v="0"/>
    <x v="1"/>
    <s v=" divorced/separated/married"/>
    <x v="0"/>
    <x v="0"/>
    <n v="18"/>
    <n v="1042"/>
    <n v="33"/>
    <s v="Low"/>
  </r>
  <r>
    <s v="Good"/>
    <x v="2"/>
    <x v="3"/>
    <x v="3"/>
    <x v="1"/>
    <s v=" divorced/separated/married"/>
    <x v="0"/>
    <x v="2"/>
    <n v="15"/>
    <n v="3186"/>
    <n v="20"/>
    <s v="Medium"/>
  </r>
  <r>
    <s v="Good"/>
    <x v="1"/>
    <x v="4"/>
    <x v="0"/>
    <x v="0"/>
    <s v=" single"/>
    <x v="0"/>
    <x v="0"/>
    <n v="12"/>
    <n v="2028"/>
    <n v="30"/>
    <s v="Medium"/>
  </r>
  <r>
    <s v="Good"/>
    <x v="1"/>
    <x v="3"/>
    <x v="1"/>
    <x v="0"/>
    <s v=" single"/>
    <x v="1"/>
    <x v="0"/>
    <n v="12"/>
    <n v="958"/>
    <n v="47"/>
    <s v="Low"/>
  </r>
  <r>
    <s v="Good"/>
    <x v="2"/>
    <x v="2"/>
    <x v="4"/>
    <x v="0"/>
    <s v=" single"/>
    <x v="2"/>
    <x v="0"/>
    <n v="21"/>
    <n v="1591"/>
    <n v="34"/>
    <s v="Low"/>
  </r>
  <r>
    <s v="Bad"/>
    <x v="1"/>
    <x v="2"/>
    <x v="0"/>
    <x v="1"/>
    <s v=" divorced/separated/married"/>
    <x v="0"/>
    <x v="0"/>
    <n v="12"/>
    <n v="2762"/>
    <n v="25"/>
    <s v="Medium"/>
  </r>
  <r>
    <s v="Good"/>
    <x v="1"/>
    <x v="4"/>
    <x v="1"/>
    <x v="0"/>
    <s v=" married/widowed"/>
    <x v="0"/>
    <x v="2"/>
    <n v="18"/>
    <n v="2779"/>
    <n v="21"/>
    <s v="Medium"/>
  </r>
  <r>
    <s v="Good"/>
    <x v="2"/>
    <x v="0"/>
    <x v="1"/>
    <x v="0"/>
    <s v=" single"/>
    <x v="0"/>
    <x v="0"/>
    <n v="28"/>
    <n v="2743"/>
    <n v="29"/>
    <s v="Medium"/>
  </r>
  <r>
    <s v="Good"/>
    <x v="2"/>
    <x v="0"/>
    <x v="3"/>
    <x v="0"/>
    <s v=" single"/>
    <x v="0"/>
    <x v="0"/>
    <n v="18"/>
    <n v="1149"/>
    <n v="46"/>
    <s v="Low"/>
  </r>
  <r>
    <s v="Good"/>
    <x v="2"/>
    <x v="2"/>
    <x v="1"/>
    <x v="0"/>
    <s v=" single"/>
    <x v="0"/>
    <x v="0"/>
    <n v="9"/>
    <n v="1313"/>
    <n v="20"/>
    <s v="Low"/>
  </r>
  <r>
    <s v="Bad"/>
    <x v="0"/>
    <x v="7"/>
    <x v="1"/>
    <x v="1"/>
    <s v=" divorced/separated/married"/>
    <x v="3"/>
    <x v="1"/>
    <n v="18"/>
    <n v="1190"/>
    <n v="55"/>
    <s v="Low"/>
  </r>
  <r>
    <s v="Good"/>
    <x v="2"/>
    <x v="5"/>
    <x v="1"/>
    <x v="0"/>
    <s v=" single"/>
    <x v="1"/>
    <x v="0"/>
    <n v="5"/>
    <n v="3448"/>
    <n v="74"/>
    <s v="Medium"/>
  </r>
  <r>
    <s v="Bad"/>
    <x v="1"/>
    <x v="8"/>
    <x v="1"/>
    <x v="0"/>
    <s v=" single"/>
    <x v="2"/>
    <x v="0"/>
    <n v="24"/>
    <n v="11328"/>
    <n v="29"/>
    <s v="Hight"/>
  </r>
  <r>
    <s v="Good"/>
    <x v="0"/>
    <x v="2"/>
    <x v="1"/>
    <x v="0"/>
    <s v=" single"/>
    <x v="2"/>
    <x v="1"/>
    <n v="6"/>
    <n v="1872"/>
    <n v="36"/>
    <s v="Low"/>
  </r>
  <r>
    <s v="Good"/>
    <x v="2"/>
    <x v="7"/>
    <x v="1"/>
    <x v="0"/>
    <s v=" divorced/separated"/>
    <x v="0"/>
    <x v="0"/>
    <n v="24"/>
    <n v="2058"/>
    <n v="33"/>
    <s v="Medium"/>
  </r>
  <r>
    <s v="Good"/>
    <x v="0"/>
    <x v="2"/>
    <x v="1"/>
    <x v="0"/>
    <s v=" single"/>
    <x v="0"/>
    <x v="0"/>
    <n v="9"/>
    <n v="2136"/>
    <n v="25"/>
    <s v="Medium"/>
  </r>
  <r>
    <s v="Bad"/>
    <x v="1"/>
    <x v="0"/>
    <x v="0"/>
    <x v="0"/>
    <s v=" married/widowed"/>
    <x v="0"/>
    <x v="0"/>
    <n v="12"/>
    <n v="1484"/>
    <n v="25"/>
    <s v="Low"/>
  </r>
  <r>
    <s v="Good"/>
    <x v="2"/>
    <x v="7"/>
    <x v="2"/>
    <x v="0"/>
    <s v=" married/widowed"/>
    <x v="1"/>
    <x v="2"/>
    <n v="6"/>
    <n v="660"/>
    <n v="23"/>
    <s v="Low"/>
  </r>
  <r>
    <s v="Good"/>
    <x v="2"/>
    <x v="3"/>
    <x v="3"/>
    <x v="1"/>
    <s v=" divorced/separated/married"/>
    <x v="0"/>
    <x v="0"/>
    <n v="24"/>
    <n v="1287"/>
    <n v="37"/>
    <s v="Low"/>
  </r>
  <r>
    <s v="Good"/>
    <x v="0"/>
    <x v="7"/>
    <x v="1"/>
    <x v="0"/>
    <s v=" single"/>
    <x v="3"/>
    <x v="0"/>
    <n v="42"/>
    <n v="3394"/>
    <n v="65"/>
    <s v="Medium"/>
  </r>
  <r>
    <s v="Bad"/>
    <x v="3"/>
    <x v="5"/>
    <x v="1"/>
    <x v="1"/>
    <s v=" divorced/separated/married"/>
    <x v="3"/>
    <x v="0"/>
    <n v="12"/>
    <n v="609"/>
    <n v="26"/>
    <s v="Low"/>
  </r>
  <r>
    <s v="Good"/>
    <x v="2"/>
    <x v="3"/>
    <x v="1"/>
    <x v="0"/>
    <s v=" single"/>
    <x v="2"/>
    <x v="0"/>
    <n v="12"/>
    <n v="1884"/>
    <n v="39"/>
    <s v="Low"/>
  </r>
  <r>
    <s v="Good"/>
    <x v="0"/>
    <x v="2"/>
    <x v="1"/>
    <x v="1"/>
    <s v=" divorced/separated/married"/>
    <x v="0"/>
    <x v="0"/>
    <n v="12"/>
    <n v="1620"/>
    <n v="30"/>
    <s v="Low"/>
  </r>
  <r>
    <s v="Good"/>
    <x v="1"/>
    <x v="8"/>
    <x v="1"/>
    <x v="0"/>
    <s v=" single"/>
    <x v="0"/>
    <x v="0"/>
    <n v="20"/>
    <n v="2629"/>
    <n v="29"/>
    <s v="Medium"/>
  </r>
  <r>
    <s v="Bad"/>
    <x v="2"/>
    <x v="1"/>
    <x v="1"/>
    <x v="0"/>
    <s v=" single"/>
    <x v="1"/>
    <x v="0"/>
    <n v="12"/>
    <n v="719"/>
    <n v="41"/>
    <s v="Low"/>
  </r>
  <r>
    <s v="Bad"/>
    <x v="1"/>
    <x v="2"/>
    <x v="1"/>
    <x v="1"/>
    <s v=" divorced/separated/married"/>
    <x v="2"/>
    <x v="0"/>
    <n v="48"/>
    <n v="5096"/>
    <n v="30"/>
    <s v="Hight"/>
  </r>
  <r>
    <s v="Good"/>
    <x v="2"/>
    <x v="1"/>
    <x v="0"/>
    <x v="1"/>
    <s v=" divorced/separated/married"/>
    <x v="1"/>
    <x v="2"/>
    <n v="9"/>
    <n v="1244"/>
    <n v="41"/>
    <s v="Low"/>
  </r>
  <r>
    <s v="Bad"/>
    <x v="0"/>
    <x v="3"/>
    <x v="1"/>
    <x v="1"/>
    <s v=" divorced/separated/married"/>
    <x v="0"/>
    <x v="0"/>
    <n v="36"/>
    <n v="1842"/>
    <n v="34"/>
    <s v="Low"/>
  </r>
  <r>
    <s v="Good"/>
    <x v="1"/>
    <x v="0"/>
    <x v="1"/>
    <x v="0"/>
    <s v=" single"/>
    <x v="0"/>
    <x v="0"/>
    <n v="7"/>
    <n v="2576"/>
    <n v="35"/>
    <s v="Medium"/>
  </r>
  <r>
    <s v="Good"/>
    <x v="3"/>
    <x v="2"/>
    <x v="0"/>
    <x v="1"/>
    <s v=" divorced/separated/married"/>
    <x v="2"/>
    <x v="0"/>
    <n v="12"/>
    <n v="1424"/>
    <n v="55"/>
    <s v="Low"/>
  </r>
  <r>
    <s v="Bad"/>
    <x v="1"/>
    <x v="7"/>
    <x v="3"/>
    <x v="0"/>
    <s v=" married/widowed"/>
    <x v="0"/>
    <x v="0"/>
    <n v="15"/>
    <n v="1512"/>
    <n v="61"/>
    <s v="Low"/>
  </r>
  <r>
    <s v="Good"/>
    <x v="2"/>
    <x v="4"/>
    <x v="0"/>
    <x v="0"/>
    <s v=" single"/>
    <x v="2"/>
    <x v="0"/>
    <n v="36"/>
    <n v="11054"/>
    <n v="30"/>
    <s v="Hight"/>
  </r>
  <r>
    <s v="Good"/>
    <x v="2"/>
    <x v="0"/>
    <x v="1"/>
    <x v="1"/>
    <s v=" divorced/separated/married"/>
    <x v="0"/>
    <x v="0"/>
    <n v="6"/>
    <n v="518"/>
    <n v="29"/>
    <s v="Low"/>
  </r>
  <r>
    <s v="Good"/>
    <x v="2"/>
    <x v="2"/>
    <x v="1"/>
    <x v="0"/>
    <s v=" single"/>
    <x v="0"/>
    <x v="0"/>
    <n v="12"/>
    <n v="2759"/>
    <n v="34"/>
    <s v="Medium"/>
  </r>
  <r>
    <s v="Good"/>
    <x v="2"/>
    <x v="4"/>
    <x v="1"/>
    <x v="0"/>
    <s v=" single"/>
    <x v="2"/>
    <x v="0"/>
    <n v="24"/>
    <n v="2670"/>
    <n v="35"/>
    <s v="Medium"/>
  </r>
  <r>
    <s v="Bad"/>
    <x v="0"/>
    <x v="3"/>
    <x v="1"/>
    <x v="0"/>
    <s v=" single"/>
    <x v="0"/>
    <x v="0"/>
    <n v="24"/>
    <n v="4817"/>
    <n v="31"/>
    <s v="Medium"/>
  </r>
  <r>
    <s v="Good"/>
    <x v="2"/>
    <x v="4"/>
    <x v="1"/>
    <x v="1"/>
    <s v=" divorced/separated/married"/>
    <x v="2"/>
    <x v="0"/>
    <n v="24"/>
    <n v="2679"/>
    <n v="29"/>
    <s v="Medium"/>
  </r>
  <r>
    <s v="Good"/>
    <x v="0"/>
    <x v="3"/>
    <x v="1"/>
    <x v="0"/>
    <s v=" single"/>
    <x v="0"/>
    <x v="2"/>
    <n v="11"/>
    <n v="3905"/>
    <n v="36"/>
    <s v="Medium"/>
  </r>
  <r>
    <s v="Bad"/>
    <x v="0"/>
    <x v="4"/>
    <x v="1"/>
    <x v="0"/>
    <s v=" single"/>
    <x v="0"/>
    <x v="1"/>
    <n v="12"/>
    <n v="3386"/>
    <n v="35"/>
    <s v="Medium"/>
  </r>
  <r>
    <s v="Good"/>
    <x v="0"/>
    <x v="6"/>
    <x v="1"/>
    <x v="1"/>
    <s v=" divorced/separated/married"/>
    <x v="0"/>
    <x v="0"/>
    <n v="6"/>
    <n v="343"/>
    <n v="27"/>
    <s v="Low"/>
  </r>
  <r>
    <s v="Good"/>
    <x v="2"/>
    <x v="0"/>
    <x v="1"/>
    <x v="0"/>
    <s v=" single"/>
    <x v="0"/>
    <x v="0"/>
    <n v="18"/>
    <n v="4594"/>
    <n v="32"/>
    <s v="Medium"/>
  </r>
  <r>
    <s v="Good"/>
    <x v="0"/>
    <x v="2"/>
    <x v="1"/>
    <x v="0"/>
    <s v=" single"/>
    <x v="0"/>
    <x v="0"/>
    <n v="36"/>
    <n v="3620"/>
    <n v="37"/>
    <s v="Medium"/>
  </r>
  <r>
    <s v="Good"/>
    <x v="0"/>
    <x v="3"/>
    <x v="1"/>
    <x v="0"/>
    <s v=" single"/>
    <x v="0"/>
    <x v="0"/>
    <n v="15"/>
    <n v="1721"/>
    <n v="36"/>
    <s v="Low"/>
  </r>
  <r>
    <s v="Good"/>
    <x v="1"/>
    <x v="2"/>
    <x v="1"/>
    <x v="1"/>
    <s v=" divorced/separated/married"/>
    <x v="2"/>
    <x v="2"/>
    <n v="12"/>
    <n v="3017"/>
    <n v="34"/>
    <s v="Medium"/>
  </r>
  <r>
    <s v="Good"/>
    <x v="1"/>
    <x v="9"/>
    <x v="0"/>
    <x v="0"/>
    <s v=" single"/>
    <x v="0"/>
    <x v="0"/>
    <n v="12"/>
    <n v="754"/>
    <n v="38"/>
    <s v="Low"/>
  </r>
  <r>
    <s v="Good"/>
    <x v="2"/>
    <x v="5"/>
    <x v="1"/>
    <x v="0"/>
    <s v=" single"/>
    <x v="0"/>
    <x v="0"/>
    <n v="18"/>
    <n v="1950"/>
    <n v="34"/>
    <s v="Low"/>
  </r>
  <r>
    <s v="Good"/>
    <x v="0"/>
    <x v="4"/>
    <x v="1"/>
    <x v="0"/>
    <s v=" single"/>
    <x v="0"/>
    <x v="0"/>
    <n v="24"/>
    <n v="2924"/>
    <n v="63"/>
    <s v="Medium"/>
  </r>
  <r>
    <s v="Bad"/>
    <x v="0"/>
    <x v="0"/>
    <x v="1"/>
    <x v="1"/>
    <s v=" divorced/separated/married"/>
    <x v="1"/>
    <x v="2"/>
    <n v="24"/>
    <n v="1659"/>
    <n v="29"/>
    <s v="Low"/>
  </r>
  <r>
    <s v="Good"/>
    <x v="2"/>
    <x v="0"/>
    <x v="0"/>
    <x v="0"/>
    <s v=" single"/>
    <x v="0"/>
    <x v="0"/>
    <n v="48"/>
    <n v="7238"/>
    <n v="32"/>
    <s v="Hight"/>
  </r>
  <r>
    <s v="Good"/>
    <x v="2"/>
    <x v="5"/>
    <x v="1"/>
    <x v="1"/>
    <s v=" divorced/separated/married"/>
    <x v="0"/>
    <x v="0"/>
    <n v="33"/>
    <n v="2764"/>
    <n v="26"/>
    <s v="Medium"/>
  </r>
  <r>
    <s v="Good"/>
    <x v="2"/>
    <x v="4"/>
    <x v="1"/>
    <x v="0"/>
    <s v=" single"/>
    <x v="1"/>
    <x v="0"/>
    <n v="24"/>
    <n v="4679"/>
    <n v="35"/>
    <s v="Medium"/>
  </r>
  <r>
    <s v="Bad"/>
    <x v="1"/>
    <x v="0"/>
    <x v="4"/>
    <x v="0"/>
    <s v=" married/widowed"/>
    <x v="0"/>
    <x v="2"/>
    <n v="24"/>
    <n v="3092"/>
    <n v="22"/>
    <s v="Medium"/>
  </r>
  <r>
    <s v="Bad"/>
    <x v="0"/>
    <x v="1"/>
    <x v="1"/>
    <x v="1"/>
    <s v=" divorced/separated/married"/>
    <x v="0"/>
    <x v="0"/>
    <n v="6"/>
    <n v="448"/>
    <n v="23"/>
    <s v="Low"/>
  </r>
  <r>
    <s v="Bad"/>
    <x v="0"/>
    <x v="3"/>
    <x v="1"/>
    <x v="0"/>
    <s v=" single"/>
    <x v="1"/>
    <x v="0"/>
    <n v="9"/>
    <n v="654"/>
    <n v="28"/>
    <s v="Low"/>
  </r>
  <r>
    <s v="Good"/>
    <x v="2"/>
    <x v="9"/>
    <x v="0"/>
    <x v="0"/>
    <s v=" single"/>
    <x v="2"/>
    <x v="0"/>
    <n v="6"/>
    <n v="1238"/>
    <n v="36"/>
    <s v="Low"/>
  </r>
  <r>
    <s v="Bad"/>
    <x v="1"/>
    <x v="0"/>
    <x v="1"/>
    <x v="0"/>
    <s v=" married/widowed"/>
    <x v="0"/>
    <x v="0"/>
    <n v="18"/>
    <n v="1245"/>
    <n v="33"/>
    <s v="Low"/>
  </r>
  <r>
    <s v="Bad"/>
    <x v="0"/>
    <x v="2"/>
    <x v="1"/>
    <x v="1"/>
    <s v=" divorced/separated/married"/>
    <x v="0"/>
    <x v="2"/>
    <n v="18"/>
    <n v="3114"/>
    <n v="26"/>
    <s v="Medium"/>
  </r>
  <r>
    <s v="Good"/>
    <x v="2"/>
    <x v="4"/>
    <x v="2"/>
    <x v="0"/>
    <s v=" single"/>
    <x v="0"/>
    <x v="0"/>
    <n v="39"/>
    <n v="2569"/>
    <n v="24"/>
    <s v="Medium"/>
  </r>
  <r>
    <s v="Good"/>
    <x v="3"/>
    <x v="0"/>
    <x v="1"/>
    <x v="0"/>
    <s v=" single"/>
    <x v="0"/>
    <x v="0"/>
    <n v="24"/>
    <n v="5152"/>
    <n v="25"/>
    <s v="Hight"/>
  </r>
  <r>
    <s v="Good"/>
    <x v="1"/>
    <x v="5"/>
    <x v="4"/>
    <x v="0"/>
    <s v=" single"/>
    <x v="1"/>
    <x v="0"/>
    <n v="12"/>
    <n v="1037"/>
    <n v="39"/>
    <s v="Low"/>
  </r>
  <r>
    <s v="Good"/>
    <x v="0"/>
    <x v="2"/>
    <x v="1"/>
    <x v="0"/>
    <s v=" single"/>
    <x v="0"/>
    <x v="0"/>
    <n v="15"/>
    <n v="1478"/>
    <n v="44"/>
    <s v="Low"/>
  </r>
  <r>
    <s v="Good"/>
    <x v="1"/>
    <x v="0"/>
    <x v="1"/>
    <x v="1"/>
    <s v=" divorced/separated/married"/>
    <x v="1"/>
    <x v="0"/>
    <n v="12"/>
    <n v="3573"/>
    <n v="23"/>
    <s v="Medium"/>
  </r>
  <r>
    <s v="Good"/>
    <x v="1"/>
    <x v="3"/>
    <x v="1"/>
    <x v="0"/>
    <s v=" single"/>
    <x v="0"/>
    <x v="0"/>
    <n v="24"/>
    <n v="1201"/>
    <n v="26"/>
    <s v="Low"/>
  </r>
  <r>
    <s v="Good"/>
    <x v="0"/>
    <x v="2"/>
    <x v="3"/>
    <x v="1"/>
    <s v=" divorced/separated/married"/>
    <x v="0"/>
    <x v="2"/>
    <n v="30"/>
    <n v="3622"/>
    <n v="57"/>
    <s v="Medium"/>
  </r>
  <r>
    <s v="Good"/>
    <x v="2"/>
    <x v="2"/>
    <x v="3"/>
    <x v="1"/>
    <s v=" divorced/separated/married"/>
    <x v="0"/>
    <x v="0"/>
    <n v="15"/>
    <n v="960"/>
    <n v="30"/>
    <s v="Low"/>
  </r>
  <r>
    <s v="Good"/>
    <x v="2"/>
    <x v="3"/>
    <x v="2"/>
    <x v="0"/>
    <s v=" single"/>
    <x v="0"/>
    <x v="0"/>
    <n v="12"/>
    <n v="1163"/>
    <n v="44"/>
    <s v="Low"/>
  </r>
  <r>
    <s v="Bad"/>
    <x v="1"/>
    <x v="3"/>
    <x v="1"/>
    <x v="0"/>
    <s v=" single"/>
    <x v="2"/>
    <x v="0"/>
    <n v="6"/>
    <n v="1209"/>
    <n v="47"/>
    <s v="Low"/>
  </r>
  <r>
    <s v="Good"/>
    <x v="2"/>
    <x v="0"/>
    <x v="1"/>
    <x v="0"/>
    <s v=" single"/>
    <x v="0"/>
    <x v="0"/>
    <n v="12"/>
    <n v="3077"/>
    <n v="52"/>
    <s v="Medium"/>
  </r>
  <r>
    <s v="Good"/>
    <x v="2"/>
    <x v="3"/>
    <x v="1"/>
    <x v="1"/>
    <s v=" divorced/separated/married"/>
    <x v="0"/>
    <x v="1"/>
    <n v="24"/>
    <n v="3757"/>
    <n v="62"/>
    <s v="Medium"/>
  </r>
  <r>
    <s v="Good"/>
    <x v="2"/>
    <x v="3"/>
    <x v="4"/>
    <x v="0"/>
    <s v=" single"/>
    <x v="1"/>
    <x v="2"/>
    <n v="10"/>
    <n v="1418"/>
    <n v="35"/>
    <s v="Low"/>
  </r>
  <r>
    <s v="Good"/>
    <x v="2"/>
    <x v="3"/>
    <x v="1"/>
    <x v="0"/>
    <s v=" single"/>
    <x v="0"/>
    <x v="2"/>
    <n v="6"/>
    <n v="3518"/>
    <n v="26"/>
    <s v="Medium"/>
  </r>
  <r>
    <s v="Good"/>
    <x v="2"/>
    <x v="0"/>
    <x v="1"/>
    <x v="0"/>
    <s v=" single"/>
    <x v="0"/>
    <x v="0"/>
    <n v="12"/>
    <n v="1934"/>
    <n v="26"/>
    <s v="Low"/>
  </r>
  <r>
    <s v="Bad"/>
    <x v="1"/>
    <x v="5"/>
    <x v="1"/>
    <x v="1"/>
    <s v=" divorced/separated/married"/>
    <x v="2"/>
    <x v="1"/>
    <n v="27"/>
    <n v="8318"/>
    <n v="42"/>
    <s v="Hight"/>
  </r>
  <r>
    <s v="Good"/>
    <x v="2"/>
    <x v="0"/>
    <x v="4"/>
    <x v="1"/>
    <s v=" divorced/separated/married"/>
    <x v="0"/>
    <x v="0"/>
    <n v="6"/>
    <n v="1237"/>
    <n v="27"/>
    <s v="Low"/>
  </r>
  <r>
    <s v="Good"/>
    <x v="1"/>
    <x v="0"/>
    <x v="0"/>
    <x v="0"/>
    <s v=" single"/>
    <x v="0"/>
    <x v="0"/>
    <n v="6"/>
    <n v="368"/>
    <n v="38"/>
    <s v="Low"/>
  </r>
  <r>
    <s v="Good"/>
    <x v="0"/>
    <x v="3"/>
    <x v="1"/>
    <x v="0"/>
    <s v=" single"/>
    <x v="1"/>
    <x v="2"/>
    <n v="12"/>
    <n v="2122"/>
    <n v="39"/>
    <s v="Medium"/>
  </r>
  <r>
    <s v="Bad"/>
    <x v="0"/>
    <x v="2"/>
    <x v="0"/>
    <x v="0"/>
    <s v=" married/widowed"/>
    <x v="0"/>
    <x v="0"/>
    <n v="24"/>
    <n v="2996"/>
    <n v="20"/>
    <s v="Medium"/>
  </r>
  <r>
    <s v="Bad"/>
    <x v="1"/>
    <x v="2"/>
    <x v="4"/>
    <x v="0"/>
    <s v=" single"/>
    <x v="2"/>
    <x v="2"/>
    <n v="36"/>
    <n v="9034"/>
    <n v="29"/>
    <s v="Hight"/>
  </r>
  <r>
    <s v="Good"/>
    <x v="2"/>
    <x v="2"/>
    <x v="1"/>
    <x v="0"/>
    <s v=" single"/>
    <x v="0"/>
    <x v="0"/>
    <n v="24"/>
    <n v="1585"/>
    <n v="40"/>
    <s v="Low"/>
  </r>
  <r>
    <s v="Good"/>
    <x v="1"/>
    <x v="0"/>
    <x v="1"/>
    <x v="0"/>
    <s v=" married/widowed"/>
    <x v="1"/>
    <x v="0"/>
    <n v="18"/>
    <n v="1301"/>
    <n v="32"/>
    <s v="Low"/>
  </r>
  <r>
    <s v="Good"/>
    <x v="3"/>
    <x v="3"/>
    <x v="4"/>
    <x v="0"/>
    <s v=" divorced/separated"/>
    <x v="0"/>
    <x v="0"/>
    <n v="6"/>
    <n v="1323"/>
    <n v="28"/>
    <s v="Low"/>
  </r>
  <r>
    <s v="Bad"/>
    <x v="0"/>
    <x v="3"/>
    <x v="1"/>
    <x v="1"/>
    <s v=" divorced/separated/married"/>
    <x v="0"/>
    <x v="0"/>
    <n v="24"/>
    <n v="3123"/>
    <n v="27"/>
    <s v="Medium"/>
  </r>
  <r>
    <s v="Good"/>
    <x v="0"/>
    <x v="4"/>
    <x v="1"/>
    <x v="0"/>
    <s v=" single"/>
    <x v="0"/>
    <x v="1"/>
    <n v="36"/>
    <n v="5493"/>
    <n v="42"/>
    <s v="Hight"/>
  </r>
  <r>
    <s v="Good"/>
    <x v="3"/>
    <x v="0"/>
    <x v="4"/>
    <x v="0"/>
    <s v=" divorced/separated"/>
    <x v="0"/>
    <x v="0"/>
    <n v="9"/>
    <n v="1126"/>
    <n v="49"/>
    <s v="Low"/>
  </r>
  <r>
    <s v="Bad"/>
    <x v="1"/>
    <x v="0"/>
    <x v="4"/>
    <x v="0"/>
    <s v=" single"/>
    <x v="0"/>
    <x v="0"/>
    <n v="24"/>
    <n v="1216"/>
    <n v="38"/>
    <s v="Low"/>
  </r>
  <r>
    <s v="Bad"/>
    <x v="0"/>
    <x v="3"/>
    <x v="1"/>
    <x v="1"/>
    <s v=" divorced/separated/married"/>
    <x v="0"/>
    <x v="2"/>
    <n v="24"/>
    <n v="1207"/>
    <n v="24"/>
    <s v="Low"/>
  </r>
  <r>
    <s v="Bad"/>
    <x v="2"/>
    <x v="3"/>
    <x v="0"/>
    <x v="0"/>
    <s v=" single"/>
    <x v="1"/>
    <x v="0"/>
    <n v="10"/>
    <n v="1309"/>
    <n v="27"/>
    <s v="Low"/>
  </r>
  <r>
    <s v="Good"/>
    <x v="3"/>
    <x v="4"/>
    <x v="2"/>
    <x v="0"/>
    <s v=" single"/>
    <x v="0"/>
    <x v="0"/>
    <n v="15"/>
    <n v="2360"/>
    <n v="36"/>
    <s v="Medium"/>
  </r>
  <r>
    <s v="Bad"/>
    <x v="1"/>
    <x v="3"/>
    <x v="4"/>
    <x v="0"/>
    <s v=" single"/>
    <x v="2"/>
    <x v="0"/>
    <n v="15"/>
    <n v="6850"/>
    <n v="34"/>
    <s v="Hight"/>
  </r>
  <r>
    <s v="Good"/>
    <x v="2"/>
    <x v="0"/>
    <x v="1"/>
    <x v="0"/>
    <s v=" married/widowed"/>
    <x v="0"/>
    <x v="0"/>
    <n v="24"/>
    <n v="1413"/>
    <n v="28"/>
    <s v="Low"/>
  </r>
  <r>
    <s v="Good"/>
    <x v="2"/>
    <x v="4"/>
    <x v="4"/>
    <x v="0"/>
    <s v=" single"/>
    <x v="2"/>
    <x v="0"/>
    <n v="39"/>
    <n v="8588"/>
    <n v="45"/>
    <s v="Hight"/>
  </r>
  <r>
    <s v="Bad"/>
    <x v="0"/>
    <x v="3"/>
    <x v="1"/>
    <x v="0"/>
    <s v=" single"/>
    <x v="0"/>
    <x v="0"/>
    <n v="12"/>
    <n v="759"/>
    <n v="26"/>
    <s v="Low"/>
  </r>
  <r>
    <s v="Good"/>
    <x v="2"/>
    <x v="4"/>
    <x v="1"/>
    <x v="0"/>
    <s v=" single"/>
    <x v="2"/>
    <x v="1"/>
    <n v="36"/>
    <n v="4686"/>
    <n v="32"/>
    <s v="Medium"/>
  </r>
  <r>
    <s v="Good"/>
    <x v="3"/>
    <x v="5"/>
    <x v="1"/>
    <x v="0"/>
    <s v=" single"/>
    <x v="0"/>
    <x v="2"/>
    <n v="15"/>
    <n v="2687"/>
    <n v="26"/>
    <s v="Medium"/>
  </r>
  <r>
    <s v="Good"/>
    <x v="1"/>
    <x v="0"/>
    <x v="1"/>
    <x v="0"/>
    <s v=" married/widowed"/>
    <x v="0"/>
    <x v="2"/>
    <n v="12"/>
    <n v="585"/>
    <n v="20"/>
    <s v="Low"/>
  </r>
  <r>
    <s v="Good"/>
    <x v="2"/>
    <x v="3"/>
    <x v="0"/>
    <x v="0"/>
    <s v=" single"/>
    <x v="0"/>
    <x v="0"/>
    <n v="24"/>
    <n v="2255"/>
    <n v="54"/>
    <s v="Medium"/>
  </r>
  <r>
    <s v="Good"/>
    <x v="0"/>
    <x v="3"/>
    <x v="1"/>
    <x v="1"/>
    <s v=" divorced/separated/married"/>
    <x v="0"/>
    <x v="0"/>
    <n v="6"/>
    <n v="609"/>
    <n v="37"/>
    <s v="Low"/>
  </r>
  <r>
    <s v="Good"/>
    <x v="0"/>
    <x v="3"/>
    <x v="1"/>
    <x v="0"/>
    <s v=" single"/>
    <x v="1"/>
    <x v="0"/>
    <n v="6"/>
    <n v="1361"/>
    <n v="40"/>
    <s v="Low"/>
  </r>
  <r>
    <s v="Bad"/>
    <x v="2"/>
    <x v="2"/>
    <x v="1"/>
    <x v="1"/>
    <s v=" divorced/separated/married"/>
    <x v="0"/>
    <x v="2"/>
    <n v="36"/>
    <n v="7127"/>
    <n v="23"/>
    <s v="Hight"/>
  </r>
  <r>
    <s v="Good"/>
    <x v="0"/>
    <x v="3"/>
    <x v="4"/>
    <x v="0"/>
    <s v=" single"/>
    <x v="0"/>
    <x v="0"/>
    <n v="6"/>
    <n v="1203"/>
    <n v="43"/>
    <s v="Low"/>
  </r>
  <r>
    <s v="Good"/>
    <x v="2"/>
    <x v="0"/>
    <x v="0"/>
    <x v="0"/>
    <s v=" single"/>
    <x v="0"/>
    <x v="1"/>
    <n v="6"/>
    <n v="700"/>
    <n v="36"/>
    <s v="Low"/>
  </r>
  <r>
    <s v="Good"/>
    <x v="2"/>
    <x v="7"/>
    <x v="1"/>
    <x v="0"/>
    <s v=" single"/>
    <x v="0"/>
    <x v="1"/>
    <n v="24"/>
    <n v="5507"/>
    <n v="44"/>
    <s v="Hight"/>
  </r>
  <r>
    <s v="Bad"/>
    <x v="0"/>
    <x v="0"/>
    <x v="1"/>
    <x v="1"/>
    <s v=" divorced/separated/married"/>
    <x v="0"/>
    <x v="0"/>
    <n v="18"/>
    <n v="3190"/>
    <n v="24"/>
    <s v="Medium"/>
  </r>
  <r>
    <s v="Bad"/>
    <x v="0"/>
    <x v="2"/>
    <x v="1"/>
    <x v="0"/>
    <s v=" single"/>
    <x v="0"/>
    <x v="1"/>
    <n v="48"/>
    <n v="7119"/>
    <n v="53"/>
    <s v="Hight"/>
  </r>
  <r>
    <s v="Good"/>
    <x v="2"/>
    <x v="4"/>
    <x v="4"/>
    <x v="1"/>
    <s v=" divorced/separated/married"/>
    <x v="0"/>
    <x v="0"/>
    <n v="24"/>
    <n v="3488"/>
    <n v="23"/>
    <s v="Medium"/>
  </r>
  <r>
    <s v="Good"/>
    <x v="1"/>
    <x v="0"/>
    <x v="1"/>
    <x v="1"/>
    <s v=" divorced/separated/married"/>
    <x v="1"/>
    <x v="0"/>
    <n v="18"/>
    <n v="1113"/>
    <n v="26"/>
    <s v="Low"/>
  </r>
  <r>
    <s v="Good"/>
    <x v="1"/>
    <x v="4"/>
    <x v="1"/>
    <x v="0"/>
    <s v=" single"/>
    <x v="0"/>
    <x v="0"/>
    <n v="26"/>
    <n v="7966"/>
    <n v="30"/>
    <s v="Hight"/>
  </r>
  <r>
    <s v="Good"/>
    <x v="2"/>
    <x v="1"/>
    <x v="4"/>
    <x v="1"/>
    <s v=" divorced/separated/married"/>
    <x v="0"/>
    <x v="0"/>
    <n v="15"/>
    <n v="1532"/>
    <n v="31"/>
    <s v="Low"/>
  </r>
  <r>
    <s v="Good"/>
    <x v="2"/>
    <x v="0"/>
    <x v="1"/>
    <x v="0"/>
    <s v=" single"/>
    <x v="1"/>
    <x v="0"/>
    <n v="4"/>
    <n v="1503"/>
    <n v="42"/>
    <s v="Low"/>
  </r>
  <r>
    <s v="Bad"/>
    <x v="0"/>
    <x v="0"/>
    <x v="1"/>
    <x v="0"/>
    <s v=" divorced/separated"/>
    <x v="0"/>
    <x v="2"/>
    <n v="36"/>
    <n v="2302"/>
    <n v="31"/>
    <s v="Medium"/>
  </r>
  <r>
    <s v="Good"/>
    <x v="0"/>
    <x v="3"/>
    <x v="1"/>
    <x v="0"/>
    <s v=" single"/>
    <x v="1"/>
    <x v="0"/>
    <n v="6"/>
    <n v="662"/>
    <n v="41"/>
    <s v="Low"/>
  </r>
  <r>
    <s v="Good"/>
    <x v="1"/>
    <x v="1"/>
    <x v="1"/>
    <x v="0"/>
    <s v=" single"/>
    <x v="0"/>
    <x v="0"/>
    <n v="36"/>
    <n v="2273"/>
    <n v="32"/>
    <s v="Medium"/>
  </r>
  <r>
    <s v="Bad"/>
    <x v="1"/>
    <x v="3"/>
    <x v="4"/>
    <x v="1"/>
    <s v=" divorced/separated/married"/>
    <x v="0"/>
    <x v="2"/>
    <n v="15"/>
    <n v="2631"/>
    <n v="28"/>
    <s v="Medium"/>
  </r>
  <r>
    <s v="Good"/>
    <x v="2"/>
    <x v="4"/>
    <x v="1"/>
    <x v="0"/>
    <s v=" married/widowed"/>
    <x v="0"/>
    <x v="2"/>
    <n v="12"/>
    <n v="1503"/>
    <n v="41"/>
    <s v="Low"/>
  </r>
  <r>
    <s v="Good"/>
    <x v="2"/>
    <x v="0"/>
    <x v="4"/>
    <x v="0"/>
    <s v=" married/widowed"/>
    <x v="0"/>
    <x v="0"/>
    <n v="24"/>
    <n v="1311"/>
    <n v="26"/>
    <s v="Low"/>
  </r>
  <r>
    <s v="Good"/>
    <x v="2"/>
    <x v="0"/>
    <x v="0"/>
    <x v="0"/>
    <s v=" single"/>
    <x v="0"/>
    <x v="0"/>
    <n v="24"/>
    <n v="3105"/>
    <n v="25"/>
    <s v="Medium"/>
  </r>
  <r>
    <s v="Bad"/>
    <x v="3"/>
    <x v="1"/>
    <x v="1"/>
    <x v="0"/>
    <s v=" divorced/separated"/>
    <x v="0"/>
    <x v="2"/>
    <n v="21"/>
    <n v="2319"/>
    <n v="33"/>
    <s v="Medium"/>
  </r>
  <r>
    <s v="Good"/>
    <x v="0"/>
    <x v="3"/>
    <x v="0"/>
    <x v="1"/>
    <s v=" divorced/separated/married"/>
    <x v="2"/>
    <x v="0"/>
    <n v="6"/>
    <n v="1374"/>
    <n v="75"/>
    <s v="Low"/>
  </r>
  <r>
    <s v="Good"/>
    <x v="1"/>
    <x v="2"/>
    <x v="1"/>
    <x v="1"/>
    <s v=" divorced/separated/married"/>
    <x v="0"/>
    <x v="0"/>
    <n v="18"/>
    <n v="3612"/>
    <n v="37"/>
    <s v="Medium"/>
  </r>
  <r>
    <s v="Bad"/>
    <x v="0"/>
    <x v="3"/>
    <x v="1"/>
    <x v="0"/>
    <s v=" single"/>
    <x v="2"/>
    <x v="1"/>
    <n v="48"/>
    <n v="7763"/>
    <n v="42"/>
    <s v="Hight"/>
  </r>
  <r>
    <s v="Good"/>
    <x v="3"/>
    <x v="2"/>
    <x v="1"/>
    <x v="1"/>
    <s v=" divorced/separated/married"/>
    <x v="1"/>
    <x v="0"/>
    <n v="18"/>
    <n v="3049"/>
    <n v="45"/>
    <s v="Medium"/>
  </r>
  <r>
    <s v="Bad"/>
    <x v="1"/>
    <x v="0"/>
    <x v="1"/>
    <x v="0"/>
    <s v=" married/widowed"/>
    <x v="0"/>
    <x v="2"/>
    <n v="12"/>
    <n v="1534"/>
    <n v="23"/>
    <s v="Low"/>
  </r>
  <r>
    <s v="Good"/>
    <x v="2"/>
    <x v="3"/>
    <x v="1"/>
    <x v="0"/>
    <s v=" single"/>
    <x v="0"/>
    <x v="1"/>
    <n v="24"/>
    <n v="2032"/>
    <n v="60"/>
    <s v="Medium"/>
  </r>
  <r>
    <s v="Bad"/>
    <x v="0"/>
    <x v="2"/>
    <x v="0"/>
    <x v="0"/>
    <s v=" single"/>
    <x v="0"/>
    <x v="0"/>
    <n v="30"/>
    <n v="6350"/>
    <n v="31"/>
    <s v="Hight"/>
  </r>
  <r>
    <s v="Bad"/>
    <x v="3"/>
    <x v="2"/>
    <x v="1"/>
    <x v="0"/>
    <s v=" single"/>
    <x v="1"/>
    <x v="0"/>
    <n v="18"/>
    <n v="2864"/>
    <n v="34"/>
    <s v="Medium"/>
  </r>
  <r>
    <s v="Good"/>
    <x v="2"/>
    <x v="3"/>
    <x v="1"/>
    <x v="0"/>
    <s v=" single"/>
    <x v="1"/>
    <x v="0"/>
    <n v="12"/>
    <n v="1255"/>
    <n v="61"/>
    <s v="Low"/>
  </r>
  <r>
    <s v="Bad"/>
    <x v="0"/>
    <x v="3"/>
    <x v="1"/>
    <x v="0"/>
    <s v=" single"/>
    <x v="0"/>
    <x v="1"/>
    <n v="24"/>
    <n v="1333"/>
    <n v="43"/>
    <s v="Low"/>
  </r>
  <r>
    <s v="Good"/>
    <x v="2"/>
    <x v="3"/>
    <x v="1"/>
    <x v="1"/>
    <s v=" divorced/separated/married"/>
    <x v="0"/>
    <x v="0"/>
    <n v="24"/>
    <n v="2022"/>
    <n v="37"/>
    <s v="Medium"/>
  </r>
  <r>
    <s v="Good"/>
    <x v="2"/>
    <x v="0"/>
    <x v="1"/>
    <x v="0"/>
    <s v=" single"/>
    <x v="0"/>
    <x v="0"/>
    <n v="24"/>
    <n v="1552"/>
    <n v="32"/>
    <s v="Low"/>
  </r>
  <r>
    <s v="Bad"/>
    <x v="0"/>
    <x v="0"/>
    <x v="1"/>
    <x v="1"/>
    <s v=" divorced/separated/married"/>
    <x v="1"/>
    <x v="0"/>
    <n v="12"/>
    <n v="626"/>
    <n v="24"/>
    <s v="Low"/>
  </r>
  <r>
    <s v="Good"/>
    <x v="2"/>
    <x v="4"/>
    <x v="0"/>
    <x v="0"/>
    <s v=" single"/>
    <x v="0"/>
    <x v="1"/>
    <n v="48"/>
    <n v="8858"/>
    <n v="35"/>
    <s v="Hight"/>
  </r>
  <r>
    <s v="Good"/>
    <x v="2"/>
    <x v="7"/>
    <x v="0"/>
    <x v="1"/>
    <s v=" divorced/separated/married"/>
    <x v="0"/>
    <x v="0"/>
    <n v="12"/>
    <n v="996"/>
    <n v="23"/>
    <s v="Low"/>
  </r>
  <r>
    <s v="Good"/>
    <x v="2"/>
    <x v="0"/>
    <x v="2"/>
    <x v="0"/>
    <s v=" single"/>
    <x v="1"/>
    <x v="0"/>
    <n v="6"/>
    <n v="1750"/>
    <n v="45"/>
    <s v="Low"/>
  </r>
  <r>
    <s v="Bad"/>
    <x v="0"/>
    <x v="0"/>
    <x v="1"/>
    <x v="0"/>
    <s v=" married/widowed"/>
    <x v="0"/>
    <x v="0"/>
    <n v="48"/>
    <n v="6999"/>
    <n v="34"/>
    <s v="Hight"/>
  </r>
  <r>
    <s v="Good"/>
    <x v="1"/>
    <x v="3"/>
    <x v="4"/>
    <x v="0"/>
    <s v=" single"/>
    <x v="0"/>
    <x v="0"/>
    <n v="12"/>
    <n v="1995"/>
    <n v="27"/>
    <s v="Low"/>
  </r>
  <r>
    <s v="Good"/>
    <x v="1"/>
    <x v="1"/>
    <x v="1"/>
    <x v="1"/>
    <s v=" divorced/separated/married"/>
    <x v="2"/>
    <x v="0"/>
    <n v="9"/>
    <n v="1199"/>
    <n v="67"/>
    <s v="Low"/>
  </r>
  <r>
    <s v="Bad"/>
    <x v="1"/>
    <x v="0"/>
    <x v="1"/>
    <x v="0"/>
    <s v=" single"/>
    <x v="0"/>
    <x v="0"/>
    <n v="12"/>
    <n v="1331"/>
    <n v="22"/>
    <s v="Low"/>
  </r>
  <r>
    <s v="Bad"/>
    <x v="1"/>
    <x v="3"/>
    <x v="4"/>
    <x v="1"/>
    <s v=" divorced/separated/married"/>
    <x v="0"/>
    <x v="0"/>
    <n v="18"/>
    <n v="2278"/>
    <n v="28"/>
    <s v="Medium"/>
  </r>
  <r>
    <s v="Bad"/>
    <x v="2"/>
    <x v="3"/>
    <x v="0"/>
    <x v="1"/>
    <s v=" divorced/separated/married"/>
    <x v="0"/>
    <x v="0"/>
    <n v="21"/>
    <n v="5003"/>
    <n v="29"/>
    <s v="Hight"/>
  </r>
  <r>
    <s v="Bad"/>
    <x v="0"/>
    <x v="2"/>
    <x v="1"/>
    <x v="0"/>
    <s v=" single"/>
    <x v="0"/>
    <x v="0"/>
    <n v="24"/>
    <n v="3552"/>
    <n v="27"/>
    <s v="Medium"/>
  </r>
  <r>
    <s v="Bad"/>
    <x v="1"/>
    <x v="2"/>
    <x v="1"/>
    <x v="0"/>
    <s v=" single"/>
    <x v="1"/>
    <x v="0"/>
    <n v="18"/>
    <n v="1928"/>
    <n v="31"/>
    <s v="Low"/>
  </r>
  <r>
    <s v="Good"/>
    <x v="0"/>
    <x v="4"/>
    <x v="0"/>
    <x v="0"/>
    <s v=" single"/>
    <x v="0"/>
    <x v="1"/>
    <n v="24"/>
    <n v="2964"/>
    <n v="49"/>
    <s v="Medium"/>
  </r>
  <r>
    <s v="Bad"/>
    <x v="0"/>
    <x v="0"/>
    <x v="1"/>
    <x v="0"/>
    <s v=" single"/>
    <x v="1"/>
    <x v="2"/>
    <n v="24"/>
    <n v="1546"/>
    <n v="24"/>
    <s v="Low"/>
  </r>
  <r>
    <s v="Good"/>
    <x v="3"/>
    <x v="0"/>
    <x v="1"/>
    <x v="1"/>
    <s v=" divorced/separated/married"/>
    <x v="0"/>
    <x v="0"/>
    <n v="6"/>
    <n v="683"/>
    <n v="29"/>
    <s v="Low"/>
  </r>
  <r>
    <s v="Bad"/>
    <x v="1"/>
    <x v="3"/>
    <x v="0"/>
    <x v="0"/>
    <s v=" single"/>
    <x v="0"/>
    <x v="1"/>
    <n v="36"/>
    <n v="12389"/>
    <n v="37"/>
    <s v="Hight"/>
  </r>
  <r>
    <s v="Good"/>
    <x v="1"/>
    <x v="5"/>
    <x v="0"/>
    <x v="0"/>
    <s v=" single"/>
    <x v="2"/>
    <x v="0"/>
    <n v="24"/>
    <n v="4712"/>
    <n v="37"/>
    <s v="Medium"/>
  </r>
  <r>
    <s v="Good"/>
    <x v="1"/>
    <x v="0"/>
    <x v="4"/>
    <x v="1"/>
    <s v=" divorced/separated/married"/>
    <x v="0"/>
    <x v="2"/>
    <n v="24"/>
    <n v="1553"/>
    <n v="23"/>
    <s v="Low"/>
  </r>
  <r>
    <s v="Bad"/>
    <x v="0"/>
    <x v="3"/>
    <x v="1"/>
    <x v="0"/>
    <s v=" divorced/separated"/>
    <x v="0"/>
    <x v="0"/>
    <n v="12"/>
    <n v="1372"/>
    <n v="36"/>
    <s v="Low"/>
  </r>
  <r>
    <s v="Good"/>
    <x v="2"/>
    <x v="0"/>
    <x v="3"/>
    <x v="0"/>
    <s v=" single"/>
    <x v="0"/>
    <x v="0"/>
    <n v="24"/>
    <n v="2578"/>
    <n v="34"/>
    <s v="Medium"/>
  </r>
  <r>
    <s v="Good"/>
    <x v="1"/>
    <x v="0"/>
    <x v="0"/>
    <x v="0"/>
    <s v=" single"/>
    <x v="0"/>
    <x v="0"/>
    <n v="48"/>
    <n v="3979"/>
    <n v="41"/>
    <s v="Medium"/>
  </r>
  <r>
    <s v="Bad"/>
    <x v="0"/>
    <x v="0"/>
    <x v="1"/>
    <x v="1"/>
    <s v=" divorced/separated/married"/>
    <x v="0"/>
    <x v="0"/>
    <n v="48"/>
    <n v="6758"/>
    <n v="31"/>
    <s v="Hight"/>
  </r>
  <r>
    <s v="Bad"/>
    <x v="0"/>
    <x v="2"/>
    <x v="1"/>
    <x v="1"/>
    <s v=" divorced/separated/married"/>
    <x v="1"/>
    <x v="2"/>
    <n v="24"/>
    <n v="3234"/>
    <n v="23"/>
    <s v="Medium"/>
  </r>
  <r>
    <s v="Good"/>
    <x v="2"/>
    <x v="0"/>
    <x v="1"/>
    <x v="0"/>
    <s v=" single"/>
    <x v="0"/>
    <x v="0"/>
    <n v="30"/>
    <n v="5954"/>
    <n v="38"/>
    <s v="Hight"/>
  </r>
  <r>
    <s v="Good"/>
    <x v="2"/>
    <x v="4"/>
    <x v="0"/>
    <x v="1"/>
    <s v=" divorced/separated/married"/>
    <x v="2"/>
    <x v="2"/>
    <n v="24"/>
    <n v="5433"/>
    <n v="26"/>
    <s v="Hight"/>
  </r>
  <r>
    <s v="Good"/>
    <x v="0"/>
    <x v="5"/>
    <x v="1"/>
    <x v="1"/>
    <s v=" divorced/separated/married"/>
    <x v="1"/>
    <x v="0"/>
    <n v="15"/>
    <n v="806"/>
    <n v="22"/>
    <s v="Low"/>
  </r>
  <r>
    <s v="Good"/>
    <x v="1"/>
    <x v="0"/>
    <x v="1"/>
    <x v="0"/>
    <s v=" single"/>
    <x v="1"/>
    <x v="0"/>
    <n v="9"/>
    <n v="1082"/>
    <n v="27"/>
    <s v="Low"/>
  </r>
  <r>
    <s v="Good"/>
    <x v="2"/>
    <x v="2"/>
    <x v="1"/>
    <x v="1"/>
    <s v=" divorced/separated/married"/>
    <x v="0"/>
    <x v="0"/>
    <n v="15"/>
    <n v="2788"/>
    <n v="24"/>
    <s v="Medium"/>
  </r>
  <r>
    <s v="Good"/>
    <x v="1"/>
    <x v="0"/>
    <x v="1"/>
    <x v="1"/>
    <s v=" divorced/separated/married"/>
    <x v="0"/>
    <x v="0"/>
    <n v="12"/>
    <n v="2930"/>
    <n v="27"/>
    <s v="Medium"/>
  </r>
  <r>
    <s v="Good"/>
    <x v="2"/>
    <x v="1"/>
    <x v="0"/>
    <x v="1"/>
    <s v=" divorced/separated/married"/>
    <x v="0"/>
    <x v="0"/>
    <n v="24"/>
    <n v="1927"/>
    <n v="33"/>
    <s v="Low"/>
  </r>
  <r>
    <s v="Bad"/>
    <x v="1"/>
    <x v="3"/>
    <x v="1"/>
    <x v="0"/>
    <s v=" divorced/separated"/>
    <x v="0"/>
    <x v="0"/>
    <n v="36"/>
    <n v="2820"/>
    <n v="27"/>
    <s v="Medium"/>
  </r>
  <r>
    <s v="Good"/>
    <x v="2"/>
    <x v="9"/>
    <x v="1"/>
    <x v="0"/>
    <s v=" married/widowed"/>
    <x v="1"/>
    <x v="0"/>
    <n v="24"/>
    <n v="937"/>
    <n v="27"/>
    <s v="Low"/>
  </r>
  <r>
    <s v="Bad"/>
    <x v="1"/>
    <x v="3"/>
    <x v="1"/>
    <x v="0"/>
    <s v=" single"/>
    <x v="0"/>
    <x v="0"/>
    <n v="18"/>
    <n v="1056"/>
    <n v="30"/>
    <s v="Low"/>
  </r>
  <r>
    <s v="Good"/>
    <x v="1"/>
    <x v="3"/>
    <x v="1"/>
    <x v="0"/>
    <s v=" single"/>
    <x v="1"/>
    <x v="0"/>
    <n v="12"/>
    <n v="3124"/>
    <n v="49"/>
    <s v="Medium"/>
  </r>
  <r>
    <s v="Good"/>
    <x v="2"/>
    <x v="2"/>
    <x v="1"/>
    <x v="1"/>
    <s v=" divorced/separated/married"/>
    <x v="0"/>
    <x v="2"/>
    <n v="9"/>
    <n v="1388"/>
    <n v="26"/>
    <s v="Low"/>
  </r>
  <r>
    <s v="Bad"/>
    <x v="1"/>
    <x v="7"/>
    <x v="1"/>
    <x v="0"/>
    <s v=" single"/>
    <x v="1"/>
    <x v="2"/>
    <n v="36"/>
    <n v="2384"/>
    <n v="33"/>
    <s v="Medium"/>
  </r>
  <r>
    <s v="Good"/>
    <x v="2"/>
    <x v="3"/>
    <x v="0"/>
    <x v="1"/>
    <s v=" divorced/separated/married"/>
    <x v="2"/>
    <x v="1"/>
    <n v="12"/>
    <n v="2133"/>
    <n v="52"/>
    <s v="Medium"/>
  </r>
  <r>
    <s v="Bad"/>
    <x v="0"/>
    <x v="2"/>
    <x v="1"/>
    <x v="1"/>
    <s v=" divorced/separated/married"/>
    <x v="0"/>
    <x v="2"/>
    <n v="18"/>
    <n v="2039"/>
    <n v="20"/>
    <s v="Medium"/>
  </r>
  <r>
    <s v="Good"/>
    <x v="0"/>
    <x v="3"/>
    <x v="1"/>
    <x v="0"/>
    <s v=" single"/>
    <x v="0"/>
    <x v="2"/>
    <n v="9"/>
    <n v="2799"/>
    <n v="36"/>
    <s v="Medium"/>
  </r>
  <r>
    <s v="Good"/>
    <x v="0"/>
    <x v="2"/>
    <x v="1"/>
    <x v="0"/>
    <s v=" single"/>
    <x v="1"/>
    <x v="0"/>
    <n v="12"/>
    <n v="1289"/>
    <n v="21"/>
    <s v="Low"/>
  </r>
  <r>
    <s v="Bad"/>
    <x v="0"/>
    <x v="6"/>
    <x v="1"/>
    <x v="0"/>
    <s v=" married/widowed"/>
    <x v="1"/>
    <x v="0"/>
    <n v="18"/>
    <n v="1217"/>
    <n v="47"/>
    <s v="Low"/>
  </r>
  <r>
    <s v="Bad"/>
    <x v="0"/>
    <x v="2"/>
    <x v="1"/>
    <x v="0"/>
    <s v=" single"/>
    <x v="0"/>
    <x v="0"/>
    <n v="12"/>
    <n v="2246"/>
    <n v="60"/>
    <s v="Medium"/>
  </r>
  <r>
    <s v="Good"/>
    <x v="0"/>
    <x v="0"/>
    <x v="1"/>
    <x v="1"/>
    <s v=" divorced/separated/married"/>
    <x v="1"/>
    <x v="0"/>
    <n v="12"/>
    <n v="385"/>
    <n v="58"/>
    <s v="Low"/>
  </r>
  <r>
    <s v="Good"/>
    <x v="1"/>
    <x v="3"/>
    <x v="0"/>
    <x v="1"/>
    <s v=" divorced/separated/married"/>
    <x v="0"/>
    <x v="2"/>
    <n v="24"/>
    <n v="1965"/>
    <n v="42"/>
    <s v="Low"/>
  </r>
  <r>
    <s v="Good"/>
    <x v="2"/>
    <x v="5"/>
    <x v="3"/>
    <x v="1"/>
    <s v=" divorced/separated/married"/>
    <x v="1"/>
    <x v="0"/>
    <n v="21"/>
    <n v="1572"/>
    <n v="36"/>
    <s v="Low"/>
  </r>
  <r>
    <s v="Bad"/>
    <x v="1"/>
    <x v="3"/>
    <x v="1"/>
    <x v="1"/>
    <s v=" divorced/separated/married"/>
    <x v="1"/>
    <x v="2"/>
    <n v="24"/>
    <n v="2718"/>
    <n v="20"/>
    <s v="Medium"/>
  </r>
  <r>
    <s v="Bad"/>
    <x v="0"/>
    <x v="8"/>
    <x v="0"/>
    <x v="0"/>
    <s v=" single"/>
    <x v="2"/>
    <x v="0"/>
    <n v="24"/>
    <n v="1358"/>
    <n v="40"/>
    <s v="Low"/>
  </r>
  <r>
    <s v="Bad"/>
    <x v="1"/>
    <x v="3"/>
    <x v="4"/>
    <x v="1"/>
    <s v=" divorced/separated/married"/>
    <x v="1"/>
    <x v="0"/>
    <n v="6"/>
    <n v="931"/>
    <n v="32"/>
    <s v="Low"/>
  </r>
  <r>
    <s v="Bad"/>
    <x v="0"/>
    <x v="3"/>
    <x v="1"/>
    <x v="1"/>
    <s v=" divorced/separated/married"/>
    <x v="0"/>
    <x v="2"/>
    <n v="24"/>
    <n v="1442"/>
    <n v="23"/>
    <s v="Low"/>
  </r>
  <r>
    <s v="Bad"/>
    <x v="1"/>
    <x v="5"/>
    <x v="1"/>
    <x v="0"/>
    <s v=" single"/>
    <x v="1"/>
    <x v="0"/>
    <n v="24"/>
    <n v="4241"/>
    <n v="36"/>
    <s v="Medium"/>
  </r>
  <r>
    <s v="Bad"/>
    <x v="2"/>
    <x v="3"/>
    <x v="1"/>
    <x v="0"/>
    <s v=" single"/>
    <x v="0"/>
    <x v="0"/>
    <n v="18"/>
    <n v="2775"/>
    <n v="31"/>
    <s v="Medium"/>
  </r>
  <r>
    <s v="Good"/>
    <x v="2"/>
    <x v="5"/>
    <x v="1"/>
    <x v="0"/>
    <s v=" single"/>
    <x v="0"/>
    <x v="1"/>
    <n v="24"/>
    <n v="3863"/>
    <n v="32"/>
    <s v="Medium"/>
  </r>
  <r>
    <s v="Good"/>
    <x v="1"/>
    <x v="0"/>
    <x v="1"/>
    <x v="1"/>
    <s v=" divorced/separated/married"/>
    <x v="0"/>
    <x v="0"/>
    <n v="7"/>
    <n v="2329"/>
    <n v="45"/>
    <s v="Medium"/>
  </r>
  <r>
    <s v="Bad"/>
    <x v="1"/>
    <x v="2"/>
    <x v="1"/>
    <x v="1"/>
    <s v=" divorced/separated/married"/>
    <x v="0"/>
    <x v="0"/>
    <n v="9"/>
    <n v="918"/>
    <n v="30"/>
    <s v="Low"/>
  </r>
  <r>
    <s v="Bad"/>
    <x v="1"/>
    <x v="1"/>
    <x v="1"/>
    <x v="1"/>
    <s v=" divorced/separated/married"/>
    <x v="1"/>
    <x v="1"/>
    <n v="24"/>
    <n v="1837"/>
    <n v="34"/>
    <s v="Low"/>
  </r>
  <r>
    <s v="Bad"/>
    <x v="2"/>
    <x v="2"/>
    <x v="1"/>
    <x v="1"/>
    <s v=" divorced/separated/married"/>
    <x v="2"/>
    <x v="0"/>
    <n v="36"/>
    <n v="3349"/>
    <n v="28"/>
    <s v="Medium"/>
  </r>
  <r>
    <s v="Good"/>
    <x v="3"/>
    <x v="2"/>
    <x v="1"/>
    <x v="1"/>
    <s v=" divorced/separated/married"/>
    <x v="0"/>
    <x v="0"/>
    <n v="10"/>
    <n v="1275"/>
    <n v="23"/>
    <s v="Low"/>
  </r>
  <r>
    <s v="Good"/>
    <x v="0"/>
    <x v="2"/>
    <x v="2"/>
    <x v="0"/>
    <s v=" single"/>
    <x v="0"/>
    <x v="0"/>
    <n v="24"/>
    <n v="2828"/>
    <n v="22"/>
    <s v="Medium"/>
  </r>
  <r>
    <s v="Good"/>
    <x v="2"/>
    <x v="5"/>
    <x v="1"/>
    <x v="0"/>
    <s v=" single"/>
    <x v="2"/>
    <x v="0"/>
    <n v="24"/>
    <n v="4526"/>
    <n v="74"/>
    <s v="Medium"/>
  </r>
  <r>
    <s v="Bad"/>
    <x v="1"/>
    <x v="0"/>
    <x v="4"/>
    <x v="1"/>
    <s v=" divorced/separated/married"/>
    <x v="0"/>
    <x v="1"/>
    <n v="36"/>
    <n v="2671"/>
    <n v="50"/>
    <s v="Medium"/>
  </r>
  <r>
    <s v="Good"/>
    <x v="2"/>
    <x v="0"/>
    <x v="1"/>
    <x v="0"/>
    <s v=" single"/>
    <x v="0"/>
    <x v="0"/>
    <n v="18"/>
    <n v="2051"/>
    <n v="33"/>
    <s v="Medium"/>
  </r>
  <r>
    <s v="Good"/>
    <x v="2"/>
    <x v="4"/>
    <x v="0"/>
    <x v="0"/>
    <s v=" single"/>
    <x v="0"/>
    <x v="1"/>
    <n v="15"/>
    <n v="1300"/>
    <n v="45"/>
    <s v="Low"/>
  </r>
  <r>
    <s v="Bad"/>
    <x v="0"/>
    <x v="6"/>
    <x v="4"/>
    <x v="1"/>
    <s v=" divorced/separated/married"/>
    <x v="0"/>
    <x v="0"/>
    <n v="12"/>
    <n v="741"/>
    <n v="22"/>
    <s v="Low"/>
  </r>
  <r>
    <s v="Bad"/>
    <x v="3"/>
    <x v="3"/>
    <x v="4"/>
    <x v="1"/>
    <s v=" divorced/separated/married"/>
    <x v="1"/>
    <x v="1"/>
    <n v="10"/>
    <n v="1240"/>
    <n v="48"/>
    <s v="Low"/>
  </r>
  <r>
    <s v="Good"/>
    <x v="0"/>
    <x v="0"/>
    <x v="3"/>
    <x v="1"/>
    <s v=" divorced/separated/married"/>
    <x v="0"/>
    <x v="0"/>
    <n v="21"/>
    <n v="3357"/>
    <n v="29"/>
    <s v="Medium"/>
  </r>
  <r>
    <s v="Good"/>
    <x v="0"/>
    <x v="4"/>
    <x v="1"/>
    <x v="1"/>
    <s v=" divorced/separated/married"/>
    <x v="0"/>
    <x v="2"/>
    <n v="24"/>
    <n v="3632"/>
    <n v="22"/>
    <s v="Medium"/>
  </r>
  <r>
    <s v="Bad"/>
    <x v="2"/>
    <x v="2"/>
    <x v="1"/>
    <x v="1"/>
    <s v=" divorced/separated/married"/>
    <x v="0"/>
    <x v="0"/>
    <n v="18"/>
    <n v="1808"/>
    <n v="22"/>
    <s v="Low"/>
  </r>
  <r>
    <s v="Good"/>
    <x v="1"/>
    <x v="5"/>
    <x v="0"/>
    <x v="0"/>
    <s v=" single"/>
    <x v="2"/>
    <x v="0"/>
    <n v="48"/>
    <n v="12204"/>
    <n v="48"/>
    <s v="Hight"/>
  </r>
  <r>
    <s v="Good"/>
    <x v="1"/>
    <x v="0"/>
    <x v="0"/>
    <x v="0"/>
    <s v=" single"/>
    <x v="2"/>
    <x v="1"/>
    <n v="60"/>
    <n v="9157"/>
    <n v="27"/>
    <s v="Hight"/>
  </r>
  <r>
    <s v="Good"/>
    <x v="0"/>
    <x v="3"/>
    <x v="1"/>
    <x v="0"/>
    <s v=" single"/>
    <x v="0"/>
    <x v="2"/>
    <n v="6"/>
    <n v="3676"/>
    <n v="37"/>
    <s v="Medium"/>
  </r>
  <r>
    <s v="Bad"/>
    <x v="1"/>
    <x v="2"/>
    <x v="4"/>
    <x v="1"/>
    <s v=" divorced/separated/married"/>
    <x v="0"/>
    <x v="2"/>
    <n v="30"/>
    <n v="3441"/>
    <n v="21"/>
    <s v="Medium"/>
  </r>
  <r>
    <s v="Good"/>
    <x v="2"/>
    <x v="3"/>
    <x v="1"/>
    <x v="0"/>
    <s v=" divorced/separated"/>
    <x v="1"/>
    <x v="0"/>
    <n v="12"/>
    <n v="640"/>
    <n v="49"/>
    <s v="Low"/>
  </r>
  <r>
    <s v="Good"/>
    <x v="1"/>
    <x v="5"/>
    <x v="1"/>
    <x v="0"/>
    <s v=" single"/>
    <x v="0"/>
    <x v="0"/>
    <n v="21"/>
    <n v="3652"/>
    <n v="27"/>
    <s v="Medium"/>
  </r>
  <r>
    <s v="Bad"/>
    <x v="2"/>
    <x v="3"/>
    <x v="1"/>
    <x v="0"/>
    <s v=" single"/>
    <x v="0"/>
    <x v="0"/>
    <n v="18"/>
    <n v="1530"/>
    <n v="32"/>
    <s v="Low"/>
  </r>
  <r>
    <s v="Bad"/>
    <x v="2"/>
    <x v="5"/>
    <x v="0"/>
    <x v="0"/>
    <s v=" divorced/separated"/>
    <x v="0"/>
    <x v="0"/>
    <n v="48"/>
    <n v="3914"/>
    <n v="38"/>
    <s v="Medium"/>
  </r>
  <r>
    <s v="Good"/>
    <x v="0"/>
    <x v="2"/>
    <x v="1"/>
    <x v="1"/>
    <s v=" divorced/separated/married"/>
    <x v="0"/>
    <x v="2"/>
    <n v="12"/>
    <n v="1858"/>
    <n v="22"/>
    <s v="Low"/>
  </r>
  <r>
    <s v="Bad"/>
    <x v="0"/>
    <x v="0"/>
    <x v="1"/>
    <x v="0"/>
    <s v=" single"/>
    <x v="0"/>
    <x v="1"/>
    <n v="18"/>
    <n v="2600"/>
    <n v="65"/>
    <s v="Medium"/>
  </r>
  <r>
    <s v="Good"/>
    <x v="2"/>
    <x v="0"/>
    <x v="0"/>
    <x v="0"/>
    <s v=" single"/>
    <x v="0"/>
    <x v="0"/>
    <n v="15"/>
    <n v="1979"/>
    <n v="35"/>
    <s v="Low"/>
  </r>
  <r>
    <s v="Good"/>
    <x v="3"/>
    <x v="2"/>
    <x v="1"/>
    <x v="0"/>
    <s v=" single"/>
    <x v="0"/>
    <x v="0"/>
    <n v="6"/>
    <n v="2116"/>
    <n v="41"/>
    <s v="Medium"/>
  </r>
  <r>
    <s v="Bad"/>
    <x v="1"/>
    <x v="3"/>
    <x v="4"/>
    <x v="0"/>
    <s v=" single"/>
    <x v="0"/>
    <x v="0"/>
    <n v="9"/>
    <n v="1437"/>
    <n v="29"/>
    <s v="Low"/>
  </r>
  <r>
    <s v="Good"/>
    <x v="2"/>
    <x v="2"/>
    <x v="2"/>
    <x v="0"/>
    <s v=" single"/>
    <x v="0"/>
    <x v="0"/>
    <n v="42"/>
    <n v="4042"/>
    <n v="36"/>
    <s v="Medium"/>
  </r>
  <r>
    <s v="Good"/>
    <x v="2"/>
    <x v="1"/>
    <x v="0"/>
    <x v="0"/>
    <s v=" single"/>
    <x v="1"/>
    <x v="0"/>
    <n v="9"/>
    <n v="3832"/>
    <n v="64"/>
    <s v="Medium"/>
  </r>
  <r>
    <s v="Good"/>
    <x v="0"/>
    <x v="0"/>
    <x v="1"/>
    <x v="1"/>
    <s v=" divorced/separated/married"/>
    <x v="0"/>
    <x v="0"/>
    <n v="24"/>
    <n v="3660"/>
    <n v="28"/>
    <s v="Medium"/>
  </r>
  <r>
    <s v="Bad"/>
    <x v="0"/>
    <x v="2"/>
    <x v="1"/>
    <x v="0"/>
    <s v=" single"/>
    <x v="0"/>
    <x v="0"/>
    <n v="18"/>
    <n v="1553"/>
    <n v="44"/>
    <s v="Low"/>
  </r>
  <r>
    <s v="Good"/>
    <x v="1"/>
    <x v="0"/>
    <x v="0"/>
    <x v="0"/>
    <s v=" single"/>
    <x v="0"/>
    <x v="0"/>
    <n v="15"/>
    <n v="1444"/>
    <n v="23"/>
    <s v="Low"/>
  </r>
  <r>
    <s v="Bad"/>
    <x v="2"/>
    <x v="2"/>
    <x v="1"/>
    <x v="1"/>
    <s v=" divorced/separated/married"/>
    <x v="0"/>
    <x v="2"/>
    <n v="9"/>
    <n v="1980"/>
    <n v="19"/>
    <s v="Low"/>
  </r>
  <r>
    <s v="Bad"/>
    <x v="1"/>
    <x v="3"/>
    <x v="1"/>
    <x v="1"/>
    <s v=" divorced/separated/married"/>
    <x v="1"/>
    <x v="0"/>
    <n v="24"/>
    <n v="1355"/>
    <n v="25"/>
    <s v="Low"/>
  </r>
  <r>
    <s v="Good"/>
    <x v="2"/>
    <x v="1"/>
    <x v="1"/>
    <x v="0"/>
    <s v=" single"/>
    <x v="0"/>
    <x v="0"/>
    <n v="12"/>
    <n v="1393"/>
    <n v="47"/>
    <s v="Low"/>
  </r>
  <r>
    <s v="Good"/>
    <x v="2"/>
    <x v="0"/>
    <x v="2"/>
    <x v="1"/>
    <s v=" divorced/separated/married"/>
    <x v="0"/>
    <x v="0"/>
    <n v="24"/>
    <n v="1376"/>
    <n v="28"/>
    <s v="Low"/>
  </r>
  <r>
    <s v="Good"/>
    <x v="2"/>
    <x v="0"/>
    <x v="1"/>
    <x v="0"/>
    <s v=" single"/>
    <x v="0"/>
    <x v="0"/>
    <n v="60"/>
    <n v="15653"/>
    <n v="21"/>
    <s v="Hight"/>
  </r>
  <r>
    <s v="Good"/>
    <x v="2"/>
    <x v="0"/>
    <x v="1"/>
    <x v="1"/>
    <s v=" divorced/separated/married"/>
    <x v="0"/>
    <x v="0"/>
    <n v="12"/>
    <n v="1493"/>
    <n v="34"/>
    <s v="Low"/>
  </r>
  <r>
    <s v="Bad"/>
    <x v="0"/>
    <x v="0"/>
    <x v="1"/>
    <x v="0"/>
    <s v=" single"/>
    <x v="0"/>
    <x v="0"/>
    <n v="42"/>
    <n v="4370"/>
    <n v="26"/>
    <s v="Medium"/>
  </r>
  <r>
    <s v="Bad"/>
    <x v="0"/>
    <x v="1"/>
    <x v="1"/>
    <x v="1"/>
    <s v=" divorced/separated/married"/>
    <x v="3"/>
    <x v="0"/>
    <n v="18"/>
    <n v="750"/>
    <n v="27"/>
    <s v="Low"/>
  </r>
  <r>
    <s v="Good"/>
    <x v="1"/>
    <x v="7"/>
    <x v="1"/>
    <x v="0"/>
    <s v=" single"/>
    <x v="1"/>
    <x v="0"/>
    <n v="15"/>
    <n v="1308"/>
    <n v="38"/>
    <s v="Low"/>
  </r>
  <r>
    <s v="Bad"/>
    <x v="2"/>
    <x v="1"/>
    <x v="4"/>
    <x v="0"/>
    <s v=" single"/>
    <x v="2"/>
    <x v="0"/>
    <n v="15"/>
    <n v="4623"/>
    <n v="40"/>
    <s v="Medium"/>
  </r>
  <r>
    <s v="Good"/>
    <x v="2"/>
    <x v="0"/>
    <x v="1"/>
    <x v="0"/>
    <s v=" married/widowed"/>
    <x v="0"/>
    <x v="0"/>
    <n v="24"/>
    <n v="1851"/>
    <n v="33"/>
    <s v="Low"/>
  </r>
  <r>
    <s v="Good"/>
    <x v="0"/>
    <x v="0"/>
    <x v="1"/>
    <x v="0"/>
    <s v=" married/widowed"/>
    <x v="2"/>
    <x v="0"/>
    <n v="18"/>
    <n v="1880"/>
    <n v="32"/>
    <s v="Low"/>
  </r>
  <r>
    <s v="Bad"/>
    <x v="2"/>
    <x v="5"/>
    <x v="0"/>
    <x v="0"/>
    <s v=" single"/>
    <x v="0"/>
    <x v="2"/>
    <n v="36"/>
    <n v="7980"/>
    <n v="27"/>
    <s v="Hight"/>
  </r>
  <r>
    <s v="Good"/>
    <x v="0"/>
    <x v="2"/>
    <x v="1"/>
    <x v="0"/>
    <s v=" divorced/separated"/>
    <x v="0"/>
    <x v="0"/>
    <n v="30"/>
    <n v="4583"/>
    <n v="32"/>
    <s v="Medium"/>
  </r>
  <r>
    <s v="Bad"/>
    <x v="2"/>
    <x v="3"/>
    <x v="2"/>
    <x v="1"/>
    <s v=" divorced/separated/married"/>
    <x v="0"/>
    <x v="0"/>
    <n v="12"/>
    <n v="1386"/>
    <n v="26"/>
    <s v="Low"/>
  </r>
  <r>
    <s v="Bad"/>
    <x v="3"/>
    <x v="3"/>
    <x v="1"/>
    <x v="0"/>
    <s v=" single"/>
    <x v="0"/>
    <x v="1"/>
    <n v="24"/>
    <n v="947"/>
    <n v="38"/>
    <s v="Low"/>
  </r>
  <r>
    <s v="Bad"/>
    <x v="0"/>
    <x v="1"/>
    <x v="1"/>
    <x v="0"/>
    <s v=" single"/>
    <x v="1"/>
    <x v="2"/>
    <n v="12"/>
    <n v="684"/>
    <n v="40"/>
    <s v="Low"/>
  </r>
  <r>
    <s v="Good"/>
    <x v="0"/>
    <x v="1"/>
    <x v="1"/>
    <x v="0"/>
    <s v=" single"/>
    <x v="2"/>
    <x v="1"/>
    <n v="48"/>
    <n v="7476"/>
    <n v="50"/>
    <s v="Hight"/>
  </r>
  <r>
    <s v="Bad"/>
    <x v="1"/>
    <x v="2"/>
    <x v="1"/>
    <x v="0"/>
    <s v=" single"/>
    <x v="1"/>
    <x v="0"/>
    <n v="12"/>
    <n v="1922"/>
    <n v="37"/>
    <s v="Low"/>
  </r>
  <r>
    <s v="Bad"/>
    <x v="0"/>
    <x v="3"/>
    <x v="1"/>
    <x v="0"/>
    <s v=" single"/>
    <x v="0"/>
    <x v="0"/>
    <n v="24"/>
    <n v="2303"/>
    <n v="45"/>
    <s v="Medium"/>
  </r>
  <r>
    <s v="Bad"/>
    <x v="1"/>
    <x v="3"/>
    <x v="4"/>
    <x v="0"/>
    <s v=" single"/>
    <x v="2"/>
    <x v="0"/>
    <n v="36"/>
    <n v="8086"/>
    <n v="42"/>
    <s v="Hight"/>
  </r>
  <r>
    <s v="Good"/>
    <x v="2"/>
    <x v="4"/>
    <x v="1"/>
    <x v="0"/>
    <s v=" single"/>
    <x v="0"/>
    <x v="0"/>
    <n v="24"/>
    <n v="2346"/>
    <n v="35"/>
    <s v="Medium"/>
  </r>
  <r>
    <s v="Good"/>
    <x v="0"/>
    <x v="3"/>
    <x v="1"/>
    <x v="0"/>
    <s v=" single"/>
    <x v="0"/>
    <x v="1"/>
    <n v="14"/>
    <n v="3973"/>
    <n v="22"/>
    <s v="Medium"/>
  </r>
  <r>
    <s v="Bad"/>
    <x v="1"/>
    <x v="3"/>
    <x v="1"/>
    <x v="0"/>
    <s v=" single"/>
    <x v="1"/>
    <x v="0"/>
    <n v="12"/>
    <n v="888"/>
    <n v="41"/>
    <s v="Low"/>
  </r>
  <r>
    <s v="Good"/>
    <x v="2"/>
    <x v="0"/>
    <x v="0"/>
    <x v="0"/>
    <s v=" single"/>
    <x v="0"/>
    <x v="0"/>
    <n v="48"/>
    <n v="10222"/>
    <n v="37"/>
    <s v="Hight"/>
  </r>
  <r>
    <s v="Good"/>
    <x v="1"/>
    <x v="5"/>
    <x v="1"/>
    <x v="1"/>
    <s v=" divorced/separated/married"/>
    <x v="0"/>
    <x v="0"/>
    <n v="30"/>
    <n v="4221"/>
    <n v="28"/>
    <s v="Medium"/>
  </r>
  <r>
    <s v="Good"/>
    <x v="1"/>
    <x v="2"/>
    <x v="1"/>
    <x v="0"/>
    <s v=" single"/>
    <x v="0"/>
    <x v="0"/>
    <n v="18"/>
    <n v="6361"/>
    <n v="41"/>
    <s v="Hight"/>
  </r>
  <r>
    <s v="Good"/>
    <x v="3"/>
    <x v="0"/>
    <x v="1"/>
    <x v="0"/>
    <s v=" married/widowed"/>
    <x v="0"/>
    <x v="2"/>
    <n v="12"/>
    <n v="1297"/>
    <n v="23"/>
    <s v="Low"/>
  </r>
  <r>
    <s v="Bad"/>
    <x v="0"/>
    <x v="3"/>
    <x v="0"/>
    <x v="0"/>
    <s v=" married/widowed"/>
    <x v="0"/>
    <x v="0"/>
    <n v="12"/>
    <n v="900"/>
    <n v="23"/>
    <s v="Low"/>
  </r>
  <r>
    <s v="Good"/>
    <x v="2"/>
    <x v="2"/>
    <x v="1"/>
    <x v="0"/>
    <s v=" single"/>
    <x v="0"/>
    <x v="0"/>
    <n v="21"/>
    <n v="2241"/>
    <n v="50"/>
    <s v="Medium"/>
  </r>
  <r>
    <s v="Good"/>
    <x v="1"/>
    <x v="2"/>
    <x v="1"/>
    <x v="0"/>
    <s v=" single"/>
    <x v="2"/>
    <x v="0"/>
    <n v="6"/>
    <n v="1050"/>
    <n v="35"/>
    <s v="Low"/>
  </r>
  <r>
    <s v="Good"/>
    <x v="3"/>
    <x v="1"/>
    <x v="1"/>
    <x v="1"/>
    <s v=" divorced/separated/married"/>
    <x v="1"/>
    <x v="0"/>
    <n v="6"/>
    <n v="1047"/>
    <n v="50"/>
    <s v="Low"/>
  </r>
  <r>
    <s v="Good"/>
    <x v="2"/>
    <x v="8"/>
    <x v="1"/>
    <x v="0"/>
    <s v=" single"/>
    <x v="2"/>
    <x v="0"/>
    <n v="24"/>
    <n v="6314"/>
    <n v="27"/>
    <s v="Hight"/>
  </r>
  <r>
    <s v="Good"/>
    <x v="1"/>
    <x v="2"/>
    <x v="3"/>
    <x v="0"/>
    <s v=" single"/>
    <x v="0"/>
    <x v="0"/>
    <n v="30"/>
    <n v="3496"/>
    <n v="34"/>
    <s v="Medium"/>
  </r>
  <r>
    <s v="Good"/>
    <x v="2"/>
    <x v="5"/>
    <x v="1"/>
    <x v="1"/>
    <s v=" divorced/separated/married"/>
    <x v="0"/>
    <x v="0"/>
    <n v="48"/>
    <n v="3609"/>
    <n v="27"/>
    <s v="Medium"/>
  </r>
  <r>
    <s v="Bad"/>
    <x v="0"/>
    <x v="3"/>
    <x v="1"/>
    <x v="0"/>
    <s v=" single"/>
    <x v="0"/>
    <x v="2"/>
    <n v="12"/>
    <n v="4843"/>
    <n v="43"/>
    <s v="Medium"/>
  </r>
  <r>
    <s v="Good"/>
    <x v="3"/>
    <x v="0"/>
    <x v="1"/>
    <x v="0"/>
    <s v=" single"/>
    <x v="0"/>
    <x v="0"/>
    <n v="30"/>
    <n v="3017"/>
    <n v="47"/>
    <s v="Medium"/>
  </r>
  <r>
    <s v="Good"/>
    <x v="2"/>
    <x v="5"/>
    <x v="4"/>
    <x v="0"/>
    <s v=" single"/>
    <x v="1"/>
    <x v="0"/>
    <n v="24"/>
    <n v="4139"/>
    <n v="27"/>
    <s v="Medium"/>
  </r>
  <r>
    <s v="Good"/>
    <x v="2"/>
    <x v="5"/>
    <x v="4"/>
    <x v="0"/>
    <s v=" single"/>
    <x v="0"/>
    <x v="0"/>
    <n v="36"/>
    <n v="5742"/>
    <n v="31"/>
    <s v="Hight"/>
  </r>
  <r>
    <s v="Good"/>
    <x v="2"/>
    <x v="3"/>
    <x v="1"/>
    <x v="0"/>
    <s v=" single"/>
    <x v="2"/>
    <x v="0"/>
    <n v="60"/>
    <n v="10366"/>
    <n v="42"/>
    <s v="Hight"/>
  </r>
  <r>
    <s v="Good"/>
    <x v="2"/>
    <x v="3"/>
    <x v="2"/>
    <x v="0"/>
    <s v=" married/widowed"/>
    <x v="0"/>
    <x v="0"/>
    <n v="6"/>
    <n v="2080"/>
    <n v="24"/>
    <s v="Medium"/>
  </r>
  <r>
    <s v="Bad"/>
    <x v="2"/>
    <x v="5"/>
    <x v="2"/>
    <x v="0"/>
    <s v=" single"/>
    <x v="1"/>
    <x v="0"/>
    <n v="21"/>
    <n v="2580"/>
    <n v="41"/>
    <s v="Medium"/>
  </r>
  <r>
    <s v="Good"/>
    <x v="2"/>
    <x v="0"/>
    <x v="1"/>
    <x v="1"/>
    <s v=" divorced/separated/married"/>
    <x v="2"/>
    <x v="2"/>
    <n v="30"/>
    <n v="4530"/>
    <n v="26"/>
    <s v="Medium"/>
  </r>
  <r>
    <s v="Good"/>
    <x v="2"/>
    <x v="2"/>
    <x v="1"/>
    <x v="0"/>
    <s v=" single"/>
    <x v="0"/>
    <x v="0"/>
    <n v="24"/>
    <n v="5150"/>
    <n v="33"/>
    <s v="Hight"/>
  </r>
  <r>
    <s v="Bad"/>
    <x v="1"/>
    <x v="0"/>
    <x v="4"/>
    <x v="0"/>
    <s v=" married/widowed"/>
    <x v="0"/>
    <x v="0"/>
    <n v="72"/>
    <n v="5595"/>
    <n v="24"/>
    <s v="Hight"/>
  </r>
  <r>
    <s v="Good"/>
    <x v="0"/>
    <x v="0"/>
    <x v="1"/>
    <x v="0"/>
    <s v=" single"/>
    <x v="1"/>
    <x v="2"/>
    <n v="24"/>
    <n v="2384"/>
    <n v="64"/>
    <s v="Medium"/>
  </r>
  <r>
    <s v="Good"/>
    <x v="2"/>
    <x v="0"/>
    <x v="1"/>
    <x v="1"/>
    <s v=" divorced/separated/married"/>
    <x v="0"/>
    <x v="0"/>
    <n v="18"/>
    <n v="1453"/>
    <n v="26"/>
    <s v="Low"/>
  </r>
  <r>
    <s v="Good"/>
    <x v="2"/>
    <x v="1"/>
    <x v="1"/>
    <x v="1"/>
    <s v=" divorced/separated/married"/>
    <x v="0"/>
    <x v="0"/>
    <n v="6"/>
    <n v="1538"/>
    <n v="56"/>
    <s v="Low"/>
  </r>
  <r>
    <s v="Good"/>
    <x v="2"/>
    <x v="0"/>
    <x v="0"/>
    <x v="0"/>
    <s v=" single"/>
    <x v="0"/>
    <x v="1"/>
    <n v="12"/>
    <n v="2279"/>
    <n v="37"/>
    <s v="Medium"/>
  </r>
  <r>
    <s v="Good"/>
    <x v="2"/>
    <x v="0"/>
    <x v="1"/>
    <x v="0"/>
    <s v=" married/widowed"/>
    <x v="0"/>
    <x v="0"/>
    <n v="15"/>
    <n v="1478"/>
    <n v="33"/>
    <s v="Low"/>
  </r>
  <r>
    <s v="Good"/>
    <x v="2"/>
    <x v="0"/>
    <x v="1"/>
    <x v="0"/>
    <s v=" married/widowed"/>
    <x v="0"/>
    <x v="1"/>
    <n v="24"/>
    <n v="5103"/>
    <n v="47"/>
    <s v="Hight"/>
  </r>
  <r>
    <s v="Good"/>
    <x v="1"/>
    <x v="5"/>
    <x v="4"/>
    <x v="0"/>
    <s v=" single"/>
    <x v="1"/>
    <x v="0"/>
    <n v="36"/>
    <n v="9857"/>
    <n v="31"/>
    <s v="Hight"/>
  </r>
  <r>
    <s v="Good"/>
    <x v="2"/>
    <x v="3"/>
    <x v="0"/>
    <x v="0"/>
    <s v=" single"/>
    <x v="0"/>
    <x v="1"/>
    <n v="60"/>
    <n v="6527"/>
    <n v="34"/>
    <s v="Hight"/>
  </r>
  <r>
    <s v="Good"/>
    <x v="3"/>
    <x v="0"/>
    <x v="0"/>
    <x v="0"/>
    <s v=" single"/>
    <x v="0"/>
    <x v="0"/>
    <n v="10"/>
    <n v="1347"/>
    <n v="27"/>
    <s v="Low"/>
  </r>
  <r>
    <s v="Good"/>
    <x v="1"/>
    <x v="3"/>
    <x v="4"/>
    <x v="0"/>
    <s v=" single"/>
    <x v="0"/>
    <x v="1"/>
    <n v="36"/>
    <n v="2862"/>
    <n v="30"/>
    <s v="Medium"/>
  </r>
  <r>
    <s v="Good"/>
    <x v="2"/>
    <x v="0"/>
    <x v="4"/>
    <x v="0"/>
    <s v=" single"/>
    <x v="0"/>
    <x v="0"/>
    <n v="9"/>
    <n v="2753"/>
    <n v="35"/>
    <s v="Medium"/>
  </r>
  <r>
    <s v="Good"/>
    <x v="0"/>
    <x v="3"/>
    <x v="3"/>
    <x v="0"/>
    <s v=" single"/>
    <x v="0"/>
    <x v="0"/>
    <n v="12"/>
    <n v="3651"/>
    <n v="31"/>
    <s v="Medium"/>
  </r>
  <r>
    <s v="Good"/>
    <x v="0"/>
    <x v="2"/>
    <x v="1"/>
    <x v="0"/>
    <s v=" divorced/separated"/>
    <x v="0"/>
    <x v="0"/>
    <n v="15"/>
    <n v="975"/>
    <n v="25"/>
    <s v="Low"/>
  </r>
  <r>
    <s v="Good"/>
    <x v="1"/>
    <x v="7"/>
    <x v="4"/>
    <x v="1"/>
    <s v=" divorced/separated/married"/>
    <x v="1"/>
    <x v="0"/>
    <n v="15"/>
    <n v="2631"/>
    <n v="25"/>
    <s v="Medium"/>
  </r>
  <r>
    <s v="Good"/>
    <x v="1"/>
    <x v="0"/>
    <x v="4"/>
    <x v="0"/>
    <s v=" single"/>
    <x v="0"/>
    <x v="0"/>
    <n v="24"/>
    <n v="2896"/>
    <n v="29"/>
    <s v="Medium"/>
  </r>
  <r>
    <s v="Good"/>
    <x v="0"/>
    <x v="3"/>
    <x v="0"/>
    <x v="0"/>
    <s v=" single"/>
    <x v="1"/>
    <x v="0"/>
    <n v="6"/>
    <n v="4716"/>
    <n v="44"/>
    <s v="Medium"/>
  </r>
  <r>
    <s v="Good"/>
    <x v="2"/>
    <x v="0"/>
    <x v="1"/>
    <x v="0"/>
    <s v=" single"/>
    <x v="0"/>
    <x v="0"/>
    <n v="24"/>
    <n v="2284"/>
    <n v="28"/>
    <s v="Medium"/>
  </r>
  <r>
    <s v="Good"/>
    <x v="2"/>
    <x v="4"/>
    <x v="2"/>
    <x v="0"/>
    <s v=" single"/>
    <x v="0"/>
    <x v="2"/>
    <n v="6"/>
    <n v="1236"/>
    <n v="50"/>
    <s v="Low"/>
  </r>
  <r>
    <s v="Good"/>
    <x v="1"/>
    <x v="0"/>
    <x v="1"/>
    <x v="0"/>
    <s v=" single"/>
    <x v="0"/>
    <x v="0"/>
    <n v="12"/>
    <n v="1103"/>
    <n v="29"/>
    <s v="Low"/>
  </r>
  <r>
    <s v="Good"/>
    <x v="2"/>
    <x v="3"/>
    <x v="1"/>
    <x v="1"/>
    <s v=" divorced/separated/married"/>
    <x v="3"/>
    <x v="0"/>
    <n v="12"/>
    <n v="926"/>
    <n v="38"/>
    <s v="Low"/>
  </r>
  <r>
    <s v="Good"/>
    <x v="2"/>
    <x v="0"/>
    <x v="1"/>
    <x v="0"/>
    <s v=" single"/>
    <x v="0"/>
    <x v="0"/>
    <n v="18"/>
    <n v="1800"/>
    <n v="24"/>
    <s v="Low"/>
  </r>
  <r>
    <s v="Good"/>
    <x v="3"/>
    <x v="1"/>
    <x v="1"/>
    <x v="0"/>
    <s v=" single"/>
    <x v="2"/>
    <x v="2"/>
    <n v="15"/>
    <n v="1905"/>
    <n v="40"/>
    <s v="Low"/>
  </r>
  <r>
    <s v="Bad"/>
    <x v="2"/>
    <x v="2"/>
    <x v="2"/>
    <x v="1"/>
    <s v=" divorced/separated/married"/>
    <x v="1"/>
    <x v="2"/>
    <n v="12"/>
    <n v="1123"/>
    <n v="29"/>
    <s v="Low"/>
  </r>
  <r>
    <s v="Bad"/>
    <x v="0"/>
    <x v="4"/>
    <x v="1"/>
    <x v="0"/>
    <s v=" single"/>
    <x v="0"/>
    <x v="1"/>
    <n v="48"/>
    <n v="6331"/>
    <n v="46"/>
    <s v="Hight"/>
  </r>
  <r>
    <s v="Good"/>
    <x v="3"/>
    <x v="0"/>
    <x v="4"/>
    <x v="1"/>
    <s v=" divorced/separated/married"/>
    <x v="0"/>
    <x v="1"/>
    <n v="24"/>
    <n v="1377"/>
    <n v="47"/>
    <s v="Low"/>
  </r>
  <r>
    <s v="Good"/>
    <x v="1"/>
    <x v="5"/>
    <x v="4"/>
    <x v="0"/>
    <s v=" single"/>
    <x v="0"/>
    <x v="0"/>
    <n v="30"/>
    <n v="2503"/>
    <n v="41"/>
    <s v="Medium"/>
  </r>
  <r>
    <s v="Good"/>
    <x v="1"/>
    <x v="5"/>
    <x v="1"/>
    <x v="1"/>
    <s v=" divorced/separated/married"/>
    <x v="0"/>
    <x v="0"/>
    <n v="27"/>
    <n v="2528"/>
    <n v="32"/>
    <s v="Medium"/>
  </r>
  <r>
    <s v="Good"/>
    <x v="2"/>
    <x v="3"/>
    <x v="2"/>
    <x v="1"/>
    <s v=" divorced/separated/married"/>
    <x v="0"/>
    <x v="1"/>
    <n v="15"/>
    <n v="5324"/>
    <n v="35"/>
    <s v="Hight"/>
  </r>
  <r>
    <s v="Bad"/>
    <x v="1"/>
    <x v="3"/>
    <x v="4"/>
    <x v="0"/>
    <s v=" single"/>
    <x v="0"/>
    <x v="0"/>
    <n v="48"/>
    <n v="6560"/>
    <n v="24"/>
    <s v="Hight"/>
  </r>
  <r>
    <s v="Bad"/>
    <x v="1"/>
    <x v="2"/>
    <x v="1"/>
    <x v="1"/>
    <s v=" divorced/separated/married"/>
    <x v="0"/>
    <x v="2"/>
    <n v="12"/>
    <n v="2969"/>
    <n v="25"/>
    <s v="Medium"/>
  </r>
  <r>
    <s v="Good"/>
    <x v="1"/>
    <x v="0"/>
    <x v="1"/>
    <x v="1"/>
    <s v=" divorced/separated/married"/>
    <x v="0"/>
    <x v="0"/>
    <n v="9"/>
    <n v="1206"/>
    <n v="25"/>
    <s v="Low"/>
  </r>
  <r>
    <s v="Good"/>
    <x v="1"/>
    <x v="0"/>
    <x v="1"/>
    <x v="0"/>
    <s v=" single"/>
    <x v="1"/>
    <x v="0"/>
    <n v="9"/>
    <n v="2118"/>
    <n v="37"/>
    <s v="Medium"/>
  </r>
  <r>
    <s v="Good"/>
    <x v="2"/>
    <x v="0"/>
    <x v="2"/>
    <x v="0"/>
    <s v=" single"/>
    <x v="2"/>
    <x v="0"/>
    <n v="18"/>
    <n v="629"/>
    <n v="32"/>
    <s v="Low"/>
  </r>
  <r>
    <s v="Bad"/>
    <x v="0"/>
    <x v="1"/>
    <x v="1"/>
    <x v="1"/>
    <s v=" divorced/separated/married"/>
    <x v="0"/>
    <x v="1"/>
    <n v="6"/>
    <n v="1198"/>
    <n v="35"/>
    <s v="Low"/>
  </r>
  <r>
    <s v="Good"/>
    <x v="2"/>
    <x v="4"/>
    <x v="0"/>
    <x v="0"/>
    <s v=" single"/>
    <x v="2"/>
    <x v="0"/>
    <n v="21"/>
    <n v="2476"/>
    <n v="46"/>
    <s v="Medium"/>
  </r>
  <r>
    <s v="Good"/>
    <x v="0"/>
    <x v="0"/>
    <x v="1"/>
    <x v="0"/>
    <s v=" single"/>
    <x v="1"/>
    <x v="0"/>
    <n v="9"/>
    <n v="1138"/>
    <n v="25"/>
    <s v="Low"/>
  </r>
  <r>
    <s v="Bad"/>
    <x v="1"/>
    <x v="3"/>
    <x v="1"/>
    <x v="0"/>
    <s v=" single"/>
    <x v="2"/>
    <x v="0"/>
    <n v="60"/>
    <n v="14027"/>
    <n v="27"/>
    <s v="Hight"/>
  </r>
  <r>
    <s v="Good"/>
    <x v="2"/>
    <x v="4"/>
    <x v="0"/>
    <x v="0"/>
    <s v=" single"/>
    <x v="0"/>
    <x v="0"/>
    <n v="30"/>
    <n v="7596"/>
    <n v="63"/>
    <s v="Hight"/>
  </r>
  <r>
    <s v="Good"/>
    <x v="2"/>
    <x v="0"/>
    <x v="0"/>
    <x v="0"/>
    <s v=" single"/>
    <x v="0"/>
    <x v="0"/>
    <n v="30"/>
    <n v="3077"/>
    <n v="40"/>
    <s v="Medium"/>
  </r>
  <r>
    <s v="Good"/>
    <x v="2"/>
    <x v="0"/>
    <x v="1"/>
    <x v="0"/>
    <s v=" single"/>
    <x v="2"/>
    <x v="1"/>
    <n v="18"/>
    <n v="1505"/>
    <n v="32"/>
    <s v="Low"/>
  </r>
  <r>
    <s v="Good"/>
    <x v="3"/>
    <x v="0"/>
    <x v="0"/>
    <x v="0"/>
    <s v=" single"/>
    <x v="0"/>
    <x v="0"/>
    <n v="24"/>
    <n v="3148"/>
    <n v="31"/>
    <s v="Medium"/>
  </r>
  <r>
    <s v="Good"/>
    <x v="1"/>
    <x v="4"/>
    <x v="4"/>
    <x v="0"/>
    <s v=" married/widowed"/>
    <x v="0"/>
    <x v="0"/>
    <n v="20"/>
    <n v="6148"/>
    <n v="31"/>
    <s v="Hight"/>
  </r>
  <r>
    <s v="Bad"/>
    <x v="3"/>
    <x v="0"/>
    <x v="1"/>
    <x v="0"/>
    <s v=" single"/>
    <x v="2"/>
    <x v="0"/>
    <n v="9"/>
    <n v="1337"/>
    <n v="34"/>
    <s v="Low"/>
  </r>
  <r>
    <s v="Bad"/>
    <x v="1"/>
    <x v="1"/>
    <x v="3"/>
    <x v="1"/>
    <s v=" divorced/separated/married"/>
    <x v="0"/>
    <x v="2"/>
    <n v="6"/>
    <n v="433"/>
    <n v="24"/>
    <s v="Low"/>
  </r>
  <r>
    <s v="Bad"/>
    <x v="0"/>
    <x v="3"/>
    <x v="1"/>
    <x v="1"/>
    <s v=" divorced/separated/married"/>
    <x v="1"/>
    <x v="0"/>
    <n v="12"/>
    <n v="1228"/>
    <n v="24"/>
    <s v="Low"/>
  </r>
  <r>
    <s v="Good"/>
    <x v="1"/>
    <x v="0"/>
    <x v="2"/>
    <x v="1"/>
    <s v=" divorced/separated/married"/>
    <x v="1"/>
    <x v="0"/>
    <n v="9"/>
    <n v="790"/>
    <n v="66"/>
    <s v="Low"/>
  </r>
  <r>
    <s v="Bad"/>
    <x v="2"/>
    <x v="3"/>
    <x v="1"/>
    <x v="1"/>
    <s v=" divorced/separated/married"/>
    <x v="0"/>
    <x v="2"/>
    <n v="27"/>
    <n v="2570"/>
    <n v="21"/>
    <s v="Medium"/>
  </r>
  <r>
    <s v="Good"/>
    <x v="2"/>
    <x v="3"/>
    <x v="3"/>
    <x v="1"/>
    <s v=" divorced/separated/married"/>
    <x v="1"/>
    <x v="0"/>
    <n v="6"/>
    <n v="250"/>
    <n v="41"/>
    <s v="Low"/>
  </r>
  <r>
    <s v="Good"/>
    <x v="2"/>
    <x v="0"/>
    <x v="2"/>
    <x v="0"/>
    <s v=" married/widowed"/>
    <x v="1"/>
    <x v="0"/>
    <n v="15"/>
    <n v="1316"/>
    <n v="47"/>
    <s v="Low"/>
  </r>
  <r>
    <s v="Bad"/>
    <x v="0"/>
    <x v="0"/>
    <x v="1"/>
    <x v="1"/>
    <s v=" divorced/separated/married"/>
    <x v="0"/>
    <x v="2"/>
    <n v="18"/>
    <n v="1882"/>
    <n v="25"/>
    <s v="Low"/>
  </r>
  <r>
    <s v="Bad"/>
    <x v="1"/>
    <x v="5"/>
    <x v="1"/>
    <x v="1"/>
    <s v=" divorced/separated/married"/>
    <x v="0"/>
    <x v="2"/>
    <n v="48"/>
    <n v="6416"/>
    <n v="59"/>
    <s v="Hight"/>
  </r>
  <r>
    <s v="Good"/>
    <x v="3"/>
    <x v="5"/>
    <x v="3"/>
    <x v="0"/>
    <s v=" divorced/separated"/>
    <x v="0"/>
    <x v="0"/>
    <n v="24"/>
    <n v="1275"/>
    <n v="36"/>
    <s v="Low"/>
  </r>
  <r>
    <s v="Good"/>
    <x v="1"/>
    <x v="0"/>
    <x v="1"/>
    <x v="0"/>
    <s v=" single"/>
    <x v="0"/>
    <x v="0"/>
    <n v="24"/>
    <n v="6403"/>
    <n v="33"/>
    <s v="Hight"/>
  </r>
  <r>
    <s v="Bad"/>
    <x v="0"/>
    <x v="0"/>
    <x v="1"/>
    <x v="0"/>
    <s v=" single"/>
    <x v="1"/>
    <x v="2"/>
    <n v="24"/>
    <n v="1987"/>
    <n v="21"/>
    <s v="Low"/>
  </r>
  <r>
    <s v="Good"/>
    <x v="1"/>
    <x v="0"/>
    <x v="1"/>
    <x v="1"/>
    <s v=" divorced/separated/married"/>
    <x v="1"/>
    <x v="0"/>
    <n v="8"/>
    <n v="760"/>
    <n v="44"/>
    <s v="Low"/>
  </r>
  <r>
    <s v="Good"/>
    <x v="2"/>
    <x v="4"/>
    <x v="3"/>
    <x v="1"/>
    <s v=" divorced/separated/married"/>
    <x v="0"/>
    <x v="2"/>
    <n v="24"/>
    <n v="2603"/>
    <n v="28"/>
    <s v="Medium"/>
  </r>
  <r>
    <s v="Good"/>
    <x v="2"/>
    <x v="3"/>
    <x v="1"/>
    <x v="1"/>
    <s v=" divorced/separated/married"/>
    <x v="0"/>
    <x v="0"/>
    <n v="4"/>
    <n v="3380"/>
    <n v="37"/>
    <s v="Medium"/>
  </r>
  <r>
    <s v="Good"/>
    <x v="1"/>
    <x v="6"/>
    <x v="0"/>
    <x v="1"/>
    <s v=" divorced/separated/married"/>
    <x v="3"/>
    <x v="0"/>
    <n v="36"/>
    <n v="3990"/>
    <n v="29"/>
    <s v="Medium"/>
  </r>
  <r>
    <s v="Bad"/>
    <x v="1"/>
    <x v="4"/>
    <x v="1"/>
    <x v="1"/>
    <s v=" divorced/separated/married"/>
    <x v="2"/>
    <x v="2"/>
    <n v="24"/>
    <n v="11560"/>
    <n v="23"/>
    <s v="Hight"/>
  </r>
  <r>
    <s v="Good"/>
    <x v="0"/>
    <x v="3"/>
    <x v="4"/>
    <x v="0"/>
    <s v=" single"/>
    <x v="1"/>
    <x v="0"/>
    <n v="18"/>
    <n v="4380"/>
    <n v="35"/>
    <s v="Medium"/>
  </r>
  <r>
    <s v="Good"/>
    <x v="2"/>
    <x v="3"/>
    <x v="1"/>
    <x v="0"/>
    <s v=" single"/>
    <x v="2"/>
    <x v="0"/>
    <n v="6"/>
    <n v="6761"/>
    <n v="45"/>
    <s v="Hight"/>
  </r>
  <r>
    <s v="Bad"/>
    <x v="1"/>
    <x v="5"/>
    <x v="4"/>
    <x v="1"/>
    <s v=" divorced/separated/married"/>
    <x v="1"/>
    <x v="2"/>
    <n v="30"/>
    <n v="4280"/>
    <n v="26"/>
    <s v="Medium"/>
  </r>
  <r>
    <s v="Good"/>
    <x v="0"/>
    <x v="3"/>
    <x v="4"/>
    <x v="0"/>
    <s v=" single"/>
    <x v="0"/>
    <x v="0"/>
    <n v="24"/>
    <n v="2325"/>
    <n v="32"/>
    <s v="Medium"/>
  </r>
  <r>
    <s v="Good"/>
    <x v="1"/>
    <x v="0"/>
    <x v="1"/>
    <x v="0"/>
    <s v=" single"/>
    <x v="1"/>
    <x v="0"/>
    <n v="10"/>
    <n v="1048"/>
    <n v="23"/>
    <s v="Low"/>
  </r>
  <r>
    <s v="Good"/>
    <x v="2"/>
    <x v="0"/>
    <x v="0"/>
    <x v="0"/>
    <s v=" single"/>
    <x v="0"/>
    <x v="0"/>
    <n v="21"/>
    <n v="3160"/>
    <n v="41"/>
    <s v="Medium"/>
  </r>
  <r>
    <s v="Good"/>
    <x v="0"/>
    <x v="2"/>
    <x v="2"/>
    <x v="0"/>
    <s v=" single"/>
    <x v="0"/>
    <x v="0"/>
    <n v="24"/>
    <n v="2483"/>
    <n v="22"/>
    <s v="Medium"/>
  </r>
  <r>
    <s v="Good"/>
    <x v="0"/>
    <x v="2"/>
    <x v="0"/>
    <x v="0"/>
    <s v=" single"/>
    <x v="2"/>
    <x v="0"/>
    <n v="39"/>
    <n v="14179"/>
    <n v="30"/>
    <s v="Hight"/>
  </r>
  <r>
    <s v="Good"/>
    <x v="0"/>
    <x v="5"/>
    <x v="1"/>
    <x v="0"/>
    <s v=" single"/>
    <x v="1"/>
    <x v="0"/>
    <n v="13"/>
    <n v="1797"/>
    <n v="28"/>
    <s v="Low"/>
  </r>
  <r>
    <s v="Good"/>
    <x v="0"/>
    <x v="3"/>
    <x v="1"/>
    <x v="1"/>
    <s v=" divorced/separated/married"/>
    <x v="0"/>
    <x v="2"/>
    <n v="15"/>
    <n v="2511"/>
    <n v="23"/>
    <s v="Medium"/>
  </r>
  <r>
    <s v="Bad"/>
    <x v="0"/>
    <x v="3"/>
    <x v="1"/>
    <x v="1"/>
    <s v=" divorced/separated/married"/>
    <x v="1"/>
    <x v="0"/>
    <n v="12"/>
    <n v="1274"/>
    <n v="37"/>
    <s v="Low"/>
  </r>
  <r>
    <s v="Good"/>
    <x v="2"/>
    <x v="4"/>
    <x v="0"/>
    <x v="0"/>
    <s v=" single"/>
    <x v="0"/>
    <x v="0"/>
    <n v="21"/>
    <n v="5248"/>
    <n v="26"/>
    <s v="Hight"/>
  </r>
  <r>
    <s v="Good"/>
    <x v="2"/>
    <x v="4"/>
    <x v="1"/>
    <x v="0"/>
    <s v=" single"/>
    <x v="0"/>
    <x v="0"/>
    <n v="15"/>
    <n v="3029"/>
    <n v="33"/>
    <s v="Medium"/>
  </r>
  <r>
    <s v="Good"/>
    <x v="0"/>
    <x v="2"/>
    <x v="1"/>
    <x v="1"/>
    <s v=" divorced/separated/married"/>
    <x v="0"/>
    <x v="0"/>
    <n v="6"/>
    <n v="428"/>
    <n v="49"/>
    <s v="Low"/>
  </r>
  <r>
    <s v="Bad"/>
    <x v="0"/>
    <x v="3"/>
    <x v="1"/>
    <x v="1"/>
    <s v=" divorced/separated/married"/>
    <x v="1"/>
    <x v="0"/>
    <n v="18"/>
    <n v="976"/>
    <n v="23"/>
    <s v="Low"/>
  </r>
  <r>
    <s v="Good"/>
    <x v="1"/>
    <x v="5"/>
    <x v="4"/>
    <x v="1"/>
    <s v=" divorced/separated/married"/>
    <x v="1"/>
    <x v="2"/>
    <n v="12"/>
    <n v="841"/>
    <n v="23"/>
    <s v="Low"/>
  </r>
  <r>
    <s v="Good"/>
    <x v="2"/>
    <x v="0"/>
    <x v="1"/>
    <x v="1"/>
    <s v=" divorced/separated/married"/>
    <x v="0"/>
    <x v="0"/>
    <n v="30"/>
    <n v="5771"/>
    <n v="25"/>
    <s v="Hight"/>
  </r>
  <r>
    <s v="Bad"/>
    <x v="2"/>
    <x v="7"/>
    <x v="3"/>
    <x v="0"/>
    <s v=" single"/>
    <x v="0"/>
    <x v="1"/>
    <n v="12"/>
    <n v="1555"/>
    <n v="55"/>
    <s v="Low"/>
  </r>
  <r>
    <s v="Bad"/>
    <x v="0"/>
    <x v="3"/>
    <x v="0"/>
    <x v="1"/>
    <s v=" divorced/separated/married"/>
    <x v="0"/>
    <x v="2"/>
    <n v="24"/>
    <n v="1285"/>
    <n v="32"/>
    <s v="Low"/>
  </r>
  <r>
    <s v="Good"/>
    <x v="3"/>
    <x v="3"/>
    <x v="1"/>
    <x v="0"/>
    <s v=" single"/>
    <x v="3"/>
    <x v="0"/>
    <n v="6"/>
    <n v="1299"/>
    <n v="74"/>
    <s v="Low"/>
  </r>
  <r>
    <s v="Bad"/>
    <x v="3"/>
    <x v="0"/>
    <x v="0"/>
    <x v="0"/>
    <s v=" single"/>
    <x v="0"/>
    <x v="1"/>
    <n v="15"/>
    <n v="1271"/>
    <n v="39"/>
    <s v="Low"/>
  </r>
  <r>
    <s v="Good"/>
    <x v="2"/>
    <x v="3"/>
    <x v="1"/>
    <x v="0"/>
    <s v=" single"/>
    <x v="0"/>
    <x v="0"/>
    <n v="24"/>
    <n v="1393"/>
    <n v="31"/>
    <s v="Low"/>
  </r>
  <r>
    <s v="Bad"/>
    <x v="0"/>
    <x v="3"/>
    <x v="1"/>
    <x v="0"/>
    <s v=" single"/>
    <x v="0"/>
    <x v="0"/>
    <n v="12"/>
    <n v="691"/>
    <n v="35"/>
    <s v="Low"/>
  </r>
  <r>
    <s v="Good"/>
    <x v="2"/>
    <x v="3"/>
    <x v="0"/>
    <x v="1"/>
    <s v=" divorced/separated/married"/>
    <x v="0"/>
    <x v="0"/>
    <n v="15"/>
    <n v="5045"/>
    <n v="59"/>
    <s v="Hight"/>
  </r>
  <r>
    <s v="Bad"/>
    <x v="0"/>
    <x v="2"/>
    <x v="1"/>
    <x v="1"/>
    <s v=" divorced/separated/married"/>
    <x v="0"/>
    <x v="2"/>
    <n v="18"/>
    <n v="2124"/>
    <n v="24"/>
    <s v="Medium"/>
  </r>
  <r>
    <s v="Good"/>
    <x v="0"/>
    <x v="0"/>
    <x v="1"/>
    <x v="0"/>
    <s v=" single"/>
    <x v="1"/>
    <x v="0"/>
    <n v="12"/>
    <n v="2214"/>
    <n v="24"/>
    <s v="Medium"/>
  </r>
  <r>
    <s v="Bad"/>
    <x v="2"/>
    <x v="3"/>
    <x v="0"/>
    <x v="0"/>
    <s v=" single"/>
    <x v="2"/>
    <x v="1"/>
    <n v="21"/>
    <n v="12680"/>
    <n v="30"/>
    <s v="Hight"/>
  </r>
  <r>
    <s v="Good"/>
    <x v="2"/>
    <x v="3"/>
    <x v="4"/>
    <x v="0"/>
    <s v=" married/widowed"/>
    <x v="0"/>
    <x v="0"/>
    <n v="24"/>
    <n v="2463"/>
    <n v="27"/>
    <s v="Medium"/>
  </r>
  <r>
    <s v="Good"/>
    <x v="1"/>
    <x v="0"/>
    <x v="1"/>
    <x v="0"/>
    <s v=" married/widowed"/>
    <x v="1"/>
    <x v="0"/>
    <n v="12"/>
    <n v="1155"/>
    <n v="40"/>
    <s v="Low"/>
  </r>
  <r>
    <s v="Bad"/>
    <x v="0"/>
    <x v="2"/>
    <x v="1"/>
    <x v="0"/>
    <s v=" divorced/separated"/>
    <x v="1"/>
    <x v="0"/>
    <n v="30"/>
    <n v="3108"/>
    <n v="31"/>
    <s v="Medium"/>
  </r>
  <r>
    <s v="Good"/>
    <x v="2"/>
    <x v="4"/>
    <x v="0"/>
    <x v="1"/>
    <s v=" divorced/separated/married"/>
    <x v="0"/>
    <x v="2"/>
    <n v="10"/>
    <n v="2901"/>
    <n v="31"/>
    <s v="Medium"/>
  </r>
  <r>
    <s v="Good"/>
    <x v="1"/>
    <x v="2"/>
    <x v="1"/>
    <x v="0"/>
    <s v=" single"/>
    <x v="0"/>
    <x v="2"/>
    <n v="12"/>
    <n v="3617"/>
    <n v="28"/>
    <s v="Medium"/>
  </r>
  <r>
    <s v="Good"/>
    <x v="2"/>
    <x v="0"/>
    <x v="1"/>
    <x v="0"/>
    <s v=" single"/>
    <x v="1"/>
    <x v="0"/>
    <n v="12"/>
    <n v="1655"/>
    <n v="63"/>
    <s v="Low"/>
  </r>
  <r>
    <s v="Good"/>
    <x v="0"/>
    <x v="4"/>
    <x v="0"/>
    <x v="1"/>
    <s v=" divorced/separated/married"/>
    <x v="0"/>
    <x v="2"/>
    <n v="24"/>
    <n v="2812"/>
    <n v="26"/>
    <s v="Medium"/>
  </r>
  <r>
    <s v="Bad"/>
    <x v="0"/>
    <x v="1"/>
    <x v="1"/>
    <x v="1"/>
    <s v=" divorced/separated/married"/>
    <x v="2"/>
    <x v="0"/>
    <n v="36"/>
    <n v="8065"/>
    <n v="25"/>
    <s v="Hight"/>
  </r>
  <r>
    <s v="Good"/>
    <x v="2"/>
    <x v="4"/>
    <x v="1"/>
    <x v="0"/>
    <s v=" single"/>
    <x v="2"/>
    <x v="0"/>
    <n v="21"/>
    <n v="3275"/>
    <n v="36"/>
    <s v="Medium"/>
  </r>
  <r>
    <s v="Good"/>
    <x v="2"/>
    <x v="0"/>
    <x v="4"/>
    <x v="0"/>
    <s v=" single"/>
    <x v="0"/>
    <x v="0"/>
    <n v="24"/>
    <n v="2223"/>
    <n v="52"/>
    <s v="Medium"/>
  </r>
  <r>
    <s v="Good"/>
    <x v="3"/>
    <x v="3"/>
    <x v="2"/>
    <x v="0"/>
    <s v=" single"/>
    <x v="3"/>
    <x v="1"/>
    <n v="12"/>
    <n v="1480"/>
    <n v="66"/>
    <s v="Low"/>
  </r>
  <r>
    <s v="Bad"/>
    <x v="0"/>
    <x v="3"/>
    <x v="0"/>
    <x v="1"/>
    <s v=" divorced/separated/married"/>
    <x v="0"/>
    <x v="2"/>
    <n v="24"/>
    <n v="1371"/>
    <n v="25"/>
    <s v="Low"/>
  </r>
  <r>
    <s v="Good"/>
    <x v="2"/>
    <x v="3"/>
    <x v="1"/>
    <x v="0"/>
    <s v=" single"/>
    <x v="0"/>
    <x v="0"/>
    <n v="36"/>
    <n v="3535"/>
    <n v="37"/>
    <s v="Medium"/>
  </r>
  <r>
    <s v="Good"/>
    <x v="0"/>
    <x v="0"/>
    <x v="1"/>
    <x v="1"/>
    <s v=" divorced/separated/married"/>
    <x v="0"/>
    <x v="0"/>
    <n v="18"/>
    <n v="3509"/>
    <n v="25"/>
    <s v="Medium"/>
  </r>
  <r>
    <s v="Good"/>
    <x v="2"/>
    <x v="4"/>
    <x v="3"/>
    <x v="0"/>
    <s v=" single"/>
    <x v="2"/>
    <x v="0"/>
    <n v="36"/>
    <n v="5711"/>
    <n v="38"/>
    <s v="Hight"/>
  </r>
  <r>
    <s v="Good"/>
    <x v="1"/>
    <x v="7"/>
    <x v="1"/>
    <x v="1"/>
    <s v=" divorced/separated/married"/>
    <x v="0"/>
    <x v="0"/>
    <n v="18"/>
    <n v="3872"/>
    <n v="67"/>
    <s v="Medium"/>
  </r>
  <r>
    <s v="Bad"/>
    <x v="1"/>
    <x v="0"/>
    <x v="1"/>
    <x v="0"/>
    <s v=" single"/>
    <x v="0"/>
    <x v="0"/>
    <n v="39"/>
    <n v="4933"/>
    <n v="25"/>
    <s v="Medium"/>
  </r>
  <r>
    <s v="Good"/>
    <x v="2"/>
    <x v="3"/>
    <x v="3"/>
    <x v="0"/>
    <s v=" single"/>
    <x v="0"/>
    <x v="0"/>
    <n v="24"/>
    <n v="1940"/>
    <n v="60"/>
    <s v="Low"/>
  </r>
  <r>
    <s v="Good"/>
    <x v="1"/>
    <x v="9"/>
    <x v="1"/>
    <x v="0"/>
    <s v=" single"/>
    <x v="1"/>
    <x v="0"/>
    <n v="12"/>
    <n v="1410"/>
    <n v="31"/>
    <s v="Low"/>
  </r>
  <r>
    <s v="Bad"/>
    <x v="1"/>
    <x v="3"/>
    <x v="4"/>
    <x v="1"/>
    <s v=" divorced/separated/married"/>
    <x v="1"/>
    <x v="0"/>
    <n v="12"/>
    <n v="836"/>
    <n v="23"/>
    <s v="Low"/>
  </r>
  <r>
    <s v="Good"/>
    <x v="1"/>
    <x v="4"/>
    <x v="0"/>
    <x v="0"/>
    <s v=" divorced/separated"/>
    <x v="2"/>
    <x v="0"/>
    <n v="20"/>
    <n v="6468"/>
    <n v="60"/>
    <s v="Hight"/>
  </r>
  <r>
    <s v="Good"/>
    <x v="1"/>
    <x v="5"/>
    <x v="3"/>
    <x v="0"/>
    <s v=" single"/>
    <x v="1"/>
    <x v="0"/>
    <n v="18"/>
    <n v="1941"/>
    <n v="35"/>
    <s v="Low"/>
  </r>
  <r>
    <s v="Good"/>
    <x v="2"/>
    <x v="0"/>
    <x v="2"/>
    <x v="0"/>
    <s v=" single"/>
    <x v="0"/>
    <x v="0"/>
    <n v="22"/>
    <n v="2675"/>
    <n v="40"/>
    <s v="Medium"/>
  </r>
  <r>
    <s v="Good"/>
    <x v="2"/>
    <x v="4"/>
    <x v="0"/>
    <x v="0"/>
    <s v=" single"/>
    <x v="0"/>
    <x v="0"/>
    <n v="48"/>
    <n v="2751"/>
    <n v="38"/>
    <s v="Medium"/>
  </r>
  <r>
    <s v="Bad"/>
    <x v="1"/>
    <x v="1"/>
    <x v="1"/>
    <x v="0"/>
    <s v=" single"/>
    <x v="0"/>
    <x v="1"/>
    <n v="48"/>
    <n v="6224"/>
    <n v="50"/>
    <s v="Hight"/>
  </r>
  <r>
    <s v="Bad"/>
    <x v="0"/>
    <x v="1"/>
    <x v="1"/>
    <x v="0"/>
    <s v=" single"/>
    <x v="0"/>
    <x v="0"/>
    <n v="40"/>
    <n v="5998"/>
    <n v="27"/>
    <s v="Hight"/>
  </r>
  <r>
    <s v="Bad"/>
    <x v="1"/>
    <x v="5"/>
    <x v="1"/>
    <x v="1"/>
    <s v=" divorced/separated/married"/>
    <x v="0"/>
    <x v="0"/>
    <n v="21"/>
    <n v="1188"/>
    <n v="39"/>
    <s v="Low"/>
  </r>
  <r>
    <s v="Good"/>
    <x v="2"/>
    <x v="4"/>
    <x v="0"/>
    <x v="0"/>
    <s v=" single"/>
    <x v="2"/>
    <x v="0"/>
    <n v="24"/>
    <n v="6313"/>
    <n v="41"/>
    <s v="Hight"/>
  </r>
  <r>
    <s v="Good"/>
    <x v="2"/>
    <x v="2"/>
    <x v="0"/>
    <x v="0"/>
    <s v=" married/widowed"/>
    <x v="0"/>
    <x v="0"/>
    <n v="6"/>
    <n v="1221"/>
    <n v="27"/>
    <s v="Low"/>
  </r>
  <r>
    <s v="Good"/>
    <x v="3"/>
    <x v="2"/>
    <x v="1"/>
    <x v="0"/>
    <s v=" divorced/separated"/>
    <x v="0"/>
    <x v="1"/>
    <n v="24"/>
    <n v="2892"/>
    <n v="51"/>
    <s v="Medium"/>
  </r>
  <r>
    <s v="Good"/>
    <x v="2"/>
    <x v="2"/>
    <x v="2"/>
    <x v="0"/>
    <s v=" single"/>
    <x v="0"/>
    <x v="2"/>
    <n v="24"/>
    <n v="3062"/>
    <n v="32"/>
    <s v="Medium"/>
  </r>
  <r>
    <s v="Good"/>
    <x v="2"/>
    <x v="2"/>
    <x v="4"/>
    <x v="1"/>
    <s v=" divorced/separated/married"/>
    <x v="0"/>
    <x v="2"/>
    <n v="9"/>
    <n v="2301"/>
    <n v="22"/>
    <s v="Medium"/>
  </r>
  <r>
    <s v="Bad"/>
    <x v="0"/>
    <x v="4"/>
    <x v="0"/>
    <x v="0"/>
    <s v=" single"/>
    <x v="0"/>
    <x v="1"/>
    <n v="18"/>
    <n v="7511"/>
    <n v="51"/>
    <s v="Hight"/>
  </r>
  <r>
    <s v="Good"/>
    <x v="2"/>
    <x v="2"/>
    <x v="1"/>
    <x v="1"/>
    <s v=" divorced/separated/married"/>
    <x v="1"/>
    <x v="2"/>
    <n v="12"/>
    <n v="1258"/>
    <n v="22"/>
    <s v="Low"/>
  </r>
  <r>
    <s v="Good"/>
    <x v="2"/>
    <x v="3"/>
    <x v="0"/>
    <x v="0"/>
    <s v=" married/widowed"/>
    <x v="0"/>
    <x v="0"/>
    <n v="24"/>
    <n v="717"/>
    <n v="54"/>
    <s v="Low"/>
  </r>
  <r>
    <s v="Good"/>
    <x v="1"/>
    <x v="3"/>
    <x v="0"/>
    <x v="0"/>
    <s v=" single"/>
    <x v="3"/>
    <x v="0"/>
    <n v="9"/>
    <n v="1549"/>
    <n v="35"/>
    <s v="Low"/>
  </r>
  <r>
    <s v="Good"/>
    <x v="2"/>
    <x v="1"/>
    <x v="1"/>
    <x v="0"/>
    <s v=" single"/>
    <x v="0"/>
    <x v="1"/>
    <n v="24"/>
    <n v="1597"/>
    <n v="54"/>
    <s v="Low"/>
  </r>
  <r>
    <s v="Good"/>
    <x v="1"/>
    <x v="0"/>
    <x v="1"/>
    <x v="1"/>
    <s v=" divorced/separated/married"/>
    <x v="1"/>
    <x v="2"/>
    <n v="18"/>
    <n v="1795"/>
    <n v="48"/>
    <s v="Low"/>
  </r>
  <r>
    <s v="Good"/>
    <x v="0"/>
    <x v="2"/>
    <x v="1"/>
    <x v="1"/>
    <s v=" divorced/separated/married"/>
    <x v="0"/>
    <x v="0"/>
    <n v="20"/>
    <n v="4272"/>
    <n v="24"/>
    <s v="Medium"/>
  </r>
  <r>
    <s v="Good"/>
    <x v="2"/>
    <x v="0"/>
    <x v="0"/>
    <x v="0"/>
    <s v=" single"/>
    <x v="0"/>
    <x v="0"/>
    <n v="12"/>
    <n v="976"/>
    <n v="35"/>
    <s v="Low"/>
  </r>
  <r>
    <s v="Good"/>
    <x v="1"/>
    <x v="3"/>
    <x v="0"/>
    <x v="1"/>
    <s v=" divorced/separated/married"/>
    <x v="3"/>
    <x v="2"/>
    <n v="12"/>
    <n v="7472"/>
    <n v="24"/>
    <s v="Hight"/>
  </r>
  <r>
    <s v="Bad"/>
    <x v="0"/>
    <x v="3"/>
    <x v="1"/>
    <x v="0"/>
    <s v=" single"/>
    <x v="0"/>
    <x v="0"/>
    <n v="36"/>
    <n v="9271"/>
    <n v="24"/>
    <s v="Hight"/>
  </r>
  <r>
    <s v="Good"/>
    <x v="1"/>
    <x v="0"/>
    <x v="1"/>
    <x v="0"/>
    <s v=" married/widowed"/>
    <x v="1"/>
    <x v="0"/>
    <n v="6"/>
    <n v="590"/>
    <n v="26"/>
    <s v="Low"/>
  </r>
  <r>
    <s v="Good"/>
    <x v="2"/>
    <x v="0"/>
    <x v="0"/>
    <x v="0"/>
    <s v=" single"/>
    <x v="0"/>
    <x v="0"/>
    <n v="12"/>
    <n v="930"/>
    <n v="65"/>
    <s v="Low"/>
  </r>
  <r>
    <s v="Good"/>
    <x v="1"/>
    <x v="4"/>
    <x v="1"/>
    <x v="0"/>
    <s v=" single"/>
    <x v="2"/>
    <x v="1"/>
    <n v="42"/>
    <n v="9283"/>
    <n v="55"/>
    <s v="Hight"/>
  </r>
  <r>
    <s v="Bad"/>
    <x v="1"/>
    <x v="3"/>
    <x v="1"/>
    <x v="1"/>
    <s v=" divorced/separated/married"/>
    <x v="3"/>
    <x v="2"/>
    <n v="15"/>
    <n v="1778"/>
    <n v="26"/>
    <s v="Low"/>
  </r>
  <r>
    <s v="Good"/>
    <x v="1"/>
    <x v="5"/>
    <x v="1"/>
    <x v="0"/>
    <s v=" married/widowed"/>
    <x v="0"/>
    <x v="0"/>
    <n v="8"/>
    <n v="907"/>
    <n v="26"/>
    <s v="Low"/>
  </r>
  <r>
    <s v="Good"/>
    <x v="1"/>
    <x v="0"/>
    <x v="1"/>
    <x v="0"/>
    <s v=" married/widowed"/>
    <x v="1"/>
    <x v="0"/>
    <n v="6"/>
    <n v="484"/>
    <n v="28"/>
    <s v="Low"/>
  </r>
  <r>
    <s v="Bad"/>
    <x v="0"/>
    <x v="4"/>
    <x v="1"/>
    <x v="0"/>
    <s v=" single"/>
    <x v="0"/>
    <x v="0"/>
    <n v="36"/>
    <n v="9629"/>
    <n v="24"/>
    <s v="Hight"/>
  </r>
  <r>
    <s v="Bad"/>
    <x v="0"/>
    <x v="6"/>
    <x v="1"/>
    <x v="0"/>
    <s v=" single"/>
    <x v="0"/>
    <x v="0"/>
    <n v="48"/>
    <n v="3051"/>
    <n v="54"/>
    <s v="Medium"/>
  </r>
  <r>
    <s v="Bad"/>
    <x v="0"/>
    <x v="3"/>
    <x v="1"/>
    <x v="0"/>
    <s v=" single"/>
    <x v="0"/>
    <x v="1"/>
    <n v="48"/>
    <n v="3931"/>
    <n v="46"/>
    <s v="Medium"/>
  </r>
  <r>
    <s v="Good"/>
    <x v="1"/>
    <x v="3"/>
    <x v="1"/>
    <x v="1"/>
    <s v=" divorced/separated/married"/>
    <x v="0"/>
    <x v="2"/>
    <n v="36"/>
    <n v="7432"/>
    <n v="54"/>
    <s v="Hight"/>
  </r>
  <r>
    <s v="Good"/>
    <x v="2"/>
    <x v="6"/>
    <x v="2"/>
    <x v="0"/>
    <s v=" divorced/separated"/>
    <x v="0"/>
    <x v="0"/>
    <n v="6"/>
    <n v="1338"/>
    <n v="62"/>
    <s v="Low"/>
  </r>
  <r>
    <s v="Good"/>
    <x v="2"/>
    <x v="0"/>
    <x v="1"/>
    <x v="1"/>
    <s v=" divorced/separated/married"/>
    <x v="0"/>
    <x v="2"/>
    <n v="6"/>
    <n v="1554"/>
    <n v="24"/>
    <s v="Low"/>
  </r>
  <r>
    <s v="Good"/>
    <x v="0"/>
    <x v="8"/>
    <x v="1"/>
    <x v="0"/>
    <s v=" divorced/separated"/>
    <x v="2"/>
    <x v="0"/>
    <n v="36"/>
    <n v="15857"/>
    <n v="43"/>
    <s v="Hight"/>
  </r>
  <r>
    <s v="Bad"/>
    <x v="0"/>
    <x v="0"/>
    <x v="1"/>
    <x v="0"/>
    <s v=" married/widowed"/>
    <x v="0"/>
    <x v="0"/>
    <n v="18"/>
    <n v="1345"/>
    <n v="26"/>
    <s v="Low"/>
  </r>
  <r>
    <s v="Good"/>
    <x v="2"/>
    <x v="3"/>
    <x v="1"/>
    <x v="0"/>
    <s v=" married/widowed"/>
    <x v="0"/>
    <x v="0"/>
    <n v="12"/>
    <n v="1101"/>
    <n v="27"/>
    <s v="Low"/>
  </r>
  <r>
    <s v="Good"/>
    <x v="3"/>
    <x v="0"/>
    <x v="1"/>
    <x v="0"/>
    <s v=" married/widowed"/>
    <x v="0"/>
    <x v="0"/>
    <n v="12"/>
    <n v="3016"/>
    <n v="24"/>
    <s v="Medium"/>
  </r>
  <r>
    <s v="Bad"/>
    <x v="0"/>
    <x v="2"/>
    <x v="1"/>
    <x v="0"/>
    <s v=" single"/>
    <x v="0"/>
    <x v="0"/>
    <n v="36"/>
    <n v="2712"/>
    <n v="41"/>
    <s v="Medium"/>
  </r>
  <r>
    <s v="Good"/>
    <x v="0"/>
    <x v="3"/>
    <x v="1"/>
    <x v="0"/>
    <s v=" single"/>
    <x v="1"/>
    <x v="0"/>
    <n v="8"/>
    <n v="731"/>
    <n v="47"/>
    <s v="Low"/>
  </r>
  <r>
    <s v="Good"/>
    <x v="2"/>
    <x v="2"/>
    <x v="1"/>
    <x v="0"/>
    <s v=" divorced/separated"/>
    <x v="2"/>
    <x v="0"/>
    <n v="18"/>
    <n v="3780"/>
    <n v="35"/>
    <s v="Medium"/>
  </r>
  <r>
    <s v="Good"/>
    <x v="0"/>
    <x v="3"/>
    <x v="1"/>
    <x v="0"/>
    <s v=" married/widowed"/>
    <x v="0"/>
    <x v="0"/>
    <n v="21"/>
    <n v="1602"/>
    <n v="30"/>
    <s v="Low"/>
  </r>
  <r>
    <s v="Bad"/>
    <x v="0"/>
    <x v="3"/>
    <x v="1"/>
    <x v="1"/>
    <s v=" divorced/separated/married"/>
    <x v="0"/>
    <x v="2"/>
    <n v="18"/>
    <n v="3966"/>
    <n v="33"/>
    <s v="Medium"/>
  </r>
  <r>
    <s v="Bad"/>
    <x v="2"/>
    <x v="5"/>
    <x v="1"/>
    <x v="0"/>
    <s v=" single"/>
    <x v="0"/>
    <x v="0"/>
    <n v="18"/>
    <n v="4165"/>
    <n v="36"/>
    <s v="Medium"/>
  </r>
  <r>
    <s v="Bad"/>
    <x v="0"/>
    <x v="4"/>
    <x v="0"/>
    <x v="0"/>
    <s v=" single"/>
    <x v="0"/>
    <x v="1"/>
    <n v="36"/>
    <n v="8335"/>
    <n v="47"/>
    <s v="Hight"/>
  </r>
  <r>
    <s v="Good"/>
    <x v="1"/>
    <x v="5"/>
    <x v="0"/>
    <x v="0"/>
    <s v=" single"/>
    <x v="0"/>
    <x v="1"/>
    <n v="48"/>
    <n v="6681"/>
    <n v="38"/>
    <s v="Hight"/>
  </r>
  <r>
    <s v="Good"/>
    <x v="2"/>
    <x v="5"/>
    <x v="2"/>
    <x v="0"/>
    <s v=" single"/>
    <x v="0"/>
    <x v="0"/>
    <n v="24"/>
    <n v="2375"/>
    <n v="44"/>
    <s v="Medium"/>
  </r>
  <r>
    <s v="Bad"/>
    <x v="0"/>
    <x v="3"/>
    <x v="1"/>
    <x v="1"/>
    <s v=" divorced/separated/married"/>
    <x v="0"/>
    <x v="2"/>
    <n v="18"/>
    <n v="1216"/>
    <n v="23"/>
    <s v="Low"/>
  </r>
  <r>
    <s v="Bad"/>
    <x v="0"/>
    <x v="5"/>
    <x v="1"/>
    <x v="0"/>
    <s v=" single"/>
    <x v="0"/>
    <x v="2"/>
    <n v="45"/>
    <n v="11816"/>
    <n v="29"/>
    <s v="Hight"/>
  </r>
  <r>
    <s v="Good"/>
    <x v="1"/>
    <x v="0"/>
    <x v="0"/>
    <x v="1"/>
    <s v=" divorced/separated/married"/>
    <x v="0"/>
    <x v="0"/>
    <n v="24"/>
    <n v="5084"/>
    <n v="42"/>
    <s v="Hight"/>
  </r>
  <r>
    <s v="Bad"/>
    <x v="3"/>
    <x v="0"/>
    <x v="1"/>
    <x v="1"/>
    <s v=" divorced/separated/married"/>
    <x v="1"/>
    <x v="0"/>
    <n v="15"/>
    <n v="2327"/>
    <n v="25"/>
    <s v="Medium"/>
  </r>
  <r>
    <s v="Bad"/>
    <x v="0"/>
    <x v="3"/>
    <x v="1"/>
    <x v="0"/>
    <s v=" single"/>
    <x v="0"/>
    <x v="0"/>
    <n v="12"/>
    <n v="1082"/>
    <n v="48"/>
    <s v="Low"/>
  </r>
  <r>
    <s v="Good"/>
    <x v="2"/>
    <x v="0"/>
    <x v="0"/>
    <x v="1"/>
    <s v=" divorced/separated/married"/>
    <x v="0"/>
    <x v="0"/>
    <n v="12"/>
    <n v="886"/>
    <n v="21"/>
    <s v="Low"/>
  </r>
  <r>
    <s v="Good"/>
    <x v="2"/>
    <x v="2"/>
    <x v="1"/>
    <x v="1"/>
    <s v=" divorced/separated/married"/>
    <x v="1"/>
    <x v="2"/>
    <n v="4"/>
    <n v="601"/>
    <n v="23"/>
    <s v="Low"/>
  </r>
  <r>
    <s v="Good"/>
    <x v="0"/>
    <x v="4"/>
    <x v="1"/>
    <x v="0"/>
    <s v=" single"/>
    <x v="0"/>
    <x v="0"/>
    <n v="24"/>
    <n v="2957"/>
    <n v="63"/>
    <s v="Medium"/>
  </r>
  <r>
    <s v="Good"/>
    <x v="2"/>
    <x v="0"/>
    <x v="1"/>
    <x v="0"/>
    <s v=" married/widowed"/>
    <x v="0"/>
    <x v="0"/>
    <n v="24"/>
    <n v="2611"/>
    <n v="46"/>
    <s v="Medium"/>
  </r>
  <r>
    <s v="Bad"/>
    <x v="0"/>
    <x v="2"/>
    <x v="1"/>
    <x v="0"/>
    <s v=" single"/>
    <x v="0"/>
    <x v="0"/>
    <n v="36"/>
    <n v="5179"/>
    <n v="29"/>
    <s v="Hight"/>
  </r>
  <r>
    <s v="Good"/>
    <x v="2"/>
    <x v="4"/>
    <x v="1"/>
    <x v="0"/>
    <s v=" single"/>
    <x v="1"/>
    <x v="0"/>
    <n v="21"/>
    <n v="2993"/>
    <n v="28"/>
    <s v="Medium"/>
  </r>
  <r>
    <s v="Bad"/>
    <x v="2"/>
    <x v="7"/>
    <x v="1"/>
    <x v="1"/>
    <s v=" divorced/separated/married"/>
    <x v="0"/>
    <x v="0"/>
    <n v="18"/>
    <n v="1943"/>
    <n v="23"/>
    <s v="Low"/>
  </r>
  <r>
    <s v="Good"/>
    <x v="2"/>
    <x v="5"/>
    <x v="1"/>
    <x v="0"/>
    <s v=" single"/>
    <x v="0"/>
    <x v="0"/>
    <n v="24"/>
    <n v="1559"/>
    <n v="50"/>
    <s v="Low"/>
  </r>
  <r>
    <s v="Good"/>
    <x v="2"/>
    <x v="2"/>
    <x v="1"/>
    <x v="0"/>
    <s v=" single"/>
    <x v="0"/>
    <x v="0"/>
    <n v="18"/>
    <n v="3422"/>
    <n v="47"/>
    <s v="Medium"/>
  </r>
  <r>
    <s v="Good"/>
    <x v="1"/>
    <x v="2"/>
    <x v="0"/>
    <x v="0"/>
    <s v=" single"/>
    <x v="0"/>
    <x v="0"/>
    <n v="21"/>
    <n v="3976"/>
    <n v="35"/>
    <s v="Medium"/>
  </r>
  <r>
    <s v="Bad"/>
    <x v="2"/>
    <x v="3"/>
    <x v="0"/>
    <x v="0"/>
    <s v=" single"/>
    <x v="0"/>
    <x v="2"/>
    <n v="18"/>
    <n v="6761"/>
    <n v="68"/>
    <s v="Hight"/>
  </r>
  <r>
    <s v="Good"/>
    <x v="2"/>
    <x v="3"/>
    <x v="1"/>
    <x v="0"/>
    <s v=" married/widowed"/>
    <x v="0"/>
    <x v="0"/>
    <n v="24"/>
    <n v="1249"/>
    <n v="28"/>
    <s v="Low"/>
  </r>
  <r>
    <s v="Good"/>
    <x v="0"/>
    <x v="0"/>
    <x v="1"/>
    <x v="0"/>
    <s v=" single"/>
    <x v="0"/>
    <x v="0"/>
    <n v="9"/>
    <n v="1364"/>
    <n v="59"/>
    <s v="Low"/>
  </r>
  <r>
    <s v="Bad"/>
    <x v="0"/>
    <x v="0"/>
    <x v="1"/>
    <x v="0"/>
    <s v=" single"/>
    <x v="1"/>
    <x v="0"/>
    <n v="12"/>
    <n v="709"/>
    <n v="57"/>
    <s v="Low"/>
  </r>
  <r>
    <s v="Bad"/>
    <x v="0"/>
    <x v="3"/>
    <x v="1"/>
    <x v="0"/>
    <s v=" married/widowed"/>
    <x v="0"/>
    <x v="2"/>
    <n v="20"/>
    <n v="2235"/>
    <n v="33"/>
    <s v="Medium"/>
  </r>
  <r>
    <s v="Good"/>
    <x v="2"/>
    <x v="4"/>
    <x v="0"/>
    <x v="0"/>
    <s v=" single"/>
    <x v="0"/>
    <x v="0"/>
    <n v="24"/>
    <n v="4042"/>
    <n v="43"/>
    <s v="Medium"/>
  </r>
  <r>
    <s v="Good"/>
    <x v="2"/>
    <x v="0"/>
    <x v="1"/>
    <x v="0"/>
    <s v=" single"/>
    <x v="0"/>
    <x v="1"/>
    <n v="15"/>
    <n v="1471"/>
    <n v="35"/>
    <s v="Low"/>
  </r>
  <r>
    <s v="Bad"/>
    <x v="0"/>
    <x v="3"/>
    <x v="1"/>
    <x v="0"/>
    <s v=" single"/>
    <x v="1"/>
    <x v="1"/>
    <n v="18"/>
    <n v="1442"/>
    <n v="32"/>
    <s v="Low"/>
  </r>
  <r>
    <s v="Good"/>
    <x v="2"/>
    <x v="3"/>
    <x v="1"/>
    <x v="0"/>
    <s v=" single"/>
    <x v="0"/>
    <x v="0"/>
    <n v="36"/>
    <n v="10875"/>
    <n v="45"/>
    <s v="Hight"/>
  </r>
  <r>
    <s v="Good"/>
    <x v="2"/>
    <x v="3"/>
    <x v="4"/>
    <x v="0"/>
    <s v=" married/widowed"/>
    <x v="0"/>
    <x v="0"/>
    <n v="24"/>
    <n v="1474"/>
    <n v="33"/>
    <s v="Low"/>
  </r>
  <r>
    <s v="Good"/>
    <x v="2"/>
    <x v="9"/>
    <x v="0"/>
    <x v="1"/>
    <s v=" divorced/separated/married"/>
    <x v="0"/>
    <x v="0"/>
    <n v="10"/>
    <n v="894"/>
    <n v="40"/>
    <s v="Low"/>
  </r>
  <r>
    <s v="Good"/>
    <x v="2"/>
    <x v="2"/>
    <x v="1"/>
    <x v="0"/>
    <s v=" single"/>
    <x v="0"/>
    <x v="1"/>
    <n v="15"/>
    <n v="3343"/>
    <n v="28"/>
    <s v="Medium"/>
  </r>
  <r>
    <s v="Bad"/>
    <x v="0"/>
    <x v="3"/>
    <x v="1"/>
    <x v="1"/>
    <s v=" divorced/separated/married"/>
    <x v="0"/>
    <x v="0"/>
    <n v="15"/>
    <n v="3959"/>
    <n v="29"/>
    <s v="Medium"/>
  </r>
  <r>
    <s v="Good"/>
    <x v="2"/>
    <x v="3"/>
    <x v="4"/>
    <x v="0"/>
    <s v=" single"/>
    <x v="0"/>
    <x v="2"/>
    <n v="9"/>
    <n v="3577"/>
    <n v="26"/>
    <s v="Medium"/>
  </r>
  <r>
    <s v="Good"/>
    <x v="2"/>
    <x v="4"/>
    <x v="3"/>
    <x v="0"/>
    <s v=" single"/>
    <x v="0"/>
    <x v="0"/>
    <n v="24"/>
    <n v="5804"/>
    <n v="27"/>
    <s v="Hight"/>
  </r>
  <r>
    <s v="Bad"/>
    <x v="2"/>
    <x v="5"/>
    <x v="1"/>
    <x v="0"/>
    <s v=" married/widowed"/>
    <x v="0"/>
    <x v="0"/>
    <n v="18"/>
    <n v="2169"/>
    <n v="28"/>
    <s v="Medium"/>
  </r>
  <r>
    <s v="Bad"/>
    <x v="0"/>
    <x v="0"/>
    <x v="1"/>
    <x v="1"/>
    <s v=" divorced/separated/married"/>
    <x v="0"/>
    <x v="0"/>
    <n v="24"/>
    <n v="2439"/>
    <n v="35"/>
    <s v="Medium"/>
  </r>
  <r>
    <s v="Good"/>
    <x v="2"/>
    <x v="2"/>
    <x v="3"/>
    <x v="0"/>
    <s v=" single"/>
    <x v="1"/>
    <x v="0"/>
    <n v="27"/>
    <n v="4526"/>
    <n v="32"/>
    <s v="Medium"/>
  </r>
  <r>
    <s v="Bad"/>
    <x v="2"/>
    <x v="2"/>
    <x v="1"/>
    <x v="0"/>
    <s v=" single"/>
    <x v="1"/>
    <x v="2"/>
    <n v="10"/>
    <n v="2210"/>
    <n v="25"/>
    <s v="Medium"/>
  </r>
  <r>
    <s v="Good"/>
    <x v="2"/>
    <x v="2"/>
    <x v="2"/>
    <x v="1"/>
    <s v=" divorced/separated/married"/>
    <x v="0"/>
    <x v="2"/>
    <n v="15"/>
    <n v="2221"/>
    <n v="20"/>
    <s v="Medium"/>
  </r>
  <r>
    <s v="Good"/>
    <x v="0"/>
    <x v="0"/>
    <x v="1"/>
    <x v="1"/>
    <s v=" divorced/separated/married"/>
    <x v="0"/>
    <x v="0"/>
    <n v="18"/>
    <n v="2389"/>
    <n v="27"/>
    <s v="Medium"/>
  </r>
  <r>
    <s v="Good"/>
    <x v="2"/>
    <x v="2"/>
    <x v="1"/>
    <x v="0"/>
    <s v=" single"/>
    <x v="0"/>
    <x v="0"/>
    <n v="12"/>
    <n v="3331"/>
    <n v="42"/>
    <s v="Medium"/>
  </r>
  <r>
    <s v="Good"/>
    <x v="2"/>
    <x v="5"/>
    <x v="0"/>
    <x v="0"/>
    <s v=" single"/>
    <x v="0"/>
    <x v="0"/>
    <n v="36"/>
    <n v="7409"/>
    <n v="37"/>
    <s v="Hight"/>
  </r>
  <r>
    <s v="Good"/>
    <x v="0"/>
    <x v="2"/>
    <x v="1"/>
    <x v="1"/>
    <s v=" divorced/separated/married"/>
    <x v="0"/>
    <x v="2"/>
    <n v="12"/>
    <n v="652"/>
    <n v="24"/>
    <s v="Low"/>
  </r>
  <r>
    <s v="Good"/>
    <x v="2"/>
    <x v="2"/>
    <x v="2"/>
    <x v="1"/>
    <s v=" divorced/separated/married"/>
    <x v="0"/>
    <x v="0"/>
    <n v="36"/>
    <n v="7678"/>
    <n v="40"/>
    <s v="Hight"/>
  </r>
  <r>
    <s v="Good"/>
    <x v="3"/>
    <x v="3"/>
    <x v="1"/>
    <x v="0"/>
    <s v=" single"/>
    <x v="0"/>
    <x v="0"/>
    <n v="6"/>
    <n v="1343"/>
    <n v="46"/>
    <s v="Low"/>
  </r>
  <r>
    <s v="Good"/>
    <x v="0"/>
    <x v="5"/>
    <x v="4"/>
    <x v="0"/>
    <s v=" single"/>
    <x v="0"/>
    <x v="0"/>
    <n v="24"/>
    <n v="1382"/>
    <n v="26"/>
    <s v="Low"/>
  </r>
  <r>
    <s v="Good"/>
    <x v="2"/>
    <x v="6"/>
    <x v="0"/>
    <x v="1"/>
    <s v=" divorced/separated/married"/>
    <x v="0"/>
    <x v="0"/>
    <n v="15"/>
    <n v="874"/>
    <n v="24"/>
    <s v="Low"/>
  </r>
  <r>
    <s v="Good"/>
    <x v="0"/>
    <x v="2"/>
    <x v="1"/>
    <x v="0"/>
    <s v=" single"/>
    <x v="1"/>
    <x v="0"/>
    <n v="12"/>
    <n v="3590"/>
    <n v="29"/>
    <s v="Medium"/>
  </r>
  <r>
    <s v="Good"/>
    <x v="1"/>
    <x v="3"/>
    <x v="3"/>
    <x v="1"/>
    <s v=" divorced/separated/married"/>
    <x v="0"/>
    <x v="0"/>
    <n v="11"/>
    <n v="1322"/>
    <n v="40"/>
    <s v="Low"/>
  </r>
  <r>
    <s v="Good"/>
    <x v="0"/>
    <x v="0"/>
    <x v="1"/>
    <x v="0"/>
    <s v=" single"/>
    <x v="2"/>
    <x v="1"/>
    <n v="18"/>
    <n v="1940"/>
    <n v="36"/>
    <s v="Low"/>
  </r>
  <r>
    <s v="Good"/>
    <x v="2"/>
    <x v="0"/>
    <x v="1"/>
    <x v="0"/>
    <s v=" single"/>
    <x v="0"/>
    <x v="0"/>
    <n v="36"/>
    <n v="3595"/>
    <n v="28"/>
    <s v="Medium"/>
  </r>
  <r>
    <s v="Bad"/>
    <x v="0"/>
    <x v="3"/>
    <x v="1"/>
    <x v="0"/>
    <s v=" single"/>
    <x v="2"/>
    <x v="1"/>
    <n v="9"/>
    <n v="1422"/>
    <n v="27"/>
    <s v="Low"/>
  </r>
  <r>
    <s v="Good"/>
    <x v="2"/>
    <x v="0"/>
    <x v="0"/>
    <x v="0"/>
    <s v=" single"/>
    <x v="0"/>
    <x v="0"/>
    <n v="30"/>
    <n v="6742"/>
    <n v="36"/>
    <s v="Hight"/>
  </r>
  <r>
    <s v="Good"/>
    <x v="2"/>
    <x v="4"/>
    <x v="1"/>
    <x v="0"/>
    <s v=" single"/>
    <x v="2"/>
    <x v="0"/>
    <n v="24"/>
    <n v="7814"/>
    <n v="38"/>
    <s v="Hight"/>
  </r>
  <r>
    <s v="Good"/>
    <x v="2"/>
    <x v="4"/>
    <x v="0"/>
    <x v="0"/>
    <s v=" divorced/separated"/>
    <x v="0"/>
    <x v="1"/>
    <n v="24"/>
    <n v="9277"/>
    <n v="48"/>
    <s v="Hight"/>
  </r>
  <r>
    <s v="Good"/>
    <x v="1"/>
    <x v="3"/>
    <x v="0"/>
    <x v="0"/>
    <s v=" single"/>
    <x v="0"/>
    <x v="0"/>
    <n v="30"/>
    <n v="2181"/>
    <n v="36"/>
    <s v="Medium"/>
  </r>
  <r>
    <s v="Good"/>
    <x v="2"/>
    <x v="0"/>
    <x v="1"/>
    <x v="1"/>
    <s v=" divorced/separated/married"/>
    <x v="3"/>
    <x v="0"/>
    <n v="18"/>
    <n v="1098"/>
    <n v="65"/>
    <s v="Low"/>
  </r>
  <r>
    <s v="Bad"/>
    <x v="1"/>
    <x v="2"/>
    <x v="1"/>
    <x v="0"/>
    <s v=" divorced/separated"/>
    <x v="0"/>
    <x v="0"/>
    <n v="24"/>
    <n v="4057"/>
    <n v="43"/>
    <s v="Medium"/>
  </r>
  <r>
    <s v="Bad"/>
    <x v="0"/>
    <x v="1"/>
    <x v="1"/>
    <x v="1"/>
    <s v=" divorced/separated/married"/>
    <x v="0"/>
    <x v="0"/>
    <n v="12"/>
    <n v="795"/>
    <n v="53"/>
    <s v="Low"/>
  </r>
  <r>
    <s v="Good"/>
    <x v="1"/>
    <x v="5"/>
    <x v="0"/>
    <x v="0"/>
    <s v=" single"/>
    <x v="0"/>
    <x v="0"/>
    <n v="24"/>
    <n v="2825"/>
    <n v="34"/>
    <s v="Medium"/>
  </r>
  <r>
    <s v="Bad"/>
    <x v="1"/>
    <x v="5"/>
    <x v="1"/>
    <x v="0"/>
    <s v=" single"/>
    <x v="0"/>
    <x v="0"/>
    <n v="48"/>
    <n v="15672"/>
    <n v="23"/>
    <s v="Hight"/>
  </r>
  <r>
    <s v="Good"/>
    <x v="2"/>
    <x v="3"/>
    <x v="1"/>
    <x v="0"/>
    <s v=" single"/>
    <x v="2"/>
    <x v="0"/>
    <n v="36"/>
    <n v="6614"/>
    <n v="34"/>
    <s v="Hight"/>
  </r>
  <r>
    <s v="Good"/>
    <x v="2"/>
    <x v="4"/>
    <x v="0"/>
    <x v="0"/>
    <s v=" single"/>
    <x v="0"/>
    <x v="2"/>
    <n v="28"/>
    <n v="7824"/>
    <n v="40"/>
    <s v="Hight"/>
  </r>
  <r>
    <s v="Good"/>
    <x v="0"/>
    <x v="5"/>
    <x v="1"/>
    <x v="0"/>
    <s v=" single"/>
    <x v="2"/>
    <x v="0"/>
    <n v="27"/>
    <n v="2442"/>
    <n v="43"/>
    <s v="Medium"/>
  </r>
  <r>
    <s v="Good"/>
    <x v="2"/>
    <x v="0"/>
    <x v="1"/>
    <x v="0"/>
    <s v=" single"/>
    <x v="0"/>
    <x v="0"/>
    <n v="15"/>
    <n v="1829"/>
    <n v="46"/>
    <s v="Low"/>
  </r>
  <r>
    <s v="Good"/>
    <x v="0"/>
    <x v="3"/>
    <x v="1"/>
    <x v="0"/>
    <s v=" single"/>
    <x v="1"/>
    <x v="0"/>
    <n v="12"/>
    <n v="2171"/>
    <n v="38"/>
    <s v="Medium"/>
  </r>
  <r>
    <s v="Good"/>
    <x v="1"/>
    <x v="4"/>
    <x v="1"/>
    <x v="0"/>
    <s v=" single"/>
    <x v="0"/>
    <x v="0"/>
    <n v="36"/>
    <n v="5800"/>
    <n v="34"/>
    <s v="Hight"/>
  </r>
  <r>
    <s v="Good"/>
    <x v="2"/>
    <x v="0"/>
    <x v="0"/>
    <x v="0"/>
    <s v=" single"/>
    <x v="0"/>
    <x v="0"/>
    <n v="18"/>
    <n v="1169"/>
    <n v="29"/>
    <s v="Low"/>
  </r>
  <r>
    <s v="Good"/>
    <x v="2"/>
    <x v="4"/>
    <x v="0"/>
    <x v="0"/>
    <s v=" single"/>
    <x v="2"/>
    <x v="0"/>
    <n v="36"/>
    <n v="8947"/>
    <n v="31"/>
    <s v="Hight"/>
  </r>
  <r>
    <s v="Good"/>
    <x v="0"/>
    <x v="0"/>
    <x v="1"/>
    <x v="1"/>
    <s v=" divorced/separated/married"/>
    <x v="2"/>
    <x v="2"/>
    <n v="21"/>
    <n v="2606"/>
    <n v="28"/>
    <s v="Medium"/>
  </r>
  <r>
    <s v="Good"/>
    <x v="2"/>
    <x v="2"/>
    <x v="3"/>
    <x v="1"/>
    <s v=" divorced/separated/married"/>
    <x v="0"/>
    <x v="0"/>
    <n v="12"/>
    <n v="1592"/>
    <n v="35"/>
    <s v="Low"/>
  </r>
  <r>
    <s v="Good"/>
    <x v="2"/>
    <x v="2"/>
    <x v="0"/>
    <x v="1"/>
    <s v=" divorced/separated/married"/>
    <x v="1"/>
    <x v="2"/>
    <n v="15"/>
    <n v="2186"/>
    <n v="33"/>
    <s v="Medium"/>
  </r>
  <r>
    <s v="Bad"/>
    <x v="0"/>
    <x v="2"/>
    <x v="1"/>
    <x v="0"/>
    <s v=" single"/>
    <x v="0"/>
    <x v="0"/>
    <n v="18"/>
    <n v="4153"/>
    <n v="42"/>
    <s v="Medium"/>
  </r>
  <r>
    <s v="Bad"/>
    <x v="0"/>
    <x v="3"/>
    <x v="1"/>
    <x v="0"/>
    <s v=" single"/>
    <x v="0"/>
    <x v="2"/>
    <n v="16"/>
    <n v="2625"/>
    <n v="43"/>
    <s v="Medium"/>
  </r>
  <r>
    <s v="Good"/>
    <x v="2"/>
    <x v="3"/>
    <x v="0"/>
    <x v="0"/>
    <s v=" divorced/separated"/>
    <x v="0"/>
    <x v="0"/>
    <n v="20"/>
    <n v="3485"/>
    <n v="44"/>
    <s v="Medium"/>
  </r>
  <r>
    <s v="Good"/>
    <x v="2"/>
    <x v="4"/>
    <x v="0"/>
    <x v="0"/>
    <s v=" single"/>
    <x v="0"/>
    <x v="1"/>
    <n v="36"/>
    <n v="10477"/>
    <n v="42"/>
    <s v="Hight"/>
  </r>
  <r>
    <s v="Good"/>
    <x v="2"/>
    <x v="0"/>
    <x v="0"/>
    <x v="0"/>
    <s v=" married/widowed"/>
    <x v="0"/>
    <x v="2"/>
    <n v="15"/>
    <n v="1386"/>
    <n v="40"/>
    <s v="Low"/>
  </r>
  <r>
    <s v="Good"/>
    <x v="2"/>
    <x v="0"/>
    <x v="1"/>
    <x v="0"/>
    <s v=" single"/>
    <x v="2"/>
    <x v="0"/>
    <n v="24"/>
    <n v="1278"/>
    <n v="36"/>
    <s v="Low"/>
  </r>
  <r>
    <s v="Good"/>
    <x v="0"/>
    <x v="0"/>
    <x v="1"/>
    <x v="0"/>
    <s v=" single"/>
    <x v="2"/>
    <x v="2"/>
    <n v="12"/>
    <n v="1107"/>
    <n v="20"/>
    <s v="Low"/>
  </r>
  <r>
    <s v="Good"/>
    <x v="0"/>
    <x v="3"/>
    <x v="0"/>
    <x v="0"/>
    <s v=" single"/>
    <x v="1"/>
    <x v="0"/>
    <n v="21"/>
    <n v="3763"/>
    <n v="24"/>
    <s v="Medium"/>
  </r>
  <r>
    <s v="Good"/>
    <x v="1"/>
    <x v="1"/>
    <x v="0"/>
    <x v="0"/>
    <s v=" married/widowed"/>
    <x v="0"/>
    <x v="0"/>
    <n v="36"/>
    <n v="3711"/>
    <n v="27"/>
    <s v="Medium"/>
  </r>
  <r>
    <s v="Good"/>
    <x v="2"/>
    <x v="4"/>
    <x v="1"/>
    <x v="1"/>
    <s v=" divorced/separated/married"/>
    <x v="1"/>
    <x v="0"/>
    <n v="15"/>
    <n v="3594"/>
    <n v="46"/>
    <s v="Medium"/>
  </r>
  <r>
    <s v="Good"/>
    <x v="1"/>
    <x v="3"/>
    <x v="0"/>
    <x v="1"/>
    <s v=" divorced/separated/married"/>
    <x v="1"/>
    <x v="0"/>
    <n v="9"/>
    <n v="3195"/>
    <n v="33"/>
    <s v="Medium"/>
  </r>
  <r>
    <s v="Good"/>
    <x v="2"/>
    <x v="0"/>
    <x v="1"/>
    <x v="1"/>
    <s v=" divorced/separated/married"/>
    <x v="0"/>
    <x v="0"/>
    <n v="36"/>
    <n v="4454"/>
    <n v="34"/>
    <s v="Medium"/>
  </r>
  <r>
    <s v="Bad"/>
    <x v="1"/>
    <x v="2"/>
    <x v="1"/>
    <x v="1"/>
    <s v=" divorced/separated/married"/>
    <x v="1"/>
    <x v="0"/>
    <n v="24"/>
    <n v="4736"/>
    <n v="25"/>
    <s v="Medium"/>
  </r>
  <r>
    <s v="Good"/>
    <x v="1"/>
    <x v="0"/>
    <x v="0"/>
    <x v="1"/>
    <s v=" divorced/separated/married"/>
    <x v="0"/>
    <x v="0"/>
    <n v="30"/>
    <n v="2991"/>
    <n v="25"/>
    <s v="Medium"/>
  </r>
  <r>
    <s v="Good"/>
    <x v="2"/>
    <x v="5"/>
    <x v="3"/>
    <x v="0"/>
    <s v=" divorced/separated"/>
    <x v="0"/>
    <x v="0"/>
    <n v="11"/>
    <n v="2142"/>
    <n v="28"/>
    <s v="Medium"/>
  </r>
  <r>
    <s v="Bad"/>
    <x v="0"/>
    <x v="5"/>
    <x v="1"/>
    <x v="0"/>
    <s v=" single"/>
    <x v="0"/>
    <x v="2"/>
    <n v="24"/>
    <n v="3161"/>
    <n v="31"/>
    <s v="Medium"/>
  </r>
  <r>
    <s v="Bad"/>
    <x v="1"/>
    <x v="8"/>
    <x v="1"/>
    <x v="1"/>
    <s v=" divorced/separated/married"/>
    <x v="2"/>
    <x v="0"/>
    <n v="48"/>
    <n v="18424"/>
    <n v="32"/>
    <s v="Hight"/>
  </r>
  <r>
    <s v="Good"/>
    <x v="2"/>
    <x v="4"/>
    <x v="4"/>
    <x v="0"/>
    <s v=" single"/>
    <x v="0"/>
    <x v="0"/>
    <n v="10"/>
    <n v="2848"/>
    <n v="32"/>
    <s v="Medium"/>
  </r>
  <r>
    <s v="Bad"/>
    <x v="0"/>
    <x v="3"/>
    <x v="1"/>
    <x v="0"/>
    <s v=" single"/>
    <x v="2"/>
    <x v="0"/>
    <n v="6"/>
    <n v="14896"/>
    <n v="68"/>
    <s v="Hight"/>
  </r>
  <r>
    <s v="Bad"/>
    <x v="0"/>
    <x v="2"/>
    <x v="4"/>
    <x v="0"/>
    <s v=" divorced/separated"/>
    <x v="0"/>
    <x v="0"/>
    <n v="24"/>
    <n v="2359"/>
    <n v="33"/>
    <s v="Medium"/>
  </r>
  <r>
    <s v="Bad"/>
    <x v="0"/>
    <x v="2"/>
    <x v="1"/>
    <x v="0"/>
    <s v=" single"/>
    <x v="2"/>
    <x v="2"/>
    <n v="24"/>
    <n v="3345"/>
    <n v="39"/>
    <s v="Medium"/>
  </r>
  <r>
    <s v="Good"/>
    <x v="2"/>
    <x v="2"/>
    <x v="1"/>
    <x v="1"/>
    <s v=" divorced/separated/married"/>
    <x v="0"/>
    <x v="0"/>
    <n v="18"/>
    <n v="1817"/>
    <n v="28"/>
    <s v="Low"/>
  </r>
  <r>
    <s v="Good"/>
    <x v="2"/>
    <x v="0"/>
    <x v="2"/>
    <x v="0"/>
    <s v=" single"/>
    <x v="2"/>
    <x v="0"/>
    <n v="48"/>
    <n v="12749"/>
    <n v="37"/>
    <s v="Hight"/>
  </r>
  <r>
    <s v="Bad"/>
    <x v="0"/>
    <x v="0"/>
    <x v="1"/>
    <x v="1"/>
    <s v=" divorced/separated/married"/>
    <x v="0"/>
    <x v="2"/>
    <n v="9"/>
    <n v="1366"/>
    <n v="22"/>
    <s v="Low"/>
  </r>
  <r>
    <s v="Good"/>
    <x v="1"/>
    <x v="3"/>
    <x v="1"/>
    <x v="0"/>
    <s v=" single"/>
    <x v="0"/>
    <x v="2"/>
    <n v="12"/>
    <n v="2002"/>
    <n v="30"/>
    <s v="Medium"/>
  </r>
  <r>
    <s v="Bad"/>
    <x v="0"/>
    <x v="2"/>
    <x v="1"/>
    <x v="0"/>
    <s v=" divorced/separated"/>
    <x v="0"/>
    <x v="0"/>
    <n v="24"/>
    <n v="6872"/>
    <n v="55"/>
    <s v="Hight"/>
  </r>
  <r>
    <s v="Bad"/>
    <x v="0"/>
    <x v="3"/>
    <x v="1"/>
    <x v="0"/>
    <s v=" single"/>
    <x v="0"/>
    <x v="0"/>
    <n v="12"/>
    <n v="697"/>
    <n v="46"/>
    <s v="Low"/>
  </r>
  <r>
    <s v="Good"/>
    <x v="0"/>
    <x v="2"/>
    <x v="1"/>
    <x v="1"/>
    <s v=" divorced/separated/married"/>
    <x v="0"/>
    <x v="2"/>
    <n v="18"/>
    <n v="1049"/>
    <n v="21"/>
    <s v="Low"/>
  </r>
  <r>
    <s v="Bad"/>
    <x v="0"/>
    <x v="4"/>
    <x v="1"/>
    <x v="0"/>
    <s v=" single"/>
    <x v="0"/>
    <x v="1"/>
    <n v="48"/>
    <n v="10297"/>
    <n v="39"/>
    <s v="Hight"/>
  </r>
  <r>
    <s v="Good"/>
    <x v="2"/>
    <x v="0"/>
    <x v="0"/>
    <x v="0"/>
    <s v=" single"/>
    <x v="0"/>
    <x v="0"/>
    <n v="30"/>
    <n v="1867"/>
    <n v="58"/>
    <s v="Low"/>
  </r>
  <r>
    <s v="Good"/>
    <x v="0"/>
    <x v="3"/>
    <x v="1"/>
    <x v="0"/>
    <s v=" single"/>
    <x v="1"/>
    <x v="0"/>
    <n v="12"/>
    <n v="1344"/>
    <n v="43"/>
    <s v="Low"/>
  </r>
  <r>
    <s v="Good"/>
    <x v="0"/>
    <x v="2"/>
    <x v="1"/>
    <x v="0"/>
    <s v=" single"/>
    <x v="1"/>
    <x v="0"/>
    <n v="24"/>
    <n v="1747"/>
    <n v="24"/>
    <s v="Low"/>
  </r>
  <r>
    <s v="Bad"/>
    <x v="1"/>
    <x v="0"/>
    <x v="1"/>
    <x v="1"/>
    <s v=" divorced/separated/married"/>
    <x v="0"/>
    <x v="0"/>
    <n v="9"/>
    <n v="1670"/>
    <n v="22"/>
    <s v="Low"/>
  </r>
  <r>
    <s v="Good"/>
    <x v="2"/>
    <x v="3"/>
    <x v="1"/>
    <x v="0"/>
    <s v=" single"/>
    <x v="0"/>
    <x v="0"/>
    <n v="9"/>
    <n v="1224"/>
    <n v="30"/>
    <s v="Low"/>
  </r>
  <r>
    <s v="Good"/>
    <x v="2"/>
    <x v="0"/>
    <x v="2"/>
    <x v="0"/>
    <s v=" single"/>
    <x v="0"/>
    <x v="0"/>
    <n v="12"/>
    <n v="522"/>
    <n v="42"/>
    <s v="Low"/>
  </r>
  <r>
    <s v="Good"/>
    <x v="0"/>
    <x v="0"/>
    <x v="1"/>
    <x v="1"/>
    <s v=" divorced/separated/married"/>
    <x v="0"/>
    <x v="0"/>
    <n v="12"/>
    <n v="1498"/>
    <n v="23"/>
    <s v="Low"/>
  </r>
  <r>
    <s v="Bad"/>
    <x v="1"/>
    <x v="0"/>
    <x v="4"/>
    <x v="0"/>
    <s v=" single"/>
    <x v="2"/>
    <x v="0"/>
    <n v="30"/>
    <n v="1919"/>
    <n v="30"/>
    <s v="Low"/>
  </r>
  <r>
    <s v="Bad"/>
    <x v="3"/>
    <x v="0"/>
    <x v="1"/>
    <x v="1"/>
    <s v=" divorced/separated/married"/>
    <x v="1"/>
    <x v="0"/>
    <n v="9"/>
    <n v="745"/>
    <n v="28"/>
    <s v="Low"/>
  </r>
  <r>
    <s v="Good"/>
    <x v="1"/>
    <x v="0"/>
    <x v="1"/>
    <x v="0"/>
    <s v=" married/widowed"/>
    <x v="2"/>
    <x v="2"/>
    <n v="6"/>
    <n v="2063"/>
    <n v="30"/>
    <s v="Medium"/>
  </r>
  <r>
    <s v="Bad"/>
    <x v="1"/>
    <x v="1"/>
    <x v="1"/>
    <x v="0"/>
    <s v=" single"/>
    <x v="0"/>
    <x v="1"/>
    <n v="60"/>
    <n v="6288"/>
    <n v="42"/>
    <s v="Hight"/>
  </r>
  <r>
    <s v="Good"/>
    <x v="2"/>
    <x v="4"/>
    <x v="0"/>
    <x v="0"/>
    <s v=" single"/>
    <x v="2"/>
    <x v="0"/>
    <n v="24"/>
    <n v="6842"/>
    <n v="46"/>
    <s v="Hight"/>
  </r>
  <r>
    <s v="Good"/>
    <x v="2"/>
    <x v="3"/>
    <x v="0"/>
    <x v="0"/>
    <s v=" single"/>
    <x v="2"/>
    <x v="0"/>
    <n v="12"/>
    <n v="3527"/>
    <n v="45"/>
    <s v="Medium"/>
  </r>
  <r>
    <s v="Good"/>
    <x v="2"/>
    <x v="3"/>
    <x v="1"/>
    <x v="0"/>
    <s v=" single"/>
    <x v="1"/>
    <x v="0"/>
    <n v="10"/>
    <n v="1546"/>
    <n v="31"/>
    <s v="Low"/>
  </r>
  <r>
    <s v="Good"/>
    <x v="2"/>
    <x v="2"/>
    <x v="0"/>
    <x v="0"/>
    <s v=" single"/>
    <x v="0"/>
    <x v="0"/>
    <n v="24"/>
    <n v="929"/>
    <n v="31"/>
    <s v="Low"/>
  </r>
  <r>
    <s v="Good"/>
    <x v="2"/>
    <x v="3"/>
    <x v="1"/>
    <x v="0"/>
    <s v=" single"/>
    <x v="1"/>
    <x v="0"/>
    <n v="4"/>
    <n v="1455"/>
    <n v="42"/>
    <s v="Low"/>
  </r>
  <r>
    <s v="Good"/>
    <x v="0"/>
    <x v="2"/>
    <x v="1"/>
    <x v="1"/>
    <s v=" divorced/separated/married"/>
    <x v="0"/>
    <x v="2"/>
    <n v="15"/>
    <n v="1845"/>
    <n v="46"/>
    <s v="Low"/>
  </r>
  <r>
    <s v="Good"/>
    <x v="1"/>
    <x v="3"/>
    <x v="2"/>
    <x v="1"/>
    <s v=" divorced/separated/married"/>
    <x v="0"/>
    <x v="0"/>
    <n v="48"/>
    <n v="8358"/>
    <n v="30"/>
    <s v="Hight"/>
  </r>
  <r>
    <s v="Bad"/>
    <x v="0"/>
    <x v="2"/>
    <x v="2"/>
    <x v="0"/>
    <s v=" single"/>
    <x v="0"/>
    <x v="1"/>
    <n v="24"/>
    <n v="3349"/>
    <n v="30"/>
    <s v="Medium"/>
  </r>
  <r>
    <s v="Good"/>
    <x v="2"/>
    <x v="3"/>
    <x v="0"/>
    <x v="0"/>
    <s v=" single"/>
    <x v="2"/>
    <x v="0"/>
    <n v="12"/>
    <n v="2859"/>
    <n v="38"/>
    <s v="Medium"/>
  </r>
  <r>
    <s v="Bad"/>
    <x v="2"/>
    <x v="2"/>
    <x v="1"/>
    <x v="0"/>
    <s v=" married/widowed"/>
    <x v="1"/>
    <x v="0"/>
    <n v="18"/>
    <n v="1533"/>
    <n v="43"/>
    <s v="Low"/>
  </r>
  <r>
    <s v="Bad"/>
    <x v="2"/>
    <x v="0"/>
    <x v="4"/>
    <x v="0"/>
    <s v=" single"/>
    <x v="0"/>
    <x v="0"/>
    <n v="24"/>
    <n v="3621"/>
    <n v="31"/>
    <s v="Medium"/>
  </r>
  <r>
    <s v="Good"/>
    <x v="1"/>
    <x v="5"/>
    <x v="1"/>
    <x v="0"/>
    <s v=" married/widowed"/>
    <x v="3"/>
    <x v="0"/>
    <n v="18"/>
    <n v="3590"/>
    <n v="40"/>
    <s v="Medium"/>
  </r>
  <r>
    <s v="Bad"/>
    <x v="0"/>
    <x v="5"/>
    <x v="1"/>
    <x v="0"/>
    <s v=" single"/>
    <x v="0"/>
    <x v="0"/>
    <n v="36"/>
    <n v="2145"/>
    <n v="24"/>
    <s v="Medium"/>
  </r>
  <r>
    <s v="Bad"/>
    <x v="1"/>
    <x v="4"/>
    <x v="2"/>
    <x v="1"/>
    <s v=" divorced/separated/married"/>
    <x v="0"/>
    <x v="2"/>
    <n v="24"/>
    <n v="4113"/>
    <n v="28"/>
    <s v="Medium"/>
  </r>
  <r>
    <s v="Bad"/>
    <x v="2"/>
    <x v="2"/>
    <x v="1"/>
    <x v="1"/>
    <s v=" divorced/separated/married"/>
    <x v="2"/>
    <x v="0"/>
    <n v="36"/>
    <n v="10974"/>
    <n v="26"/>
    <s v="Hight"/>
  </r>
  <r>
    <s v="Good"/>
    <x v="0"/>
    <x v="3"/>
    <x v="1"/>
    <x v="1"/>
    <s v=" divorced/separated/married"/>
    <x v="0"/>
    <x v="0"/>
    <n v="12"/>
    <n v="1893"/>
    <n v="29"/>
    <s v="Low"/>
  </r>
  <r>
    <s v="Good"/>
    <x v="0"/>
    <x v="0"/>
    <x v="3"/>
    <x v="1"/>
    <s v=" divorced/separated/married"/>
    <x v="2"/>
    <x v="2"/>
    <n v="24"/>
    <n v="1231"/>
    <n v="57"/>
    <s v="Low"/>
  </r>
  <r>
    <s v="Good"/>
    <x v="3"/>
    <x v="0"/>
    <x v="0"/>
    <x v="0"/>
    <s v=" single"/>
    <x v="1"/>
    <x v="0"/>
    <n v="30"/>
    <n v="3656"/>
    <n v="49"/>
    <s v="Medium"/>
  </r>
  <r>
    <s v="Good"/>
    <x v="1"/>
    <x v="0"/>
    <x v="1"/>
    <x v="0"/>
    <s v=" single"/>
    <x v="1"/>
    <x v="0"/>
    <n v="9"/>
    <n v="1154"/>
    <n v="37"/>
    <s v="Low"/>
  </r>
  <r>
    <s v="Bad"/>
    <x v="0"/>
    <x v="3"/>
    <x v="1"/>
    <x v="0"/>
    <s v=" single"/>
    <x v="1"/>
    <x v="0"/>
    <n v="28"/>
    <n v="4006"/>
    <n v="45"/>
    <s v="Medium"/>
  </r>
  <r>
    <s v="Good"/>
    <x v="1"/>
    <x v="2"/>
    <x v="4"/>
    <x v="0"/>
    <s v=" single"/>
    <x v="0"/>
    <x v="1"/>
    <n v="24"/>
    <n v="3069"/>
    <n v="30"/>
    <s v="Medium"/>
  </r>
  <r>
    <s v="Good"/>
    <x v="2"/>
    <x v="0"/>
    <x v="1"/>
    <x v="0"/>
    <s v=" married/widowed"/>
    <x v="0"/>
    <x v="2"/>
    <n v="6"/>
    <n v="1740"/>
    <n v="30"/>
    <s v="Low"/>
  </r>
  <r>
    <s v="Good"/>
    <x v="1"/>
    <x v="3"/>
    <x v="1"/>
    <x v="0"/>
    <s v=" divorced/separated"/>
    <x v="0"/>
    <x v="0"/>
    <n v="21"/>
    <n v="2353"/>
    <n v="47"/>
    <s v="Medium"/>
  </r>
  <r>
    <s v="Good"/>
    <x v="2"/>
    <x v="3"/>
    <x v="0"/>
    <x v="0"/>
    <s v=" single"/>
    <x v="0"/>
    <x v="0"/>
    <n v="15"/>
    <n v="3556"/>
    <n v="29"/>
    <s v="Medium"/>
  </r>
  <r>
    <s v="Bad"/>
    <x v="2"/>
    <x v="0"/>
    <x v="2"/>
    <x v="0"/>
    <s v=" single"/>
    <x v="0"/>
    <x v="0"/>
    <n v="24"/>
    <n v="2397"/>
    <n v="35"/>
    <s v="Medium"/>
  </r>
  <r>
    <s v="Good"/>
    <x v="1"/>
    <x v="7"/>
    <x v="1"/>
    <x v="0"/>
    <s v=" married/widowed"/>
    <x v="1"/>
    <x v="0"/>
    <n v="6"/>
    <n v="454"/>
    <n v="22"/>
    <s v="Low"/>
  </r>
  <r>
    <s v="Good"/>
    <x v="1"/>
    <x v="0"/>
    <x v="0"/>
    <x v="1"/>
    <s v=" divorced/separated/married"/>
    <x v="0"/>
    <x v="0"/>
    <n v="30"/>
    <n v="1715"/>
    <n v="26"/>
    <s v="Low"/>
  </r>
  <r>
    <s v="Bad"/>
    <x v="1"/>
    <x v="0"/>
    <x v="2"/>
    <x v="0"/>
    <s v=" single"/>
    <x v="1"/>
    <x v="0"/>
    <n v="27"/>
    <n v="2520"/>
    <n v="23"/>
    <s v="Medium"/>
  </r>
  <r>
    <s v="Good"/>
    <x v="2"/>
    <x v="0"/>
    <x v="1"/>
    <x v="1"/>
    <s v=" divorced/separated/married"/>
    <x v="2"/>
    <x v="2"/>
    <n v="15"/>
    <n v="3568"/>
    <n v="54"/>
    <s v="Medium"/>
  </r>
  <r>
    <s v="Good"/>
    <x v="2"/>
    <x v="0"/>
    <x v="0"/>
    <x v="0"/>
    <s v=" married/widowed"/>
    <x v="0"/>
    <x v="2"/>
    <n v="42"/>
    <n v="7166"/>
    <n v="29"/>
    <s v="Hight"/>
  </r>
  <r>
    <s v="Good"/>
    <x v="0"/>
    <x v="3"/>
    <x v="1"/>
    <x v="0"/>
    <s v=" single"/>
    <x v="1"/>
    <x v="0"/>
    <n v="11"/>
    <n v="3939"/>
    <n v="40"/>
    <s v="Medium"/>
  </r>
  <r>
    <s v="Good"/>
    <x v="1"/>
    <x v="7"/>
    <x v="4"/>
    <x v="0"/>
    <s v=" single"/>
    <x v="0"/>
    <x v="0"/>
    <n v="15"/>
    <n v="1514"/>
    <n v="22"/>
    <s v="Low"/>
  </r>
  <r>
    <s v="Good"/>
    <x v="2"/>
    <x v="3"/>
    <x v="1"/>
    <x v="0"/>
    <s v=" single"/>
    <x v="1"/>
    <x v="0"/>
    <n v="24"/>
    <n v="7393"/>
    <n v="43"/>
    <s v="Hight"/>
  </r>
  <r>
    <s v="Bad"/>
    <x v="0"/>
    <x v="3"/>
    <x v="1"/>
    <x v="1"/>
    <s v=" divorced/separated/married"/>
    <x v="3"/>
    <x v="2"/>
    <n v="24"/>
    <n v="1193"/>
    <n v="29"/>
    <s v="Low"/>
  </r>
  <r>
    <s v="Bad"/>
    <x v="0"/>
    <x v="5"/>
    <x v="1"/>
    <x v="0"/>
    <s v=" single"/>
    <x v="0"/>
    <x v="2"/>
    <n v="60"/>
    <n v="7297"/>
    <n v="36"/>
    <s v="Hight"/>
  </r>
  <r>
    <s v="Good"/>
    <x v="2"/>
    <x v="0"/>
    <x v="1"/>
    <x v="1"/>
    <s v=" divorced/separated/married"/>
    <x v="0"/>
    <x v="0"/>
    <n v="30"/>
    <n v="2831"/>
    <n v="33"/>
    <s v="Medium"/>
  </r>
  <r>
    <s v="Good"/>
    <x v="3"/>
    <x v="0"/>
    <x v="2"/>
    <x v="1"/>
    <s v=" divorced/separated/married"/>
    <x v="1"/>
    <x v="0"/>
    <n v="24"/>
    <n v="1258"/>
    <n v="57"/>
    <s v="Low"/>
  </r>
  <r>
    <s v="Good"/>
    <x v="1"/>
    <x v="0"/>
    <x v="1"/>
    <x v="1"/>
    <s v=" divorced/separated/married"/>
    <x v="0"/>
    <x v="0"/>
    <n v="6"/>
    <n v="753"/>
    <n v="64"/>
    <s v="Low"/>
  </r>
  <r>
    <s v="Good"/>
    <x v="1"/>
    <x v="5"/>
    <x v="0"/>
    <x v="0"/>
    <s v=" single"/>
    <x v="0"/>
    <x v="0"/>
    <n v="18"/>
    <n v="2427"/>
    <n v="42"/>
    <s v="Medium"/>
  </r>
  <r>
    <s v="Bad"/>
    <x v="2"/>
    <x v="3"/>
    <x v="1"/>
    <x v="0"/>
    <s v=" single"/>
    <x v="1"/>
    <x v="0"/>
    <n v="24"/>
    <n v="2538"/>
    <n v="47"/>
    <s v="Medium"/>
  </r>
  <r>
    <s v="Bad"/>
    <x v="1"/>
    <x v="3"/>
    <x v="4"/>
    <x v="0"/>
    <s v=" married/widowed"/>
    <x v="0"/>
    <x v="2"/>
    <n v="15"/>
    <n v="1264"/>
    <n v="25"/>
    <s v="Low"/>
  </r>
  <r>
    <s v="Bad"/>
    <x v="1"/>
    <x v="2"/>
    <x v="1"/>
    <x v="0"/>
    <s v=" single"/>
    <x v="0"/>
    <x v="0"/>
    <n v="30"/>
    <n v="8386"/>
    <n v="49"/>
    <s v="Hight"/>
  </r>
  <r>
    <s v="Bad"/>
    <x v="2"/>
    <x v="5"/>
    <x v="1"/>
    <x v="0"/>
    <s v=" single"/>
    <x v="2"/>
    <x v="2"/>
    <n v="48"/>
    <n v="4844"/>
    <n v="33"/>
    <s v="Medium"/>
  </r>
  <r>
    <s v="Good"/>
    <x v="3"/>
    <x v="3"/>
    <x v="4"/>
    <x v="1"/>
    <s v=" divorced/separated/married"/>
    <x v="2"/>
    <x v="0"/>
    <n v="21"/>
    <n v="2923"/>
    <n v="28"/>
    <s v="Medium"/>
  </r>
  <r>
    <s v="Bad"/>
    <x v="0"/>
    <x v="4"/>
    <x v="1"/>
    <x v="0"/>
    <s v=" single"/>
    <x v="0"/>
    <x v="0"/>
    <n v="36"/>
    <n v="8229"/>
    <n v="26"/>
    <s v="Hight"/>
  </r>
  <r>
    <s v="Good"/>
    <x v="2"/>
    <x v="2"/>
    <x v="1"/>
    <x v="0"/>
    <s v=" single"/>
    <x v="1"/>
    <x v="0"/>
    <n v="24"/>
    <n v="2028"/>
    <n v="30"/>
    <s v="Medium"/>
  </r>
  <r>
    <s v="Good"/>
    <x v="0"/>
    <x v="2"/>
    <x v="1"/>
    <x v="1"/>
    <s v=" divorced/separated/married"/>
    <x v="0"/>
    <x v="2"/>
    <n v="15"/>
    <n v="1433"/>
    <n v="25"/>
    <s v="Low"/>
  </r>
  <r>
    <s v="Good"/>
    <x v="3"/>
    <x v="5"/>
    <x v="1"/>
    <x v="0"/>
    <s v=" divorced/separated"/>
    <x v="0"/>
    <x v="0"/>
    <n v="42"/>
    <n v="6289"/>
    <n v="33"/>
    <s v="Hight"/>
  </r>
  <r>
    <s v="Good"/>
    <x v="2"/>
    <x v="0"/>
    <x v="4"/>
    <x v="1"/>
    <s v=" divorced/separated/married"/>
    <x v="0"/>
    <x v="0"/>
    <n v="13"/>
    <n v="1409"/>
    <n v="64"/>
    <s v="Low"/>
  </r>
  <r>
    <s v="Good"/>
    <x v="0"/>
    <x v="4"/>
    <x v="1"/>
    <x v="0"/>
    <s v=" single"/>
    <x v="2"/>
    <x v="1"/>
    <n v="24"/>
    <n v="6579"/>
    <n v="29"/>
    <s v="Hight"/>
  </r>
  <r>
    <s v="Good"/>
    <x v="1"/>
    <x v="0"/>
    <x v="1"/>
    <x v="0"/>
    <s v=" single"/>
    <x v="1"/>
    <x v="0"/>
    <n v="24"/>
    <n v="1743"/>
    <n v="48"/>
    <s v="Low"/>
  </r>
  <r>
    <s v="Good"/>
    <x v="2"/>
    <x v="1"/>
    <x v="0"/>
    <x v="0"/>
    <s v=" single"/>
    <x v="1"/>
    <x v="0"/>
    <n v="12"/>
    <n v="3565"/>
    <n v="37"/>
    <s v="Medium"/>
  </r>
  <r>
    <s v="Good"/>
    <x v="2"/>
    <x v="0"/>
    <x v="4"/>
    <x v="0"/>
    <s v=" single"/>
    <x v="1"/>
    <x v="0"/>
    <n v="15"/>
    <n v="1569"/>
    <n v="34"/>
    <s v="Low"/>
  </r>
  <r>
    <s v="Good"/>
    <x v="0"/>
    <x v="0"/>
    <x v="0"/>
    <x v="0"/>
    <s v=" married/widowed"/>
    <x v="1"/>
    <x v="2"/>
    <n v="18"/>
    <n v="1936"/>
    <n v="23"/>
    <s v="Low"/>
  </r>
  <r>
    <s v="Good"/>
    <x v="0"/>
    <x v="2"/>
    <x v="1"/>
    <x v="0"/>
    <s v=" single"/>
    <x v="2"/>
    <x v="0"/>
    <n v="36"/>
    <n v="3959"/>
    <n v="30"/>
    <s v="Medium"/>
  </r>
  <r>
    <s v="Good"/>
    <x v="2"/>
    <x v="3"/>
    <x v="0"/>
    <x v="0"/>
    <s v=" single"/>
    <x v="0"/>
    <x v="0"/>
    <n v="12"/>
    <n v="2390"/>
    <n v="50"/>
    <s v="Medium"/>
  </r>
  <r>
    <s v="Good"/>
    <x v="2"/>
    <x v="2"/>
    <x v="1"/>
    <x v="1"/>
    <s v=" divorced/separated/married"/>
    <x v="1"/>
    <x v="0"/>
    <n v="12"/>
    <n v="1736"/>
    <n v="31"/>
    <s v="Low"/>
  </r>
  <r>
    <s v="Good"/>
    <x v="0"/>
    <x v="4"/>
    <x v="1"/>
    <x v="0"/>
    <s v=" divorced/separated"/>
    <x v="2"/>
    <x v="0"/>
    <n v="30"/>
    <n v="3857"/>
    <n v="40"/>
    <s v="Medium"/>
  </r>
  <r>
    <s v="Good"/>
    <x v="2"/>
    <x v="0"/>
    <x v="1"/>
    <x v="0"/>
    <s v=" single"/>
    <x v="0"/>
    <x v="0"/>
    <n v="12"/>
    <n v="804"/>
    <n v="38"/>
    <s v="Low"/>
  </r>
  <r>
    <s v="Bad"/>
    <x v="0"/>
    <x v="0"/>
    <x v="1"/>
    <x v="0"/>
    <s v=" single"/>
    <x v="0"/>
    <x v="1"/>
    <n v="45"/>
    <n v="1845"/>
    <n v="23"/>
    <s v="Low"/>
  </r>
  <r>
    <s v="Good"/>
    <x v="1"/>
    <x v="4"/>
    <x v="4"/>
    <x v="0"/>
    <s v=" single"/>
    <x v="0"/>
    <x v="0"/>
    <n v="45"/>
    <n v="4576"/>
    <n v="27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Good"/>
    <s v="Negative balance"/>
    <x v="0"/>
    <s v="No information"/>
    <s v="male "/>
    <s v=" single"/>
    <s v="skilled employee / official"/>
    <s v="own"/>
    <n v="6"/>
    <n v="1169"/>
    <x v="0"/>
    <x v="0"/>
    <s v="Low-Term"/>
    <x v="0"/>
  </r>
  <r>
    <s v="Bad"/>
    <s v="Low balance"/>
    <x v="0"/>
    <s v="Less 100"/>
    <s v="female "/>
    <s v=" divorced/separated/married"/>
    <s v="skilled employee / official"/>
    <s v="own"/>
    <n v="48"/>
    <n v="5951"/>
    <x v="1"/>
    <x v="1"/>
    <s v="Long-Term"/>
    <x v="1"/>
  </r>
  <r>
    <s v="Good"/>
    <s v="No information"/>
    <x v="1"/>
    <s v="Less 100"/>
    <s v="male "/>
    <s v=" single"/>
    <s v="unskilled - resident"/>
    <s v="own"/>
    <n v="12"/>
    <n v="2096"/>
    <x v="2"/>
    <x v="2"/>
    <s v="Medium-Term"/>
    <x v="0"/>
  </r>
  <r>
    <s v="Good"/>
    <s v="Negative balance"/>
    <x v="2"/>
    <s v="Less 100"/>
    <s v="male "/>
    <s v=" single"/>
    <s v="skilled employee / official"/>
    <s v="for free"/>
    <n v="42"/>
    <n v="7882"/>
    <x v="3"/>
    <x v="1"/>
    <s v="Long-Term"/>
    <x v="2"/>
  </r>
  <r>
    <s v="Bad"/>
    <s v="Negative balance"/>
    <x v="3"/>
    <s v="Less 100"/>
    <s v="male "/>
    <s v=" single"/>
    <s v="skilled employee / official"/>
    <s v="for free"/>
    <n v="24"/>
    <n v="4870"/>
    <x v="4"/>
    <x v="2"/>
    <s v="Medium-Term"/>
    <x v="1"/>
  </r>
  <r>
    <s v="Good"/>
    <s v="No information"/>
    <x v="1"/>
    <s v="No information"/>
    <s v="male "/>
    <s v=" single"/>
    <s v="unskilled - resident"/>
    <s v="for free"/>
    <n v="36"/>
    <n v="9055"/>
    <x v="5"/>
    <x v="1"/>
    <s v="Long-Term"/>
    <x v="2"/>
  </r>
  <r>
    <s v="Good"/>
    <s v="No information"/>
    <x v="2"/>
    <s v="Up to 1000"/>
    <s v="male "/>
    <s v=" single"/>
    <s v="skilled employee / official"/>
    <s v="own"/>
    <n v="24"/>
    <n v="2835"/>
    <x v="4"/>
    <x v="2"/>
    <s v="Medium-Term"/>
    <x v="0"/>
  </r>
  <r>
    <s v="Good"/>
    <s v="Low balance"/>
    <x v="4"/>
    <s v="Less 100"/>
    <s v="male "/>
    <s v=" single"/>
    <s v="management/ self-employed/ highly qualified employee/ officer"/>
    <s v="rent"/>
    <n v="36"/>
    <n v="6948"/>
    <x v="5"/>
    <x v="1"/>
    <s v="Long-Term"/>
    <x v="0"/>
  </r>
  <r>
    <s v="Good"/>
    <s v="No information"/>
    <x v="0"/>
    <s v="More 1000"/>
    <s v="male "/>
    <s v=" divorced/separated"/>
    <s v="unskilled - resident"/>
    <s v="own"/>
    <n v="12"/>
    <n v="3059"/>
    <x v="6"/>
    <x v="2"/>
    <s v="Medium-Term"/>
    <x v="0"/>
  </r>
  <r>
    <s v="Bad"/>
    <s v="Low balance"/>
    <x v="3"/>
    <s v="Less 100"/>
    <s v="male "/>
    <s v=" married/widowed"/>
    <s v="management/ self-employed/ highly qualified employee/ officer"/>
    <s v="own"/>
    <n v="30"/>
    <n v="5234"/>
    <x v="7"/>
    <x v="1"/>
    <s v="Medium-Term"/>
    <x v="1"/>
  </r>
  <r>
    <s v="Bad"/>
    <s v="Low balance"/>
    <x v="3"/>
    <s v="Less 100"/>
    <s v="female "/>
    <s v=" divorced/separated/married"/>
    <s v="skilled employee / official"/>
    <s v="rent"/>
    <n v="12"/>
    <n v="1295"/>
    <x v="8"/>
    <x v="0"/>
    <s v="Medium-Term"/>
    <x v="1"/>
  </r>
  <r>
    <s v="Bad"/>
    <s v="Negative balance"/>
    <x v="5"/>
    <s v="Less 100"/>
    <s v="female "/>
    <s v=" divorced/separated/married"/>
    <s v="skilled employee / official"/>
    <s v="rent"/>
    <n v="48"/>
    <n v="4308"/>
    <x v="9"/>
    <x v="2"/>
    <s v="Long-Term"/>
    <x v="1"/>
  </r>
  <r>
    <s v="Good"/>
    <s v="Low balance"/>
    <x v="0"/>
    <s v="Less 100"/>
    <s v="female "/>
    <s v=" divorced/separated/married"/>
    <s v="skilled employee / official"/>
    <s v="own"/>
    <n v="12"/>
    <n v="1567"/>
    <x v="1"/>
    <x v="0"/>
    <s v="Medium-Term"/>
    <x v="0"/>
  </r>
  <r>
    <s v="Bad"/>
    <s v="Negative balance"/>
    <x v="3"/>
    <s v="Less 100"/>
    <s v="male "/>
    <s v=" single"/>
    <s v="unskilled - resident"/>
    <s v="own"/>
    <n v="24"/>
    <n v="1199"/>
    <x v="10"/>
    <x v="0"/>
    <s v="Medium-Term"/>
    <x v="1"/>
  </r>
  <r>
    <s v="Good"/>
    <s v="Negative balance"/>
    <x v="3"/>
    <s v="Less 100"/>
    <s v="female "/>
    <s v=" divorced/separated/married"/>
    <s v="skilled employee / official"/>
    <s v="rent"/>
    <n v="15"/>
    <n v="1403"/>
    <x v="7"/>
    <x v="0"/>
    <s v="Medium-Term"/>
    <x v="0"/>
  </r>
  <r>
    <s v="Bad"/>
    <s v="Negative balance"/>
    <x v="0"/>
    <s v="Up to 500"/>
    <s v="female "/>
    <s v=" divorced/separated/married"/>
    <s v="unskilled - resident"/>
    <s v="own"/>
    <n v="24"/>
    <n v="1282"/>
    <x v="11"/>
    <x v="0"/>
    <s v="Medium-Term"/>
    <x v="1"/>
  </r>
  <r>
    <s v="Good"/>
    <s v="No information"/>
    <x v="0"/>
    <s v="No information"/>
    <s v="male "/>
    <s v=" single"/>
    <s v="skilled employee / official"/>
    <s v="own"/>
    <n v="24"/>
    <n v="2424"/>
    <x v="4"/>
    <x v="2"/>
    <s v="Medium-Term"/>
    <x v="0"/>
  </r>
  <r>
    <s v="Good"/>
    <s v="Negative balance"/>
    <x v="5"/>
    <s v="No information"/>
    <s v="male "/>
    <s v=" single"/>
    <s v="skilled employee / official"/>
    <s v="own"/>
    <n v="30"/>
    <n v="8072"/>
    <x v="8"/>
    <x v="1"/>
    <s v="Medium-Term"/>
    <x v="2"/>
  </r>
  <r>
    <s v="Bad"/>
    <s v="Low balance"/>
    <x v="4"/>
    <s v="Less 100"/>
    <s v="female "/>
    <s v=" divorced/separated/married"/>
    <s v="management/ self-employed/ highly qualified employee/ officer"/>
    <s v="for free"/>
    <n v="24"/>
    <n v="12579"/>
    <x v="12"/>
    <x v="1"/>
    <s v="Medium-Term"/>
    <x v="1"/>
  </r>
  <r>
    <s v="Good"/>
    <s v="No information"/>
    <x v="0"/>
    <s v="Up to 1000"/>
    <s v="male "/>
    <s v=" single"/>
    <s v="skilled employee / official"/>
    <s v="own"/>
    <n v="24"/>
    <n v="3430"/>
    <x v="13"/>
    <x v="2"/>
    <s v="Medium-Term"/>
    <x v="0"/>
  </r>
  <r>
    <s v="Good"/>
    <s v="No information"/>
    <x v="3"/>
    <s v="Less 100"/>
    <s v="male "/>
    <s v=" single"/>
    <s v="skilled employee / official"/>
    <s v="own"/>
    <n v="9"/>
    <n v="2134"/>
    <x v="14"/>
    <x v="2"/>
    <s v="Low-Term"/>
    <x v="0"/>
  </r>
  <r>
    <s v="Good"/>
    <s v="Negative balance"/>
    <x v="0"/>
    <s v="Up to 1000"/>
    <s v="male "/>
    <s v=" single"/>
    <s v="skilled employee / official"/>
    <s v="rent"/>
    <n v="6"/>
    <n v="2647"/>
    <x v="12"/>
    <x v="2"/>
    <s v="Low-Term"/>
    <x v="0"/>
  </r>
  <r>
    <s v="Good"/>
    <s v="Negative balance"/>
    <x v="3"/>
    <s v="Less 100"/>
    <s v="male "/>
    <s v=" single"/>
    <s v="unskilled - resident"/>
    <s v="rent"/>
    <n v="10"/>
    <n v="2241"/>
    <x v="14"/>
    <x v="2"/>
    <s v="Low-Term"/>
    <x v="0"/>
  </r>
  <r>
    <s v="Good"/>
    <s v="Low balance"/>
    <x v="4"/>
    <s v="Up to 500"/>
    <s v="male "/>
    <s v=" single"/>
    <s v="skilled employee / official"/>
    <s v="own"/>
    <n v="12"/>
    <n v="1804"/>
    <x v="12"/>
    <x v="0"/>
    <s v="Medium-Term"/>
    <x v="0"/>
  </r>
  <r>
    <s v="Good"/>
    <s v="No information"/>
    <x v="2"/>
    <s v="No information"/>
    <s v="male "/>
    <s v=" married/widowed"/>
    <s v="skilled employee / official"/>
    <s v="own"/>
    <n v="10"/>
    <n v="2069"/>
    <x v="15"/>
    <x v="2"/>
    <s v="Low-Term"/>
    <x v="0"/>
  </r>
  <r>
    <s v="Good"/>
    <s v="Negative balance"/>
    <x v="2"/>
    <s v="Less 100"/>
    <s v="male "/>
    <s v=" single"/>
    <s v="unskilled - resident"/>
    <s v="own"/>
    <n v="6"/>
    <n v="1374"/>
    <x v="16"/>
    <x v="0"/>
    <s v="Low-Term"/>
    <x v="0"/>
  </r>
  <r>
    <s v="Good"/>
    <s v="No information"/>
    <x v="0"/>
    <s v="Less 100"/>
    <s v="male "/>
    <s v=" married/widowed"/>
    <s v="unskilled - resident"/>
    <s v="own"/>
    <n v="6"/>
    <n v="426"/>
    <x v="17"/>
    <x v="0"/>
    <s v="Low-Term"/>
    <x v="0"/>
  </r>
  <r>
    <s v="Good"/>
    <s v="Normal balance"/>
    <x v="0"/>
    <s v="More 1000"/>
    <s v="female "/>
    <s v=" divorced/separated/married"/>
    <s v="skilled employee / official"/>
    <s v="rent"/>
    <n v="12"/>
    <n v="409"/>
    <x v="18"/>
    <x v="0"/>
    <s v="Medium-Term"/>
    <x v="0"/>
  </r>
  <r>
    <s v="Good"/>
    <s v="Low balance"/>
    <x v="0"/>
    <s v="Less 100"/>
    <s v="male "/>
    <s v=" single"/>
    <s v="skilled employee / official"/>
    <s v="own"/>
    <n v="7"/>
    <n v="2415"/>
    <x v="19"/>
    <x v="2"/>
    <s v="Low-Term"/>
    <x v="0"/>
  </r>
  <r>
    <s v="Bad"/>
    <s v="Negative balance"/>
    <x v="5"/>
    <s v="Less 100"/>
    <s v="male "/>
    <s v=" single"/>
    <s v="skilled employee / official"/>
    <s v="own"/>
    <n v="60"/>
    <n v="6836"/>
    <x v="20"/>
    <x v="1"/>
    <s v="Long-Term"/>
    <x v="1"/>
  </r>
  <r>
    <s v="Good"/>
    <s v="Low balance"/>
    <x v="5"/>
    <s v="More 1000"/>
    <s v="male "/>
    <s v=" married/widowed"/>
    <s v="skilled employee / official"/>
    <s v="own"/>
    <n v="18"/>
    <n v="1913"/>
    <x v="16"/>
    <x v="0"/>
    <s v="Medium-Term"/>
    <x v="0"/>
  </r>
  <r>
    <s v="Good"/>
    <s v="Negative balance"/>
    <x v="2"/>
    <s v="Less 100"/>
    <s v="male "/>
    <s v=" single"/>
    <s v="skilled employee / official"/>
    <s v="own"/>
    <n v="24"/>
    <n v="4020"/>
    <x v="21"/>
    <x v="2"/>
    <s v="Medium-Term"/>
    <x v="0"/>
  </r>
  <r>
    <s v="Good"/>
    <s v="Low balance"/>
    <x v="3"/>
    <s v="Up to 500"/>
    <s v="male "/>
    <s v=" single"/>
    <s v="skilled employee / official"/>
    <s v="own"/>
    <n v="18"/>
    <n v="5866"/>
    <x v="22"/>
    <x v="1"/>
    <s v="Medium-Term"/>
    <x v="0"/>
  </r>
  <r>
    <s v="Good"/>
    <s v="No information"/>
    <x v="5"/>
    <s v="No information"/>
    <s v="male "/>
    <s v=" single"/>
    <s v="unskilled - resident"/>
    <s v="rent"/>
    <n v="12"/>
    <n v="1264"/>
    <x v="23"/>
    <x v="0"/>
    <s v="Medium-Term"/>
    <x v="0"/>
  </r>
  <r>
    <s v="Good"/>
    <s v="Normal balance"/>
    <x v="2"/>
    <s v="Less 100"/>
    <s v="female "/>
    <s v=" divorced/separated/married"/>
    <s v="management/ self-employed/ highly qualified employee/ officer"/>
    <s v="own"/>
    <n v="12"/>
    <n v="1474"/>
    <x v="24"/>
    <x v="0"/>
    <s v="Medium-Term"/>
    <x v="0"/>
  </r>
  <r>
    <s v="Bad"/>
    <s v="Low balance"/>
    <x v="0"/>
    <s v="Less 100"/>
    <s v="male "/>
    <s v=" single"/>
    <s v="unskilled - resident"/>
    <s v="own"/>
    <n v="45"/>
    <n v="4746"/>
    <x v="8"/>
    <x v="2"/>
    <s v="Long-Term"/>
    <x v="1"/>
  </r>
  <r>
    <s v="Good"/>
    <s v="No information"/>
    <x v="1"/>
    <s v="Less 100"/>
    <s v="male "/>
    <s v=" single"/>
    <s v="skilled employee / official"/>
    <s v="for free"/>
    <n v="48"/>
    <n v="6110"/>
    <x v="13"/>
    <x v="1"/>
    <s v="Long-Term"/>
    <x v="0"/>
  </r>
  <r>
    <s v="Bad"/>
    <s v="Normal balance"/>
    <x v="0"/>
    <s v="Less 100"/>
    <s v="male "/>
    <s v=" single"/>
    <s v="skilled employee / official"/>
    <s v="own"/>
    <n v="18"/>
    <n v="2100"/>
    <x v="25"/>
    <x v="2"/>
    <s v="Medium-Term"/>
    <x v="1"/>
  </r>
  <r>
    <s v="Good"/>
    <s v="Normal balance"/>
    <x v="6"/>
    <s v="Less 100"/>
    <s v="male "/>
    <s v=" single"/>
    <s v="skilled employee / official"/>
    <s v="own"/>
    <n v="10"/>
    <n v="1225"/>
    <x v="25"/>
    <x v="0"/>
    <s v="Low-Term"/>
    <x v="0"/>
  </r>
  <r>
    <s v="Good"/>
    <s v="Low balance"/>
    <x v="0"/>
    <s v="Less 100"/>
    <s v="male "/>
    <s v=" single"/>
    <s v="skilled employee / official"/>
    <s v="own"/>
    <n v="9"/>
    <n v="458"/>
    <x v="9"/>
    <x v="0"/>
    <s v="Low-Term"/>
    <x v="0"/>
  </r>
  <r>
    <s v="Good"/>
    <s v="No information"/>
    <x v="0"/>
    <s v="Up to 1000"/>
    <s v="male "/>
    <s v=" single"/>
    <s v="management/ self-employed/ highly qualified employee/ officer"/>
    <s v="own"/>
    <n v="30"/>
    <n v="2333"/>
    <x v="22"/>
    <x v="2"/>
    <s v="Medium-Term"/>
    <x v="0"/>
  </r>
  <r>
    <s v="Good"/>
    <s v="Low balance"/>
    <x v="0"/>
    <s v="Up to 1000"/>
    <s v="male "/>
    <s v=" divorced/separated"/>
    <s v="skilled employee / official"/>
    <s v="own"/>
    <n v="12"/>
    <n v="1158"/>
    <x v="15"/>
    <x v="0"/>
    <s v="Medium-Term"/>
    <x v="0"/>
  </r>
  <r>
    <s v="Good"/>
    <s v="Low balance"/>
    <x v="7"/>
    <s v="Less 100"/>
    <s v="male "/>
    <s v=" single"/>
    <s v="unskilled - resident"/>
    <s v="own"/>
    <n v="18"/>
    <n v="6204"/>
    <x v="12"/>
    <x v="1"/>
    <s v="Medium-Term"/>
    <x v="0"/>
  </r>
  <r>
    <s v="Good"/>
    <s v="Negative balance"/>
    <x v="4"/>
    <s v="Up to 500"/>
    <s v="male "/>
    <s v=" married/widowed"/>
    <s v="skilled employee / official"/>
    <s v="rent"/>
    <n v="30"/>
    <n v="6187"/>
    <x v="9"/>
    <x v="1"/>
    <s v="Medium-Term"/>
    <x v="0"/>
  </r>
  <r>
    <s v="Bad"/>
    <s v="Negative balance"/>
    <x v="4"/>
    <s v="Less 100"/>
    <s v="female "/>
    <s v=" divorced/separated/married"/>
    <s v="unskilled - resident"/>
    <s v="for free"/>
    <n v="48"/>
    <n v="6143"/>
    <x v="26"/>
    <x v="1"/>
    <s v="Long-Term"/>
    <x v="1"/>
  </r>
  <r>
    <s v="Good"/>
    <s v="No information"/>
    <x v="3"/>
    <s v="Less 100"/>
    <s v="female "/>
    <s v=" divorced/separated/married"/>
    <s v="management/ self-employed/ highly qualified employee/ officer"/>
    <s v="own"/>
    <n v="11"/>
    <n v="1393"/>
    <x v="5"/>
    <x v="0"/>
    <s v="Low-Term"/>
    <x v="0"/>
  </r>
  <r>
    <s v="Good"/>
    <s v="No information"/>
    <x v="0"/>
    <s v="Up to 1000"/>
    <s v="male "/>
    <s v=" single"/>
    <s v="skilled employee / official"/>
    <s v="own"/>
    <n v="36"/>
    <n v="2299"/>
    <x v="17"/>
    <x v="2"/>
    <s v="Long-Term"/>
    <x v="0"/>
  </r>
  <r>
    <s v="Good"/>
    <s v="Negative balance"/>
    <x v="4"/>
    <s v="Up to 1000"/>
    <s v="female "/>
    <s v=" divorced/separated/married"/>
    <s v="unemployed/ unskilled  - non-resident"/>
    <s v="rent"/>
    <n v="6"/>
    <n v="1352"/>
    <x v="27"/>
    <x v="0"/>
    <s v="Low-Term"/>
    <x v="0"/>
  </r>
  <r>
    <s v="Good"/>
    <s v="No information"/>
    <x v="3"/>
    <s v="Less 100"/>
    <s v="male "/>
    <s v=" single"/>
    <s v="unskilled - resident"/>
    <s v="own"/>
    <n v="11"/>
    <n v="7228"/>
    <x v="17"/>
    <x v="1"/>
    <s v="Low-Term"/>
    <x v="2"/>
  </r>
  <r>
    <s v="Good"/>
    <s v="No information"/>
    <x v="0"/>
    <s v="Up to 500"/>
    <s v="female "/>
    <s v=" divorced/separated/married"/>
    <s v="skilled employee / official"/>
    <s v="own"/>
    <n v="12"/>
    <n v="2073"/>
    <x v="7"/>
    <x v="2"/>
    <s v="Medium-Term"/>
    <x v="0"/>
  </r>
  <r>
    <s v="Good"/>
    <s v="Low balance"/>
    <x v="2"/>
    <s v="No information"/>
    <s v="male "/>
    <s v=" single"/>
    <s v="unskilled - resident"/>
    <s v="own"/>
    <n v="24"/>
    <n v="2333"/>
    <x v="28"/>
    <x v="2"/>
    <s v="Medium-Term"/>
    <x v="0"/>
  </r>
  <r>
    <s v="Good"/>
    <s v="Low balance"/>
    <x v="4"/>
    <s v="Less 100"/>
    <s v="male "/>
    <s v=" single"/>
    <s v="management/ self-employed/ highly qualified employee/ officer"/>
    <s v="own"/>
    <n v="27"/>
    <n v="5965"/>
    <x v="22"/>
    <x v="1"/>
    <s v="Medium-Term"/>
    <x v="0"/>
  </r>
  <r>
    <s v="Good"/>
    <s v="No information"/>
    <x v="0"/>
    <s v="Less 100"/>
    <s v="male "/>
    <s v=" single"/>
    <s v="skilled employee / official"/>
    <s v="own"/>
    <n v="12"/>
    <n v="1262"/>
    <x v="8"/>
    <x v="0"/>
    <s v="Medium-Term"/>
    <x v="0"/>
  </r>
  <r>
    <s v="Good"/>
    <s v="No information"/>
    <x v="4"/>
    <s v="No information"/>
    <s v="male "/>
    <s v=" single"/>
    <s v="skilled employee / official"/>
    <s v="own"/>
    <n v="18"/>
    <n v="3378"/>
    <x v="13"/>
    <x v="2"/>
    <s v="Medium-Term"/>
    <x v="0"/>
  </r>
  <r>
    <s v="Bad"/>
    <s v="Low balance"/>
    <x v="3"/>
    <s v="Less 100"/>
    <s v="male "/>
    <s v=" single"/>
    <s v="skilled employee / official"/>
    <s v="for free"/>
    <n v="36"/>
    <n v="2225"/>
    <x v="23"/>
    <x v="2"/>
    <s v="Long-Term"/>
    <x v="1"/>
  </r>
  <r>
    <s v="Good"/>
    <s v="No information"/>
    <x v="3"/>
    <s v="No information"/>
    <s v="male "/>
    <s v=" single"/>
    <s v="unskilled - resident"/>
    <s v="own"/>
    <n v="6"/>
    <n v="783"/>
    <x v="15"/>
    <x v="0"/>
    <s v="Low-Term"/>
    <x v="0"/>
  </r>
  <r>
    <s v="Bad"/>
    <s v="Low balance"/>
    <x v="0"/>
    <s v="No information"/>
    <s v="male "/>
    <s v=" single"/>
    <s v="management/ self-employed/ highly qualified employee/ officer"/>
    <s v="own"/>
    <n v="12"/>
    <n v="6468"/>
    <x v="29"/>
    <x v="1"/>
    <s v="Medium-Term"/>
    <x v="1"/>
  </r>
  <r>
    <s v="Good"/>
    <s v="No information"/>
    <x v="0"/>
    <s v="Less 100"/>
    <s v="female "/>
    <s v=" divorced/separated/married"/>
    <s v="skilled employee / official"/>
    <s v="own"/>
    <n v="36"/>
    <n v="9566"/>
    <x v="13"/>
    <x v="1"/>
    <s v="Long-Term"/>
    <x v="2"/>
  </r>
  <r>
    <s v="Good"/>
    <s v="Normal balance"/>
    <x v="3"/>
    <s v="Less 100"/>
    <s v="female "/>
    <s v=" divorced/separated/married"/>
    <s v="management/ self-employed/ highly qualified employee/ officer"/>
    <s v="own"/>
    <n v="18"/>
    <n v="1961"/>
    <x v="27"/>
    <x v="0"/>
    <s v="Medium-Term"/>
    <x v="0"/>
  </r>
  <r>
    <s v="Bad"/>
    <s v="Negative balance"/>
    <x v="2"/>
    <s v="Less 100"/>
    <s v="female "/>
    <s v=" divorced/separated/married"/>
    <s v="unskilled - resident"/>
    <s v="rent"/>
    <n v="36"/>
    <n v="6229"/>
    <x v="27"/>
    <x v="1"/>
    <s v="Long-Term"/>
    <x v="1"/>
  </r>
  <r>
    <s v="Good"/>
    <s v="Low balance"/>
    <x v="5"/>
    <s v="Less 100"/>
    <s v="male "/>
    <s v=" married/widowed"/>
    <s v="skilled employee / official"/>
    <s v="own"/>
    <n v="9"/>
    <n v="1391"/>
    <x v="21"/>
    <x v="0"/>
    <s v="Low-Term"/>
    <x v="0"/>
  </r>
  <r>
    <s v="Good"/>
    <s v="Low balance"/>
    <x v="0"/>
    <s v="No information"/>
    <s v="male "/>
    <s v=" single"/>
    <s v="skilled employee / official"/>
    <s v="own"/>
    <n v="15"/>
    <n v="1537"/>
    <x v="30"/>
    <x v="0"/>
    <s v="Medium-Term"/>
    <x v="0"/>
  </r>
  <r>
    <s v="Bad"/>
    <s v="Low balance"/>
    <x v="5"/>
    <s v="Less 100"/>
    <s v="male "/>
    <s v=" single"/>
    <s v="management/ self-employed/ highly qualified employee/ officer"/>
    <s v="for free"/>
    <n v="36"/>
    <n v="1953"/>
    <x v="6"/>
    <x v="0"/>
    <s v="Long-Term"/>
    <x v="1"/>
  </r>
  <r>
    <s v="Bad"/>
    <s v="Low balance"/>
    <x v="5"/>
    <s v="Less 100"/>
    <s v="male "/>
    <s v=" single"/>
    <s v="skilled employee / official"/>
    <s v="own"/>
    <n v="48"/>
    <n v="14421"/>
    <x v="8"/>
    <x v="1"/>
    <s v="Long-Term"/>
    <x v="1"/>
  </r>
  <r>
    <s v="Good"/>
    <s v="No information"/>
    <x v="0"/>
    <s v="Less 100"/>
    <s v="female "/>
    <s v=" divorced/separated/married"/>
    <s v="skilled employee / official"/>
    <s v="own"/>
    <n v="24"/>
    <n v="3181"/>
    <x v="15"/>
    <x v="2"/>
    <s v="Medium-Term"/>
    <x v="0"/>
  </r>
  <r>
    <s v="Good"/>
    <s v="No information"/>
    <x v="7"/>
    <s v="No information"/>
    <s v="male "/>
    <s v=" single"/>
    <s v="skilled employee / official"/>
    <s v="own"/>
    <n v="27"/>
    <n v="5190"/>
    <x v="14"/>
    <x v="1"/>
    <s v="Medium-Term"/>
    <x v="0"/>
  </r>
  <r>
    <s v="Good"/>
    <s v="No information"/>
    <x v="0"/>
    <s v="Less 100"/>
    <s v="female "/>
    <s v=" divorced/separated/married"/>
    <s v="skilled employee / official"/>
    <s v="own"/>
    <n v="12"/>
    <n v="2171"/>
    <x v="28"/>
    <x v="2"/>
    <s v="Medium-Term"/>
    <x v="0"/>
  </r>
  <r>
    <s v="Good"/>
    <s v="Low balance"/>
    <x v="3"/>
    <s v="More 1000"/>
    <s v="male "/>
    <s v=" married/widowed"/>
    <s v="skilled employee / official"/>
    <s v="own"/>
    <n v="12"/>
    <n v="1007"/>
    <x v="1"/>
    <x v="0"/>
    <s v="Medium-Term"/>
    <x v="0"/>
  </r>
  <r>
    <s v="Bad"/>
    <s v="No information"/>
    <x v="1"/>
    <s v="Less 100"/>
    <s v="male "/>
    <s v=" single"/>
    <s v="skilled employee / official"/>
    <s v="for free"/>
    <n v="36"/>
    <n v="1819"/>
    <x v="25"/>
    <x v="0"/>
    <s v="Long-Term"/>
    <x v="1"/>
  </r>
  <r>
    <s v="Good"/>
    <s v="No information"/>
    <x v="0"/>
    <s v="No information"/>
    <s v="female "/>
    <s v=" divorced/separated/married"/>
    <s v="skilled employee / official"/>
    <s v="own"/>
    <n v="36"/>
    <n v="2394"/>
    <x v="8"/>
    <x v="2"/>
    <s v="Long-Term"/>
    <x v="0"/>
  </r>
  <r>
    <s v="Good"/>
    <s v="No information"/>
    <x v="4"/>
    <s v="Less 100"/>
    <s v="female "/>
    <s v=" divorced/separated/married"/>
    <s v="skilled employee / official"/>
    <s v="own"/>
    <n v="36"/>
    <n v="8133"/>
    <x v="22"/>
    <x v="1"/>
    <s v="Long-Term"/>
    <x v="2"/>
  </r>
  <r>
    <s v="Good"/>
    <s v="No information"/>
    <x v="0"/>
    <s v="No information"/>
    <s v="male "/>
    <s v=" single"/>
    <s v="unskilled - resident"/>
    <s v="rent"/>
    <n v="7"/>
    <n v="730"/>
    <x v="31"/>
    <x v="0"/>
    <s v="Low-Term"/>
    <x v="0"/>
  </r>
  <r>
    <s v="Good"/>
    <s v="Negative balance"/>
    <x v="8"/>
    <s v="Less 100"/>
    <s v="male "/>
    <s v=" single"/>
    <s v="management/ self-employed/ highly qualified employee/ officer"/>
    <s v="for free"/>
    <n v="8"/>
    <n v="1164"/>
    <x v="32"/>
    <x v="0"/>
    <s v="Low-Term"/>
    <x v="0"/>
  </r>
  <r>
    <s v="Good"/>
    <s v="Low balance"/>
    <x v="5"/>
    <s v="Less 100"/>
    <s v="female "/>
    <s v=" divorced/separated/married"/>
    <s v="unskilled - resident"/>
    <s v="own"/>
    <n v="42"/>
    <n v="5954"/>
    <x v="33"/>
    <x v="1"/>
    <s v="Long-Term"/>
    <x v="0"/>
  </r>
  <r>
    <s v="Bad"/>
    <s v="Negative balance"/>
    <x v="1"/>
    <s v="No information"/>
    <s v="male "/>
    <s v=" single"/>
    <s v="management/ self-employed/ highly qualified employee/ officer"/>
    <s v="own"/>
    <n v="36"/>
    <n v="1977"/>
    <x v="34"/>
    <x v="0"/>
    <s v="Long-Term"/>
    <x v="1"/>
  </r>
  <r>
    <s v="Good"/>
    <s v="Negative balance"/>
    <x v="4"/>
    <s v="Less 100"/>
    <s v="male "/>
    <s v=" single"/>
    <s v="management/ self-employed/ highly qualified employee/ officer"/>
    <s v="for free"/>
    <n v="12"/>
    <n v="1526"/>
    <x v="35"/>
    <x v="0"/>
    <s v="Medium-Term"/>
    <x v="0"/>
  </r>
  <r>
    <s v="Bad"/>
    <s v="Negative balance"/>
    <x v="0"/>
    <s v="Less 100"/>
    <s v="male "/>
    <s v=" single"/>
    <s v="skilled employee / official"/>
    <s v="own"/>
    <n v="42"/>
    <n v="3965"/>
    <x v="19"/>
    <x v="2"/>
    <s v="Long-Term"/>
    <x v="1"/>
  </r>
  <r>
    <s v="Good"/>
    <s v="Low balance"/>
    <x v="0"/>
    <s v="Less 100"/>
    <s v="male "/>
    <s v=" single"/>
    <s v="skilled employee / official"/>
    <s v="own"/>
    <n v="11"/>
    <n v="4771"/>
    <x v="32"/>
    <x v="2"/>
    <s v="Low-Term"/>
    <x v="0"/>
  </r>
  <r>
    <s v="Good"/>
    <s v="No information"/>
    <x v="4"/>
    <s v="No information"/>
    <s v="male "/>
    <s v=" single"/>
    <s v="unskilled - resident"/>
    <s v="own"/>
    <n v="54"/>
    <n v="9436"/>
    <x v="17"/>
    <x v="1"/>
    <s v="Long-Term"/>
    <x v="2"/>
  </r>
  <r>
    <s v="Good"/>
    <s v="Low balance"/>
    <x v="2"/>
    <s v="Less 100"/>
    <s v="male "/>
    <s v=" married/widowed"/>
    <s v="skilled employee / official"/>
    <s v="own"/>
    <n v="30"/>
    <n v="3832"/>
    <x v="1"/>
    <x v="2"/>
    <s v="Medium-Term"/>
    <x v="0"/>
  </r>
  <r>
    <s v="Bad"/>
    <s v="No information"/>
    <x v="0"/>
    <s v="No information"/>
    <s v="female "/>
    <s v=" divorced/separated/married"/>
    <s v="skilled employee / official"/>
    <s v="own"/>
    <n v="24"/>
    <n v="5943"/>
    <x v="12"/>
    <x v="1"/>
    <s v="Medium-Term"/>
    <x v="1"/>
  </r>
  <r>
    <s v="Good"/>
    <s v="No information"/>
    <x v="0"/>
    <s v="Up to 1000"/>
    <s v="male "/>
    <s v=" single"/>
    <s v="skilled employee / official"/>
    <s v="own"/>
    <n v="15"/>
    <n v="1213"/>
    <x v="36"/>
    <x v="0"/>
    <s v="Medium-Term"/>
    <x v="0"/>
  </r>
  <r>
    <s v="Good"/>
    <s v="No information"/>
    <x v="5"/>
    <s v="Up to 500"/>
    <s v="female "/>
    <s v=" divorced/separated/married"/>
    <s v="unskilled - resident"/>
    <s v="rent"/>
    <n v="18"/>
    <n v="1568"/>
    <x v="9"/>
    <x v="0"/>
    <s v="Medium-Term"/>
    <x v="0"/>
  </r>
  <r>
    <s v="Good"/>
    <s v="Negative balance"/>
    <x v="8"/>
    <s v="Less 100"/>
    <s v="female "/>
    <s v=" divorced/separated/married"/>
    <s v="unskilled - resident"/>
    <s v="own"/>
    <n v="24"/>
    <n v="1755"/>
    <x v="26"/>
    <x v="0"/>
    <s v="Medium-Term"/>
    <x v="0"/>
  </r>
  <r>
    <s v="Good"/>
    <s v="Negative balance"/>
    <x v="0"/>
    <s v="Less 100"/>
    <s v="male "/>
    <s v=" single"/>
    <s v="unskilled - resident"/>
    <s v="own"/>
    <n v="10"/>
    <n v="2315"/>
    <x v="29"/>
    <x v="2"/>
    <s v="Low-Term"/>
    <x v="0"/>
  </r>
  <r>
    <s v="Good"/>
    <s v="No information"/>
    <x v="5"/>
    <s v="Less 100"/>
    <s v="female "/>
    <s v=" divorced/separated/married"/>
    <s v="management/ self-employed/ highly qualified employee/ officer"/>
    <s v="own"/>
    <n v="12"/>
    <n v="1412"/>
    <x v="28"/>
    <x v="0"/>
    <s v="Medium-Term"/>
    <x v="0"/>
  </r>
  <r>
    <s v="Good"/>
    <s v="Low balance"/>
    <x v="2"/>
    <s v="Less 100"/>
    <s v="female "/>
    <s v=" divorced/separated/married"/>
    <s v="skilled employee / official"/>
    <s v="own"/>
    <n v="18"/>
    <n v="1295"/>
    <x v="21"/>
    <x v="0"/>
    <s v="Medium-Term"/>
    <x v="0"/>
  </r>
  <r>
    <s v="Bad"/>
    <s v="Low balance"/>
    <x v="1"/>
    <s v="Up to 500"/>
    <s v="male "/>
    <s v=" single"/>
    <s v="skilled employee / official"/>
    <s v="for free"/>
    <n v="36"/>
    <n v="12612"/>
    <x v="36"/>
    <x v="1"/>
    <s v="Long-Term"/>
    <x v="1"/>
  </r>
  <r>
    <s v="Good"/>
    <s v="Negative balance"/>
    <x v="3"/>
    <s v="Up to 500"/>
    <s v="male "/>
    <s v=" single"/>
    <s v="management/ self-employed/ highly qualified employee/ officer"/>
    <s v="own"/>
    <n v="18"/>
    <n v="2249"/>
    <x v="22"/>
    <x v="2"/>
    <s v="Medium-Term"/>
    <x v="0"/>
  </r>
  <r>
    <s v="Bad"/>
    <s v="Negative balance"/>
    <x v="7"/>
    <s v="Less 100"/>
    <s v="male "/>
    <s v=" single"/>
    <s v="skilled employee / official"/>
    <s v="own"/>
    <n v="12"/>
    <n v="1108"/>
    <x v="7"/>
    <x v="0"/>
    <s v="Medium-Term"/>
    <x v="1"/>
  </r>
  <r>
    <s v="Good"/>
    <s v="No information"/>
    <x v="0"/>
    <s v="Less 100"/>
    <s v="male "/>
    <s v=" single"/>
    <s v="skilled employee / official"/>
    <s v="own"/>
    <n v="12"/>
    <n v="618"/>
    <x v="37"/>
    <x v="0"/>
    <s v="Medium-Term"/>
    <x v="0"/>
  </r>
  <r>
    <s v="Good"/>
    <s v="Negative balance"/>
    <x v="4"/>
    <s v="Less 100"/>
    <s v="male "/>
    <s v=" single"/>
    <s v="skilled employee / official"/>
    <s v="own"/>
    <n v="12"/>
    <n v="1409"/>
    <x v="38"/>
    <x v="0"/>
    <s v="Medium-Term"/>
    <x v="0"/>
  </r>
  <r>
    <s v="Bad"/>
    <s v="No information"/>
    <x v="0"/>
    <s v="No information"/>
    <s v="female "/>
    <s v=" divorced/separated/married"/>
    <s v="unskilled - resident"/>
    <s v="own"/>
    <n v="12"/>
    <n v="797"/>
    <x v="24"/>
    <x v="0"/>
    <s v="Medium-Term"/>
    <x v="1"/>
  </r>
  <r>
    <s v="Good"/>
    <s v="Normal balance"/>
    <x v="2"/>
    <s v="No information"/>
    <s v="male "/>
    <s v=" single"/>
    <s v="skilled employee / official"/>
    <s v="rent"/>
    <n v="24"/>
    <n v="3617"/>
    <x v="39"/>
    <x v="2"/>
    <s v="Medium-Term"/>
    <x v="0"/>
  </r>
  <r>
    <s v="Good"/>
    <s v="Low balance"/>
    <x v="3"/>
    <s v="More 1000"/>
    <s v="male "/>
    <s v=" single"/>
    <s v="skilled employee / official"/>
    <s v="own"/>
    <n v="12"/>
    <n v="1318"/>
    <x v="38"/>
    <x v="0"/>
    <s v="Medium-Term"/>
    <x v="0"/>
  </r>
  <r>
    <s v="Bad"/>
    <s v="Low balance"/>
    <x v="5"/>
    <s v="Less 100"/>
    <s v="male "/>
    <s v=" single"/>
    <s v="skilled employee / official"/>
    <s v="rent"/>
    <n v="54"/>
    <n v="15945"/>
    <x v="26"/>
    <x v="1"/>
    <s v="Long-Term"/>
    <x v="1"/>
  </r>
  <r>
    <s v="Good"/>
    <s v="No information"/>
    <x v="1"/>
    <s v="No information"/>
    <s v="female "/>
    <s v=" divorced/separated/married"/>
    <s v="skilled employee / official"/>
    <s v="own"/>
    <n v="12"/>
    <n v="2012"/>
    <x v="6"/>
    <x v="2"/>
    <s v="Medium-Term"/>
    <x v="0"/>
  </r>
  <r>
    <s v="Good"/>
    <s v="Low balance"/>
    <x v="5"/>
    <s v="Up to 500"/>
    <s v="male "/>
    <s v=" single"/>
    <s v="skilled employee / official"/>
    <s v="own"/>
    <n v="18"/>
    <n v="2622"/>
    <x v="19"/>
    <x v="2"/>
    <s v="Medium-Term"/>
    <x v="0"/>
  </r>
  <r>
    <s v="Good"/>
    <s v="Low balance"/>
    <x v="0"/>
    <s v="Less 100"/>
    <s v="male "/>
    <s v=" single"/>
    <s v="skilled employee / official"/>
    <s v="own"/>
    <n v="36"/>
    <n v="2337"/>
    <x v="16"/>
    <x v="2"/>
    <s v="Long-Term"/>
    <x v="0"/>
  </r>
  <r>
    <s v="Good"/>
    <s v="Low balance"/>
    <x v="4"/>
    <s v="No information"/>
    <s v="male "/>
    <s v=" single"/>
    <s v="management/ self-employed/ highly qualified employee/ officer"/>
    <s v="rent"/>
    <n v="20"/>
    <n v="7057"/>
    <x v="16"/>
    <x v="1"/>
    <s v="Medium-Term"/>
    <x v="2"/>
  </r>
  <r>
    <s v="Good"/>
    <s v="No information"/>
    <x v="3"/>
    <s v="Up to 500"/>
    <s v="male "/>
    <s v=" married/widowed"/>
    <s v="unskilled - resident"/>
    <s v="rent"/>
    <n v="24"/>
    <n v="1469"/>
    <x v="33"/>
    <x v="0"/>
    <s v="Medium-Term"/>
    <x v="0"/>
  </r>
  <r>
    <s v="Good"/>
    <s v="Low balance"/>
    <x v="0"/>
    <s v="Less 100"/>
    <s v="male "/>
    <s v=" single"/>
    <s v="skilled employee / official"/>
    <s v="rent"/>
    <n v="36"/>
    <n v="2323"/>
    <x v="9"/>
    <x v="2"/>
    <s v="Long-Term"/>
    <x v="0"/>
  </r>
  <r>
    <s v="Good"/>
    <s v="No information"/>
    <x v="0"/>
    <s v="Less 100"/>
    <s v="female "/>
    <s v=" divorced/separated/married"/>
    <s v="skilled employee / official"/>
    <s v="own"/>
    <n v="6"/>
    <n v="932"/>
    <x v="9"/>
    <x v="0"/>
    <s v="Low-Term"/>
    <x v="0"/>
  </r>
  <r>
    <s v="Good"/>
    <s v="Low balance"/>
    <x v="2"/>
    <s v="Less 100"/>
    <s v="male "/>
    <s v=" single"/>
    <s v="skilled employee / official"/>
    <s v="rent"/>
    <n v="9"/>
    <n v="1919"/>
    <x v="5"/>
    <x v="0"/>
    <s v="Low-Term"/>
    <x v="0"/>
  </r>
  <r>
    <s v="Good"/>
    <s v="No information"/>
    <x v="4"/>
    <s v="No information"/>
    <s v="male "/>
    <s v=" married/widowed"/>
    <s v="skilled employee / official"/>
    <s v="rent"/>
    <n v="12"/>
    <n v="2445"/>
    <x v="15"/>
    <x v="2"/>
    <s v="Medium-Term"/>
    <x v="0"/>
  </r>
  <r>
    <s v="Bad"/>
    <s v="Low balance"/>
    <x v="8"/>
    <s v="Less 100"/>
    <s v="male "/>
    <s v=" single"/>
    <s v="management/ self-employed/ highly qualified employee/ officer"/>
    <s v="own"/>
    <n v="24"/>
    <n v="11938"/>
    <x v="17"/>
    <x v="1"/>
    <s v="Medium-Term"/>
    <x v="1"/>
  </r>
  <r>
    <s v="Bad"/>
    <s v="No information"/>
    <x v="3"/>
    <s v="Less 100"/>
    <s v="male "/>
    <s v=" single"/>
    <s v="management/ self-employed/ highly qualified employee/ officer"/>
    <s v="own"/>
    <n v="18"/>
    <n v="6458"/>
    <x v="17"/>
    <x v="1"/>
    <s v="Medium-Term"/>
    <x v="1"/>
  </r>
  <r>
    <s v="Good"/>
    <s v="Low balance"/>
    <x v="3"/>
    <s v="Less 100"/>
    <s v="male "/>
    <s v=" single"/>
    <s v="skilled employee / official"/>
    <s v="own"/>
    <n v="12"/>
    <n v="6078"/>
    <x v="11"/>
    <x v="1"/>
    <s v="Medium-Term"/>
    <x v="0"/>
  </r>
  <r>
    <s v="Good"/>
    <s v="Negative balance"/>
    <x v="2"/>
    <s v="No information"/>
    <s v="female "/>
    <s v=" divorced/separated/married"/>
    <s v="skilled employee / official"/>
    <s v="own"/>
    <n v="24"/>
    <n v="7721"/>
    <x v="22"/>
    <x v="1"/>
    <s v="Medium-Term"/>
    <x v="2"/>
  </r>
  <r>
    <s v="Good"/>
    <s v="Low balance"/>
    <x v="5"/>
    <s v="Up to 1000"/>
    <s v="male "/>
    <s v=" married/widowed"/>
    <s v="skilled employee / official"/>
    <s v="own"/>
    <n v="14"/>
    <n v="1410"/>
    <x v="5"/>
    <x v="0"/>
    <s v="Medium-Term"/>
    <x v="0"/>
  </r>
  <r>
    <s v="Good"/>
    <s v="Low balance"/>
    <x v="5"/>
    <s v="Up to 500"/>
    <s v="male "/>
    <s v=" divorced/separated"/>
    <s v="skilled employee / official"/>
    <s v="own"/>
    <n v="6"/>
    <n v="1449"/>
    <x v="13"/>
    <x v="0"/>
    <s v="Low-Term"/>
    <x v="0"/>
  </r>
  <r>
    <s v="Good"/>
    <s v="Normal balance"/>
    <x v="1"/>
    <s v="Less 100"/>
    <s v="female "/>
    <s v=" divorced/separated/married"/>
    <s v="skilled employee / official"/>
    <s v="rent"/>
    <n v="15"/>
    <n v="392"/>
    <x v="27"/>
    <x v="0"/>
    <s v="Medium-Term"/>
    <x v="0"/>
  </r>
  <r>
    <s v="Good"/>
    <s v="Low balance"/>
    <x v="3"/>
    <s v="Less 100"/>
    <s v="male "/>
    <s v=" single"/>
    <s v="unskilled - resident"/>
    <s v="rent"/>
    <n v="18"/>
    <n v="6260"/>
    <x v="7"/>
    <x v="1"/>
    <s v="Medium-Term"/>
    <x v="0"/>
  </r>
  <r>
    <s v="Bad"/>
    <s v="No information"/>
    <x v="3"/>
    <s v="Less 100"/>
    <s v="female "/>
    <s v=" divorced/separated/married"/>
    <s v="skilled employee / official"/>
    <s v="own"/>
    <n v="36"/>
    <n v="7855"/>
    <x v="8"/>
    <x v="1"/>
    <s v="Long-Term"/>
    <x v="1"/>
  </r>
  <r>
    <s v="Good"/>
    <s v="Negative balance"/>
    <x v="0"/>
    <s v="Up to 1000"/>
    <s v="male "/>
    <s v=" married/widowed"/>
    <s v="skilled employee / official"/>
    <s v="own"/>
    <n v="12"/>
    <n v="1680"/>
    <x v="5"/>
    <x v="0"/>
    <s v="Medium-Term"/>
    <x v="0"/>
  </r>
  <r>
    <s v="Good"/>
    <s v="No information"/>
    <x v="0"/>
    <s v="No information"/>
    <s v="male "/>
    <s v=" single"/>
    <s v="skilled employee / official"/>
    <s v="own"/>
    <n v="48"/>
    <n v="3578"/>
    <x v="36"/>
    <x v="2"/>
    <s v="Long-Term"/>
    <x v="0"/>
  </r>
  <r>
    <s v="Bad"/>
    <s v="Negative balance"/>
    <x v="0"/>
    <s v="No information"/>
    <s v="female "/>
    <s v=" divorced/separated/married"/>
    <s v="management/ self-employed/ highly qualified employee/ officer"/>
    <s v="own"/>
    <n v="42"/>
    <n v="7174"/>
    <x v="22"/>
    <x v="1"/>
    <s v="Long-Term"/>
    <x v="1"/>
  </r>
  <r>
    <s v="Good"/>
    <s v="Negative balance"/>
    <x v="2"/>
    <s v="No information"/>
    <s v="female "/>
    <s v=" divorced/separated/married"/>
    <s v="skilled employee / official"/>
    <s v="rent"/>
    <n v="10"/>
    <n v="2132"/>
    <x v="21"/>
    <x v="2"/>
    <s v="Low-Term"/>
    <x v="0"/>
  </r>
  <r>
    <s v="Bad"/>
    <s v="Negative balance"/>
    <x v="2"/>
    <s v="Up to 1000"/>
    <s v="female "/>
    <s v=" divorced/separated/married"/>
    <s v="skilled employee / official"/>
    <s v="own"/>
    <n v="33"/>
    <n v="4281"/>
    <x v="27"/>
    <x v="2"/>
    <s v="Medium-Term"/>
    <x v="1"/>
  </r>
  <r>
    <s v="Good"/>
    <s v="Low balance"/>
    <x v="3"/>
    <s v="Up to 1000"/>
    <s v="male "/>
    <s v=" divorced/separated"/>
    <s v="management/ self-employed/ highly qualified employee/ officer"/>
    <s v="own"/>
    <n v="12"/>
    <n v="2366"/>
    <x v="16"/>
    <x v="2"/>
    <s v="Medium-Term"/>
    <x v="0"/>
  </r>
  <r>
    <s v="Bad"/>
    <s v="Negative balance"/>
    <x v="0"/>
    <s v="Less 100"/>
    <s v="female "/>
    <s v=" divorced/separated/married"/>
    <s v="skilled employee / official"/>
    <s v="own"/>
    <n v="21"/>
    <n v="1835"/>
    <x v="8"/>
    <x v="0"/>
    <s v="Medium-Term"/>
    <x v="1"/>
  </r>
  <r>
    <s v="Good"/>
    <s v="No information"/>
    <x v="4"/>
    <s v="Less 100"/>
    <s v="female "/>
    <s v=" divorced/separated/married"/>
    <s v="management/ self-employed/ highly qualified employee/ officer"/>
    <s v="rent"/>
    <n v="24"/>
    <n v="3868"/>
    <x v="33"/>
    <x v="2"/>
    <s v="Medium-Term"/>
    <x v="0"/>
  </r>
  <r>
    <s v="Good"/>
    <s v="No information"/>
    <x v="2"/>
    <s v="Less 100"/>
    <s v="male "/>
    <s v=" single"/>
    <s v="unskilled - resident"/>
    <s v="rent"/>
    <n v="12"/>
    <n v="1768"/>
    <x v="9"/>
    <x v="0"/>
    <s v="Medium-Term"/>
    <x v="0"/>
  </r>
  <r>
    <s v="Good"/>
    <s v="Normal balance"/>
    <x v="3"/>
    <s v="Less 100"/>
    <s v="male "/>
    <s v=" single"/>
    <s v="skilled employee / official"/>
    <s v="for free"/>
    <n v="10"/>
    <n v="781"/>
    <x v="20"/>
    <x v="0"/>
    <s v="Low-Term"/>
    <x v="0"/>
  </r>
  <r>
    <s v="Bad"/>
    <s v="Low balance"/>
    <x v="2"/>
    <s v="No information"/>
    <s v="female "/>
    <s v=" divorced/separated/married"/>
    <s v="skilled employee / official"/>
    <s v="rent"/>
    <n v="18"/>
    <n v="1924"/>
    <x v="21"/>
    <x v="0"/>
    <s v="Medium-Term"/>
    <x v="1"/>
  </r>
  <r>
    <s v="Good"/>
    <s v="Negative balance"/>
    <x v="3"/>
    <s v="Less 100"/>
    <s v="male "/>
    <s v=" single"/>
    <s v="skilled employee / official"/>
    <s v="own"/>
    <n v="12"/>
    <n v="2121"/>
    <x v="22"/>
    <x v="2"/>
    <s v="Medium-Term"/>
    <x v="0"/>
  </r>
  <r>
    <s v="Good"/>
    <s v="Negative balance"/>
    <x v="0"/>
    <s v="Less 100"/>
    <s v="male "/>
    <s v=" married/widowed"/>
    <s v="unskilled - resident"/>
    <s v="own"/>
    <n v="12"/>
    <n v="701"/>
    <x v="34"/>
    <x v="0"/>
    <s v="Medium-Term"/>
    <x v="0"/>
  </r>
  <r>
    <s v="Bad"/>
    <s v="Low balance"/>
    <x v="7"/>
    <s v="Less 100"/>
    <s v="male "/>
    <s v=" single"/>
    <s v="skilled employee / official"/>
    <s v="own"/>
    <n v="12"/>
    <n v="639"/>
    <x v="22"/>
    <x v="0"/>
    <s v="Medium-Term"/>
    <x v="1"/>
  </r>
  <r>
    <s v="Good"/>
    <s v="Low balance"/>
    <x v="4"/>
    <s v="Less 100"/>
    <s v="male "/>
    <s v=" single"/>
    <s v="management/ self-employed/ highly qualified employee/ officer"/>
    <s v="own"/>
    <n v="12"/>
    <n v="1860"/>
    <x v="19"/>
    <x v="0"/>
    <s v="Medium-Term"/>
    <x v="0"/>
  </r>
  <r>
    <s v="Bad"/>
    <s v="Negative balance"/>
    <x v="3"/>
    <s v="Less 100"/>
    <s v="female "/>
    <s v=" divorced/separated/married"/>
    <s v="skilled employee / official"/>
    <s v="own"/>
    <n v="12"/>
    <n v="3499"/>
    <x v="28"/>
    <x v="2"/>
    <s v="Medium-Term"/>
    <x v="1"/>
  </r>
  <r>
    <s v="Good"/>
    <s v="Low balance"/>
    <x v="3"/>
    <s v="No information"/>
    <s v="female "/>
    <s v=" divorced/separated/married"/>
    <s v="skilled employee / official"/>
    <s v="own"/>
    <n v="48"/>
    <n v="8487"/>
    <x v="9"/>
    <x v="1"/>
    <s v="Long-Term"/>
    <x v="2"/>
  </r>
  <r>
    <s v="Bad"/>
    <s v="Negative balance"/>
    <x v="1"/>
    <s v="Less 100"/>
    <s v="male "/>
    <s v=" single"/>
    <s v="skilled employee / official"/>
    <s v="own"/>
    <n v="36"/>
    <n v="6887"/>
    <x v="28"/>
    <x v="1"/>
    <s v="Long-Term"/>
    <x v="1"/>
  </r>
  <r>
    <s v="Good"/>
    <s v="No information"/>
    <x v="2"/>
    <s v="Less 100"/>
    <s v="male "/>
    <s v=" single"/>
    <s v="unskilled - resident"/>
    <s v="own"/>
    <n v="15"/>
    <n v="2708"/>
    <x v="21"/>
    <x v="2"/>
    <s v="Medium-Term"/>
    <x v="0"/>
  </r>
  <r>
    <s v="Good"/>
    <s v="No information"/>
    <x v="2"/>
    <s v="Less 100"/>
    <s v="male "/>
    <s v=" single"/>
    <s v="skilled employee / official"/>
    <s v="for free"/>
    <n v="18"/>
    <n v="1984"/>
    <x v="36"/>
    <x v="0"/>
    <s v="Medium-Term"/>
    <x v="0"/>
  </r>
  <r>
    <s v="Good"/>
    <s v="No information"/>
    <x v="0"/>
    <s v="Up to 500"/>
    <s v="female "/>
    <s v=" divorced/separated/married"/>
    <s v="skilled employee / official"/>
    <s v="own"/>
    <n v="60"/>
    <n v="10144"/>
    <x v="40"/>
    <x v="1"/>
    <s v="Long-Term"/>
    <x v="2"/>
  </r>
  <r>
    <s v="Good"/>
    <s v="No information"/>
    <x v="0"/>
    <s v="No information"/>
    <s v="female "/>
    <s v=" divorced/separated/married"/>
    <s v="skilled employee / official"/>
    <s v="own"/>
    <n v="12"/>
    <n v="1240"/>
    <x v="41"/>
    <x v="0"/>
    <s v="Medium-Term"/>
    <x v="0"/>
  </r>
  <r>
    <s v="Good"/>
    <s v="No information"/>
    <x v="4"/>
    <s v="More 1000"/>
    <s v="male "/>
    <s v=" single"/>
    <s v="skilled employee / official"/>
    <s v="own"/>
    <n v="27"/>
    <n v="8613"/>
    <x v="21"/>
    <x v="1"/>
    <s v="Medium-Term"/>
    <x v="2"/>
  </r>
  <r>
    <s v="Bad"/>
    <s v="Low balance"/>
    <x v="0"/>
    <s v="Up to 1000"/>
    <s v="male "/>
    <s v=" single"/>
    <s v="unskilled - resident"/>
    <s v="own"/>
    <n v="12"/>
    <n v="766"/>
    <x v="35"/>
    <x v="0"/>
    <s v="Medium-Term"/>
    <x v="1"/>
  </r>
  <r>
    <s v="Good"/>
    <s v="Low balance"/>
    <x v="0"/>
    <s v="No information"/>
    <s v="male "/>
    <s v=" single"/>
    <s v="skilled employee / official"/>
    <s v="own"/>
    <n v="15"/>
    <n v="2728"/>
    <x v="5"/>
    <x v="2"/>
    <s v="Medium-Term"/>
    <x v="0"/>
  </r>
  <r>
    <s v="Good"/>
    <s v="Normal balance"/>
    <x v="0"/>
    <s v="Less 100"/>
    <s v="female "/>
    <s v=" divorced/separated/married"/>
    <s v="unskilled - resident"/>
    <s v="rent"/>
    <n v="12"/>
    <n v="1881"/>
    <x v="12"/>
    <x v="0"/>
    <s v="Medium-Term"/>
    <x v="0"/>
  </r>
  <r>
    <s v="Good"/>
    <s v="Normal balance"/>
    <x v="3"/>
    <s v="More 1000"/>
    <s v="male "/>
    <s v=" married/widowed"/>
    <s v="unemployed/ unskilled  - non-resident"/>
    <s v="own"/>
    <n v="6"/>
    <n v="709"/>
    <x v="21"/>
    <x v="0"/>
    <s v="Low-Term"/>
    <x v="0"/>
  </r>
  <r>
    <s v="Good"/>
    <s v="Low balance"/>
    <x v="0"/>
    <s v="Less 100"/>
    <s v="female "/>
    <s v=" divorced/separated/married"/>
    <s v="management/ self-employed/ highly qualified employee/ officer"/>
    <s v="own"/>
    <n v="36"/>
    <n v="4795"/>
    <x v="22"/>
    <x v="2"/>
    <s v="Long-Term"/>
    <x v="0"/>
  </r>
  <r>
    <s v="Good"/>
    <s v="Negative balance"/>
    <x v="0"/>
    <s v="Less 100"/>
    <s v="male "/>
    <s v=" single"/>
    <s v="management/ self-employed/ highly qualified employee/ officer"/>
    <s v="own"/>
    <n v="27"/>
    <n v="3416"/>
    <x v="21"/>
    <x v="2"/>
    <s v="Medium-Term"/>
    <x v="0"/>
  </r>
  <r>
    <s v="Bad"/>
    <s v="Negative balance"/>
    <x v="2"/>
    <s v="Less 100"/>
    <s v="male "/>
    <s v=" single"/>
    <s v="skilled employee / official"/>
    <s v="own"/>
    <n v="18"/>
    <n v="2462"/>
    <x v="1"/>
    <x v="2"/>
    <s v="Medium-Term"/>
    <x v="1"/>
  </r>
  <r>
    <s v="Good"/>
    <s v="No information"/>
    <x v="2"/>
    <s v="Less 100"/>
    <s v="female "/>
    <s v=" divorced/separated/married"/>
    <s v="skilled employee / official"/>
    <s v="own"/>
    <n v="21"/>
    <n v="2288"/>
    <x v="27"/>
    <x v="2"/>
    <s v="Medium-Term"/>
    <x v="0"/>
  </r>
  <r>
    <s v="Good"/>
    <s v="Low balance"/>
    <x v="5"/>
    <s v="Up to 500"/>
    <s v="male "/>
    <s v=" single"/>
    <s v="skilled employee / official"/>
    <s v="own"/>
    <n v="48"/>
    <n v="3566"/>
    <x v="22"/>
    <x v="2"/>
    <s v="Long-Term"/>
    <x v="0"/>
  </r>
  <r>
    <s v="Good"/>
    <s v="Negative balance"/>
    <x v="3"/>
    <s v="Less 100"/>
    <s v="female "/>
    <s v=" divorced/separated/married"/>
    <s v="skilled employee / official"/>
    <s v="own"/>
    <n v="6"/>
    <n v="860"/>
    <x v="17"/>
    <x v="0"/>
    <s v="Low-Term"/>
    <x v="0"/>
  </r>
  <r>
    <s v="Good"/>
    <s v="No information"/>
    <x v="3"/>
    <s v="Up to 500"/>
    <s v="female "/>
    <s v=" divorced/separated/married"/>
    <s v="skilled employee / official"/>
    <s v="own"/>
    <n v="12"/>
    <n v="682"/>
    <x v="32"/>
    <x v="0"/>
    <s v="Medium-Term"/>
    <x v="0"/>
  </r>
  <r>
    <s v="Good"/>
    <s v="Negative balance"/>
    <x v="2"/>
    <s v="Less 100"/>
    <s v="male "/>
    <s v=" single"/>
    <s v="skilled employee / official"/>
    <s v="own"/>
    <n v="36"/>
    <n v="5371"/>
    <x v="7"/>
    <x v="1"/>
    <s v="Long-Term"/>
    <x v="0"/>
  </r>
  <r>
    <s v="Good"/>
    <s v="No information"/>
    <x v="0"/>
    <s v="More 1000"/>
    <s v="male "/>
    <s v=" single"/>
    <s v="skilled employee / official"/>
    <s v="own"/>
    <n v="18"/>
    <n v="1582"/>
    <x v="31"/>
    <x v="0"/>
    <s v="Medium-Term"/>
    <x v="0"/>
  </r>
  <r>
    <s v="Good"/>
    <s v="No information"/>
    <x v="0"/>
    <s v="Up to 500"/>
    <s v="male "/>
    <s v=" single"/>
    <s v="skilled employee / official"/>
    <s v="for free"/>
    <n v="6"/>
    <n v="1346"/>
    <x v="18"/>
    <x v="0"/>
    <s v="Low-Term"/>
    <x v="0"/>
  </r>
  <r>
    <s v="Good"/>
    <s v="No information"/>
    <x v="0"/>
    <s v="Less 100"/>
    <s v="male "/>
    <s v=" single"/>
    <s v="skilled employee / official"/>
    <s v="own"/>
    <n v="10"/>
    <n v="1924"/>
    <x v="41"/>
    <x v="0"/>
    <s v="Low-Term"/>
    <x v="0"/>
  </r>
  <r>
    <s v="Good"/>
    <s v="Normal balance"/>
    <x v="0"/>
    <s v="Less 100"/>
    <s v="male "/>
    <s v=" single"/>
    <s v="skilled employee / official"/>
    <s v="own"/>
    <n v="36"/>
    <n v="5848"/>
    <x v="9"/>
    <x v="1"/>
    <s v="Long-Term"/>
    <x v="0"/>
  </r>
  <r>
    <s v="Good"/>
    <s v="Low balance"/>
    <x v="4"/>
    <s v="More 1000"/>
    <s v="female "/>
    <s v=" divorced/separated/married"/>
    <s v="skilled employee / official"/>
    <s v="rent"/>
    <n v="24"/>
    <n v="7758"/>
    <x v="28"/>
    <x v="1"/>
    <s v="Medium-Term"/>
    <x v="2"/>
  </r>
  <r>
    <s v="Good"/>
    <s v="Low balance"/>
    <x v="5"/>
    <s v="Up to 500"/>
    <s v="male "/>
    <s v=" single"/>
    <s v="management/ self-employed/ highly qualified employee/ officer"/>
    <s v="rent"/>
    <n v="24"/>
    <n v="6967"/>
    <x v="16"/>
    <x v="1"/>
    <s v="Medium-Term"/>
    <x v="0"/>
  </r>
  <r>
    <s v="Bad"/>
    <s v="Negative balance"/>
    <x v="2"/>
    <s v="Less 100"/>
    <s v="female "/>
    <s v=" divorced/separated/married"/>
    <s v="skilled employee / official"/>
    <s v="rent"/>
    <n v="12"/>
    <n v="1282"/>
    <x v="39"/>
    <x v="0"/>
    <s v="Medium-Term"/>
    <x v="1"/>
  </r>
  <r>
    <s v="Good"/>
    <s v="Negative balance"/>
    <x v="7"/>
    <s v="Up to 500"/>
    <s v="male "/>
    <s v=" single"/>
    <s v="skilled employee / official"/>
    <s v="own"/>
    <n v="9"/>
    <n v="1288"/>
    <x v="14"/>
    <x v="0"/>
    <s v="Low-Term"/>
    <x v="0"/>
  </r>
  <r>
    <s v="Good"/>
    <s v="Negative balance"/>
    <x v="9"/>
    <s v="Less 100"/>
    <s v="male "/>
    <s v=" married/widowed"/>
    <s v="unskilled - resident"/>
    <s v="own"/>
    <n v="12"/>
    <n v="339"/>
    <x v="3"/>
    <x v="0"/>
    <s v="Medium-Term"/>
    <x v="0"/>
  </r>
  <r>
    <s v="Good"/>
    <s v="Low balance"/>
    <x v="3"/>
    <s v="Up to 500"/>
    <s v="male "/>
    <s v=" single"/>
    <s v="skilled employee / official"/>
    <s v="own"/>
    <n v="24"/>
    <n v="3512"/>
    <x v="41"/>
    <x v="2"/>
    <s v="Medium-Term"/>
    <x v="0"/>
  </r>
  <r>
    <s v="Good"/>
    <s v="No information"/>
    <x v="0"/>
    <s v="No information"/>
    <s v="male "/>
    <s v=" single"/>
    <s v="unskilled - resident"/>
    <s v="own"/>
    <n v="6"/>
    <n v="1898"/>
    <x v="19"/>
    <x v="0"/>
    <s v="Low-Term"/>
    <x v="0"/>
  </r>
  <r>
    <s v="Good"/>
    <s v="No information"/>
    <x v="0"/>
    <s v="Up to 500"/>
    <s v="male "/>
    <s v=" single"/>
    <s v="skilled employee / official"/>
    <s v="own"/>
    <n v="24"/>
    <n v="2872"/>
    <x v="16"/>
    <x v="2"/>
    <s v="Medium-Term"/>
    <x v="0"/>
  </r>
  <r>
    <s v="Good"/>
    <s v="No information"/>
    <x v="3"/>
    <s v="Less 100"/>
    <s v="female "/>
    <s v=" divorced/separated/married"/>
    <s v="skilled employee / official"/>
    <s v="own"/>
    <n v="18"/>
    <n v="1055"/>
    <x v="22"/>
    <x v="0"/>
    <s v="Medium-Term"/>
    <x v="0"/>
  </r>
  <r>
    <s v="Good"/>
    <s v="No information"/>
    <x v="6"/>
    <s v="Up to 1000"/>
    <s v="male "/>
    <s v=" single"/>
    <s v="skilled employee / official"/>
    <s v="own"/>
    <n v="15"/>
    <n v="1262"/>
    <x v="16"/>
    <x v="0"/>
    <s v="Medium-Term"/>
    <x v="0"/>
  </r>
  <r>
    <s v="Good"/>
    <s v="Low balance"/>
    <x v="3"/>
    <s v="Less 100"/>
    <s v="male "/>
    <s v=" single"/>
    <s v="management/ self-employed/ highly qualified employee/ officer"/>
    <s v="for free"/>
    <n v="10"/>
    <n v="7308"/>
    <x v="42"/>
    <x v="1"/>
    <s v="Low-Term"/>
    <x v="2"/>
  </r>
  <r>
    <s v="Good"/>
    <s v="No information"/>
    <x v="3"/>
    <s v="Up to 1000"/>
    <s v="male "/>
    <s v=" single"/>
    <s v="skilled employee / official"/>
    <s v="own"/>
    <n v="36"/>
    <n v="909"/>
    <x v="16"/>
    <x v="0"/>
    <s v="Long-Term"/>
    <x v="0"/>
  </r>
  <r>
    <s v="Good"/>
    <s v="No information"/>
    <x v="2"/>
    <s v="Up to 1000"/>
    <s v="male "/>
    <s v=" single"/>
    <s v="skilled employee / official"/>
    <s v="own"/>
    <n v="6"/>
    <n v="2978"/>
    <x v="11"/>
    <x v="2"/>
    <s v="Low-Term"/>
    <x v="0"/>
  </r>
  <r>
    <s v="Bad"/>
    <s v="Negative balance"/>
    <x v="2"/>
    <s v="Less 100"/>
    <s v="female "/>
    <s v=" divorced/separated/married"/>
    <s v="skilled employee / official"/>
    <s v="own"/>
    <n v="18"/>
    <n v="1131"/>
    <x v="24"/>
    <x v="0"/>
    <s v="Medium-Term"/>
    <x v="1"/>
  </r>
  <r>
    <s v="Good"/>
    <s v="Low balance"/>
    <x v="2"/>
    <s v="More 1000"/>
    <s v="female "/>
    <s v=" divorced/separated/married"/>
    <s v="skilled employee / official"/>
    <s v="own"/>
    <n v="11"/>
    <n v="1577"/>
    <x v="39"/>
    <x v="0"/>
    <s v="Low-Term"/>
    <x v="0"/>
  </r>
  <r>
    <s v="Good"/>
    <s v="No information"/>
    <x v="2"/>
    <s v="Less 100"/>
    <s v="female "/>
    <s v=" divorced/separated/married"/>
    <s v="skilled employee / official"/>
    <s v="rent"/>
    <n v="24"/>
    <n v="3972"/>
    <x v="8"/>
    <x v="2"/>
    <s v="Medium-Term"/>
    <x v="0"/>
  </r>
  <r>
    <s v="Bad"/>
    <s v="Low balance"/>
    <x v="5"/>
    <s v="Less 100"/>
    <s v="male "/>
    <s v=" divorced/separated"/>
    <s v="skilled employee / official"/>
    <s v="own"/>
    <n v="24"/>
    <n v="1935"/>
    <x v="13"/>
    <x v="0"/>
    <s v="Medium-Term"/>
    <x v="1"/>
  </r>
  <r>
    <s v="Bad"/>
    <s v="Negative balance"/>
    <x v="3"/>
    <s v="Less 100"/>
    <s v="male "/>
    <s v=" single"/>
    <s v="skilled employee / official"/>
    <s v="rent"/>
    <n v="15"/>
    <n v="950"/>
    <x v="24"/>
    <x v="0"/>
    <s v="Medium-Term"/>
    <x v="1"/>
  </r>
  <r>
    <s v="Good"/>
    <s v="No information"/>
    <x v="2"/>
    <s v="Less 100"/>
    <s v="female "/>
    <s v=" divorced/separated/married"/>
    <s v="skilled employee / official"/>
    <s v="own"/>
    <n v="12"/>
    <n v="763"/>
    <x v="15"/>
    <x v="0"/>
    <s v="Medium-Term"/>
    <x v="0"/>
  </r>
  <r>
    <s v="Bad"/>
    <s v="Low balance"/>
    <x v="2"/>
    <s v="Less 100"/>
    <s v="female "/>
    <s v=" divorced/separated/married"/>
    <s v="management/ self-employed/ highly qualified employee/ officer"/>
    <s v="own"/>
    <n v="24"/>
    <n v="2064"/>
    <x v="19"/>
    <x v="2"/>
    <s v="Medium-Term"/>
    <x v="1"/>
  </r>
  <r>
    <s v="Good"/>
    <s v="Low balance"/>
    <x v="0"/>
    <s v="Less 100"/>
    <s v="male "/>
    <s v=" single"/>
    <s v="skilled employee / official"/>
    <s v="own"/>
    <n v="8"/>
    <n v="1414"/>
    <x v="24"/>
    <x v="0"/>
    <s v="Low-Term"/>
    <x v="0"/>
  </r>
  <r>
    <s v="Bad"/>
    <s v="Negative balance"/>
    <x v="1"/>
    <s v="Less 100"/>
    <s v="male "/>
    <s v=" single"/>
    <s v="skilled employee / official"/>
    <s v="own"/>
    <n v="21"/>
    <n v="3414"/>
    <x v="15"/>
    <x v="2"/>
    <s v="Medium-Term"/>
    <x v="1"/>
  </r>
  <r>
    <s v="Bad"/>
    <s v="No information"/>
    <x v="4"/>
    <s v="No information"/>
    <s v="female "/>
    <s v=" divorced/separated/married"/>
    <s v="management/ self-employed/ highly qualified employee/ officer"/>
    <s v="own"/>
    <n v="30"/>
    <n v="7485"/>
    <x v="4"/>
    <x v="1"/>
    <s v="Medium-Term"/>
    <x v="1"/>
  </r>
  <r>
    <s v="Good"/>
    <s v="Negative balance"/>
    <x v="2"/>
    <s v="Less 100"/>
    <s v="male "/>
    <s v=" divorced/separated"/>
    <s v="skilled employee / official"/>
    <s v="own"/>
    <n v="12"/>
    <n v="2577"/>
    <x v="18"/>
    <x v="2"/>
    <s v="Medium-Term"/>
    <x v="0"/>
  </r>
  <r>
    <s v="Good"/>
    <s v="Negative balance"/>
    <x v="0"/>
    <s v="Up to 1000"/>
    <s v="male "/>
    <s v=" single"/>
    <s v="skilled employee / official"/>
    <s v="own"/>
    <n v="6"/>
    <n v="338"/>
    <x v="29"/>
    <x v="0"/>
    <s v="Low-Term"/>
    <x v="0"/>
  </r>
  <r>
    <s v="Good"/>
    <s v="No information"/>
    <x v="0"/>
    <s v="Less 100"/>
    <s v="male "/>
    <s v=" single"/>
    <s v="management/ self-employed/ highly qualified employee/ officer"/>
    <s v="rent"/>
    <n v="12"/>
    <n v="1963"/>
    <x v="13"/>
    <x v="0"/>
    <s v="Medium-Term"/>
    <x v="0"/>
  </r>
  <r>
    <s v="Good"/>
    <s v="Negative balance"/>
    <x v="3"/>
    <s v="Less 100"/>
    <s v="male "/>
    <s v=" single"/>
    <s v="skilled employee / official"/>
    <s v="own"/>
    <n v="21"/>
    <n v="571"/>
    <x v="43"/>
    <x v="0"/>
    <s v="Medium-Term"/>
    <x v="0"/>
  </r>
  <r>
    <s v="Bad"/>
    <s v="No information"/>
    <x v="5"/>
    <s v="Less 100"/>
    <s v="male "/>
    <s v=" divorced/separated"/>
    <s v="skilled employee / official"/>
    <s v="own"/>
    <n v="36"/>
    <n v="9572"/>
    <x v="7"/>
    <x v="1"/>
    <s v="Long-Term"/>
    <x v="1"/>
  </r>
  <r>
    <s v="Bad"/>
    <s v="Low balance"/>
    <x v="5"/>
    <s v="Less 100"/>
    <s v="male "/>
    <s v=" divorced/separated"/>
    <s v="management/ self-employed/ highly qualified employee/ officer"/>
    <s v="own"/>
    <n v="36"/>
    <n v="4455"/>
    <x v="22"/>
    <x v="2"/>
    <s v="Long-Term"/>
    <x v="1"/>
  </r>
  <r>
    <s v="Bad"/>
    <s v="Negative balance"/>
    <x v="3"/>
    <s v="No information"/>
    <s v="male "/>
    <s v=" single"/>
    <s v="unskilled - resident"/>
    <s v="own"/>
    <n v="21"/>
    <n v="1647"/>
    <x v="34"/>
    <x v="0"/>
    <s v="Medium-Term"/>
    <x v="1"/>
  </r>
  <r>
    <s v="Good"/>
    <s v="No information"/>
    <x v="2"/>
    <s v="More 1000"/>
    <s v="male "/>
    <s v=" single"/>
    <s v="skilled employee / official"/>
    <s v="own"/>
    <n v="24"/>
    <n v="3777"/>
    <x v="30"/>
    <x v="2"/>
    <s v="Medium-Term"/>
    <x v="0"/>
  </r>
  <r>
    <s v="Bad"/>
    <s v="Low balance"/>
    <x v="3"/>
    <s v="Less 100"/>
    <s v="male "/>
    <s v=" single"/>
    <s v="skilled employee / official"/>
    <s v="own"/>
    <n v="18"/>
    <n v="884"/>
    <x v="16"/>
    <x v="0"/>
    <s v="Medium-Term"/>
    <x v="1"/>
  </r>
  <r>
    <s v="Good"/>
    <s v="No information"/>
    <x v="0"/>
    <s v="Less 100"/>
    <s v="male "/>
    <s v=" single"/>
    <s v="skilled employee / official"/>
    <s v="own"/>
    <n v="15"/>
    <n v="1360"/>
    <x v="13"/>
    <x v="0"/>
    <s v="Medium-Term"/>
    <x v="0"/>
  </r>
  <r>
    <s v="Bad"/>
    <s v="Low balance"/>
    <x v="4"/>
    <s v="Less 100"/>
    <s v="female "/>
    <s v=" divorced/separated/married"/>
    <s v="management/ self-employed/ highly qualified employee/ officer"/>
    <s v="for free"/>
    <n v="9"/>
    <n v="5129"/>
    <x v="44"/>
    <x v="1"/>
    <s v="Low-Term"/>
    <x v="1"/>
  </r>
  <r>
    <s v="Good"/>
    <s v="Low balance"/>
    <x v="3"/>
    <s v="Less 100"/>
    <s v="male "/>
    <s v=" single"/>
    <s v="unemployed/ unskilled  - non-resident"/>
    <s v="for free"/>
    <n v="16"/>
    <n v="1175"/>
    <x v="45"/>
    <x v="0"/>
    <s v="Medium-Term"/>
    <x v="0"/>
  </r>
  <r>
    <s v="Bad"/>
    <s v="Negative balance"/>
    <x v="0"/>
    <s v="Up to 500"/>
    <s v="male "/>
    <s v=" married/widowed"/>
    <s v="skilled employee / official"/>
    <s v="own"/>
    <n v="12"/>
    <n v="674"/>
    <x v="39"/>
    <x v="0"/>
    <s v="Medium-Term"/>
    <x v="1"/>
  </r>
  <r>
    <s v="Good"/>
    <s v="Low balance"/>
    <x v="2"/>
    <s v="Less 100"/>
    <s v="female "/>
    <s v=" divorced/separated/married"/>
    <s v="skilled employee / official"/>
    <s v="own"/>
    <n v="18"/>
    <n v="3244"/>
    <x v="24"/>
    <x v="2"/>
    <s v="Medium-Term"/>
    <x v="0"/>
  </r>
  <r>
    <s v="Bad"/>
    <s v="No information"/>
    <x v="5"/>
    <s v="More 1000"/>
    <s v="male "/>
    <s v=" single"/>
    <s v="management/ self-employed/ highly qualified employee/ officer"/>
    <s v="own"/>
    <n v="24"/>
    <n v="4591"/>
    <x v="38"/>
    <x v="2"/>
    <s v="Medium-Term"/>
    <x v="1"/>
  </r>
  <r>
    <s v="Bad"/>
    <s v="Low balance"/>
    <x v="5"/>
    <s v="Up to 500"/>
    <s v="male "/>
    <s v=" single"/>
    <s v="unskilled - resident"/>
    <s v="for free"/>
    <n v="48"/>
    <n v="3844"/>
    <x v="19"/>
    <x v="2"/>
    <s v="Long-Term"/>
    <x v="1"/>
  </r>
  <r>
    <s v="Bad"/>
    <s v="Low balance"/>
    <x v="5"/>
    <s v="Less 100"/>
    <s v="male "/>
    <s v=" single"/>
    <s v="skilled employee / official"/>
    <s v="own"/>
    <n v="27"/>
    <n v="3915"/>
    <x v="16"/>
    <x v="2"/>
    <s v="Medium-Term"/>
    <x v="1"/>
  </r>
  <r>
    <s v="Good"/>
    <s v="No information"/>
    <x v="0"/>
    <s v="Less 100"/>
    <s v="male "/>
    <s v=" married/widowed"/>
    <s v="skilled employee / official"/>
    <s v="rent"/>
    <n v="6"/>
    <n v="2108"/>
    <x v="28"/>
    <x v="2"/>
    <s v="Low-Term"/>
    <x v="0"/>
  </r>
  <r>
    <s v="Bad"/>
    <s v="Low balance"/>
    <x v="0"/>
    <s v="Up to 500"/>
    <s v="male "/>
    <s v=" single"/>
    <s v="skilled employee / official"/>
    <s v="rent"/>
    <n v="45"/>
    <n v="3031"/>
    <x v="40"/>
    <x v="2"/>
    <s v="Long-Term"/>
    <x v="1"/>
  </r>
  <r>
    <s v="Bad"/>
    <s v="Low balance"/>
    <x v="1"/>
    <s v="Less 100"/>
    <s v="female "/>
    <s v=" divorced/separated/married"/>
    <s v="management/ self-employed/ highly qualified employee/ officer"/>
    <s v="own"/>
    <n v="9"/>
    <n v="1501"/>
    <x v="19"/>
    <x v="0"/>
    <s v="Low-Term"/>
    <x v="1"/>
  </r>
  <r>
    <s v="Good"/>
    <s v="No information"/>
    <x v="0"/>
    <s v="Less 100"/>
    <s v="female "/>
    <s v=" divorced/separated/married"/>
    <s v="skilled employee / official"/>
    <s v="own"/>
    <n v="6"/>
    <n v="1382"/>
    <x v="7"/>
    <x v="0"/>
    <s v="Low-Term"/>
    <x v="0"/>
  </r>
  <r>
    <s v="Bad"/>
    <s v="Low balance"/>
    <x v="2"/>
    <s v="Up to 500"/>
    <s v="female "/>
    <s v=" divorced/separated/married"/>
    <s v="skilled employee / official"/>
    <s v="rent"/>
    <n v="12"/>
    <n v="951"/>
    <x v="21"/>
    <x v="0"/>
    <s v="Medium-Term"/>
    <x v="1"/>
  </r>
  <r>
    <s v="Good"/>
    <s v="Low balance"/>
    <x v="4"/>
    <s v="No information"/>
    <s v="male "/>
    <s v=" single"/>
    <s v="skilled employee / official"/>
    <s v="for free"/>
    <n v="24"/>
    <n v="2760"/>
    <x v="16"/>
    <x v="2"/>
    <s v="Medium-Term"/>
    <x v="0"/>
  </r>
  <r>
    <s v="Bad"/>
    <s v="Low balance"/>
    <x v="2"/>
    <s v="Less 100"/>
    <s v="male "/>
    <s v=" divorced/separated"/>
    <s v="management/ self-employed/ highly qualified employee/ officer"/>
    <s v="own"/>
    <n v="18"/>
    <n v="4297"/>
    <x v="34"/>
    <x v="2"/>
    <s v="Medium-Term"/>
    <x v="1"/>
  </r>
  <r>
    <s v="Good"/>
    <s v="No information"/>
    <x v="1"/>
    <s v="Up to 1000"/>
    <s v="male "/>
    <s v=" single"/>
    <s v="skilled employee / official"/>
    <s v="own"/>
    <n v="9"/>
    <n v="936"/>
    <x v="29"/>
    <x v="0"/>
    <s v="Low-Term"/>
    <x v="0"/>
  </r>
  <r>
    <s v="Good"/>
    <s v="Negative balance"/>
    <x v="3"/>
    <s v="Less 100"/>
    <s v="male "/>
    <s v=" married/widowed"/>
    <s v="unskilled - resident"/>
    <s v="own"/>
    <n v="12"/>
    <n v="1168"/>
    <x v="21"/>
    <x v="0"/>
    <s v="Medium-Term"/>
    <x v="0"/>
  </r>
  <r>
    <s v="Good"/>
    <s v="No information"/>
    <x v="5"/>
    <s v="Less 100"/>
    <s v="male "/>
    <s v=" single"/>
    <s v="skilled employee / official"/>
    <s v="own"/>
    <n v="27"/>
    <n v="5117"/>
    <x v="15"/>
    <x v="1"/>
    <s v="Medium-Term"/>
    <x v="0"/>
  </r>
  <r>
    <s v="Bad"/>
    <s v="Negative balance"/>
    <x v="9"/>
    <s v="Less 100"/>
    <s v="male "/>
    <s v=" married/widowed"/>
    <s v="skilled employee / official"/>
    <s v="rent"/>
    <n v="12"/>
    <n v="902"/>
    <x v="40"/>
    <x v="0"/>
    <s v="Medium-Term"/>
    <x v="1"/>
  </r>
  <r>
    <s v="Good"/>
    <s v="No information"/>
    <x v="3"/>
    <s v="Less 100"/>
    <s v="male "/>
    <s v=" single"/>
    <s v="unskilled - resident"/>
    <s v="own"/>
    <n v="12"/>
    <n v="1495"/>
    <x v="41"/>
    <x v="0"/>
    <s v="Medium-Term"/>
    <x v="0"/>
  </r>
  <r>
    <s v="Good"/>
    <s v="Negative balance"/>
    <x v="4"/>
    <s v="Less 100"/>
    <s v="male "/>
    <s v=" single"/>
    <s v="management/ self-employed/ highly qualified employee/ officer"/>
    <s v="for free"/>
    <n v="30"/>
    <n v="10623"/>
    <x v="41"/>
    <x v="1"/>
    <s v="Medium-Term"/>
    <x v="2"/>
  </r>
  <r>
    <s v="Good"/>
    <s v="No information"/>
    <x v="2"/>
    <s v="Less 100"/>
    <s v="male "/>
    <s v=" single"/>
    <s v="skilled employee / official"/>
    <s v="own"/>
    <n v="12"/>
    <n v="1935"/>
    <x v="46"/>
    <x v="0"/>
    <s v="Medium-Term"/>
    <x v="0"/>
  </r>
  <r>
    <s v="Good"/>
    <s v="Low balance"/>
    <x v="6"/>
    <s v="Less 100"/>
    <s v="male "/>
    <s v=" single"/>
    <s v="skilled employee / official"/>
    <s v="own"/>
    <n v="12"/>
    <n v="1424"/>
    <x v="15"/>
    <x v="0"/>
    <s v="Medium-Term"/>
    <x v="0"/>
  </r>
  <r>
    <s v="Good"/>
    <s v="Negative balance"/>
    <x v="5"/>
    <s v="Less 100"/>
    <s v="male "/>
    <s v=" married/widowed"/>
    <s v="unskilled - resident"/>
    <s v="own"/>
    <n v="24"/>
    <n v="6568"/>
    <x v="40"/>
    <x v="1"/>
    <s v="Medium-Term"/>
    <x v="0"/>
  </r>
  <r>
    <s v="Good"/>
    <s v="No information"/>
    <x v="4"/>
    <s v="More 1000"/>
    <s v="male "/>
    <s v=" single"/>
    <s v="skilled employee / official"/>
    <s v="own"/>
    <n v="12"/>
    <n v="1413"/>
    <x v="47"/>
    <x v="0"/>
    <s v="Medium-Term"/>
    <x v="0"/>
  </r>
  <r>
    <s v="Good"/>
    <s v="No information"/>
    <x v="0"/>
    <s v="No information"/>
    <s v="male "/>
    <s v=" single"/>
    <s v="skilled employee / official"/>
    <s v="own"/>
    <n v="9"/>
    <n v="3074"/>
    <x v="24"/>
    <x v="2"/>
    <s v="Low-Term"/>
    <x v="0"/>
  </r>
  <r>
    <s v="Good"/>
    <s v="No information"/>
    <x v="0"/>
    <s v="No information"/>
    <s v="female "/>
    <s v=" divorced/separated/married"/>
    <s v="unskilled - resident"/>
    <s v="own"/>
    <n v="36"/>
    <n v="3835"/>
    <x v="3"/>
    <x v="2"/>
    <s v="Long-Term"/>
    <x v="0"/>
  </r>
  <r>
    <s v="Bad"/>
    <s v="Negative balance"/>
    <x v="5"/>
    <s v="Less 100"/>
    <s v="male "/>
    <s v=" single"/>
    <s v="skilled employee / official"/>
    <s v="own"/>
    <n v="27"/>
    <n v="5293"/>
    <x v="30"/>
    <x v="1"/>
    <s v="Medium-Term"/>
    <x v="1"/>
  </r>
  <r>
    <s v="Bad"/>
    <s v="Normal balance"/>
    <x v="5"/>
    <s v="Less 100"/>
    <s v="male "/>
    <s v=" single"/>
    <s v="management/ self-employed/ highly qualified employee/ officer"/>
    <s v="own"/>
    <n v="30"/>
    <n v="1908"/>
    <x v="35"/>
    <x v="0"/>
    <s v="Medium-Term"/>
    <x v="1"/>
  </r>
  <r>
    <s v="Good"/>
    <s v="No information"/>
    <x v="0"/>
    <s v="No information"/>
    <s v="male "/>
    <s v=" single"/>
    <s v="skilled employee / official"/>
    <s v="own"/>
    <n v="36"/>
    <n v="3342"/>
    <x v="32"/>
    <x v="2"/>
    <s v="Long-Term"/>
    <x v="0"/>
  </r>
  <r>
    <s v="Good"/>
    <s v="Low balance"/>
    <x v="9"/>
    <s v="No information"/>
    <s v="female "/>
    <s v=" divorced/separated/married"/>
    <s v="unskilled - resident"/>
    <s v="own"/>
    <n v="6"/>
    <n v="932"/>
    <x v="17"/>
    <x v="0"/>
    <s v="Low-Term"/>
    <x v="0"/>
  </r>
  <r>
    <s v="Good"/>
    <s v="Negative balance"/>
    <x v="5"/>
    <s v="Less 100"/>
    <s v="male "/>
    <s v=" single"/>
    <s v="skilled employee / official"/>
    <s v="own"/>
    <n v="18"/>
    <n v="3104"/>
    <x v="13"/>
    <x v="2"/>
    <s v="Medium-Term"/>
    <x v="0"/>
  </r>
  <r>
    <s v="Good"/>
    <s v="Normal balance"/>
    <x v="0"/>
    <s v="Less 100"/>
    <s v="male "/>
    <s v=" single"/>
    <s v="skilled employee / official"/>
    <s v="own"/>
    <n v="36"/>
    <n v="3913"/>
    <x v="27"/>
    <x v="2"/>
    <s v="Long-Term"/>
    <x v="0"/>
  </r>
  <r>
    <s v="Good"/>
    <s v="Negative balance"/>
    <x v="2"/>
    <s v="Less 100"/>
    <s v="male "/>
    <s v=" divorced/separated"/>
    <s v="unskilled - resident"/>
    <s v="rent"/>
    <n v="24"/>
    <n v="3021"/>
    <x v="9"/>
    <x v="2"/>
    <s v="Medium-Term"/>
    <x v="0"/>
  </r>
  <r>
    <s v="Good"/>
    <s v="No information"/>
    <x v="3"/>
    <s v="Less 100"/>
    <s v="female "/>
    <s v=" divorced/separated/married"/>
    <s v="skilled employee / official"/>
    <s v="own"/>
    <n v="10"/>
    <n v="1364"/>
    <x v="48"/>
    <x v="0"/>
    <s v="Low-Term"/>
    <x v="0"/>
  </r>
  <r>
    <s v="Good"/>
    <s v="Low balance"/>
    <x v="0"/>
    <s v="Less 100"/>
    <s v="male "/>
    <s v=" married/widowed"/>
    <s v="unskilled - resident"/>
    <s v="own"/>
    <n v="12"/>
    <n v="625"/>
    <x v="15"/>
    <x v="0"/>
    <s v="Medium-Term"/>
    <x v="0"/>
  </r>
  <r>
    <s v="Good"/>
    <s v="Negative balance"/>
    <x v="1"/>
    <s v="No information"/>
    <s v="female "/>
    <s v=" divorced/separated/married"/>
    <s v="skilled employee / official"/>
    <s v="rent"/>
    <n v="12"/>
    <n v="1200"/>
    <x v="27"/>
    <x v="0"/>
    <s v="Medium-Term"/>
    <x v="0"/>
  </r>
  <r>
    <s v="Good"/>
    <s v="No information"/>
    <x v="0"/>
    <s v="Less 100"/>
    <s v="male "/>
    <s v=" single"/>
    <s v="skilled employee / official"/>
    <s v="own"/>
    <n v="12"/>
    <n v="707"/>
    <x v="22"/>
    <x v="0"/>
    <s v="Medium-Term"/>
    <x v="0"/>
  </r>
  <r>
    <s v="Good"/>
    <s v="No information"/>
    <x v="5"/>
    <s v="No information"/>
    <s v="male "/>
    <s v=" single"/>
    <s v="skilled employee / official"/>
    <s v="own"/>
    <n v="24"/>
    <n v="2978"/>
    <x v="11"/>
    <x v="2"/>
    <s v="Medium-Term"/>
    <x v="0"/>
  </r>
  <r>
    <s v="Good"/>
    <s v="No information"/>
    <x v="4"/>
    <s v="Less 100"/>
    <s v="male "/>
    <s v=" single"/>
    <s v="skilled employee / official"/>
    <s v="own"/>
    <n v="15"/>
    <n v="4657"/>
    <x v="22"/>
    <x v="2"/>
    <s v="Medium-Term"/>
    <x v="0"/>
  </r>
  <r>
    <s v="Good"/>
    <s v="No information"/>
    <x v="7"/>
    <s v="Less 100"/>
    <s v="male "/>
    <s v=" single"/>
    <s v="skilled employee / official"/>
    <s v="own"/>
    <n v="36"/>
    <n v="2613"/>
    <x v="21"/>
    <x v="2"/>
    <s v="Long-Term"/>
    <x v="0"/>
  </r>
  <r>
    <s v="Bad"/>
    <s v="Low balance"/>
    <x v="0"/>
    <s v="More 1000"/>
    <s v="male "/>
    <s v=" single"/>
    <s v="skilled employee / official"/>
    <s v="own"/>
    <n v="48"/>
    <n v="10961"/>
    <x v="21"/>
    <x v="1"/>
    <s v="Long-Term"/>
    <x v="1"/>
  </r>
  <r>
    <s v="Bad"/>
    <s v="Negative balance"/>
    <x v="2"/>
    <s v="Less 100"/>
    <s v="male "/>
    <s v=" single"/>
    <s v="management/ self-employed/ highly qualified employee/ officer"/>
    <s v="for free"/>
    <n v="12"/>
    <n v="7865"/>
    <x v="4"/>
    <x v="1"/>
    <s v="Medium-Term"/>
    <x v="1"/>
  </r>
  <r>
    <s v="Bad"/>
    <s v="No information"/>
    <x v="0"/>
    <s v="Less 100"/>
    <s v="male "/>
    <s v=" single"/>
    <s v="skilled employee / official"/>
    <s v="own"/>
    <n v="9"/>
    <n v="1478"/>
    <x v="1"/>
    <x v="0"/>
    <s v="Low-Term"/>
    <x v="1"/>
  </r>
  <r>
    <s v="Good"/>
    <s v="Negative balance"/>
    <x v="2"/>
    <s v="Less 100"/>
    <s v="male "/>
    <s v=" single"/>
    <s v="skilled employee / official"/>
    <s v="for free"/>
    <n v="24"/>
    <n v="3149"/>
    <x v="1"/>
    <x v="2"/>
    <s v="Medium-Term"/>
    <x v="0"/>
  </r>
  <r>
    <s v="Bad"/>
    <s v="Normal balance"/>
    <x v="0"/>
    <s v="Less 100"/>
    <s v="male "/>
    <s v=" single"/>
    <s v="skilled employee / official"/>
    <s v="own"/>
    <n v="36"/>
    <n v="4210"/>
    <x v="15"/>
    <x v="2"/>
    <s v="Long-Term"/>
    <x v="1"/>
  </r>
  <r>
    <s v="Good"/>
    <s v="No information"/>
    <x v="3"/>
    <s v="Up to 1000"/>
    <s v="male "/>
    <s v=" single"/>
    <s v="unskilled - resident"/>
    <s v="for free"/>
    <n v="9"/>
    <n v="2507"/>
    <x v="32"/>
    <x v="2"/>
    <s v="Low-Term"/>
    <x v="0"/>
  </r>
  <r>
    <s v="Good"/>
    <s v="No information"/>
    <x v="0"/>
    <s v="Up to 500"/>
    <s v="male "/>
    <s v=" single"/>
    <s v="skilled employee / official"/>
    <s v="own"/>
    <n v="12"/>
    <n v="2141"/>
    <x v="5"/>
    <x v="2"/>
    <s v="Medium-Term"/>
    <x v="0"/>
  </r>
  <r>
    <s v="Good"/>
    <s v="Low balance"/>
    <x v="0"/>
    <s v="Less 100"/>
    <s v="male "/>
    <s v=" married/widowed"/>
    <s v="unskilled - resident"/>
    <s v="own"/>
    <n v="18"/>
    <n v="866"/>
    <x v="8"/>
    <x v="0"/>
    <s v="Medium-Term"/>
    <x v="0"/>
  </r>
  <r>
    <s v="Good"/>
    <s v="No information"/>
    <x v="0"/>
    <s v="Less 100"/>
    <s v="male "/>
    <s v=" single"/>
    <s v="unskilled - resident"/>
    <s v="own"/>
    <n v="4"/>
    <n v="1544"/>
    <x v="18"/>
    <x v="0"/>
    <s v="Low-Term"/>
    <x v="0"/>
  </r>
  <r>
    <s v="Bad"/>
    <s v="Negative balance"/>
    <x v="0"/>
    <s v="Less 100"/>
    <s v="male "/>
    <s v=" single"/>
    <s v="management/ self-employed/ highly qualified employee/ officer"/>
    <s v="own"/>
    <n v="24"/>
    <n v="1823"/>
    <x v="22"/>
    <x v="0"/>
    <s v="Medium-Term"/>
    <x v="1"/>
  </r>
  <r>
    <s v="Bad"/>
    <s v="Low balance"/>
    <x v="3"/>
    <s v="No information"/>
    <s v="male "/>
    <s v=" single"/>
    <s v="unemployed/ unskilled  - non-resident"/>
    <s v="own"/>
    <n v="6"/>
    <n v="14555"/>
    <x v="27"/>
    <x v="1"/>
    <s v="Low-Term"/>
    <x v="1"/>
  </r>
  <r>
    <s v="Bad"/>
    <s v="Low balance"/>
    <x v="5"/>
    <s v="Up to 500"/>
    <s v="male "/>
    <s v=" divorced/separated"/>
    <s v="unskilled - resident"/>
    <s v="rent"/>
    <n v="21"/>
    <n v="2767"/>
    <x v="6"/>
    <x v="2"/>
    <s v="Medium-Term"/>
    <x v="1"/>
  </r>
  <r>
    <s v="Good"/>
    <s v="No information"/>
    <x v="0"/>
    <s v="Less 100"/>
    <s v="female "/>
    <s v=" divorced/separated/married"/>
    <s v="skilled employee / official"/>
    <s v="own"/>
    <n v="12"/>
    <n v="1291"/>
    <x v="5"/>
    <x v="0"/>
    <s v="Medium-Term"/>
    <x v="0"/>
  </r>
  <r>
    <s v="Good"/>
    <s v="Negative balance"/>
    <x v="0"/>
    <s v="Less 100"/>
    <s v="male "/>
    <s v=" single"/>
    <s v="skilled employee / official"/>
    <s v="own"/>
    <n v="30"/>
    <n v="2522"/>
    <x v="17"/>
    <x v="2"/>
    <s v="Medium-Term"/>
    <x v="0"/>
  </r>
  <r>
    <s v="Bad"/>
    <s v="Negative balance"/>
    <x v="3"/>
    <s v="No information"/>
    <s v="female "/>
    <s v=" divorced/separated/married"/>
    <s v="skilled employee / official"/>
    <s v="own"/>
    <n v="24"/>
    <n v="915"/>
    <x v="28"/>
    <x v="0"/>
    <s v="Medium-Term"/>
    <x v="1"/>
  </r>
  <r>
    <s v="Good"/>
    <s v="No information"/>
    <x v="0"/>
    <s v="Less 100"/>
    <s v="male "/>
    <s v=" single"/>
    <s v="skilled employee / official"/>
    <s v="own"/>
    <n v="6"/>
    <n v="1595"/>
    <x v="32"/>
    <x v="0"/>
    <s v="Low-Term"/>
    <x v="0"/>
  </r>
  <r>
    <s v="Bad"/>
    <s v="Negative balance"/>
    <x v="4"/>
    <s v="Less 100"/>
    <s v="male "/>
    <s v=" single"/>
    <s v="skilled employee / official"/>
    <s v="for free"/>
    <n v="48"/>
    <n v="4605"/>
    <x v="9"/>
    <x v="2"/>
    <s v="Long-Term"/>
    <x v="1"/>
  </r>
  <r>
    <s v="Good"/>
    <s v="No information"/>
    <x v="5"/>
    <s v="Less 100"/>
    <s v="female "/>
    <s v=" divorced/separated/married"/>
    <s v="skilled employee / official"/>
    <s v="own"/>
    <n v="12"/>
    <n v="1185"/>
    <x v="21"/>
    <x v="0"/>
    <s v="Medium-Term"/>
    <x v="0"/>
  </r>
  <r>
    <s v="Good"/>
    <s v="No information"/>
    <x v="9"/>
    <s v="Up to 1000"/>
    <s v="female "/>
    <s v=" divorced/separated/married"/>
    <s v="unskilled - resident"/>
    <s v="own"/>
    <n v="12"/>
    <n v="3447"/>
    <x v="5"/>
    <x v="2"/>
    <s v="Medium-Term"/>
    <x v="0"/>
  </r>
  <r>
    <s v="Good"/>
    <s v="No information"/>
    <x v="5"/>
    <s v="Less 100"/>
    <s v="male "/>
    <s v=" single"/>
    <s v="skilled employee / official"/>
    <s v="own"/>
    <n v="24"/>
    <n v="1258"/>
    <x v="8"/>
    <x v="0"/>
    <s v="Medium-Term"/>
    <x v="0"/>
  </r>
  <r>
    <s v="Good"/>
    <s v="No information"/>
    <x v="0"/>
    <s v="Less 100"/>
    <s v="male "/>
    <s v=" single"/>
    <s v="skilled employee / official"/>
    <s v="own"/>
    <n v="12"/>
    <n v="717"/>
    <x v="29"/>
    <x v="0"/>
    <s v="Medium-Term"/>
    <x v="0"/>
  </r>
  <r>
    <s v="Good"/>
    <s v="No information"/>
    <x v="3"/>
    <s v="Up to 500"/>
    <s v="male "/>
    <s v=" single"/>
    <s v="skilled employee / official"/>
    <s v="rent"/>
    <n v="6"/>
    <n v="1204"/>
    <x v="5"/>
    <x v="0"/>
    <s v="Low-Term"/>
    <x v="0"/>
  </r>
  <r>
    <s v="Good"/>
    <s v="Normal balance"/>
    <x v="2"/>
    <s v="Less 100"/>
    <s v="male "/>
    <s v=" single"/>
    <s v="skilled employee / official"/>
    <s v="own"/>
    <n v="24"/>
    <n v="1925"/>
    <x v="15"/>
    <x v="0"/>
    <s v="Medium-Term"/>
    <x v="0"/>
  </r>
  <r>
    <s v="Bad"/>
    <s v="No information"/>
    <x v="0"/>
    <s v="Less 100"/>
    <s v="female "/>
    <s v=" divorced/separated/married"/>
    <s v="skilled employee / official"/>
    <s v="rent"/>
    <n v="18"/>
    <n v="433"/>
    <x v="1"/>
    <x v="0"/>
    <s v="Medium-Term"/>
    <x v="1"/>
  </r>
  <r>
    <s v="Good"/>
    <s v="Negative balance"/>
    <x v="3"/>
    <s v="More 1000"/>
    <s v="female "/>
    <s v=" divorced/separated/married"/>
    <s v="unskilled - resident"/>
    <s v="own"/>
    <n v="6"/>
    <n v="666"/>
    <x v="17"/>
    <x v="0"/>
    <s v="Low-Term"/>
    <x v="0"/>
  </r>
  <r>
    <s v="Good"/>
    <s v="Normal balance"/>
    <x v="2"/>
    <s v="Less 100"/>
    <s v="female "/>
    <s v=" divorced/separated/married"/>
    <s v="unskilled - resident"/>
    <s v="own"/>
    <n v="12"/>
    <n v="2251"/>
    <x v="31"/>
    <x v="2"/>
    <s v="Medium-Term"/>
    <x v="0"/>
  </r>
  <r>
    <s v="Bad"/>
    <s v="Low balance"/>
    <x v="3"/>
    <s v="Less 100"/>
    <s v="female "/>
    <s v=" divorced/separated/married"/>
    <s v="skilled employee / official"/>
    <s v="own"/>
    <n v="30"/>
    <n v="2150"/>
    <x v="9"/>
    <x v="2"/>
    <s v="Medium-Term"/>
    <x v="1"/>
  </r>
  <r>
    <s v="Good"/>
    <s v="No information"/>
    <x v="2"/>
    <s v="Up to 500"/>
    <s v="male "/>
    <s v=" single"/>
    <s v="skilled employee / official"/>
    <s v="own"/>
    <n v="24"/>
    <n v="4151"/>
    <x v="5"/>
    <x v="2"/>
    <s v="Medium-Term"/>
    <x v="0"/>
  </r>
  <r>
    <s v="Good"/>
    <s v="Low balance"/>
    <x v="2"/>
    <s v="No information"/>
    <s v="male "/>
    <s v=" single"/>
    <s v="skilled employee / official"/>
    <s v="own"/>
    <n v="9"/>
    <n v="2030"/>
    <x v="9"/>
    <x v="2"/>
    <s v="Low-Term"/>
    <x v="0"/>
  </r>
  <r>
    <s v="Good"/>
    <s v="Low balance"/>
    <x v="0"/>
    <s v="No information"/>
    <s v="male "/>
    <s v=" single"/>
    <s v="unskilled - resident"/>
    <s v="own"/>
    <n v="60"/>
    <n v="7418"/>
    <x v="21"/>
    <x v="1"/>
    <s v="Long-Term"/>
    <x v="2"/>
  </r>
  <r>
    <s v="Good"/>
    <s v="No information"/>
    <x v="0"/>
    <s v="Less 100"/>
    <s v="male "/>
    <s v=" single"/>
    <s v="unskilled - resident"/>
    <s v="own"/>
    <n v="24"/>
    <n v="2684"/>
    <x v="5"/>
    <x v="2"/>
    <s v="Medium-Term"/>
    <x v="0"/>
  </r>
  <r>
    <s v="Bad"/>
    <s v="Negative balance"/>
    <x v="0"/>
    <s v="Less 100"/>
    <s v="male "/>
    <s v=" divorced/separated"/>
    <s v="skilled employee / official"/>
    <s v="for free"/>
    <n v="12"/>
    <n v="2149"/>
    <x v="28"/>
    <x v="2"/>
    <s v="Medium-Term"/>
    <x v="1"/>
  </r>
  <r>
    <s v="Good"/>
    <s v="No information"/>
    <x v="4"/>
    <s v="Up to 500"/>
    <s v="female "/>
    <s v=" divorced/separated/married"/>
    <s v="skilled employee / official"/>
    <s v="own"/>
    <n v="15"/>
    <n v="3812"/>
    <x v="27"/>
    <x v="2"/>
    <s v="Medium-Term"/>
    <x v="0"/>
  </r>
  <r>
    <s v="Good"/>
    <s v="No information"/>
    <x v="0"/>
    <s v="Up to 500"/>
    <s v="female "/>
    <s v=" divorced/separated/married"/>
    <s v="unskilled - resident"/>
    <s v="own"/>
    <n v="11"/>
    <n v="1154"/>
    <x v="23"/>
    <x v="0"/>
    <s v="Low-Term"/>
    <x v="0"/>
  </r>
  <r>
    <s v="Good"/>
    <s v="Negative balance"/>
    <x v="2"/>
    <s v="Less 100"/>
    <s v="male "/>
    <s v=" single"/>
    <s v="skilled employee / official"/>
    <s v="own"/>
    <n v="12"/>
    <n v="1657"/>
    <x v="21"/>
    <x v="0"/>
    <s v="Medium-Term"/>
    <x v="0"/>
  </r>
  <r>
    <s v="Good"/>
    <s v="Negative balance"/>
    <x v="0"/>
    <s v="Less 100"/>
    <s v="female "/>
    <s v=" divorced/separated/married"/>
    <s v="skilled employee / official"/>
    <s v="own"/>
    <n v="24"/>
    <n v="1603"/>
    <x v="47"/>
    <x v="0"/>
    <s v="Medium-Term"/>
    <x v="0"/>
  </r>
  <r>
    <s v="Good"/>
    <s v="Negative balance"/>
    <x v="3"/>
    <s v="Less 100"/>
    <s v="male "/>
    <s v=" single"/>
    <s v="management/ self-employed/ highly qualified employee/ officer"/>
    <s v="for free"/>
    <n v="18"/>
    <n v="5302"/>
    <x v="16"/>
    <x v="1"/>
    <s v="Medium-Term"/>
    <x v="0"/>
  </r>
  <r>
    <s v="Good"/>
    <s v="No information"/>
    <x v="1"/>
    <s v="Less 100"/>
    <s v="female "/>
    <s v=" divorced/separated/married"/>
    <s v="unskilled - resident"/>
    <s v="for free"/>
    <n v="12"/>
    <n v="2748"/>
    <x v="23"/>
    <x v="2"/>
    <s v="Medium-Term"/>
    <x v="0"/>
  </r>
  <r>
    <s v="Good"/>
    <s v="No information"/>
    <x v="3"/>
    <s v="Less 100"/>
    <s v="male "/>
    <s v=" single"/>
    <s v="unskilled - resident"/>
    <s v="own"/>
    <n v="10"/>
    <n v="1231"/>
    <x v="11"/>
    <x v="0"/>
    <s v="Low-Term"/>
    <x v="0"/>
  </r>
  <r>
    <s v="Bad"/>
    <s v="Low balance"/>
    <x v="0"/>
    <s v="Less 100"/>
    <s v="male "/>
    <s v=" single"/>
    <s v="skilled employee / official"/>
    <s v="own"/>
    <n v="15"/>
    <n v="802"/>
    <x v="25"/>
    <x v="0"/>
    <s v="Medium-Term"/>
    <x v="1"/>
  </r>
  <r>
    <s v="Good"/>
    <s v="No information"/>
    <x v="5"/>
    <s v="No information"/>
    <s v="male "/>
    <s v=" single"/>
    <s v="skilled employee / official"/>
    <s v="own"/>
    <n v="36"/>
    <n v="6304"/>
    <x v="16"/>
    <x v="1"/>
    <s v="Long-Term"/>
    <x v="0"/>
  </r>
  <r>
    <s v="Good"/>
    <s v="No information"/>
    <x v="0"/>
    <s v="Less 100"/>
    <s v="female "/>
    <s v=" divorced/separated/married"/>
    <s v="skilled employee / official"/>
    <s v="own"/>
    <n v="24"/>
    <n v="1533"/>
    <x v="41"/>
    <x v="0"/>
    <s v="Medium-Term"/>
    <x v="0"/>
  </r>
  <r>
    <s v="Bad"/>
    <s v="Negative balance"/>
    <x v="3"/>
    <s v="Less 100"/>
    <s v="male "/>
    <s v=" divorced/separated"/>
    <s v="management/ self-employed/ highly qualified employee/ officer"/>
    <s v="own"/>
    <n v="14"/>
    <n v="8978"/>
    <x v="3"/>
    <x v="1"/>
    <s v="Medium-Term"/>
    <x v="1"/>
  </r>
  <r>
    <s v="Good"/>
    <s v="No information"/>
    <x v="0"/>
    <s v="No information"/>
    <s v="male "/>
    <s v=" single"/>
    <s v="skilled employee / official"/>
    <s v="own"/>
    <n v="24"/>
    <n v="999"/>
    <x v="8"/>
    <x v="0"/>
    <s v="Medium-Term"/>
    <x v="0"/>
  </r>
  <r>
    <s v="Good"/>
    <s v="No information"/>
    <x v="3"/>
    <s v="No information"/>
    <s v="male "/>
    <s v=" single"/>
    <s v="skilled employee / official"/>
    <s v="own"/>
    <n v="18"/>
    <n v="2662"/>
    <x v="11"/>
    <x v="2"/>
    <s v="Medium-Term"/>
    <x v="0"/>
  </r>
  <r>
    <s v="Good"/>
    <s v="No information"/>
    <x v="2"/>
    <s v="Up to 1000"/>
    <s v="female "/>
    <s v=" divorced/separated/married"/>
    <s v="skilled employee / official"/>
    <s v="rent"/>
    <n v="12"/>
    <n v="1402"/>
    <x v="25"/>
    <x v="0"/>
    <s v="Medium-Term"/>
    <x v="0"/>
  </r>
  <r>
    <s v="Good"/>
    <s v="Low balance"/>
    <x v="3"/>
    <s v="No information"/>
    <s v="male "/>
    <s v=" single"/>
    <s v="management/ self-employed/ highly qualified employee/ officer"/>
    <s v="for free"/>
    <n v="48"/>
    <n v="12169"/>
    <x v="16"/>
    <x v="1"/>
    <s v="Long-Term"/>
    <x v="2"/>
  </r>
  <r>
    <s v="Bad"/>
    <s v="Low balance"/>
    <x v="0"/>
    <s v="Less 100"/>
    <s v="male "/>
    <s v=" single"/>
    <s v="skilled employee / official"/>
    <s v="own"/>
    <n v="48"/>
    <n v="3060"/>
    <x v="7"/>
    <x v="2"/>
    <s v="Long-Term"/>
    <x v="1"/>
  </r>
  <r>
    <s v="Bad"/>
    <s v="Negative balance"/>
    <x v="7"/>
    <s v="Less 100"/>
    <s v="male "/>
    <s v=" divorced/separated"/>
    <s v="unskilled - resident"/>
    <s v="own"/>
    <n v="30"/>
    <n v="11998"/>
    <x v="19"/>
    <x v="1"/>
    <s v="Medium-Term"/>
    <x v="1"/>
  </r>
  <r>
    <s v="Good"/>
    <s v="No information"/>
    <x v="0"/>
    <s v="Less 100"/>
    <s v="male "/>
    <s v=" single"/>
    <s v="skilled employee / official"/>
    <s v="own"/>
    <n v="9"/>
    <n v="2697"/>
    <x v="11"/>
    <x v="2"/>
    <s v="Low-Term"/>
    <x v="0"/>
  </r>
  <r>
    <s v="Good"/>
    <s v="No information"/>
    <x v="0"/>
    <s v="Less 100"/>
    <s v="female "/>
    <s v=" divorced/separated/married"/>
    <s v="skilled employee / official"/>
    <s v="own"/>
    <n v="18"/>
    <n v="2404"/>
    <x v="15"/>
    <x v="2"/>
    <s v="Medium-Term"/>
    <x v="0"/>
  </r>
  <r>
    <s v="Good"/>
    <s v="Negative balance"/>
    <x v="2"/>
    <s v="No information"/>
    <s v="male "/>
    <s v=" divorced/separated"/>
    <s v="unskilled - resident"/>
    <s v="own"/>
    <n v="12"/>
    <n v="1262"/>
    <x v="2"/>
    <x v="0"/>
    <s v="Medium-Term"/>
    <x v="0"/>
  </r>
  <r>
    <s v="Bad"/>
    <s v="No information"/>
    <x v="2"/>
    <s v="Less 100"/>
    <s v="female "/>
    <s v=" divorced/separated/married"/>
    <s v="skilled employee / official"/>
    <s v="own"/>
    <n v="6"/>
    <n v="4611"/>
    <x v="11"/>
    <x v="2"/>
    <s v="Low-Term"/>
    <x v="1"/>
  </r>
  <r>
    <s v="Good"/>
    <s v="No information"/>
    <x v="0"/>
    <s v="Up to 500"/>
    <s v="male "/>
    <s v=" single"/>
    <s v="management/ self-employed/ highly qualified employee/ officer"/>
    <s v="rent"/>
    <n v="24"/>
    <n v="1901"/>
    <x v="28"/>
    <x v="0"/>
    <s v="Medium-Term"/>
    <x v="0"/>
  </r>
  <r>
    <s v="Good"/>
    <s v="No information"/>
    <x v="4"/>
    <s v="More 1000"/>
    <s v="male "/>
    <s v=" single"/>
    <s v="skilled employee / official"/>
    <s v="rent"/>
    <n v="15"/>
    <n v="3368"/>
    <x v="27"/>
    <x v="2"/>
    <s v="Medium-Term"/>
    <x v="0"/>
  </r>
  <r>
    <s v="Good"/>
    <s v="No information"/>
    <x v="2"/>
    <s v="Less 100"/>
    <s v="male "/>
    <s v=" single"/>
    <s v="skilled employee / official"/>
    <s v="own"/>
    <n v="12"/>
    <n v="1574"/>
    <x v="30"/>
    <x v="0"/>
    <s v="Medium-Term"/>
    <x v="0"/>
  </r>
  <r>
    <s v="Good"/>
    <s v="Normal balance"/>
    <x v="0"/>
    <s v="No information"/>
    <s v="male "/>
    <s v=" single"/>
    <s v="unskilled - resident"/>
    <s v="own"/>
    <n v="18"/>
    <n v="1445"/>
    <x v="2"/>
    <x v="0"/>
    <s v="Medium-Term"/>
    <x v="0"/>
  </r>
  <r>
    <s v="Good"/>
    <s v="No information"/>
    <x v="2"/>
    <s v="No information"/>
    <s v="male "/>
    <s v=" single"/>
    <s v="skilled employee / official"/>
    <s v="own"/>
    <n v="15"/>
    <n v="1520"/>
    <x v="20"/>
    <x v="0"/>
    <s v="Medium-Term"/>
    <x v="0"/>
  </r>
  <r>
    <s v="Good"/>
    <s v="Low balance"/>
    <x v="3"/>
    <s v="Up to 500"/>
    <s v="male "/>
    <s v=" divorced/separated"/>
    <s v="skilled employee / official"/>
    <s v="own"/>
    <n v="24"/>
    <n v="3878"/>
    <x v="25"/>
    <x v="2"/>
    <s v="Medium-Term"/>
    <x v="0"/>
  </r>
  <r>
    <s v="Good"/>
    <s v="Negative balance"/>
    <x v="3"/>
    <s v="Less 100"/>
    <s v="female "/>
    <s v=" divorced/separated/married"/>
    <s v="unskilled - resident"/>
    <s v="own"/>
    <n v="47"/>
    <n v="10722"/>
    <x v="5"/>
    <x v="1"/>
    <s v="Long-Term"/>
    <x v="2"/>
  </r>
  <r>
    <s v="Good"/>
    <s v="Negative balance"/>
    <x v="4"/>
    <s v="Less 100"/>
    <s v="male "/>
    <s v=" single"/>
    <s v="skilled employee / official"/>
    <s v="own"/>
    <n v="48"/>
    <n v="4788"/>
    <x v="15"/>
    <x v="2"/>
    <s v="Long-Term"/>
    <x v="0"/>
  </r>
  <r>
    <s v="Good"/>
    <s v="Low balance"/>
    <x v="8"/>
    <s v="Up to 500"/>
    <s v="male "/>
    <s v=" single"/>
    <s v="management/ self-employed/ highly qualified employee/ officer"/>
    <s v="for free"/>
    <n v="48"/>
    <n v="7582"/>
    <x v="13"/>
    <x v="1"/>
    <s v="Long-Term"/>
    <x v="2"/>
  </r>
  <r>
    <s v="Good"/>
    <s v="Low balance"/>
    <x v="0"/>
    <s v="Less 100"/>
    <s v="female "/>
    <s v=" divorced/separated/married"/>
    <s v="skilled employee / official"/>
    <s v="own"/>
    <n v="12"/>
    <n v="1092"/>
    <x v="2"/>
    <x v="0"/>
    <s v="Medium-Term"/>
    <x v="0"/>
  </r>
  <r>
    <s v="Bad"/>
    <s v="Negative balance"/>
    <x v="0"/>
    <s v="Less 100"/>
    <s v="male "/>
    <s v=" married/widowed"/>
    <s v="skilled employee / official"/>
    <s v="own"/>
    <n v="24"/>
    <n v="1024"/>
    <x v="14"/>
    <x v="0"/>
    <s v="Medium-Term"/>
    <x v="1"/>
  </r>
  <r>
    <s v="Good"/>
    <s v="No information"/>
    <x v="5"/>
    <s v="Less 100"/>
    <s v="male "/>
    <s v=" married/widowed"/>
    <s v="skilled employee / official"/>
    <s v="own"/>
    <n v="12"/>
    <n v="1076"/>
    <x v="15"/>
    <x v="0"/>
    <s v="Medium-Term"/>
    <x v="0"/>
  </r>
  <r>
    <s v="Bad"/>
    <s v="Low balance"/>
    <x v="4"/>
    <s v="Less 100"/>
    <s v="male "/>
    <s v=" married/widowed"/>
    <s v="management/ self-employed/ highly qualified employee/ officer"/>
    <s v="rent"/>
    <n v="36"/>
    <n v="9398"/>
    <x v="7"/>
    <x v="1"/>
    <s v="Long-Term"/>
    <x v="1"/>
  </r>
  <r>
    <s v="Good"/>
    <s v="Negative balance"/>
    <x v="4"/>
    <s v="Less 100"/>
    <s v="female "/>
    <s v=" divorced/separated/married"/>
    <s v="management/ self-employed/ highly qualified employee/ officer"/>
    <s v="for free"/>
    <n v="24"/>
    <n v="6419"/>
    <x v="12"/>
    <x v="1"/>
    <s v="Medium-Term"/>
    <x v="0"/>
  </r>
  <r>
    <s v="Good"/>
    <s v="Normal balance"/>
    <x v="4"/>
    <s v="Less 100"/>
    <s v="male "/>
    <s v=" single"/>
    <s v="skilled employee / official"/>
    <s v="for free"/>
    <n v="42"/>
    <n v="4796"/>
    <x v="37"/>
    <x v="2"/>
    <s v="Long-Term"/>
    <x v="0"/>
  </r>
  <r>
    <s v="Good"/>
    <s v="No information"/>
    <x v="5"/>
    <s v="No information"/>
    <s v="male "/>
    <s v=" divorced/separated"/>
    <s v="management/ self-employed/ highly qualified employee/ officer"/>
    <s v="own"/>
    <n v="48"/>
    <n v="7629"/>
    <x v="31"/>
    <x v="1"/>
    <s v="Long-Term"/>
    <x v="2"/>
  </r>
  <r>
    <s v="Bad"/>
    <s v="Low balance"/>
    <x v="2"/>
    <s v="Less 100"/>
    <s v="female "/>
    <s v=" divorced/separated/married"/>
    <s v="skilled employee / official"/>
    <s v="own"/>
    <n v="48"/>
    <n v="9960"/>
    <x v="15"/>
    <x v="1"/>
    <s v="Long-Term"/>
    <x v="1"/>
  </r>
  <r>
    <s v="Good"/>
    <s v="No information"/>
    <x v="4"/>
    <s v="No information"/>
    <s v="female "/>
    <s v=" divorced/separated/married"/>
    <s v="skilled employee / official"/>
    <s v="rent"/>
    <n v="12"/>
    <n v="4675"/>
    <x v="39"/>
    <x v="2"/>
    <s v="Medium-Term"/>
    <x v="0"/>
  </r>
  <r>
    <s v="Good"/>
    <s v="No information"/>
    <x v="3"/>
    <s v="No information"/>
    <s v="male "/>
    <s v=" single"/>
    <s v="unskilled - resident"/>
    <s v="own"/>
    <n v="10"/>
    <n v="1287"/>
    <x v="3"/>
    <x v="0"/>
    <s v="Low-Term"/>
    <x v="0"/>
  </r>
  <r>
    <s v="Good"/>
    <s v="No information"/>
    <x v="2"/>
    <s v="Less 100"/>
    <s v="male "/>
    <s v=" single"/>
    <s v="skilled employee / official"/>
    <s v="own"/>
    <n v="18"/>
    <n v="2515"/>
    <x v="46"/>
    <x v="2"/>
    <s v="Medium-Term"/>
    <x v="0"/>
  </r>
  <r>
    <s v="Good"/>
    <s v="Low balance"/>
    <x v="2"/>
    <s v="More 1000"/>
    <s v="male "/>
    <s v=" single"/>
    <s v="skilled employee / official"/>
    <s v="own"/>
    <n v="21"/>
    <n v="2745"/>
    <x v="11"/>
    <x v="2"/>
    <s v="Medium-Term"/>
    <x v="0"/>
  </r>
  <r>
    <s v="Good"/>
    <s v="No information"/>
    <x v="3"/>
    <s v="Less 100"/>
    <s v="female "/>
    <s v=" divorced/separated/married"/>
    <s v="unemployed/ unskilled  - non-resident"/>
    <s v="own"/>
    <n v="6"/>
    <n v="672"/>
    <x v="38"/>
    <x v="0"/>
    <s v="Low-Term"/>
    <x v="0"/>
  </r>
  <r>
    <s v="Bad"/>
    <s v="Low balance"/>
    <x v="0"/>
    <s v="Less 100"/>
    <s v="female "/>
    <s v=" divorced/separated/married"/>
    <s v="skilled employee / official"/>
    <s v="own"/>
    <n v="36"/>
    <n v="3804"/>
    <x v="18"/>
    <x v="2"/>
    <s v="Long-Term"/>
    <x v="1"/>
  </r>
  <r>
    <s v="Bad"/>
    <s v="Normal balance"/>
    <x v="3"/>
    <s v="No information"/>
    <s v="male "/>
    <s v=" single"/>
    <s v="unskilled - resident"/>
    <s v="own"/>
    <n v="24"/>
    <n v="1344"/>
    <x v="25"/>
    <x v="0"/>
    <s v="Medium-Term"/>
    <x v="1"/>
  </r>
  <r>
    <s v="Good"/>
    <s v="Negative balance"/>
    <x v="3"/>
    <s v="Less 100"/>
    <s v="male "/>
    <s v=" single"/>
    <s v="skilled employee / official"/>
    <s v="own"/>
    <n v="10"/>
    <n v="1038"/>
    <x v="2"/>
    <x v="0"/>
    <s v="Low-Term"/>
    <x v="0"/>
  </r>
  <r>
    <s v="Bad"/>
    <s v="No information"/>
    <x v="3"/>
    <s v="Up to 1000"/>
    <s v="male "/>
    <s v=" single"/>
    <s v="skilled employee / official"/>
    <s v="for free"/>
    <n v="48"/>
    <n v="10127"/>
    <x v="12"/>
    <x v="1"/>
    <s v="Long-Term"/>
    <x v="1"/>
  </r>
  <r>
    <s v="Good"/>
    <s v="No information"/>
    <x v="2"/>
    <s v="More 1000"/>
    <s v="male "/>
    <s v=" divorced/separated"/>
    <s v="skilled employee / official"/>
    <s v="own"/>
    <n v="6"/>
    <n v="1543"/>
    <x v="24"/>
    <x v="0"/>
    <s v="Low-Term"/>
    <x v="0"/>
  </r>
  <r>
    <s v="Good"/>
    <s v="No information"/>
    <x v="4"/>
    <s v="No information"/>
    <s v="female "/>
    <s v=" divorced/separated/married"/>
    <s v="unskilled - resident"/>
    <s v="rent"/>
    <n v="30"/>
    <n v="4811"/>
    <x v="9"/>
    <x v="2"/>
    <s v="Medium-Term"/>
    <x v="0"/>
  </r>
  <r>
    <s v="Bad"/>
    <s v="Negative balance"/>
    <x v="0"/>
    <s v="Up to 500"/>
    <s v="male "/>
    <s v=" married/widowed"/>
    <s v="unskilled - resident"/>
    <s v="own"/>
    <n v="12"/>
    <n v="727"/>
    <x v="24"/>
    <x v="0"/>
    <s v="Medium-Term"/>
    <x v="1"/>
  </r>
  <r>
    <s v="Bad"/>
    <s v="Low balance"/>
    <x v="2"/>
    <s v="Less 100"/>
    <s v="female "/>
    <s v=" divorced/separated/married"/>
    <s v="skilled employee / official"/>
    <s v="own"/>
    <n v="8"/>
    <n v="1237"/>
    <x v="9"/>
    <x v="0"/>
    <s v="Low-Term"/>
    <x v="1"/>
  </r>
  <r>
    <s v="Good"/>
    <s v="Low balance"/>
    <x v="3"/>
    <s v="Less 100"/>
    <s v="male "/>
    <s v=" married/widowed"/>
    <s v="unskilled - resident"/>
    <s v="rent"/>
    <n v="9"/>
    <n v="276"/>
    <x v="1"/>
    <x v="0"/>
    <s v="Low-Term"/>
    <x v="0"/>
  </r>
  <r>
    <s v="Good"/>
    <s v="Low balance"/>
    <x v="8"/>
    <s v="No information"/>
    <s v="male "/>
    <s v=" single"/>
    <s v="unemployed/ unskilled  - non-resident"/>
    <s v="for free"/>
    <n v="48"/>
    <n v="5381"/>
    <x v="34"/>
    <x v="1"/>
    <s v="Long-Term"/>
    <x v="0"/>
  </r>
  <r>
    <s v="Good"/>
    <s v="No information"/>
    <x v="2"/>
    <s v="Up to 500"/>
    <s v="male "/>
    <s v=" single"/>
    <s v="skilled employee / official"/>
    <s v="own"/>
    <n v="24"/>
    <n v="5511"/>
    <x v="8"/>
    <x v="1"/>
    <s v="Medium-Term"/>
    <x v="0"/>
  </r>
  <r>
    <s v="Good"/>
    <s v="Normal balance"/>
    <x v="2"/>
    <s v="Less 100"/>
    <s v="female "/>
    <s v=" divorced/separated/married"/>
    <s v="skilled employee / official"/>
    <s v="own"/>
    <n v="24"/>
    <n v="3749"/>
    <x v="15"/>
    <x v="2"/>
    <s v="Medium-Term"/>
    <x v="0"/>
  </r>
  <r>
    <s v="Bad"/>
    <s v="Low balance"/>
    <x v="3"/>
    <s v="Less 100"/>
    <s v="male "/>
    <s v=" married/widowed"/>
    <s v="unskilled - resident"/>
    <s v="own"/>
    <n v="12"/>
    <n v="685"/>
    <x v="8"/>
    <x v="0"/>
    <s v="Medium-Term"/>
    <x v="1"/>
  </r>
  <r>
    <s v="Good"/>
    <s v="Normal balance"/>
    <x v="3"/>
    <s v="No information"/>
    <s v="male "/>
    <s v=" single"/>
    <s v="unskilled - resident"/>
    <s v="own"/>
    <n v="4"/>
    <n v="1494"/>
    <x v="28"/>
    <x v="0"/>
    <s v="Low-Term"/>
    <x v="0"/>
  </r>
  <r>
    <s v="Bad"/>
    <s v="Negative balance"/>
    <x v="2"/>
    <s v="Less 100"/>
    <s v="male "/>
    <s v=" single"/>
    <s v="skilled employee / official"/>
    <s v="own"/>
    <n v="36"/>
    <n v="2746"/>
    <x v="13"/>
    <x v="2"/>
    <s v="Long-Term"/>
    <x v="1"/>
  </r>
  <r>
    <s v="Good"/>
    <s v="Negative balance"/>
    <x v="2"/>
    <s v="Less 100"/>
    <s v="male "/>
    <s v=" single"/>
    <s v="unskilled - resident"/>
    <s v="own"/>
    <n v="12"/>
    <n v="708"/>
    <x v="41"/>
    <x v="0"/>
    <s v="Medium-Term"/>
    <x v="0"/>
  </r>
  <r>
    <s v="Good"/>
    <s v="Low balance"/>
    <x v="2"/>
    <s v="No information"/>
    <s v="female "/>
    <s v=" divorced/separated/married"/>
    <s v="unskilled - resident"/>
    <s v="own"/>
    <n v="24"/>
    <n v="4351"/>
    <x v="14"/>
    <x v="2"/>
    <s v="Medium-Term"/>
    <x v="0"/>
  </r>
  <r>
    <s v="Good"/>
    <s v="No information"/>
    <x v="1"/>
    <s v="Less 100"/>
    <s v="male "/>
    <s v=" single"/>
    <s v="skilled employee / official"/>
    <s v="own"/>
    <n v="12"/>
    <n v="701"/>
    <x v="11"/>
    <x v="0"/>
    <s v="Medium-Term"/>
    <x v="0"/>
  </r>
  <r>
    <s v="Good"/>
    <s v="Negative balance"/>
    <x v="2"/>
    <s v="Less 100"/>
    <s v="female "/>
    <s v=" divorced/separated/married"/>
    <s v="unskilled - resident"/>
    <s v="own"/>
    <n v="15"/>
    <n v="3643"/>
    <x v="21"/>
    <x v="2"/>
    <s v="Medium-Term"/>
    <x v="0"/>
  </r>
  <r>
    <s v="Bad"/>
    <s v="Low balance"/>
    <x v="3"/>
    <s v="Less 100"/>
    <s v="male "/>
    <s v=" married/widowed"/>
    <s v="management/ self-employed/ highly qualified employee/ officer"/>
    <s v="own"/>
    <n v="30"/>
    <n v="4249"/>
    <x v="7"/>
    <x v="2"/>
    <s v="Medium-Term"/>
    <x v="1"/>
  </r>
  <r>
    <s v="Bad"/>
    <s v="Negative balance"/>
    <x v="0"/>
    <s v="Less 100"/>
    <s v="male "/>
    <s v=" divorced/separated"/>
    <s v="skilled employee / official"/>
    <s v="own"/>
    <n v="24"/>
    <n v="1938"/>
    <x v="11"/>
    <x v="0"/>
    <s v="Medium-Term"/>
    <x v="1"/>
  </r>
  <r>
    <s v="Good"/>
    <s v="Negative balance"/>
    <x v="4"/>
    <s v="Less 100"/>
    <s v="male "/>
    <s v=" single"/>
    <s v="management/ self-employed/ highly qualified employee/ officer"/>
    <s v="for free"/>
    <n v="24"/>
    <n v="2910"/>
    <x v="19"/>
    <x v="2"/>
    <s v="Medium-Term"/>
    <x v="0"/>
  </r>
  <r>
    <s v="Good"/>
    <s v="Negative balance"/>
    <x v="2"/>
    <s v="More 1000"/>
    <s v="male "/>
    <s v=" single"/>
    <s v="skilled employee / official"/>
    <s v="own"/>
    <n v="18"/>
    <n v="2659"/>
    <x v="7"/>
    <x v="2"/>
    <s v="Medium-Term"/>
    <x v="0"/>
  </r>
  <r>
    <s v="Good"/>
    <s v="No information"/>
    <x v="3"/>
    <s v="Less 100"/>
    <s v="female "/>
    <s v=" divorced/separated/married"/>
    <s v="skilled employee / official"/>
    <s v="own"/>
    <n v="18"/>
    <n v="1028"/>
    <x v="16"/>
    <x v="0"/>
    <s v="Medium-Term"/>
    <x v="0"/>
  </r>
  <r>
    <s v="Good"/>
    <s v="Negative balance"/>
    <x v="3"/>
    <s v="Less 100"/>
    <s v="male "/>
    <s v=" single"/>
    <s v="unskilled - resident"/>
    <s v="own"/>
    <n v="8"/>
    <n v="3398"/>
    <x v="17"/>
    <x v="2"/>
    <s v="Low-Term"/>
    <x v="0"/>
  </r>
  <r>
    <s v="Good"/>
    <s v="No information"/>
    <x v="2"/>
    <s v="No information"/>
    <s v="male "/>
    <s v=" single"/>
    <s v="skilled employee / official"/>
    <s v="rent"/>
    <n v="12"/>
    <n v="5801"/>
    <x v="2"/>
    <x v="1"/>
    <s v="Medium-Term"/>
    <x v="0"/>
  </r>
  <r>
    <s v="Good"/>
    <s v="No information"/>
    <x v="3"/>
    <s v="More 1000"/>
    <s v="female "/>
    <s v=" divorced/separated/married"/>
    <s v="skilled employee / official"/>
    <s v="own"/>
    <n v="24"/>
    <n v="1525"/>
    <x v="19"/>
    <x v="0"/>
    <s v="Medium-Term"/>
    <x v="0"/>
  </r>
  <r>
    <s v="Good"/>
    <s v="Normal balance"/>
    <x v="0"/>
    <s v="Less 100"/>
    <s v="male "/>
    <s v=" single"/>
    <s v="skilled employee / official"/>
    <s v="own"/>
    <n v="36"/>
    <n v="4473"/>
    <x v="13"/>
    <x v="2"/>
    <s v="Long-Term"/>
    <x v="0"/>
  </r>
  <r>
    <s v="Good"/>
    <s v="Low balance"/>
    <x v="0"/>
    <s v="Less 100"/>
    <s v="male "/>
    <s v=" single"/>
    <s v="skilled employee / official"/>
    <s v="own"/>
    <n v="6"/>
    <n v="1068"/>
    <x v="7"/>
    <x v="0"/>
    <s v="Low-Term"/>
    <x v="0"/>
  </r>
  <r>
    <s v="Good"/>
    <s v="Negative balance"/>
    <x v="4"/>
    <s v="Less 100"/>
    <s v="male "/>
    <s v=" single"/>
    <s v="management/ self-employed/ highly qualified employee/ officer"/>
    <s v="for free"/>
    <n v="24"/>
    <n v="6615"/>
    <x v="49"/>
    <x v="1"/>
    <s v="Medium-Term"/>
    <x v="0"/>
  </r>
  <r>
    <s v="Bad"/>
    <s v="No information"/>
    <x v="1"/>
    <s v="Up to 500"/>
    <s v="female "/>
    <s v=" divorced/separated/married"/>
    <s v="skilled employee / official"/>
    <s v="own"/>
    <n v="18"/>
    <n v="1864"/>
    <x v="22"/>
    <x v="0"/>
    <s v="Medium-Term"/>
    <x v="1"/>
  </r>
  <r>
    <s v="Bad"/>
    <s v="Low balance"/>
    <x v="3"/>
    <s v="Up to 500"/>
    <s v="female "/>
    <s v=" divorced/separated/married"/>
    <s v="management/ self-employed/ highly qualified employee/ officer"/>
    <s v="own"/>
    <n v="60"/>
    <n v="7408"/>
    <x v="9"/>
    <x v="1"/>
    <s v="Long-Term"/>
    <x v="1"/>
  </r>
  <r>
    <s v="Bad"/>
    <s v="No information"/>
    <x v="4"/>
    <s v="Up to 500"/>
    <s v="female "/>
    <s v=" divorced/separated/married"/>
    <s v="unskilled - resident"/>
    <s v="rent"/>
    <n v="48"/>
    <n v="11590"/>
    <x v="9"/>
    <x v="1"/>
    <s v="Long-Term"/>
    <x v="1"/>
  </r>
  <r>
    <s v="Bad"/>
    <s v="Negative balance"/>
    <x v="2"/>
    <s v="Less 100"/>
    <s v="male "/>
    <s v=" single"/>
    <s v="skilled employee / official"/>
    <s v="rent"/>
    <n v="24"/>
    <n v="4110"/>
    <x v="27"/>
    <x v="2"/>
    <s v="Medium-Term"/>
    <x v="1"/>
  </r>
  <r>
    <s v="Bad"/>
    <s v="Negative balance"/>
    <x v="2"/>
    <s v="Less 100"/>
    <s v="male "/>
    <s v=" divorced/separated"/>
    <s v="management/ self-employed/ highly qualified employee/ officer"/>
    <s v="rent"/>
    <n v="6"/>
    <n v="3384"/>
    <x v="12"/>
    <x v="2"/>
    <s v="Low-Term"/>
    <x v="1"/>
  </r>
  <r>
    <s v="Good"/>
    <s v="Low balance"/>
    <x v="0"/>
    <s v="Less 100"/>
    <s v="female "/>
    <s v=" divorced/separated/married"/>
    <s v="unskilled - resident"/>
    <s v="own"/>
    <n v="13"/>
    <n v="2101"/>
    <x v="27"/>
    <x v="2"/>
    <s v="Medium-Term"/>
    <x v="0"/>
  </r>
  <r>
    <s v="Bad"/>
    <s v="Negative balance"/>
    <x v="6"/>
    <s v="No information"/>
    <s v="female "/>
    <s v=" divorced/separated/married"/>
    <s v="skilled employee / official"/>
    <s v="rent"/>
    <n v="15"/>
    <n v="1275"/>
    <x v="9"/>
    <x v="0"/>
    <s v="Medium-Term"/>
    <x v="1"/>
  </r>
  <r>
    <s v="Good"/>
    <s v="Negative balance"/>
    <x v="2"/>
    <s v="Less 100"/>
    <s v="male "/>
    <s v=" single"/>
    <s v="skilled employee / official"/>
    <s v="own"/>
    <n v="24"/>
    <n v="4169"/>
    <x v="7"/>
    <x v="2"/>
    <s v="Medium-Term"/>
    <x v="0"/>
  </r>
  <r>
    <s v="Good"/>
    <s v="Low balance"/>
    <x v="2"/>
    <s v="Less 100"/>
    <s v="male "/>
    <s v=" divorced/separated"/>
    <s v="unskilled - resident"/>
    <s v="own"/>
    <n v="10"/>
    <n v="1521"/>
    <x v="13"/>
    <x v="0"/>
    <s v="Low-Term"/>
    <x v="0"/>
  </r>
  <r>
    <s v="Good"/>
    <s v="Low balance"/>
    <x v="1"/>
    <s v="Less 100"/>
    <s v="female "/>
    <s v=" divorced/separated/married"/>
    <s v="skilled employee / official"/>
    <s v="for free"/>
    <n v="24"/>
    <n v="5743"/>
    <x v="9"/>
    <x v="1"/>
    <s v="Medium-Term"/>
    <x v="0"/>
  </r>
  <r>
    <s v="Good"/>
    <s v="Negative balance"/>
    <x v="2"/>
    <s v="Less 100"/>
    <s v="female "/>
    <s v=" divorced/separated/married"/>
    <s v="unskilled - resident"/>
    <s v="rent"/>
    <n v="21"/>
    <n v="3599"/>
    <x v="15"/>
    <x v="2"/>
    <s v="Medium-Term"/>
    <x v="0"/>
  </r>
  <r>
    <s v="Good"/>
    <s v="Low balance"/>
    <x v="0"/>
    <s v="Up to 1000"/>
    <s v="male "/>
    <s v=" married/widowed"/>
    <s v="skilled employee / official"/>
    <s v="rent"/>
    <n v="18"/>
    <n v="3213"/>
    <x v="8"/>
    <x v="2"/>
    <s v="Medium-Term"/>
    <x v="0"/>
  </r>
  <r>
    <s v="Good"/>
    <s v="Low balance"/>
    <x v="5"/>
    <s v="Less 100"/>
    <s v="male "/>
    <s v=" single"/>
    <s v="management/ self-employed/ highly qualified employee/ officer"/>
    <s v="own"/>
    <n v="18"/>
    <n v="4439"/>
    <x v="24"/>
    <x v="2"/>
    <s v="Medium-Term"/>
    <x v="0"/>
  </r>
  <r>
    <s v="Good"/>
    <s v="Normal balance"/>
    <x v="3"/>
    <s v="Less 100"/>
    <s v="male "/>
    <s v=" single"/>
    <s v="unskilled - resident"/>
    <s v="own"/>
    <n v="10"/>
    <n v="3949"/>
    <x v="25"/>
    <x v="2"/>
    <s v="Low-Term"/>
    <x v="0"/>
  </r>
  <r>
    <s v="Good"/>
    <s v="No information"/>
    <x v="0"/>
    <s v="Less 100"/>
    <s v="female "/>
    <s v=" divorced/separated/married"/>
    <s v="unskilled - resident"/>
    <s v="own"/>
    <n v="15"/>
    <n v="1459"/>
    <x v="46"/>
    <x v="0"/>
    <s v="Medium-Term"/>
    <x v="0"/>
  </r>
  <r>
    <s v="Good"/>
    <s v="Low balance"/>
    <x v="0"/>
    <s v="Less 100"/>
    <s v="male "/>
    <s v=" single"/>
    <s v="skilled employee / official"/>
    <s v="own"/>
    <n v="13"/>
    <n v="882"/>
    <x v="27"/>
    <x v="0"/>
    <s v="Medium-Term"/>
    <x v="0"/>
  </r>
  <r>
    <s v="Good"/>
    <s v="Low balance"/>
    <x v="0"/>
    <s v="Up to 1000"/>
    <s v="female "/>
    <s v=" divorced/separated/married"/>
    <s v="unemployed/ unskilled  - non-resident"/>
    <s v="rent"/>
    <n v="24"/>
    <n v="3758"/>
    <x v="27"/>
    <x v="2"/>
    <s v="Medium-Term"/>
    <x v="0"/>
  </r>
  <r>
    <s v="Good"/>
    <s v="No information"/>
    <x v="5"/>
    <s v="Up to 500"/>
    <s v="male "/>
    <s v=" single"/>
    <s v="unskilled - resident"/>
    <s v="own"/>
    <n v="6"/>
    <n v="1743"/>
    <x v="19"/>
    <x v="0"/>
    <s v="Low-Term"/>
    <x v="0"/>
  </r>
  <r>
    <s v="Bad"/>
    <s v="Low balance"/>
    <x v="1"/>
    <s v="More 1000"/>
    <s v="male "/>
    <s v=" single"/>
    <s v="skilled employee / official"/>
    <s v="for free"/>
    <n v="9"/>
    <n v="1136"/>
    <x v="11"/>
    <x v="0"/>
    <s v="Low-Term"/>
    <x v="1"/>
  </r>
  <r>
    <s v="Good"/>
    <s v="No information"/>
    <x v="6"/>
    <s v="Less 100"/>
    <s v="female "/>
    <s v=" divorced/separated/married"/>
    <s v="skilled employee / official"/>
    <s v="rent"/>
    <n v="9"/>
    <n v="1236"/>
    <x v="27"/>
    <x v="0"/>
    <s v="Low-Term"/>
    <x v="0"/>
  </r>
  <r>
    <s v="Bad"/>
    <s v="Low balance"/>
    <x v="2"/>
    <s v="Less 100"/>
    <s v="female "/>
    <s v=" divorced/separated/married"/>
    <s v="skilled employee / official"/>
    <s v="own"/>
    <n v="9"/>
    <n v="959"/>
    <x v="28"/>
    <x v="0"/>
    <s v="Low-Term"/>
    <x v="1"/>
  </r>
  <r>
    <s v="Good"/>
    <s v="No information"/>
    <x v="4"/>
    <s v="No information"/>
    <s v="male "/>
    <s v=" single"/>
    <s v="management/ self-employed/ highly qualified employee/ officer"/>
    <s v="own"/>
    <n v="18"/>
    <n v="3229"/>
    <x v="41"/>
    <x v="2"/>
    <s v="Medium-Term"/>
    <x v="0"/>
  </r>
  <r>
    <s v="Bad"/>
    <s v="Negative balance"/>
    <x v="0"/>
    <s v="Less 100"/>
    <s v="male "/>
    <s v=" single"/>
    <s v="skilled employee / official"/>
    <s v="rent"/>
    <n v="12"/>
    <n v="6199"/>
    <x v="7"/>
    <x v="1"/>
    <s v="Medium-Term"/>
    <x v="1"/>
  </r>
  <r>
    <s v="Good"/>
    <s v="No information"/>
    <x v="1"/>
    <s v="Up to 1000"/>
    <s v="male "/>
    <s v=" single"/>
    <s v="skilled employee / official"/>
    <s v="for free"/>
    <n v="10"/>
    <n v="727"/>
    <x v="31"/>
    <x v="0"/>
    <s v="Low-Term"/>
    <x v="0"/>
  </r>
  <r>
    <s v="Bad"/>
    <s v="Low balance"/>
    <x v="3"/>
    <s v="Less 100"/>
    <s v="male "/>
    <s v=" single"/>
    <s v="unskilled - resident"/>
    <s v="own"/>
    <n v="24"/>
    <n v="1246"/>
    <x v="27"/>
    <x v="0"/>
    <s v="Medium-Term"/>
    <x v="1"/>
  </r>
  <r>
    <s v="Good"/>
    <s v="No information"/>
    <x v="0"/>
    <s v="No information"/>
    <s v="male "/>
    <s v=" single"/>
    <s v="skilled employee / official"/>
    <s v="own"/>
    <n v="12"/>
    <n v="2331"/>
    <x v="2"/>
    <x v="2"/>
    <s v="Medium-Term"/>
    <x v="0"/>
  </r>
  <r>
    <s v="Bad"/>
    <s v="No information"/>
    <x v="0"/>
    <s v="Less 100"/>
    <s v="male "/>
    <s v=" single"/>
    <s v="management/ self-employed/ highly qualified employee/ officer"/>
    <s v="own"/>
    <n v="36"/>
    <n v="4463"/>
    <x v="15"/>
    <x v="2"/>
    <s v="Long-Term"/>
    <x v="1"/>
  </r>
  <r>
    <s v="Good"/>
    <s v="No information"/>
    <x v="0"/>
    <s v="Less 100"/>
    <s v="male "/>
    <s v=" married/widowed"/>
    <s v="skilled employee / official"/>
    <s v="own"/>
    <n v="12"/>
    <n v="776"/>
    <x v="7"/>
    <x v="0"/>
    <s v="Medium-Term"/>
    <x v="0"/>
  </r>
  <r>
    <s v="Bad"/>
    <s v="Negative balance"/>
    <x v="2"/>
    <s v="Less 100"/>
    <s v="female "/>
    <s v=" divorced/separated/married"/>
    <s v="skilled employee / official"/>
    <s v="rent"/>
    <n v="30"/>
    <n v="2406"/>
    <x v="27"/>
    <x v="2"/>
    <s v="Medium-Term"/>
    <x v="1"/>
  </r>
  <r>
    <s v="Good"/>
    <s v="Low balance"/>
    <x v="1"/>
    <s v="No information"/>
    <s v="male "/>
    <s v=" single"/>
    <s v="skilled employee / official"/>
    <s v="for free"/>
    <n v="18"/>
    <n v="1239"/>
    <x v="6"/>
    <x v="0"/>
    <s v="Medium-Term"/>
    <x v="0"/>
  </r>
  <r>
    <s v="Good"/>
    <s v="Normal balance"/>
    <x v="0"/>
    <s v="No information"/>
    <s v="male "/>
    <s v=" single"/>
    <s v="management/ self-employed/ highly qualified employee/ officer"/>
    <s v="own"/>
    <n v="12"/>
    <n v="3399"/>
    <x v="25"/>
    <x v="2"/>
    <s v="Medium-Term"/>
    <x v="0"/>
  </r>
  <r>
    <s v="Good"/>
    <s v="Normal balance"/>
    <x v="3"/>
    <s v="Less 100"/>
    <s v="female "/>
    <s v=" divorced/separated/married"/>
    <s v="skilled employee / official"/>
    <s v="own"/>
    <n v="12"/>
    <n v="2247"/>
    <x v="16"/>
    <x v="2"/>
    <s v="Medium-Term"/>
    <x v="0"/>
  </r>
  <r>
    <s v="Good"/>
    <s v="No information"/>
    <x v="2"/>
    <s v="Less 100"/>
    <s v="male "/>
    <s v=" married/widowed"/>
    <s v="skilled employee / official"/>
    <s v="rent"/>
    <n v="6"/>
    <n v="1766"/>
    <x v="40"/>
    <x v="0"/>
    <s v="Low-Term"/>
    <x v="0"/>
  </r>
  <r>
    <s v="Bad"/>
    <s v="Negative balance"/>
    <x v="2"/>
    <s v="Less 100"/>
    <s v="male "/>
    <s v=" single"/>
    <s v="unemployed/ unskilled  - non-resident"/>
    <s v="own"/>
    <n v="18"/>
    <n v="2473"/>
    <x v="8"/>
    <x v="2"/>
    <s v="Medium-Term"/>
    <x v="1"/>
  </r>
  <r>
    <s v="Good"/>
    <s v="No information"/>
    <x v="5"/>
    <s v="Less 100"/>
    <s v="male "/>
    <s v=" single"/>
    <s v="skilled employee / official"/>
    <s v="own"/>
    <n v="12"/>
    <n v="1542"/>
    <x v="16"/>
    <x v="0"/>
    <s v="Medium-Term"/>
    <x v="0"/>
  </r>
  <r>
    <s v="Good"/>
    <s v="No information"/>
    <x v="4"/>
    <s v="Less 100"/>
    <s v="male "/>
    <s v=" single"/>
    <s v="skilled employee / official"/>
    <s v="own"/>
    <n v="18"/>
    <n v="3850"/>
    <x v="21"/>
    <x v="2"/>
    <s v="Medium-Term"/>
    <x v="0"/>
  </r>
  <r>
    <s v="Good"/>
    <s v="Negative balance"/>
    <x v="2"/>
    <s v="Less 100"/>
    <s v="female "/>
    <s v=" divorced/separated/married"/>
    <s v="skilled employee / official"/>
    <s v="rent"/>
    <n v="18"/>
    <n v="3650"/>
    <x v="1"/>
    <x v="2"/>
    <s v="Medium-Term"/>
    <x v="0"/>
  </r>
  <r>
    <s v="Bad"/>
    <s v="Negative balance"/>
    <x v="2"/>
    <s v="Less 100"/>
    <s v="male "/>
    <s v=" single"/>
    <s v="skilled employee / official"/>
    <s v="own"/>
    <n v="36"/>
    <n v="3446"/>
    <x v="18"/>
    <x v="2"/>
    <s v="Long-Term"/>
    <x v="1"/>
  </r>
  <r>
    <s v="Good"/>
    <s v="Low balance"/>
    <x v="2"/>
    <s v="Less 100"/>
    <s v="female "/>
    <s v=" divorced/separated/married"/>
    <s v="skilled employee / official"/>
    <s v="rent"/>
    <n v="18"/>
    <n v="3001"/>
    <x v="34"/>
    <x v="2"/>
    <s v="Medium-Term"/>
    <x v="0"/>
  </r>
  <r>
    <s v="Good"/>
    <s v="No information"/>
    <x v="3"/>
    <s v="No information"/>
    <s v="male "/>
    <s v=" single"/>
    <s v="skilled employee / official"/>
    <s v="own"/>
    <n v="36"/>
    <n v="3079"/>
    <x v="16"/>
    <x v="2"/>
    <s v="Long-Term"/>
    <x v="0"/>
  </r>
  <r>
    <s v="Good"/>
    <s v="No information"/>
    <x v="0"/>
    <s v="Less 100"/>
    <s v="male "/>
    <s v=" single"/>
    <s v="skilled employee / official"/>
    <s v="own"/>
    <n v="18"/>
    <n v="6070"/>
    <x v="24"/>
    <x v="1"/>
    <s v="Medium-Term"/>
    <x v="0"/>
  </r>
  <r>
    <s v="Good"/>
    <s v="No information"/>
    <x v="2"/>
    <s v="Less 100"/>
    <s v="female "/>
    <s v=" divorced/separated/married"/>
    <s v="skilled employee / official"/>
    <s v="rent"/>
    <n v="10"/>
    <n v="2146"/>
    <x v="27"/>
    <x v="2"/>
    <s v="Low-Term"/>
    <x v="0"/>
  </r>
  <r>
    <s v="Good"/>
    <s v="No information"/>
    <x v="3"/>
    <s v="No information"/>
    <s v="male "/>
    <s v=" single"/>
    <s v="management/ self-employed/ highly qualified employee/ officer"/>
    <s v="for free"/>
    <n v="60"/>
    <n v="13756"/>
    <x v="20"/>
    <x v="1"/>
    <s v="Long-Term"/>
    <x v="2"/>
  </r>
  <r>
    <s v="Bad"/>
    <s v="Low balance"/>
    <x v="8"/>
    <s v="Up to 500"/>
    <s v="female "/>
    <s v=" divorced/separated/married"/>
    <s v="management/ self-employed/ highly qualified employee/ officer"/>
    <s v="for free"/>
    <n v="60"/>
    <n v="14782"/>
    <x v="10"/>
    <x v="1"/>
    <s v="Long-Term"/>
    <x v="1"/>
  </r>
  <r>
    <s v="Bad"/>
    <s v="Negative balance"/>
    <x v="5"/>
    <s v="Less 100"/>
    <s v="female "/>
    <s v=" divorced/separated/married"/>
    <s v="skilled employee / official"/>
    <s v="rent"/>
    <n v="48"/>
    <n v="7685"/>
    <x v="25"/>
    <x v="1"/>
    <s v="Long-Term"/>
    <x v="1"/>
  </r>
  <r>
    <s v="Good"/>
    <s v="No information"/>
    <x v="0"/>
    <s v="Less 100"/>
    <s v="male "/>
    <s v=" married/widowed"/>
    <s v="skilled employee / official"/>
    <s v="own"/>
    <n v="18"/>
    <n v="2320"/>
    <x v="19"/>
    <x v="2"/>
    <s v="Medium-Term"/>
    <x v="0"/>
  </r>
  <r>
    <s v="Good"/>
    <s v="No information"/>
    <x v="0"/>
    <s v="No information"/>
    <s v="male "/>
    <s v=" single"/>
    <s v="skilled employee / official"/>
    <s v="for free"/>
    <n v="7"/>
    <n v="846"/>
    <x v="16"/>
    <x v="0"/>
    <s v="Low-Term"/>
    <x v="0"/>
  </r>
  <r>
    <s v="Bad"/>
    <s v="Low balance"/>
    <x v="3"/>
    <s v="Less 100"/>
    <s v="male "/>
    <s v=" single"/>
    <s v="management/ self-employed/ highly qualified employee/ officer"/>
    <s v="for free"/>
    <n v="36"/>
    <n v="14318"/>
    <x v="23"/>
    <x v="1"/>
    <s v="Long-Term"/>
    <x v="1"/>
  </r>
  <r>
    <s v="Good"/>
    <s v="No information"/>
    <x v="3"/>
    <s v="Up to 500"/>
    <s v="female "/>
    <s v=" divorced/separated/married"/>
    <s v="unskilled - resident"/>
    <s v="own"/>
    <n v="6"/>
    <n v="362"/>
    <x v="29"/>
    <x v="0"/>
    <s v="Low-Term"/>
    <x v="0"/>
  </r>
  <r>
    <s v="Good"/>
    <s v="Negative balance"/>
    <x v="2"/>
    <s v="No information"/>
    <s v="male "/>
    <s v=" single"/>
    <s v="skilled employee / official"/>
    <s v="own"/>
    <n v="20"/>
    <n v="2212"/>
    <x v="17"/>
    <x v="2"/>
    <s v="Medium-Term"/>
    <x v="0"/>
  </r>
  <r>
    <s v="Bad"/>
    <s v="Low balance"/>
    <x v="4"/>
    <s v="Less 100"/>
    <s v="female "/>
    <s v=" divorced/separated/married"/>
    <s v="management/ self-employed/ highly qualified employee/ officer"/>
    <s v="for free"/>
    <n v="18"/>
    <n v="12976"/>
    <x v="41"/>
    <x v="1"/>
    <s v="Medium-Term"/>
    <x v="1"/>
  </r>
  <r>
    <s v="Good"/>
    <s v="No information"/>
    <x v="3"/>
    <s v="No information"/>
    <s v="female "/>
    <s v=" divorced/separated/married"/>
    <s v="skilled employee / official"/>
    <s v="rent"/>
    <n v="22"/>
    <n v="1283"/>
    <x v="8"/>
    <x v="0"/>
    <s v="Medium-Term"/>
    <x v="0"/>
  </r>
  <r>
    <s v="Good"/>
    <s v="Normal balance"/>
    <x v="3"/>
    <s v="Less 100"/>
    <s v="male "/>
    <s v=" single"/>
    <s v="skilled employee / official"/>
    <s v="own"/>
    <n v="12"/>
    <n v="1330"/>
    <x v="15"/>
    <x v="0"/>
    <s v="Medium-Term"/>
    <x v="0"/>
  </r>
  <r>
    <s v="Good"/>
    <s v="No information"/>
    <x v="5"/>
    <s v="Up to 500"/>
    <s v="male "/>
    <s v=" single"/>
    <s v="unskilled - resident"/>
    <s v="own"/>
    <n v="30"/>
    <n v="4272"/>
    <x v="15"/>
    <x v="2"/>
    <s v="Medium-Term"/>
    <x v="0"/>
  </r>
  <r>
    <s v="Good"/>
    <s v="No information"/>
    <x v="0"/>
    <s v="Less 100"/>
    <s v="female "/>
    <s v=" divorced/separated/married"/>
    <s v="skilled employee / official"/>
    <s v="own"/>
    <n v="18"/>
    <n v="2238"/>
    <x v="8"/>
    <x v="2"/>
    <s v="Medium-Term"/>
    <x v="0"/>
  </r>
  <r>
    <s v="Good"/>
    <s v="No information"/>
    <x v="0"/>
    <s v="No information"/>
    <s v="female "/>
    <s v=" divorced/separated/married"/>
    <s v="skilled employee / official"/>
    <s v="rent"/>
    <n v="18"/>
    <n v="1126"/>
    <x v="40"/>
    <x v="0"/>
    <s v="Medium-Term"/>
    <x v="0"/>
  </r>
  <r>
    <s v="Good"/>
    <s v="Low balance"/>
    <x v="2"/>
    <s v="Less 100"/>
    <s v="male "/>
    <s v=" single"/>
    <s v="management/ self-employed/ highly qualified employee/ officer"/>
    <s v="own"/>
    <n v="18"/>
    <n v="7374"/>
    <x v="34"/>
    <x v="1"/>
    <s v="Medium-Term"/>
    <x v="2"/>
  </r>
  <r>
    <s v="Good"/>
    <s v="Low balance"/>
    <x v="5"/>
    <s v="Up to 1000"/>
    <s v="male "/>
    <s v=" single"/>
    <s v="skilled employee / official"/>
    <s v="own"/>
    <n v="15"/>
    <n v="2326"/>
    <x v="21"/>
    <x v="2"/>
    <s v="Medium-Term"/>
    <x v="0"/>
  </r>
  <r>
    <s v="Good"/>
    <s v="No information"/>
    <x v="5"/>
    <s v="Less 100"/>
    <s v="female "/>
    <s v=" divorced/separated/married"/>
    <s v="skilled employee / official"/>
    <s v="own"/>
    <n v="9"/>
    <n v="1449"/>
    <x v="21"/>
    <x v="0"/>
    <s v="Low-Term"/>
    <x v="0"/>
  </r>
  <r>
    <s v="Good"/>
    <s v="No information"/>
    <x v="3"/>
    <s v="Less 100"/>
    <s v="male "/>
    <s v=" married/widowed"/>
    <s v="management/ self-employed/ highly qualified employee/ officer"/>
    <s v="own"/>
    <n v="18"/>
    <n v="1820"/>
    <x v="22"/>
    <x v="0"/>
    <s v="Medium-Term"/>
    <x v="0"/>
  </r>
  <r>
    <s v="Good"/>
    <s v="Low balance"/>
    <x v="2"/>
    <s v="More 1000"/>
    <s v="female "/>
    <s v=" divorced/separated/married"/>
    <s v="unskilled - resident"/>
    <s v="rent"/>
    <n v="12"/>
    <n v="983"/>
    <x v="50"/>
    <x v="0"/>
    <s v="Medium-Term"/>
    <x v="0"/>
  </r>
  <r>
    <s v="Good"/>
    <s v="Negative balance"/>
    <x v="3"/>
    <s v="Less 100"/>
    <s v="male "/>
    <s v=" single"/>
    <s v="management/ self-employed/ highly qualified employee/ officer"/>
    <s v="for free"/>
    <n v="36"/>
    <n v="3249"/>
    <x v="17"/>
    <x v="2"/>
    <s v="Long-Term"/>
    <x v="0"/>
  </r>
  <r>
    <s v="Good"/>
    <s v="Negative balance"/>
    <x v="0"/>
    <s v="Less 100"/>
    <s v="female "/>
    <s v=" divorced/separated/married"/>
    <s v="skilled employee / official"/>
    <s v="own"/>
    <n v="6"/>
    <n v="1957"/>
    <x v="13"/>
    <x v="0"/>
    <s v="Low-Term"/>
    <x v="0"/>
  </r>
  <r>
    <s v="Good"/>
    <s v="No information"/>
    <x v="2"/>
    <s v="Less 100"/>
    <s v="male "/>
    <s v=" single"/>
    <s v="management/ self-employed/ highly qualified employee/ officer"/>
    <s v="own"/>
    <n v="9"/>
    <n v="2406"/>
    <x v="13"/>
    <x v="2"/>
    <s v="Low-Term"/>
    <x v="0"/>
  </r>
  <r>
    <s v="Good"/>
    <s v="Low balance"/>
    <x v="1"/>
    <s v="Up to 500"/>
    <s v="male "/>
    <s v=" single"/>
    <s v="skilled employee / official"/>
    <s v="rent"/>
    <n v="39"/>
    <n v="11760"/>
    <x v="11"/>
    <x v="1"/>
    <s v="Long-Term"/>
    <x v="2"/>
  </r>
  <r>
    <s v="Good"/>
    <s v="Negative balance"/>
    <x v="2"/>
    <s v="Less 100"/>
    <s v="female "/>
    <s v=" divorced/separated/married"/>
    <s v="management/ self-employed/ highly qualified employee/ officer"/>
    <s v="for free"/>
    <n v="12"/>
    <n v="2578"/>
    <x v="47"/>
    <x v="2"/>
    <s v="Medium-Term"/>
    <x v="0"/>
  </r>
  <r>
    <s v="Good"/>
    <s v="Negative balance"/>
    <x v="2"/>
    <s v="Less 100"/>
    <s v="male "/>
    <s v=" married/widowed"/>
    <s v="skilled employee / official"/>
    <s v="own"/>
    <n v="36"/>
    <n v="2348"/>
    <x v="31"/>
    <x v="2"/>
    <s v="Long-Term"/>
    <x v="0"/>
  </r>
  <r>
    <s v="Bad"/>
    <s v="Low balance"/>
    <x v="3"/>
    <s v="Less 100"/>
    <s v="male "/>
    <s v=" divorced/separated"/>
    <s v="skilled employee / official"/>
    <s v="rent"/>
    <n v="12"/>
    <n v="1223"/>
    <x v="31"/>
    <x v="0"/>
    <s v="Medium-Term"/>
    <x v="1"/>
  </r>
  <r>
    <s v="Good"/>
    <s v="No information"/>
    <x v="0"/>
    <s v="More 1000"/>
    <s v="female "/>
    <s v=" divorced/separated/married"/>
    <s v="unskilled - resident"/>
    <s v="own"/>
    <n v="24"/>
    <n v="1516"/>
    <x v="46"/>
    <x v="0"/>
    <s v="Medium-Term"/>
    <x v="0"/>
  </r>
  <r>
    <s v="Good"/>
    <s v="No information"/>
    <x v="0"/>
    <s v="Less 100"/>
    <s v="male "/>
    <s v=" married/widowed"/>
    <s v="skilled employee / official"/>
    <s v="own"/>
    <n v="18"/>
    <n v="1473"/>
    <x v="17"/>
    <x v="0"/>
    <s v="Medium-Term"/>
    <x v="0"/>
  </r>
  <r>
    <s v="Good"/>
    <s v="Low balance"/>
    <x v="5"/>
    <s v="No information"/>
    <s v="male "/>
    <s v=" married/widowed"/>
    <s v="skilled employee / official"/>
    <s v="own"/>
    <n v="18"/>
    <n v="1887"/>
    <x v="7"/>
    <x v="0"/>
    <s v="Medium-Term"/>
    <x v="0"/>
  </r>
  <r>
    <s v="Bad"/>
    <s v="No information"/>
    <x v="5"/>
    <s v="Less 100"/>
    <s v="male "/>
    <s v=" single"/>
    <s v="skilled employee / official"/>
    <s v="own"/>
    <n v="24"/>
    <n v="8648"/>
    <x v="21"/>
    <x v="1"/>
    <s v="Medium-Term"/>
    <x v="1"/>
  </r>
  <r>
    <s v="Good"/>
    <s v="No information"/>
    <x v="3"/>
    <s v="Less 100"/>
    <s v="male "/>
    <s v=" single"/>
    <s v="unskilled - resident"/>
    <s v="own"/>
    <n v="14"/>
    <n v="802"/>
    <x v="21"/>
    <x v="0"/>
    <s v="Medium-Term"/>
    <x v="0"/>
  </r>
  <r>
    <s v="Good"/>
    <s v="Low balance"/>
    <x v="3"/>
    <s v="No information"/>
    <s v="male "/>
    <s v=" single"/>
    <s v="skilled employee / official"/>
    <s v="own"/>
    <n v="18"/>
    <n v="2899"/>
    <x v="46"/>
    <x v="2"/>
    <s v="Medium-Term"/>
    <x v="0"/>
  </r>
  <r>
    <s v="Bad"/>
    <s v="Low balance"/>
    <x v="0"/>
    <s v="Less 100"/>
    <s v="male "/>
    <s v=" married/widowed"/>
    <s v="skilled employee / official"/>
    <s v="own"/>
    <n v="24"/>
    <n v="2039"/>
    <x v="1"/>
    <x v="2"/>
    <s v="Medium-Term"/>
    <x v="1"/>
  </r>
  <r>
    <s v="Good"/>
    <s v="No information"/>
    <x v="4"/>
    <s v="No information"/>
    <s v="male "/>
    <s v=" single"/>
    <s v="skilled employee / official"/>
    <s v="own"/>
    <n v="24"/>
    <n v="2197"/>
    <x v="46"/>
    <x v="2"/>
    <s v="Medium-Term"/>
    <x v="0"/>
  </r>
  <r>
    <s v="Good"/>
    <s v="Negative balance"/>
    <x v="0"/>
    <s v="Less 100"/>
    <s v="male "/>
    <s v=" married/widowed"/>
    <s v="skilled employee / official"/>
    <s v="own"/>
    <n v="15"/>
    <n v="1053"/>
    <x v="21"/>
    <x v="0"/>
    <s v="Medium-Term"/>
    <x v="0"/>
  </r>
  <r>
    <s v="Good"/>
    <s v="No information"/>
    <x v="0"/>
    <s v="Up to 1000"/>
    <s v="male "/>
    <s v=" divorced/separated"/>
    <s v="management/ self-employed/ highly qualified employee/ officer"/>
    <s v="own"/>
    <n v="24"/>
    <n v="3235"/>
    <x v="15"/>
    <x v="2"/>
    <s v="Medium-Term"/>
    <x v="0"/>
  </r>
  <r>
    <s v="Bad"/>
    <s v="Normal balance"/>
    <x v="3"/>
    <s v="Up to 1000"/>
    <s v="male "/>
    <s v=" married/widowed"/>
    <s v="skilled employee / official"/>
    <s v="own"/>
    <n v="12"/>
    <n v="939"/>
    <x v="7"/>
    <x v="0"/>
    <s v="Medium-Term"/>
    <x v="1"/>
  </r>
  <r>
    <s v="Good"/>
    <s v="Low balance"/>
    <x v="0"/>
    <s v="Less 100"/>
    <s v="female "/>
    <s v=" divorced/separated/married"/>
    <s v="skilled employee / official"/>
    <s v="own"/>
    <n v="24"/>
    <n v="1967"/>
    <x v="39"/>
    <x v="0"/>
    <s v="Medium-Term"/>
    <x v="0"/>
  </r>
  <r>
    <s v="Good"/>
    <s v="No information"/>
    <x v="4"/>
    <s v="Less 100"/>
    <s v="male "/>
    <s v=" single"/>
    <s v="management/ self-employed/ highly qualified employee/ officer"/>
    <s v="own"/>
    <n v="33"/>
    <n v="7253"/>
    <x v="5"/>
    <x v="1"/>
    <s v="Medium-Term"/>
    <x v="2"/>
  </r>
  <r>
    <s v="Bad"/>
    <s v="No information"/>
    <x v="5"/>
    <s v="Less 100"/>
    <s v="male "/>
    <s v=" single"/>
    <s v="management/ self-employed/ highly qualified employee/ officer"/>
    <s v="own"/>
    <n v="12"/>
    <n v="2292"/>
    <x v="18"/>
    <x v="2"/>
    <s v="Medium-Term"/>
    <x v="1"/>
  </r>
  <r>
    <s v="Good"/>
    <s v="No information"/>
    <x v="3"/>
    <s v="Up to 1000"/>
    <s v="male "/>
    <s v=" single"/>
    <s v="unskilled - resident"/>
    <s v="rent"/>
    <n v="10"/>
    <n v="1597"/>
    <x v="34"/>
    <x v="0"/>
    <s v="Low-Term"/>
    <x v="0"/>
  </r>
  <r>
    <s v="Bad"/>
    <s v="Negative balance"/>
    <x v="3"/>
    <s v="No information"/>
    <s v="female "/>
    <s v=" divorced/separated/married"/>
    <s v="skilled employee / official"/>
    <s v="own"/>
    <n v="24"/>
    <n v="1381"/>
    <x v="5"/>
    <x v="0"/>
    <s v="Medium-Term"/>
    <x v="1"/>
  </r>
  <r>
    <s v="Good"/>
    <s v="No information"/>
    <x v="4"/>
    <s v="Less 100"/>
    <s v="male "/>
    <s v=" single"/>
    <s v="skilled employee / official"/>
    <s v="own"/>
    <n v="36"/>
    <n v="5842"/>
    <x v="5"/>
    <x v="1"/>
    <s v="Long-Term"/>
    <x v="0"/>
  </r>
  <r>
    <s v="Bad"/>
    <s v="Negative balance"/>
    <x v="3"/>
    <s v="Less 100"/>
    <s v="male "/>
    <s v=" single"/>
    <s v="unskilled - resident"/>
    <s v="own"/>
    <n v="12"/>
    <n v="2579"/>
    <x v="24"/>
    <x v="2"/>
    <s v="Medium-Term"/>
    <x v="1"/>
  </r>
  <r>
    <s v="Good"/>
    <s v="Negative balance"/>
    <x v="1"/>
    <s v="No information"/>
    <s v="female "/>
    <s v=" divorced/separated/married"/>
    <s v="skilled employee / official"/>
    <s v="rent"/>
    <n v="18"/>
    <n v="8471"/>
    <x v="27"/>
    <x v="1"/>
    <s v="Medium-Term"/>
    <x v="2"/>
  </r>
  <r>
    <s v="Good"/>
    <s v="No information"/>
    <x v="3"/>
    <s v="Up to 1000"/>
    <s v="female "/>
    <s v=" divorced/separated/married"/>
    <s v="management/ self-employed/ highly qualified employee/ officer"/>
    <s v="own"/>
    <n v="21"/>
    <n v="2782"/>
    <x v="13"/>
    <x v="2"/>
    <s v="Medium-Term"/>
    <x v="0"/>
  </r>
  <r>
    <s v="Bad"/>
    <s v="Low balance"/>
    <x v="3"/>
    <s v="No information"/>
    <s v="female "/>
    <s v=" divorced/separated/married"/>
    <s v="skilled employee / official"/>
    <s v="own"/>
    <n v="18"/>
    <n v="1042"/>
    <x v="24"/>
    <x v="0"/>
    <s v="Medium-Term"/>
    <x v="1"/>
  </r>
  <r>
    <s v="Good"/>
    <s v="No information"/>
    <x v="3"/>
    <s v="More 1000"/>
    <s v="female "/>
    <s v=" divorced/separated/married"/>
    <s v="skilled employee / official"/>
    <s v="rent"/>
    <n v="15"/>
    <n v="3186"/>
    <x v="39"/>
    <x v="2"/>
    <s v="Medium-Term"/>
    <x v="0"/>
  </r>
  <r>
    <s v="Good"/>
    <s v="Low balance"/>
    <x v="4"/>
    <s v="No information"/>
    <s v="male "/>
    <s v=" single"/>
    <s v="skilled employee / official"/>
    <s v="own"/>
    <n v="12"/>
    <n v="2028"/>
    <x v="22"/>
    <x v="2"/>
    <s v="Medium-Term"/>
    <x v="0"/>
  </r>
  <r>
    <s v="Good"/>
    <s v="Low balance"/>
    <x v="3"/>
    <s v="Less 100"/>
    <s v="male "/>
    <s v=" single"/>
    <s v="unskilled - resident"/>
    <s v="own"/>
    <n v="12"/>
    <n v="958"/>
    <x v="36"/>
    <x v="0"/>
    <s v="Medium-Term"/>
    <x v="0"/>
  </r>
  <r>
    <s v="Good"/>
    <s v="No information"/>
    <x v="2"/>
    <s v="Up to 500"/>
    <s v="male "/>
    <s v=" single"/>
    <s v="management/ self-employed/ highly qualified employee/ officer"/>
    <s v="own"/>
    <n v="21"/>
    <n v="1591"/>
    <x v="19"/>
    <x v="0"/>
    <s v="Medium-Term"/>
    <x v="0"/>
  </r>
  <r>
    <s v="Bad"/>
    <s v="Low balance"/>
    <x v="2"/>
    <s v="No information"/>
    <s v="female "/>
    <s v=" divorced/separated/married"/>
    <s v="skilled employee / official"/>
    <s v="own"/>
    <n v="12"/>
    <n v="2762"/>
    <x v="8"/>
    <x v="2"/>
    <s v="Medium-Term"/>
    <x v="1"/>
  </r>
  <r>
    <s v="Good"/>
    <s v="Low balance"/>
    <x v="4"/>
    <s v="Less 100"/>
    <s v="male "/>
    <s v=" married/widowed"/>
    <s v="skilled employee / official"/>
    <s v="rent"/>
    <n v="18"/>
    <n v="2779"/>
    <x v="40"/>
    <x v="2"/>
    <s v="Medium-Term"/>
    <x v="0"/>
  </r>
  <r>
    <s v="Good"/>
    <s v="No information"/>
    <x v="0"/>
    <s v="Less 100"/>
    <s v="male "/>
    <s v=" single"/>
    <s v="skilled employee / official"/>
    <s v="own"/>
    <n v="28"/>
    <n v="2743"/>
    <x v="28"/>
    <x v="2"/>
    <s v="Medium-Term"/>
    <x v="0"/>
  </r>
  <r>
    <s v="Good"/>
    <s v="No information"/>
    <x v="0"/>
    <s v="More 1000"/>
    <s v="male "/>
    <s v=" single"/>
    <s v="skilled employee / official"/>
    <s v="own"/>
    <n v="18"/>
    <n v="1149"/>
    <x v="31"/>
    <x v="0"/>
    <s v="Medium-Term"/>
    <x v="0"/>
  </r>
  <r>
    <s v="Good"/>
    <s v="No information"/>
    <x v="2"/>
    <s v="Less 100"/>
    <s v="male "/>
    <s v=" single"/>
    <s v="skilled employee / official"/>
    <s v="own"/>
    <n v="9"/>
    <n v="1313"/>
    <x v="39"/>
    <x v="0"/>
    <s v="Low-Term"/>
    <x v="0"/>
  </r>
  <r>
    <s v="Bad"/>
    <s v="Negative balance"/>
    <x v="7"/>
    <s v="Less 100"/>
    <s v="female "/>
    <s v=" divorced/separated/married"/>
    <s v="unemployed/ unskilled  - non-resident"/>
    <s v="for free"/>
    <n v="18"/>
    <n v="1190"/>
    <x v="47"/>
    <x v="0"/>
    <s v="Medium-Term"/>
    <x v="1"/>
  </r>
  <r>
    <s v="Good"/>
    <s v="No information"/>
    <x v="5"/>
    <s v="Less 100"/>
    <s v="male "/>
    <s v=" single"/>
    <s v="unskilled - resident"/>
    <s v="own"/>
    <n v="5"/>
    <n v="3448"/>
    <x v="44"/>
    <x v="2"/>
    <s v="Low-Term"/>
    <x v="0"/>
  </r>
  <r>
    <s v="Bad"/>
    <s v="Low balance"/>
    <x v="8"/>
    <s v="Less 100"/>
    <s v="male "/>
    <s v=" single"/>
    <s v="management/ self-employed/ highly qualified employee/ officer"/>
    <s v="own"/>
    <n v="24"/>
    <n v="11328"/>
    <x v="28"/>
    <x v="1"/>
    <s v="Medium-Term"/>
    <x v="1"/>
  </r>
  <r>
    <s v="Good"/>
    <s v="Negative balance"/>
    <x v="2"/>
    <s v="Less 100"/>
    <s v="male "/>
    <s v=" single"/>
    <s v="management/ self-employed/ highly qualified employee/ officer"/>
    <s v="for free"/>
    <n v="6"/>
    <n v="1872"/>
    <x v="16"/>
    <x v="0"/>
    <s v="Low-Term"/>
    <x v="0"/>
  </r>
  <r>
    <s v="Good"/>
    <s v="No information"/>
    <x v="7"/>
    <s v="Less 100"/>
    <s v="male "/>
    <s v=" divorced/separated"/>
    <s v="skilled employee / official"/>
    <s v="own"/>
    <n v="24"/>
    <n v="2058"/>
    <x v="24"/>
    <x v="2"/>
    <s v="Medium-Term"/>
    <x v="0"/>
  </r>
  <r>
    <s v="Good"/>
    <s v="Negative balance"/>
    <x v="2"/>
    <s v="Less 100"/>
    <s v="male "/>
    <s v=" single"/>
    <s v="skilled employee / official"/>
    <s v="own"/>
    <n v="9"/>
    <n v="2136"/>
    <x v="8"/>
    <x v="2"/>
    <s v="Low-Term"/>
    <x v="0"/>
  </r>
  <r>
    <s v="Bad"/>
    <s v="Low balance"/>
    <x v="0"/>
    <s v="No information"/>
    <s v="male "/>
    <s v=" married/widowed"/>
    <s v="skilled employee / official"/>
    <s v="own"/>
    <n v="12"/>
    <n v="1484"/>
    <x v="8"/>
    <x v="0"/>
    <s v="Medium-Term"/>
    <x v="1"/>
  </r>
  <r>
    <s v="Good"/>
    <s v="No information"/>
    <x v="7"/>
    <s v="Up to 1000"/>
    <s v="male "/>
    <s v=" married/widowed"/>
    <s v="unskilled - resident"/>
    <s v="rent"/>
    <n v="6"/>
    <n v="660"/>
    <x v="27"/>
    <x v="0"/>
    <s v="Low-Term"/>
    <x v="0"/>
  </r>
  <r>
    <s v="Good"/>
    <s v="No information"/>
    <x v="3"/>
    <s v="More 1000"/>
    <s v="female "/>
    <s v=" divorced/separated/married"/>
    <s v="skilled employee / official"/>
    <s v="own"/>
    <n v="24"/>
    <n v="1287"/>
    <x v="25"/>
    <x v="0"/>
    <s v="Medium-Term"/>
    <x v="0"/>
  </r>
  <r>
    <s v="Good"/>
    <s v="Negative balance"/>
    <x v="7"/>
    <s v="Less 100"/>
    <s v="male "/>
    <s v=" single"/>
    <s v="unemployed/ unskilled  - non-resident"/>
    <s v="own"/>
    <n v="42"/>
    <n v="3394"/>
    <x v="43"/>
    <x v="2"/>
    <s v="Long-Term"/>
    <x v="0"/>
  </r>
  <r>
    <s v="Bad"/>
    <s v="Normal balance"/>
    <x v="5"/>
    <s v="Less 100"/>
    <s v="female "/>
    <s v=" divorced/separated/married"/>
    <s v="unemployed/ unskilled  - non-resident"/>
    <s v="own"/>
    <n v="12"/>
    <n v="609"/>
    <x v="15"/>
    <x v="0"/>
    <s v="Medium-Term"/>
    <x v="1"/>
  </r>
  <r>
    <s v="Good"/>
    <s v="No information"/>
    <x v="3"/>
    <s v="Less 100"/>
    <s v="male "/>
    <s v=" single"/>
    <s v="management/ self-employed/ highly qualified employee/ officer"/>
    <s v="own"/>
    <n v="12"/>
    <n v="1884"/>
    <x v="17"/>
    <x v="0"/>
    <s v="Medium-Term"/>
    <x v="0"/>
  </r>
  <r>
    <s v="Good"/>
    <s v="Negative balance"/>
    <x v="2"/>
    <s v="Less 100"/>
    <s v="female "/>
    <s v=" divorced/separated/married"/>
    <s v="skilled employee / official"/>
    <s v="own"/>
    <n v="12"/>
    <n v="1620"/>
    <x v="22"/>
    <x v="0"/>
    <s v="Medium-Term"/>
    <x v="0"/>
  </r>
  <r>
    <s v="Good"/>
    <s v="Low balance"/>
    <x v="8"/>
    <s v="Less 100"/>
    <s v="male "/>
    <s v=" single"/>
    <s v="skilled employee / official"/>
    <s v="own"/>
    <n v="20"/>
    <n v="2629"/>
    <x v="28"/>
    <x v="2"/>
    <s v="Medium-Term"/>
    <x v="0"/>
  </r>
  <r>
    <s v="Bad"/>
    <s v="No information"/>
    <x v="1"/>
    <s v="Less 100"/>
    <s v="male "/>
    <s v=" single"/>
    <s v="unskilled - resident"/>
    <s v="own"/>
    <n v="12"/>
    <n v="719"/>
    <x v="33"/>
    <x v="0"/>
    <s v="Medium-Term"/>
    <x v="1"/>
  </r>
  <r>
    <s v="Bad"/>
    <s v="Low balance"/>
    <x v="2"/>
    <s v="Less 100"/>
    <s v="female "/>
    <s v=" divorced/separated/married"/>
    <s v="management/ self-employed/ highly qualified employee/ officer"/>
    <s v="own"/>
    <n v="48"/>
    <n v="5096"/>
    <x v="22"/>
    <x v="1"/>
    <s v="Long-Term"/>
    <x v="1"/>
  </r>
  <r>
    <s v="Good"/>
    <s v="No information"/>
    <x v="1"/>
    <s v="No information"/>
    <s v="female "/>
    <s v=" divorced/separated/married"/>
    <s v="unskilled - resident"/>
    <s v="rent"/>
    <n v="9"/>
    <n v="1244"/>
    <x v="33"/>
    <x v="0"/>
    <s v="Low-Term"/>
    <x v="0"/>
  </r>
  <r>
    <s v="Bad"/>
    <s v="Negative balance"/>
    <x v="3"/>
    <s v="Less 100"/>
    <s v="female "/>
    <s v=" divorced/separated/married"/>
    <s v="skilled employee / official"/>
    <s v="own"/>
    <n v="36"/>
    <n v="1842"/>
    <x v="19"/>
    <x v="0"/>
    <s v="Long-Term"/>
    <x v="1"/>
  </r>
  <r>
    <s v="Good"/>
    <s v="Low balance"/>
    <x v="0"/>
    <s v="Less 100"/>
    <s v="male "/>
    <s v=" single"/>
    <s v="skilled employee / official"/>
    <s v="own"/>
    <n v="7"/>
    <n v="2576"/>
    <x v="5"/>
    <x v="2"/>
    <s v="Low-Term"/>
    <x v="0"/>
  </r>
  <r>
    <s v="Good"/>
    <s v="Normal balance"/>
    <x v="2"/>
    <s v="No information"/>
    <s v="female "/>
    <s v=" divorced/separated/married"/>
    <s v="management/ self-employed/ highly qualified employee/ officer"/>
    <s v="own"/>
    <n v="12"/>
    <n v="1424"/>
    <x v="47"/>
    <x v="0"/>
    <s v="Medium-Term"/>
    <x v="0"/>
  </r>
  <r>
    <s v="Bad"/>
    <s v="Low balance"/>
    <x v="7"/>
    <s v="More 1000"/>
    <s v="male "/>
    <s v=" married/widowed"/>
    <s v="skilled employee / official"/>
    <s v="own"/>
    <n v="15"/>
    <n v="1512"/>
    <x v="6"/>
    <x v="0"/>
    <s v="Medium-Term"/>
    <x v="1"/>
  </r>
  <r>
    <s v="Good"/>
    <s v="No information"/>
    <x v="4"/>
    <s v="No information"/>
    <s v="male "/>
    <s v=" single"/>
    <s v="management/ self-employed/ highly qualified employee/ officer"/>
    <s v="own"/>
    <n v="36"/>
    <n v="11054"/>
    <x v="22"/>
    <x v="1"/>
    <s v="Long-Term"/>
    <x v="2"/>
  </r>
  <r>
    <s v="Good"/>
    <s v="No information"/>
    <x v="0"/>
    <s v="Less 100"/>
    <s v="female "/>
    <s v=" divorced/separated/married"/>
    <s v="skilled employee / official"/>
    <s v="own"/>
    <n v="6"/>
    <n v="518"/>
    <x v="28"/>
    <x v="0"/>
    <s v="Low-Term"/>
    <x v="0"/>
  </r>
  <r>
    <s v="Good"/>
    <s v="No information"/>
    <x v="2"/>
    <s v="Less 100"/>
    <s v="male "/>
    <s v=" single"/>
    <s v="skilled employee / official"/>
    <s v="own"/>
    <n v="12"/>
    <n v="2759"/>
    <x v="19"/>
    <x v="2"/>
    <s v="Medium-Term"/>
    <x v="0"/>
  </r>
  <r>
    <s v="Good"/>
    <s v="No information"/>
    <x v="4"/>
    <s v="Less 100"/>
    <s v="male "/>
    <s v=" single"/>
    <s v="management/ self-employed/ highly qualified employee/ officer"/>
    <s v="own"/>
    <n v="24"/>
    <n v="2670"/>
    <x v="5"/>
    <x v="2"/>
    <s v="Medium-Term"/>
    <x v="0"/>
  </r>
  <r>
    <s v="Bad"/>
    <s v="Negative balance"/>
    <x v="3"/>
    <s v="Less 100"/>
    <s v="male "/>
    <s v=" single"/>
    <s v="skilled employee / official"/>
    <s v="own"/>
    <n v="24"/>
    <n v="4817"/>
    <x v="13"/>
    <x v="2"/>
    <s v="Medium-Term"/>
    <x v="1"/>
  </r>
  <r>
    <s v="Good"/>
    <s v="No information"/>
    <x v="4"/>
    <s v="Less 100"/>
    <s v="female "/>
    <s v=" divorced/separated/married"/>
    <s v="management/ self-employed/ highly qualified employee/ officer"/>
    <s v="own"/>
    <n v="24"/>
    <n v="2679"/>
    <x v="28"/>
    <x v="2"/>
    <s v="Medium-Term"/>
    <x v="0"/>
  </r>
  <r>
    <s v="Good"/>
    <s v="Negative balance"/>
    <x v="3"/>
    <s v="Less 100"/>
    <s v="male "/>
    <s v=" single"/>
    <s v="skilled employee / official"/>
    <s v="rent"/>
    <n v="11"/>
    <n v="3905"/>
    <x v="16"/>
    <x v="2"/>
    <s v="Low-Term"/>
    <x v="0"/>
  </r>
  <r>
    <s v="Bad"/>
    <s v="Negative balance"/>
    <x v="4"/>
    <s v="Less 100"/>
    <s v="male "/>
    <s v=" single"/>
    <s v="skilled employee / official"/>
    <s v="for free"/>
    <n v="12"/>
    <n v="3386"/>
    <x v="5"/>
    <x v="2"/>
    <s v="Medium-Term"/>
    <x v="1"/>
  </r>
  <r>
    <s v="Good"/>
    <s v="Negative balance"/>
    <x v="6"/>
    <s v="Less 100"/>
    <s v="female "/>
    <s v=" divorced/separated/married"/>
    <s v="skilled employee / official"/>
    <s v="own"/>
    <n v="6"/>
    <n v="343"/>
    <x v="21"/>
    <x v="0"/>
    <s v="Low-Term"/>
    <x v="0"/>
  </r>
  <r>
    <s v="Good"/>
    <s v="No information"/>
    <x v="0"/>
    <s v="Less 100"/>
    <s v="male "/>
    <s v=" single"/>
    <s v="skilled employee / official"/>
    <s v="own"/>
    <n v="18"/>
    <n v="4594"/>
    <x v="11"/>
    <x v="2"/>
    <s v="Medium-Term"/>
    <x v="0"/>
  </r>
  <r>
    <s v="Good"/>
    <s v="Negative balance"/>
    <x v="2"/>
    <s v="Less 100"/>
    <s v="male "/>
    <s v=" single"/>
    <s v="skilled employee / official"/>
    <s v="own"/>
    <n v="36"/>
    <n v="3620"/>
    <x v="25"/>
    <x v="2"/>
    <s v="Long-Term"/>
    <x v="0"/>
  </r>
  <r>
    <s v="Good"/>
    <s v="Negative balance"/>
    <x v="3"/>
    <s v="Less 100"/>
    <s v="male "/>
    <s v=" single"/>
    <s v="skilled employee / official"/>
    <s v="own"/>
    <n v="15"/>
    <n v="1721"/>
    <x v="16"/>
    <x v="0"/>
    <s v="Medium-Term"/>
    <x v="0"/>
  </r>
  <r>
    <s v="Good"/>
    <s v="Low balance"/>
    <x v="2"/>
    <s v="Less 100"/>
    <s v="female "/>
    <s v=" divorced/separated/married"/>
    <s v="management/ self-employed/ highly qualified employee/ officer"/>
    <s v="rent"/>
    <n v="12"/>
    <n v="3017"/>
    <x v="19"/>
    <x v="2"/>
    <s v="Medium-Term"/>
    <x v="0"/>
  </r>
  <r>
    <s v="Good"/>
    <s v="Low balance"/>
    <x v="9"/>
    <s v="No information"/>
    <s v="male "/>
    <s v=" single"/>
    <s v="skilled employee / official"/>
    <s v="own"/>
    <n v="12"/>
    <n v="754"/>
    <x v="41"/>
    <x v="0"/>
    <s v="Medium-Term"/>
    <x v="0"/>
  </r>
  <r>
    <s v="Good"/>
    <s v="No information"/>
    <x v="5"/>
    <s v="Less 100"/>
    <s v="male "/>
    <s v=" single"/>
    <s v="skilled employee / official"/>
    <s v="own"/>
    <n v="18"/>
    <n v="1950"/>
    <x v="19"/>
    <x v="0"/>
    <s v="Medium-Term"/>
    <x v="0"/>
  </r>
  <r>
    <s v="Good"/>
    <s v="Negative balance"/>
    <x v="4"/>
    <s v="Less 100"/>
    <s v="male "/>
    <s v=" single"/>
    <s v="skilled employee / official"/>
    <s v="own"/>
    <n v="24"/>
    <n v="2924"/>
    <x v="20"/>
    <x v="2"/>
    <s v="Medium-Term"/>
    <x v="0"/>
  </r>
  <r>
    <s v="Bad"/>
    <s v="Negative balance"/>
    <x v="0"/>
    <s v="Less 100"/>
    <s v="female "/>
    <s v=" divorced/separated/married"/>
    <s v="unskilled - resident"/>
    <s v="rent"/>
    <n v="24"/>
    <n v="1659"/>
    <x v="28"/>
    <x v="0"/>
    <s v="Medium-Term"/>
    <x v="1"/>
  </r>
  <r>
    <s v="Good"/>
    <s v="No information"/>
    <x v="0"/>
    <s v="No information"/>
    <s v="male "/>
    <s v=" single"/>
    <s v="skilled employee / official"/>
    <s v="own"/>
    <n v="48"/>
    <n v="7238"/>
    <x v="11"/>
    <x v="1"/>
    <s v="Long-Term"/>
    <x v="2"/>
  </r>
  <r>
    <s v="Good"/>
    <s v="No information"/>
    <x v="5"/>
    <s v="Less 100"/>
    <s v="female "/>
    <s v=" divorced/separated/married"/>
    <s v="skilled employee / official"/>
    <s v="own"/>
    <n v="33"/>
    <n v="2764"/>
    <x v="15"/>
    <x v="2"/>
    <s v="Medium-Term"/>
    <x v="0"/>
  </r>
  <r>
    <s v="Good"/>
    <s v="No information"/>
    <x v="4"/>
    <s v="Less 100"/>
    <s v="male "/>
    <s v=" single"/>
    <s v="unskilled - resident"/>
    <s v="own"/>
    <n v="24"/>
    <n v="4679"/>
    <x v="5"/>
    <x v="2"/>
    <s v="Medium-Term"/>
    <x v="0"/>
  </r>
  <r>
    <s v="Bad"/>
    <s v="Low balance"/>
    <x v="0"/>
    <s v="Up to 500"/>
    <s v="male "/>
    <s v=" married/widowed"/>
    <s v="skilled employee / official"/>
    <s v="rent"/>
    <n v="24"/>
    <n v="3092"/>
    <x v="1"/>
    <x v="2"/>
    <s v="Medium-Term"/>
    <x v="1"/>
  </r>
  <r>
    <s v="Bad"/>
    <s v="Negative balance"/>
    <x v="1"/>
    <s v="Less 100"/>
    <s v="female "/>
    <s v=" divorced/separated/married"/>
    <s v="skilled employee / official"/>
    <s v="own"/>
    <n v="6"/>
    <n v="448"/>
    <x v="27"/>
    <x v="0"/>
    <s v="Low-Term"/>
    <x v="1"/>
  </r>
  <r>
    <s v="Bad"/>
    <s v="Negative balance"/>
    <x v="3"/>
    <s v="Less 100"/>
    <s v="male "/>
    <s v=" single"/>
    <s v="unskilled - resident"/>
    <s v="own"/>
    <n v="9"/>
    <n v="654"/>
    <x v="7"/>
    <x v="0"/>
    <s v="Low-Term"/>
    <x v="1"/>
  </r>
  <r>
    <s v="Good"/>
    <s v="No information"/>
    <x v="9"/>
    <s v="No information"/>
    <s v="male "/>
    <s v=" single"/>
    <s v="management/ self-employed/ highly qualified employee/ officer"/>
    <s v="own"/>
    <n v="6"/>
    <n v="1238"/>
    <x v="16"/>
    <x v="0"/>
    <s v="Low-Term"/>
    <x v="0"/>
  </r>
  <r>
    <s v="Bad"/>
    <s v="Low balance"/>
    <x v="0"/>
    <s v="Less 100"/>
    <s v="male "/>
    <s v=" married/widowed"/>
    <s v="skilled employee / official"/>
    <s v="own"/>
    <n v="18"/>
    <n v="1245"/>
    <x v="24"/>
    <x v="0"/>
    <s v="Medium-Term"/>
    <x v="1"/>
  </r>
  <r>
    <s v="Bad"/>
    <s v="Negative balance"/>
    <x v="2"/>
    <s v="Less 100"/>
    <s v="female "/>
    <s v=" divorced/separated/married"/>
    <s v="skilled employee / official"/>
    <s v="rent"/>
    <n v="18"/>
    <n v="3114"/>
    <x v="15"/>
    <x v="2"/>
    <s v="Medium-Term"/>
    <x v="1"/>
  </r>
  <r>
    <s v="Good"/>
    <s v="No information"/>
    <x v="4"/>
    <s v="Up to 1000"/>
    <s v="male "/>
    <s v=" single"/>
    <s v="skilled employee / official"/>
    <s v="own"/>
    <n v="39"/>
    <n v="2569"/>
    <x v="9"/>
    <x v="2"/>
    <s v="Long-Term"/>
    <x v="0"/>
  </r>
  <r>
    <s v="Good"/>
    <s v="Normal balance"/>
    <x v="0"/>
    <s v="Less 100"/>
    <s v="male "/>
    <s v=" single"/>
    <s v="skilled employee / official"/>
    <s v="own"/>
    <n v="24"/>
    <n v="5152"/>
    <x v="8"/>
    <x v="1"/>
    <s v="Medium-Term"/>
    <x v="0"/>
  </r>
  <r>
    <s v="Good"/>
    <s v="Low balance"/>
    <x v="5"/>
    <s v="Up to 500"/>
    <s v="male "/>
    <s v=" single"/>
    <s v="unskilled - resident"/>
    <s v="own"/>
    <n v="12"/>
    <n v="1037"/>
    <x v="17"/>
    <x v="0"/>
    <s v="Medium-Term"/>
    <x v="0"/>
  </r>
  <r>
    <s v="Good"/>
    <s v="Negative balance"/>
    <x v="2"/>
    <s v="Less 100"/>
    <s v="male "/>
    <s v=" single"/>
    <s v="skilled employee / official"/>
    <s v="own"/>
    <n v="15"/>
    <n v="1478"/>
    <x v="12"/>
    <x v="0"/>
    <s v="Medium-Term"/>
    <x v="0"/>
  </r>
  <r>
    <s v="Good"/>
    <s v="Low balance"/>
    <x v="0"/>
    <s v="Less 100"/>
    <s v="female "/>
    <s v=" divorced/separated/married"/>
    <s v="unskilled - resident"/>
    <s v="own"/>
    <n v="12"/>
    <n v="3573"/>
    <x v="27"/>
    <x v="2"/>
    <s v="Medium-Term"/>
    <x v="0"/>
  </r>
  <r>
    <s v="Good"/>
    <s v="Low balance"/>
    <x v="3"/>
    <s v="Less 100"/>
    <s v="male "/>
    <s v=" single"/>
    <s v="skilled employee / official"/>
    <s v="own"/>
    <n v="24"/>
    <n v="1201"/>
    <x v="15"/>
    <x v="0"/>
    <s v="Medium-Term"/>
    <x v="0"/>
  </r>
  <r>
    <s v="Good"/>
    <s v="Negative balance"/>
    <x v="2"/>
    <s v="More 1000"/>
    <s v="female "/>
    <s v=" divorced/separated/married"/>
    <s v="skilled employee / official"/>
    <s v="rent"/>
    <n v="30"/>
    <n v="3622"/>
    <x v="23"/>
    <x v="2"/>
    <s v="Medium-Term"/>
    <x v="0"/>
  </r>
  <r>
    <s v="Good"/>
    <s v="No information"/>
    <x v="2"/>
    <s v="More 1000"/>
    <s v="female "/>
    <s v=" divorced/separated/married"/>
    <s v="skilled employee / official"/>
    <s v="own"/>
    <n v="15"/>
    <n v="960"/>
    <x v="22"/>
    <x v="0"/>
    <s v="Medium-Term"/>
    <x v="0"/>
  </r>
  <r>
    <s v="Good"/>
    <s v="No information"/>
    <x v="3"/>
    <s v="Up to 1000"/>
    <s v="male "/>
    <s v=" single"/>
    <s v="skilled employee / official"/>
    <s v="own"/>
    <n v="12"/>
    <n v="1163"/>
    <x v="12"/>
    <x v="0"/>
    <s v="Medium-Term"/>
    <x v="0"/>
  </r>
  <r>
    <s v="Bad"/>
    <s v="Low balance"/>
    <x v="3"/>
    <s v="Less 100"/>
    <s v="male "/>
    <s v=" single"/>
    <s v="management/ self-employed/ highly qualified employee/ officer"/>
    <s v="own"/>
    <n v="6"/>
    <n v="1209"/>
    <x v="36"/>
    <x v="0"/>
    <s v="Low-Term"/>
    <x v="1"/>
  </r>
  <r>
    <s v="Good"/>
    <s v="No information"/>
    <x v="0"/>
    <s v="Less 100"/>
    <s v="male "/>
    <s v=" single"/>
    <s v="skilled employee / official"/>
    <s v="own"/>
    <n v="12"/>
    <n v="3077"/>
    <x v="29"/>
    <x v="2"/>
    <s v="Medium-Term"/>
    <x v="0"/>
  </r>
  <r>
    <s v="Good"/>
    <s v="No information"/>
    <x v="3"/>
    <s v="Less 100"/>
    <s v="female "/>
    <s v=" divorced/separated/married"/>
    <s v="skilled employee / official"/>
    <s v="for free"/>
    <n v="24"/>
    <n v="3757"/>
    <x v="51"/>
    <x v="2"/>
    <s v="Medium-Term"/>
    <x v="0"/>
  </r>
  <r>
    <s v="Good"/>
    <s v="No information"/>
    <x v="3"/>
    <s v="Up to 500"/>
    <s v="male "/>
    <s v=" single"/>
    <s v="unskilled - resident"/>
    <s v="rent"/>
    <n v="10"/>
    <n v="1418"/>
    <x v="5"/>
    <x v="0"/>
    <s v="Low-Term"/>
    <x v="0"/>
  </r>
  <r>
    <s v="Good"/>
    <s v="No information"/>
    <x v="3"/>
    <s v="Less 100"/>
    <s v="male "/>
    <s v=" single"/>
    <s v="skilled employee / official"/>
    <s v="rent"/>
    <n v="6"/>
    <n v="3518"/>
    <x v="15"/>
    <x v="2"/>
    <s v="Low-Term"/>
    <x v="0"/>
  </r>
  <r>
    <s v="Good"/>
    <s v="No information"/>
    <x v="0"/>
    <s v="Less 100"/>
    <s v="male "/>
    <s v=" single"/>
    <s v="skilled employee / official"/>
    <s v="own"/>
    <n v="12"/>
    <n v="1934"/>
    <x v="15"/>
    <x v="0"/>
    <s v="Medium-Term"/>
    <x v="0"/>
  </r>
  <r>
    <s v="Bad"/>
    <s v="Low balance"/>
    <x v="5"/>
    <s v="Less 100"/>
    <s v="female "/>
    <s v=" divorced/separated/married"/>
    <s v="management/ self-employed/ highly qualified employee/ officer"/>
    <s v="for free"/>
    <n v="27"/>
    <n v="8318"/>
    <x v="18"/>
    <x v="1"/>
    <s v="Medium-Term"/>
    <x v="1"/>
  </r>
  <r>
    <s v="Good"/>
    <s v="No information"/>
    <x v="0"/>
    <s v="Up to 500"/>
    <s v="female "/>
    <s v=" divorced/separated/married"/>
    <s v="skilled employee / official"/>
    <s v="own"/>
    <n v="6"/>
    <n v="1237"/>
    <x v="21"/>
    <x v="0"/>
    <s v="Low-Term"/>
    <x v="0"/>
  </r>
  <r>
    <s v="Good"/>
    <s v="Low balance"/>
    <x v="0"/>
    <s v="No information"/>
    <s v="male "/>
    <s v=" single"/>
    <s v="skilled employee / official"/>
    <s v="own"/>
    <n v="6"/>
    <n v="368"/>
    <x v="41"/>
    <x v="0"/>
    <s v="Low-Term"/>
    <x v="0"/>
  </r>
  <r>
    <s v="Good"/>
    <s v="Negative balance"/>
    <x v="3"/>
    <s v="Less 100"/>
    <s v="male "/>
    <s v=" single"/>
    <s v="unskilled - resident"/>
    <s v="rent"/>
    <n v="12"/>
    <n v="2122"/>
    <x v="17"/>
    <x v="2"/>
    <s v="Medium-Term"/>
    <x v="0"/>
  </r>
  <r>
    <s v="Bad"/>
    <s v="Negative balance"/>
    <x v="2"/>
    <s v="No information"/>
    <s v="male "/>
    <s v=" married/widowed"/>
    <s v="skilled employee / official"/>
    <s v="own"/>
    <n v="24"/>
    <n v="2996"/>
    <x v="39"/>
    <x v="2"/>
    <s v="Medium-Term"/>
    <x v="1"/>
  </r>
  <r>
    <s v="Bad"/>
    <s v="Low balance"/>
    <x v="2"/>
    <s v="Up to 500"/>
    <s v="male "/>
    <s v=" single"/>
    <s v="management/ self-employed/ highly qualified employee/ officer"/>
    <s v="rent"/>
    <n v="36"/>
    <n v="9034"/>
    <x v="28"/>
    <x v="1"/>
    <s v="Long-Term"/>
    <x v="1"/>
  </r>
  <r>
    <s v="Good"/>
    <s v="No information"/>
    <x v="2"/>
    <s v="Less 100"/>
    <s v="male "/>
    <s v=" single"/>
    <s v="skilled employee / official"/>
    <s v="own"/>
    <n v="24"/>
    <n v="1585"/>
    <x v="34"/>
    <x v="0"/>
    <s v="Medium-Term"/>
    <x v="0"/>
  </r>
  <r>
    <s v="Good"/>
    <s v="Low balance"/>
    <x v="0"/>
    <s v="Less 100"/>
    <s v="male "/>
    <s v=" married/widowed"/>
    <s v="unskilled - resident"/>
    <s v="own"/>
    <n v="18"/>
    <n v="1301"/>
    <x v="11"/>
    <x v="0"/>
    <s v="Medium-Term"/>
    <x v="0"/>
  </r>
  <r>
    <s v="Good"/>
    <s v="Normal balance"/>
    <x v="3"/>
    <s v="Up to 500"/>
    <s v="male "/>
    <s v=" divorced/separated"/>
    <s v="skilled employee / official"/>
    <s v="own"/>
    <n v="6"/>
    <n v="1323"/>
    <x v="7"/>
    <x v="0"/>
    <s v="Low-Term"/>
    <x v="0"/>
  </r>
  <r>
    <s v="Bad"/>
    <s v="Negative balance"/>
    <x v="3"/>
    <s v="Less 100"/>
    <s v="female "/>
    <s v=" divorced/separated/married"/>
    <s v="skilled employee / official"/>
    <s v="own"/>
    <n v="24"/>
    <n v="3123"/>
    <x v="21"/>
    <x v="2"/>
    <s v="Medium-Term"/>
    <x v="1"/>
  </r>
  <r>
    <s v="Good"/>
    <s v="Negative balance"/>
    <x v="4"/>
    <s v="Less 100"/>
    <s v="male "/>
    <s v=" single"/>
    <s v="skilled employee / official"/>
    <s v="for free"/>
    <n v="36"/>
    <n v="5493"/>
    <x v="18"/>
    <x v="1"/>
    <s v="Long-Term"/>
    <x v="0"/>
  </r>
  <r>
    <s v="Good"/>
    <s v="Normal balance"/>
    <x v="0"/>
    <s v="Up to 500"/>
    <s v="male "/>
    <s v=" divorced/separated"/>
    <s v="skilled employee / official"/>
    <s v="own"/>
    <n v="9"/>
    <n v="1126"/>
    <x v="2"/>
    <x v="0"/>
    <s v="Low-Term"/>
    <x v="0"/>
  </r>
  <r>
    <s v="Bad"/>
    <s v="Low balance"/>
    <x v="0"/>
    <s v="Up to 500"/>
    <s v="male "/>
    <s v=" single"/>
    <s v="skilled employee / official"/>
    <s v="own"/>
    <n v="24"/>
    <n v="1216"/>
    <x v="41"/>
    <x v="0"/>
    <s v="Medium-Term"/>
    <x v="1"/>
  </r>
  <r>
    <s v="Bad"/>
    <s v="Negative balance"/>
    <x v="3"/>
    <s v="Less 100"/>
    <s v="female "/>
    <s v=" divorced/separated/married"/>
    <s v="skilled employee / official"/>
    <s v="rent"/>
    <n v="24"/>
    <n v="1207"/>
    <x v="9"/>
    <x v="0"/>
    <s v="Medium-Term"/>
    <x v="1"/>
  </r>
  <r>
    <s v="Bad"/>
    <s v="No information"/>
    <x v="3"/>
    <s v="No information"/>
    <s v="male "/>
    <s v=" single"/>
    <s v="unskilled - resident"/>
    <s v="own"/>
    <n v="10"/>
    <n v="1309"/>
    <x v="21"/>
    <x v="0"/>
    <s v="Low-Term"/>
    <x v="1"/>
  </r>
  <r>
    <s v="Good"/>
    <s v="Normal balance"/>
    <x v="4"/>
    <s v="Up to 1000"/>
    <s v="male "/>
    <s v=" single"/>
    <s v="skilled employee / official"/>
    <s v="own"/>
    <n v="15"/>
    <n v="2360"/>
    <x v="16"/>
    <x v="2"/>
    <s v="Medium-Term"/>
    <x v="0"/>
  </r>
  <r>
    <s v="Bad"/>
    <s v="Low balance"/>
    <x v="3"/>
    <s v="Up to 500"/>
    <s v="male "/>
    <s v=" single"/>
    <s v="management/ self-employed/ highly qualified employee/ officer"/>
    <s v="own"/>
    <n v="15"/>
    <n v="6850"/>
    <x v="19"/>
    <x v="1"/>
    <s v="Medium-Term"/>
    <x v="1"/>
  </r>
  <r>
    <s v="Good"/>
    <s v="No information"/>
    <x v="0"/>
    <s v="Less 100"/>
    <s v="male "/>
    <s v=" married/widowed"/>
    <s v="skilled employee / official"/>
    <s v="own"/>
    <n v="24"/>
    <n v="1413"/>
    <x v="7"/>
    <x v="0"/>
    <s v="Medium-Term"/>
    <x v="0"/>
  </r>
  <r>
    <s v="Good"/>
    <s v="No information"/>
    <x v="4"/>
    <s v="Up to 500"/>
    <s v="male "/>
    <s v=" single"/>
    <s v="management/ self-employed/ highly qualified employee/ officer"/>
    <s v="own"/>
    <n v="39"/>
    <n v="8588"/>
    <x v="3"/>
    <x v="1"/>
    <s v="Long-Term"/>
    <x v="2"/>
  </r>
  <r>
    <s v="Bad"/>
    <s v="Negative balance"/>
    <x v="3"/>
    <s v="Less 100"/>
    <s v="male "/>
    <s v=" single"/>
    <s v="skilled employee / official"/>
    <s v="own"/>
    <n v="12"/>
    <n v="759"/>
    <x v="15"/>
    <x v="0"/>
    <s v="Medium-Term"/>
    <x v="1"/>
  </r>
  <r>
    <s v="Good"/>
    <s v="No information"/>
    <x v="4"/>
    <s v="Less 100"/>
    <s v="male "/>
    <s v=" single"/>
    <s v="management/ self-employed/ highly qualified employee/ officer"/>
    <s v="for free"/>
    <n v="36"/>
    <n v="4686"/>
    <x v="11"/>
    <x v="2"/>
    <s v="Long-Term"/>
    <x v="0"/>
  </r>
  <r>
    <s v="Good"/>
    <s v="Normal balance"/>
    <x v="5"/>
    <s v="Less 100"/>
    <s v="male "/>
    <s v=" single"/>
    <s v="skilled employee / official"/>
    <s v="rent"/>
    <n v="15"/>
    <n v="2687"/>
    <x v="15"/>
    <x v="2"/>
    <s v="Medium-Term"/>
    <x v="0"/>
  </r>
  <r>
    <s v="Good"/>
    <s v="Low balance"/>
    <x v="0"/>
    <s v="Less 100"/>
    <s v="male "/>
    <s v=" married/widowed"/>
    <s v="skilled employee / official"/>
    <s v="rent"/>
    <n v="12"/>
    <n v="585"/>
    <x v="39"/>
    <x v="0"/>
    <s v="Medium-Term"/>
    <x v="0"/>
  </r>
  <r>
    <s v="Good"/>
    <s v="No information"/>
    <x v="3"/>
    <s v="No information"/>
    <s v="male "/>
    <s v=" single"/>
    <s v="skilled employee / official"/>
    <s v="own"/>
    <n v="24"/>
    <n v="2255"/>
    <x v="38"/>
    <x v="2"/>
    <s v="Medium-Term"/>
    <x v="0"/>
  </r>
  <r>
    <s v="Good"/>
    <s v="Negative balance"/>
    <x v="3"/>
    <s v="Less 100"/>
    <s v="female "/>
    <s v=" divorced/separated/married"/>
    <s v="skilled employee / official"/>
    <s v="own"/>
    <n v="6"/>
    <n v="609"/>
    <x v="25"/>
    <x v="0"/>
    <s v="Low-Term"/>
    <x v="0"/>
  </r>
  <r>
    <s v="Good"/>
    <s v="Negative balance"/>
    <x v="3"/>
    <s v="Less 100"/>
    <s v="male "/>
    <s v=" single"/>
    <s v="unskilled - resident"/>
    <s v="own"/>
    <n v="6"/>
    <n v="1361"/>
    <x v="34"/>
    <x v="0"/>
    <s v="Low-Term"/>
    <x v="0"/>
  </r>
  <r>
    <s v="Bad"/>
    <s v="No information"/>
    <x v="2"/>
    <s v="Less 100"/>
    <s v="female "/>
    <s v=" divorced/separated/married"/>
    <s v="skilled employee / official"/>
    <s v="rent"/>
    <n v="36"/>
    <n v="7127"/>
    <x v="27"/>
    <x v="1"/>
    <s v="Long-Term"/>
    <x v="1"/>
  </r>
  <r>
    <s v="Good"/>
    <s v="Negative balance"/>
    <x v="3"/>
    <s v="Up to 500"/>
    <s v="male "/>
    <s v=" single"/>
    <s v="skilled employee / official"/>
    <s v="own"/>
    <n v="6"/>
    <n v="1203"/>
    <x v="46"/>
    <x v="0"/>
    <s v="Low-Term"/>
    <x v="0"/>
  </r>
  <r>
    <s v="Good"/>
    <s v="No information"/>
    <x v="0"/>
    <s v="No information"/>
    <s v="male "/>
    <s v=" single"/>
    <s v="skilled employee / official"/>
    <s v="for free"/>
    <n v="6"/>
    <n v="700"/>
    <x v="16"/>
    <x v="0"/>
    <s v="Low-Term"/>
    <x v="0"/>
  </r>
  <r>
    <s v="Good"/>
    <s v="No information"/>
    <x v="7"/>
    <s v="Less 100"/>
    <s v="male "/>
    <s v=" single"/>
    <s v="skilled employee / official"/>
    <s v="for free"/>
    <n v="24"/>
    <n v="5507"/>
    <x v="12"/>
    <x v="1"/>
    <s v="Medium-Term"/>
    <x v="0"/>
  </r>
  <r>
    <s v="Bad"/>
    <s v="Negative balance"/>
    <x v="0"/>
    <s v="Less 100"/>
    <s v="female "/>
    <s v=" divorced/separated/married"/>
    <s v="skilled employee / official"/>
    <s v="own"/>
    <n v="18"/>
    <n v="3190"/>
    <x v="9"/>
    <x v="2"/>
    <s v="Medium-Term"/>
    <x v="1"/>
  </r>
  <r>
    <s v="Bad"/>
    <s v="Negative balance"/>
    <x v="2"/>
    <s v="Less 100"/>
    <s v="male "/>
    <s v=" single"/>
    <s v="skilled employee / official"/>
    <s v="for free"/>
    <n v="48"/>
    <n v="7119"/>
    <x v="4"/>
    <x v="1"/>
    <s v="Long-Term"/>
    <x v="1"/>
  </r>
  <r>
    <s v="Good"/>
    <s v="No information"/>
    <x v="4"/>
    <s v="Up to 500"/>
    <s v="female "/>
    <s v=" divorced/separated/married"/>
    <s v="skilled employee / official"/>
    <s v="own"/>
    <n v="24"/>
    <n v="3488"/>
    <x v="27"/>
    <x v="2"/>
    <s v="Medium-Term"/>
    <x v="0"/>
  </r>
  <r>
    <s v="Good"/>
    <s v="Low balance"/>
    <x v="0"/>
    <s v="Less 100"/>
    <s v="female "/>
    <s v=" divorced/separated/married"/>
    <s v="unskilled - resident"/>
    <s v="own"/>
    <n v="18"/>
    <n v="1113"/>
    <x v="15"/>
    <x v="0"/>
    <s v="Medium-Term"/>
    <x v="0"/>
  </r>
  <r>
    <s v="Good"/>
    <s v="Low balance"/>
    <x v="4"/>
    <s v="Less 100"/>
    <s v="male "/>
    <s v=" single"/>
    <s v="skilled employee / official"/>
    <s v="own"/>
    <n v="26"/>
    <n v="7966"/>
    <x v="22"/>
    <x v="1"/>
    <s v="Medium-Term"/>
    <x v="2"/>
  </r>
  <r>
    <s v="Good"/>
    <s v="No information"/>
    <x v="1"/>
    <s v="Up to 500"/>
    <s v="female "/>
    <s v=" divorced/separated/married"/>
    <s v="skilled employee / official"/>
    <s v="own"/>
    <n v="15"/>
    <n v="1532"/>
    <x v="13"/>
    <x v="0"/>
    <s v="Medium-Term"/>
    <x v="0"/>
  </r>
  <r>
    <s v="Good"/>
    <s v="No information"/>
    <x v="0"/>
    <s v="Less 100"/>
    <s v="male "/>
    <s v=" single"/>
    <s v="unskilled - resident"/>
    <s v="own"/>
    <n v="4"/>
    <n v="1503"/>
    <x v="18"/>
    <x v="0"/>
    <s v="Low-Term"/>
    <x v="0"/>
  </r>
  <r>
    <s v="Bad"/>
    <s v="Negative balance"/>
    <x v="0"/>
    <s v="Less 100"/>
    <s v="male "/>
    <s v=" divorced/separated"/>
    <s v="skilled employee / official"/>
    <s v="rent"/>
    <n v="36"/>
    <n v="2302"/>
    <x v="13"/>
    <x v="2"/>
    <s v="Long-Term"/>
    <x v="1"/>
  </r>
  <r>
    <s v="Good"/>
    <s v="Negative balance"/>
    <x v="3"/>
    <s v="Less 100"/>
    <s v="male "/>
    <s v=" single"/>
    <s v="unskilled - resident"/>
    <s v="own"/>
    <n v="6"/>
    <n v="662"/>
    <x v="33"/>
    <x v="0"/>
    <s v="Low-Term"/>
    <x v="0"/>
  </r>
  <r>
    <s v="Good"/>
    <s v="Low balance"/>
    <x v="1"/>
    <s v="Less 100"/>
    <s v="male "/>
    <s v=" single"/>
    <s v="skilled employee / official"/>
    <s v="own"/>
    <n v="36"/>
    <n v="2273"/>
    <x v="11"/>
    <x v="2"/>
    <s v="Long-Term"/>
    <x v="0"/>
  </r>
  <r>
    <s v="Bad"/>
    <s v="Low balance"/>
    <x v="3"/>
    <s v="Up to 500"/>
    <s v="female "/>
    <s v=" divorced/separated/married"/>
    <s v="skilled employee / official"/>
    <s v="rent"/>
    <n v="15"/>
    <n v="2631"/>
    <x v="7"/>
    <x v="2"/>
    <s v="Medium-Term"/>
    <x v="1"/>
  </r>
  <r>
    <s v="Good"/>
    <s v="No information"/>
    <x v="4"/>
    <s v="Less 100"/>
    <s v="male "/>
    <s v=" married/widowed"/>
    <s v="skilled employee / official"/>
    <s v="rent"/>
    <n v="12"/>
    <n v="1503"/>
    <x v="33"/>
    <x v="0"/>
    <s v="Medium-Term"/>
    <x v="0"/>
  </r>
  <r>
    <s v="Good"/>
    <s v="No information"/>
    <x v="0"/>
    <s v="Up to 500"/>
    <s v="male "/>
    <s v=" married/widowed"/>
    <s v="skilled employee / official"/>
    <s v="own"/>
    <n v="24"/>
    <n v="1311"/>
    <x v="15"/>
    <x v="0"/>
    <s v="Medium-Term"/>
    <x v="0"/>
  </r>
  <r>
    <s v="Good"/>
    <s v="No information"/>
    <x v="0"/>
    <s v="No information"/>
    <s v="male "/>
    <s v=" single"/>
    <s v="skilled employee / official"/>
    <s v="own"/>
    <n v="24"/>
    <n v="3105"/>
    <x v="8"/>
    <x v="2"/>
    <s v="Medium-Term"/>
    <x v="0"/>
  </r>
  <r>
    <s v="Bad"/>
    <s v="Normal balance"/>
    <x v="1"/>
    <s v="Less 100"/>
    <s v="male "/>
    <s v=" divorced/separated"/>
    <s v="skilled employee / official"/>
    <s v="rent"/>
    <n v="21"/>
    <n v="2319"/>
    <x v="24"/>
    <x v="2"/>
    <s v="Medium-Term"/>
    <x v="1"/>
  </r>
  <r>
    <s v="Good"/>
    <s v="Negative balance"/>
    <x v="3"/>
    <s v="No information"/>
    <s v="female "/>
    <s v=" divorced/separated/married"/>
    <s v="management/ self-employed/ highly qualified employee/ officer"/>
    <s v="own"/>
    <n v="6"/>
    <n v="1374"/>
    <x v="49"/>
    <x v="0"/>
    <s v="Low-Term"/>
    <x v="0"/>
  </r>
  <r>
    <s v="Good"/>
    <s v="Low balance"/>
    <x v="2"/>
    <s v="Less 100"/>
    <s v="female "/>
    <s v=" divorced/separated/married"/>
    <s v="skilled employee / official"/>
    <s v="own"/>
    <n v="18"/>
    <n v="3612"/>
    <x v="25"/>
    <x v="2"/>
    <s v="Medium-Term"/>
    <x v="0"/>
  </r>
  <r>
    <s v="Bad"/>
    <s v="Negative balance"/>
    <x v="3"/>
    <s v="Less 100"/>
    <s v="male "/>
    <s v=" single"/>
    <s v="management/ self-employed/ highly qualified employee/ officer"/>
    <s v="for free"/>
    <n v="48"/>
    <n v="7763"/>
    <x v="18"/>
    <x v="1"/>
    <s v="Long-Term"/>
    <x v="1"/>
  </r>
  <r>
    <s v="Good"/>
    <s v="Normal balance"/>
    <x v="2"/>
    <s v="Less 100"/>
    <s v="female "/>
    <s v=" divorced/separated/married"/>
    <s v="unskilled - resident"/>
    <s v="own"/>
    <n v="18"/>
    <n v="3049"/>
    <x v="3"/>
    <x v="2"/>
    <s v="Medium-Term"/>
    <x v="0"/>
  </r>
  <r>
    <s v="Bad"/>
    <s v="Low balance"/>
    <x v="0"/>
    <s v="Less 100"/>
    <s v="male "/>
    <s v=" married/widowed"/>
    <s v="skilled employee / official"/>
    <s v="rent"/>
    <n v="12"/>
    <n v="1534"/>
    <x v="27"/>
    <x v="0"/>
    <s v="Medium-Term"/>
    <x v="1"/>
  </r>
  <r>
    <s v="Good"/>
    <s v="No information"/>
    <x v="3"/>
    <s v="Less 100"/>
    <s v="male "/>
    <s v=" single"/>
    <s v="skilled employee / official"/>
    <s v="for free"/>
    <n v="24"/>
    <n v="2032"/>
    <x v="10"/>
    <x v="2"/>
    <s v="Medium-Term"/>
    <x v="0"/>
  </r>
  <r>
    <s v="Bad"/>
    <s v="Negative balance"/>
    <x v="2"/>
    <s v="No information"/>
    <s v="male "/>
    <s v=" single"/>
    <s v="skilled employee / official"/>
    <s v="own"/>
    <n v="30"/>
    <n v="6350"/>
    <x v="13"/>
    <x v="1"/>
    <s v="Medium-Term"/>
    <x v="1"/>
  </r>
  <r>
    <s v="Bad"/>
    <s v="Normal balance"/>
    <x v="2"/>
    <s v="Less 100"/>
    <s v="male "/>
    <s v=" single"/>
    <s v="unskilled - resident"/>
    <s v="own"/>
    <n v="18"/>
    <n v="2864"/>
    <x v="19"/>
    <x v="2"/>
    <s v="Medium-Term"/>
    <x v="1"/>
  </r>
  <r>
    <s v="Good"/>
    <s v="No information"/>
    <x v="3"/>
    <s v="Less 100"/>
    <s v="male "/>
    <s v=" single"/>
    <s v="unskilled - resident"/>
    <s v="own"/>
    <n v="12"/>
    <n v="1255"/>
    <x v="6"/>
    <x v="0"/>
    <s v="Medium-Term"/>
    <x v="0"/>
  </r>
  <r>
    <s v="Bad"/>
    <s v="Negative balance"/>
    <x v="3"/>
    <s v="Less 100"/>
    <s v="male "/>
    <s v=" single"/>
    <s v="skilled employee / official"/>
    <s v="for free"/>
    <n v="24"/>
    <n v="1333"/>
    <x v="46"/>
    <x v="0"/>
    <s v="Medium-Term"/>
    <x v="1"/>
  </r>
  <r>
    <s v="Good"/>
    <s v="No information"/>
    <x v="3"/>
    <s v="Less 100"/>
    <s v="female "/>
    <s v=" divorced/separated/married"/>
    <s v="skilled employee / official"/>
    <s v="own"/>
    <n v="24"/>
    <n v="2022"/>
    <x v="25"/>
    <x v="2"/>
    <s v="Medium-Term"/>
    <x v="0"/>
  </r>
  <r>
    <s v="Good"/>
    <s v="No information"/>
    <x v="0"/>
    <s v="Less 100"/>
    <s v="male "/>
    <s v=" single"/>
    <s v="skilled employee / official"/>
    <s v="own"/>
    <n v="24"/>
    <n v="1552"/>
    <x v="11"/>
    <x v="0"/>
    <s v="Medium-Term"/>
    <x v="0"/>
  </r>
  <r>
    <s v="Bad"/>
    <s v="Negative balance"/>
    <x v="0"/>
    <s v="Less 100"/>
    <s v="female "/>
    <s v=" divorced/separated/married"/>
    <s v="unskilled - resident"/>
    <s v="own"/>
    <n v="12"/>
    <n v="626"/>
    <x v="9"/>
    <x v="0"/>
    <s v="Medium-Term"/>
    <x v="1"/>
  </r>
  <r>
    <s v="Good"/>
    <s v="No information"/>
    <x v="4"/>
    <s v="No information"/>
    <s v="male "/>
    <s v=" single"/>
    <s v="skilled employee / official"/>
    <s v="for free"/>
    <n v="48"/>
    <n v="8858"/>
    <x v="5"/>
    <x v="1"/>
    <s v="Long-Term"/>
    <x v="2"/>
  </r>
  <r>
    <s v="Good"/>
    <s v="No information"/>
    <x v="7"/>
    <s v="No information"/>
    <s v="female "/>
    <s v=" divorced/separated/married"/>
    <s v="skilled employee / official"/>
    <s v="own"/>
    <n v="12"/>
    <n v="996"/>
    <x v="27"/>
    <x v="0"/>
    <s v="Medium-Term"/>
    <x v="0"/>
  </r>
  <r>
    <s v="Good"/>
    <s v="No information"/>
    <x v="0"/>
    <s v="Up to 1000"/>
    <s v="male "/>
    <s v=" single"/>
    <s v="unskilled - resident"/>
    <s v="own"/>
    <n v="6"/>
    <n v="1750"/>
    <x v="3"/>
    <x v="0"/>
    <s v="Low-Term"/>
    <x v="0"/>
  </r>
  <r>
    <s v="Bad"/>
    <s v="Negative balance"/>
    <x v="0"/>
    <s v="Less 100"/>
    <s v="male "/>
    <s v=" married/widowed"/>
    <s v="skilled employee / official"/>
    <s v="own"/>
    <n v="48"/>
    <n v="6999"/>
    <x v="19"/>
    <x v="1"/>
    <s v="Long-Term"/>
    <x v="1"/>
  </r>
  <r>
    <s v="Good"/>
    <s v="Low balance"/>
    <x v="3"/>
    <s v="Up to 500"/>
    <s v="male "/>
    <s v=" single"/>
    <s v="skilled employee / official"/>
    <s v="own"/>
    <n v="12"/>
    <n v="1995"/>
    <x v="21"/>
    <x v="0"/>
    <s v="Medium-Term"/>
    <x v="0"/>
  </r>
  <r>
    <s v="Good"/>
    <s v="Low balance"/>
    <x v="1"/>
    <s v="Less 100"/>
    <s v="female "/>
    <s v=" divorced/separated/married"/>
    <s v="management/ self-employed/ highly qualified employee/ officer"/>
    <s v="own"/>
    <n v="9"/>
    <n v="1199"/>
    <x v="0"/>
    <x v="0"/>
    <s v="Low-Term"/>
    <x v="0"/>
  </r>
  <r>
    <s v="Bad"/>
    <s v="Low balance"/>
    <x v="0"/>
    <s v="Less 100"/>
    <s v="male "/>
    <s v=" single"/>
    <s v="skilled employee / official"/>
    <s v="own"/>
    <n v="12"/>
    <n v="1331"/>
    <x v="1"/>
    <x v="0"/>
    <s v="Medium-Term"/>
    <x v="1"/>
  </r>
  <r>
    <s v="Bad"/>
    <s v="Low balance"/>
    <x v="3"/>
    <s v="Up to 500"/>
    <s v="female "/>
    <s v=" divorced/separated/married"/>
    <s v="skilled employee / official"/>
    <s v="own"/>
    <n v="18"/>
    <n v="2278"/>
    <x v="7"/>
    <x v="2"/>
    <s v="Medium-Term"/>
    <x v="1"/>
  </r>
  <r>
    <s v="Bad"/>
    <s v="No information"/>
    <x v="3"/>
    <s v="No information"/>
    <s v="female "/>
    <s v=" divorced/separated/married"/>
    <s v="skilled employee / official"/>
    <s v="own"/>
    <n v="21"/>
    <n v="5003"/>
    <x v="28"/>
    <x v="1"/>
    <s v="Medium-Term"/>
    <x v="1"/>
  </r>
  <r>
    <s v="Bad"/>
    <s v="Negative balance"/>
    <x v="2"/>
    <s v="Less 100"/>
    <s v="male "/>
    <s v=" single"/>
    <s v="skilled employee / official"/>
    <s v="own"/>
    <n v="24"/>
    <n v="3552"/>
    <x v="21"/>
    <x v="2"/>
    <s v="Medium-Term"/>
    <x v="1"/>
  </r>
  <r>
    <s v="Bad"/>
    <s v="Low balance"/>
    <x v="2"/>
    <s v="Less 100"/>
    <s v="male "/>
    <s v=" single"/>
    <s v="unskilled - resident"/>
    <s v="own"/>
    <n v="18"/>
    <n v="1928"/>
    <x v="13"/>
    <x v="0"/>
    <s v="Medium-Term"/>
    <x v="1"/>
  </r>
  <r>
    <s v="Good"/>
    <s v="Negative balance"/>
    <x v="4"/>
    <s v="No information"/>
    <s v="male "/>
    <s v=" single"/>
    <s v="skilled employee / official"/>
    <s v="for free"/>
    <n v="24"/>
    <n v="2964"/>
    <x v="2"/>
    <x v="2"/>
    <s v="Medium-Term"/>
    <x v="0"/>
  </r>
  <r>
    <s v="Bad"/>
    <s v="Negative balance"/>
    <x v="0"/>
    <s v="Less 100"/>
    <s v="male "/>
    <s v=" single"/>
    <s v="unskilled - resident"/>
    <s v="rent"/>
    <n v="24"/>
    <n v="1546"/>
    <x v="9"/>
    <x v="0"/>
    <s v="Medium-Term"/>
    <x v="1"/>
  </r>
  <r>
    <s v="Good"/>
    <s v="Normal balance"/>
    <x v="0"/>
    <s v="Less 100"/>
    <s v="female "/>
    <s v=" divorced/separated/married"/>
    <s v="skilled employee / official"/>
    <s v="own"/>
    <n v="6"/>
    <n v="683"/>
    <x v="28"/>
    <x v="0"/>
    <s v="Low-Term"/>
    <x v="0"/>
  </r>
  <r>
    <s v="Bad"/>
    <s v="Low balance"/>
    <x v="3"/>
    <s v="No information"/>
    <s v="male "/>
    <s v=" single"/>
    <s v="skilled employee / official"/>
    <s v="for free"/>
    <n v="36"/>
    <n v="12389"/>
    <x v="25"/>
    <x v="1"/>
    <s v="Long-Term"/>
    <x v="1"/>
  </r>
  <r>
    <s v="Good"/>
    <s v="Low balance"/>
    <x v="5"/>
    <s v="No information"/>
    <s v="male "/>
    <s v=" single"/>
    <s v="management/ self-employed/ highly qualified employee/ officer"/>
    <s v="own"/>
    <n v="24"/>
    <n v="4712"/>
    <x v="25"/>
    <x v="2"/>
    <s v="Medium-Term"/>
    <x v="0"/>
  </r>
  <r>
    <s v="Good"/>
    <s v="Low balance"/>
    <x v="0"/>
    <s v="Up to 500"/>
    <s v="female "/>
    <s v=" divorced/separated/married"/>
    <s v="skilled employee / official"/>
    <s v="rent"/>
    <n v="24"/>
    <n v="1553"/>
    <x v="27"/>
    <x v="0"/>
    <s v="Medium-Term"/>
    <x v="0"/>
  </r>
  <r>
    <s v="Bad"/>
    <s v="Negative balance"/>
    <x v="3"/>
    <s v="Less 100"/>
    <s v="male "/>
    <s v=" divorced/separated"/>
    <s v="skilled employee / official"/>
    <s v="own"/>
    <n v="12"/>
    <n v="1372"/>
    <x v="16"/>
    <x v="0"/>
    <s v="Medium-Term"/>
    <x v="1"/>
  </r>
  <r>
    <s v="Good"/>
    <s v="No information"/>
    <x v="0"/>
    <s v="More 1000"/>
    <s v="male "/>
    <s v=" single"/>
    <s v="skilled employee / official"/>
    <s v="own"/>
    <n v="24"/>
    <n v="2578"/>
    <x v="19"/>
    <x v="2"/>
    <s v="Medium-Term"/>
    <x v="0"/>
  </r>
  <r>
    <s v="Good"/>
    <s v="Low balance"/>
    <x v="0"/>
    <s v="No information"/>
    <s v="male "/>
    <s v=" single"/>
    <s v="skilled employee / official"/>
    <s v="own"/>
    <n v="48"/>
    <n v="3979"/>
    <x v="33"/>
    <x v="2"/>
    <s v="Long-Term"/>
    <x v="0"/>
  </r>
  <r>
    <s v="Bad"/>
    <s v="Negative balance"/>
    <x v="0"/>
    <s v="Less 100"/>
    <s v="female "/>
    <s v=" divorced/separated/married"/>
    <s v="skilled employee / official"/>
    <s v="own"/>
    <n v="48"/>
    <n v="6758"/>
    <x v="13"/>
    <x v="1"/>
    <s v="Long-Term"/>
    <x v="1"/>
  </r>
  <r>
    <s v="Bad"/>
    <s v="Negative balance"/>
    <x v="2"/>
    <s v="Less 100"/>
    <s v="female "/>
    <s v=" divorced/separated/married"/>
    <s v="unskilled - resident"/>
    <s v="rent"/>
    <n v="24"/>
    <n v="3234"/>
    <x v="27"/>
    <x v="2"/>
    <s v="Medium-Term"/>
    <x v="1"/>
  </r>
  <r>
    <s v="Good"/>
    <s v="No information"/>
    <x v="0"/>
    <s v="Less 100"/>
    <s v="male "/>
    <s v=" single"/>
    <s v="skilled employee / official"/>
    <s v="own"/>
    <n v="30"/>
    <n v="5954"/>
    <x v="41"/>
    <x v="1"/>
    <s v="Medium-Term"/>
    <x v="0"/>
  </r>
  <r>
    <s v="Good"/>
    <s v="No information"/>
    <x v="4"/>
    <s v="No information"/>
    <s v="female "/>
    <s v=" divorced/separated/married"/>
    <s v="management/ self-employed/ highly qualified employee/ officer"/>
    <s v="rent"/>
    <n v="24"/>
    <n v="5433"/>
    <x v="15"/>
    <x v="1"/>
    <s v="Medium-Term"/>
    <x v="0"/>
  </r>
  <r>
    <s v="Good"/>
    <s v="Negative balance"/>
    <x v="5"/>
    <s v="Less 100"/>
    <s v="female "/>
    <s v=" divorced/separated/married"/>
    <s v="unskilled - resident"/>
    <s v="own"/>
    <n v="15"/>
    <n v="806"/>
    <x v="1"/>
    <x v="0"/>
    <s v="Medium-Term"/>
    <x v="0"/>
  </r>
  <r>
    <s v="Good"/>
    <s v="Low balance"/>
    <x v="0"/>
    <s v="Less 100"/>
    <s v="male "/>
    <s v=" single"/>
    <s v="unskilled - resident"/>
    <s v="own"/>
    <n v="9"/>
    <n v="1082"/>
    <x v="21"/>
    <x v="0"/>
    <s v="Low-Term"/>
    <x v="0"/>
  </r>
  <r>
    <s v="Good"/>
    <s v="No information"/>
    <x v="2"/>
    <s v="Less 100"/>
    <s v="female "/>
    <s v=" divorced/separated/married"/>
    <s v="skilled employee / official"/>
    <s v="own"/>
    <n v="15"/>
    <n v="2788"/>
    <x v="9"/>
    <x v="2"/>
    <s v="Medium-Term"/>
    <x v="0"/>
  </r>
  <r>
    <s v="Good"/>
    <s v="Low balance"/>
    <x v="0"/>
    <s v="Less 100"/>
    <s v="female "/>
    <s v=" divorced/separated/married"/>
    <s v="skilled employee / official"/>
    <s v="own"/>
    <n v="12"/>
    <n v="2930"/>
    <x v="21"/>
    <x v="2"/>
    <s v="Medium-Term"/>
    <x v="0"/>
  </r>
  <r>
    <s v="Good"/>
    <s v="No information"/>
    <x v="1"/>
    <s v="No information"/>
    <s v="female "/>
    <s v=" divorced/separated/married"/>
    <s v="skilled employee / official"/>
    <s v="own"/>
    <n v="24"/>
    <n v="1927"/>
    <x v="24"/>
    <x v="0"/>
    <s v="Medium-Term"/>
    <x v="0"/>
  </r>
  <r>
    <s v="Bad"/>
    <s v="Low balance"/>
    <x v="3"/>
    <s v="Less 100"/>
    <s v="male "/>
    <s v=" divorced/separated"/>
    <s v="skilled employee / official"/>
    <s v="own"/>
    <n v="36"/>
    <n v="2820"/>
    <x v="21"/>
    <x v="2"/>
    <s v="Long-Term"/>
    <x v="1"/>
  </r>
  <r>
    <s v="Good"/>
    <s v="No information"/>
    <x v="9"/>
    <s v="Less 100"/>
    <s v="male "/>
    <s v=" married/widowed"/>
    <s v="unskilled - resident"/>
    <s v="own"/>
    <n v="24"/>
    <n v="937"/>
    <x v="21"/>
    <x v="0"/>
    <s v="Medium-Term"/>
    <x v="0"/>
  </r>
  <r>
    <s v="Bad"/>
    <s v="Low balance"/>
    <x v="3"/>
    <s v="Less 100"/>
    <s v="male "/>
    <s v=" single"/>
    <s v="skilled employee / official"/>
    <s v="own"/>
    <n v="18"/>
    <n v="1056"/>
    <x v="22"/>
    <x v="0"/>
    <s v="Medium-Term"/>
    <x v="1"/>
  </r>
  <r>
    <s v="Good"/>
    <s v="Low balance"/>
    <x v="3"/>
    <s v="Less 100"/>
    <s v="male "/>
    <s v=" single"/>
    <s v="unskilled - resident"/>
    <s v="own"/>
    <n v="12"/>
    <n v="3124"/>
    <x v="2"/>
    <x v="2"/>
    <s v="Medium-Term"/>
    <x v="0"/>
  </r>
  <r>
    <s v="Good"/>
    <s v="No information"/>
    <x v="2"/>
    <s v="Less 100"/>
    <s v="female "/>
    <s v=" divorced/separated/married"/>
    <s v="skilled employee / official"/>
    <s v="rent"/>
    <n v="9"/>
    <n v="1388"/>
    <x v="15"/>
    <x v="0"/>
    <s v="Low-Term"/>
    <x v="0"/>
  </r>
  <r>
    <s v="Bad"/>
    <s v="Low balance"/>
    <x v="7"/>
    <s v="Less 100"/>
    <s v="male "/>
    <s v=" single"/>
    <s v="unskilled - resident"/>
    <s v="rent"/>
    <n v="36"/>
    <n v="2384"/>
    <x v="24"/>
    <x v="2"/>
    <s v="Long-Term"/>
    <x v="1"/>
  </r>
  <r>
    <s v="Good"/>
    <s v="No information"/>
    <x v="3"/>
    <s v="No information"/>
    <s v="female "/>
    <s v=" divorced/separated/married"/>
    <s v="management/ self-employed/ highly qualified employee/ officer"/>
    <s v="for free"/>
    <n v="12"/>
    <n v="2133"/>
    <x v="29"/>
    <x v="2"/>
    <s v="Medium-Term"/>
    <x v="0"/>
  </r>
  <r>
    <s v="Bad"/>
    <s v="Negative balance"/>
    <x v="2"/>
    <s v="Less 100"/>
    <s v="female "/>
    <s v=" divorced/separated/married"/>
    <s v="skilled employee / official"/>
    <s v="rent"/>
    <n v="18"/>
    <n v="2039"/>
    <x v="39"/>
    <x v="2"/>
    <s v="Medium-Term"/>
    <x v="1"/>
  </r>
  <r>
    <s v="Good"/>
    <s v="Negative balance"/>
    <x v="3"/>
    <s v="Less 100"/>
    <s v="male "/>
    <s v=" single"/>
    <s v="skilled employee / official"/>
    <s v="rent"/>
    <n v="9"/>
    <n v="2799"/>
    <x v="16"/>
    <x v="2"/>
    <s v="Low-Term"/>
    <x v="0"/>
  </r>
  <r>
    <s v="Good"/>
    <s v="Negative balance"/>
    <x v="2"/>
    <s v="Less 100"/>
    <s v="male "/>
    <s v=" single"/>
    <s v="unskilled - resident"/>
    <s v="own"/>
    <n v="12"/>
    <n v="1289"/>
    <x v="40"/>
    <x v="0"/>
    <s v="Medium-Term"/>
    <x v="0"/>
  </r>
  <r>
    <s v="Bad"/>
    <s v="Negative balance"/>
    <x v="6"/>
    <s v="Less 100"/>
    <s v="male "/>
    <s v=" married/widowed"/>
    <s v="unskilled - resident"/>
    <s v="own"/>
    <n v="18"/>
    <n v="1217"/>
    <x v="36"/>
    <x v="0"/>
    <s v="Medium-Term"/>
    <x v="1"/>
  </r>
  <r>
    <s v="Bad"/>
    <s v="Negative balance"/>
    <x v="2"/>
    <s v="Less 100"/>
    <s v="male "/>
    <s v=" single"/>
    <s v="skilled employee / official"/>
    <s v="own"/>
    <n v="12"/>
    <n v="2246"/>
    <x v="10"/>
    <x v="2"/>
    <s v="Medium-Term"/>
    <x v="1"/>
  </r>
  <r>
    <s v="Good"/>
    <s v="Negative balance"/>
    <x v="0"/>
    <s v="Less 100"/>
    <s v="female "/>
    <s v=" divorced/separated/married"/>
    <s v="unskilled - resident"/>
    <s v="own"/>
    <n v="12"/>
    <n v="385"/>
    <x v="26"/>
    <x v="0"/>
    <s v="Medium-Term"/>
    <x v="0"/>
  </r>
  <r>
    <s v="Good"/>
    <s v="Low balance"/>
    <x v="3"/>
    <s v="No information"/>
    <s v="female "/>
    <s v=" divorced/separated/married"/>
    <s v="skilled employee / official"/>
    <s v="rent"/>
    <n v="24"/>
    <n v="1965"/>
    <x v="18"/>
    <x v="0"/>
    <s v="Medium-Term"/>
    <x v="0"/>
  </r>
  <r>
    <s v="Good"/>
    <s v="No information"/>
    <x v="5"/>
    <s v="More 1000"/>
    <s v="female "/>
    <s v=" divorced/separated/married"/>
    <s v="unskilled - resident"/>
    <s v="own"/>
    <n v="21"/>
    <n v="1572"/>
    <x v="16"/>
    <x v="0"/>
    <s v="Medium-Term"/>
    <x v="0"/>
  </r>
  <r>
    <s v="Bad"/>
    <s v="Low balance"/>
    <x v="3"/>
    <s v="Less 100"/>
    <s v="female "/>
    <s v=" divorced/separated/married"/>
    <s v="unskilled - resident"/>
    <s v="rent"/>
    <n v="24"/>
    <n v="2718"/>
    <x v="39"/>
    <x v="2"/>
    <s v="Medium-Term"/>
    <x v="1"/>
  </r>
  <r>
    <s v="Bad"/>
    <s v="Negative balance"/>
    <x v="8"/>
    <s v="No information"/>
    <s v="male "/>
    <s v=" single"/>
    <s v="management/ self-employed/ highly qualified employee/ officer"/>
    <s v="own"/>
    <n v="24"/>
    <n v="1358"/>
    <x v="34"/>
    <x v="0"/>
    <s v="Medium-Term"/>
    <x v="1"/>
  </r>
  <r>
    <s v="Bad"/>
    <s v="Low balance"/>
    <x v="3"/>
    <s v="Up to 500"/>
    <s v="female "/>
    <s v=" divorced/separated/married"/>
    <s v="unskilled - resident"/>
    <s v="own"/>
    <n v="6"/>
    <n v="931"/>
    <x v="11"/>
    <x v="0"/>
    <s v="Low-Term"/>
    <x v="1"/>
  </r>
  <r>
    <s v="Bad"/>
    <s v="Negative balance"/>
    <x v="3"/>
    <s v="Less 100"/>
    <s v="female "/>
    <s v=" divorced/separated/married"/>
    <s v="skilled employee / official"/>
    <s v="rent"/>
    <n v="24"/>
    <n v="1442"/>
    <x v="27"/>
    <x v="0"/>
    <s v="Medium-Term"/>
    <x v="1"/>
  </r>
  <r>
    <s v="Bad"/>
    <s v="Low balance"/>
    <x v="5"/>
    <s v="Less 100"/>
    <s v="male "/>
    <s v=" single"/>
    <s v="unskilled - resident"/>
    <s v="own"/>
    <n v="24"/>
    <n v="4241"/>
    <x v="16"/>
    <x v="2"/>
    <s v="Medium-Term"/>
    <x v="1"/>
  </r>
  <r>
    <s v="Bad"/>
    <s v="No information"/>
    <x v="3"/>
    <s v="Less 100"/>
    <s v="male "/>
    <s v=" single"/>
    <s v="skilled employee / official"/>
    <s v="own"/>
    <n v="18"/>
    <n v="2775"/>
    <x v="13"/>
    <x v="2"/>
    <s v="Medium-Term"/>
    <x v="1"/>
  </r>
  <r>
    <s v="Good"/>
    <s v="No information"/>
    <x v="5"/>
    <s v="Less 100"/>
    <s v="male "/>
    <s v=" single"/>
    <s v="skilled employee / official"/>
    <s v="for free"/>
    <n v="24"/>
    <n v="3863"/>
    <x v="11"/>
    <x v="2"/>
    <s v="Medium-Term"/>
    <x v="0"/>
  </r>
  <r>
    <s v="Good"/>
    <s v="Low balance"/>
    <x v="0"/>
    <s v="Less 100"/>
    <s v="female "/>
    <s v=" divorced/separated/married"/>
    <s v="skilled employee / official"/>
    <s v="own"/>
    <n v="7"/>
    <n v="2329"/>
    <x v="3"/>
    <x v="2"/>
    <s v="Low-Term"/>
    <x v="0"/>
  </r>
  <r>
    <s v="Bad"/>
    <s v="Low balance"/>
    <x v="2"/>
    <s v="Less 100"/>
    <s v="female "/>
    <s v=" divorced/separated/married"/>
    <s v="skilled employee / official"/>
    <s v="own"/>
    <n v="9"/>
    <n v="918"/>
    <x v="22"/>
    <x v="0"/>
    <s v="Low-Term"/>
    <x v="1"/>
  </r>
  <r>
    <s v="Bad"/>
    <s v="Low balance"/>
    <x v="1"/>
    <s v="Less 100"/>
    <s v="female "/>
    <s v=" divorced/separated/married"/>
    <s v="unskilled - resident"/>
    <s v="for free"/>
    <n v="24"/>
    <n v="1837"/>
    <x v="19"/>
    <x v="0"/>
    <s v="Medium-Term"/>
    <x v="1"/>
  </r>
  <r>
    <s v="Bad"/>
    <s v="No information"/>
    <x v="2"/>
    <s v="Less 100"/>
    <s v="female "/>
    <s v=" divorced/separated/married"/>
    <s v="management/ self-employed/ highly qualified employee/ officer"/>
    <s v="own"/>
    <n v="36"/>
    <n v="3349"/>
    <x v="7"/>
    <x v="2"/>
    <s v="Long-Term"/>
    <x v="1"/>
  </r>
  <r>
    <s v="Good"/>
    <s v="Normal balance"/>
    <x v="2"/>
    <s v="Less 100"/>
    <s v="female "/>
    <s v=" divorced/separated/married"/>
    <s v="skilled employee / official"/>
    <s v="own"/>
    <n v="10"/>
    <n v="1275"/>
    <x v="27"/>
    <x v="0"/>
    <s v="Low-Term"/>
    <x v="0"/>
  </r>
  <r>
    <s v="Good"/>
    <s v="Negative balance"/>
    <x v="2"/>
    <s v="Up to 1000"/>
    <s v="male "/>
    <s v=" single"/>
    <s v="skilled employee / official"/>
    <s v="own"/>
    <n v="24"/>
    <n v="2828"/>
    <x v="1"/>
    <x v="2"/>
    <s v="Medium-Term"/>
    <x v="0"/>
  </r>
  <r>
    <s v="Good"/>
    <s v="No information"/>
    <x v="5"/>
    <s v="Less 100"/>
    <s v="male "/>
    <s v=" single"/>
    <s v="management/ self-employed/ highly qualified employee/ officer"/>
    <s v="own"/>
    <n v="24"/>
    <n v="4526"/>
    <x v="44"/>
    <x v="2"/>
    <s v="Medium-Term"/>
    <x v="0"/>
  </r>
  <r>
    <s v="Bad"/>
    <s v="Low balance"/>
    <x v="0"/>
    <s v="Up to 500"/>
    <s v="female "/>
    <s v=" divorced/separated/married"/>
    <s v="skilled employee / official"/>
    <s v="for free"/>
    <n v="36"/>
    <n v="2671"/>
    <x v="30"/>
    <x v="2"/>
    <s v="Long-Term"/>
    <x v="1"/>
  </r>
  <r>
    <s v="Good"/>
    <s v="No information"/>
    <x v="0"/>
    <s v="Less 100"/>
    <s v="male "/>
    <s v=" single"/>
    <s v="skilled employee / official"/>
    <s v="own"/>
    <n v="18"/>
    <n v="2051"/>
    <x v="24"/>
    <x v="2"/>
    <s v="Medium-Term"/>
    <x v="0"/>
  </r>
  <r>
    <s v="Good"/>
    <s v="No information"/>
    <x v="4"/>
    <s v="No information"/>
    <s v="male "/>
    <s v=" single"/>
    <s v="skilled employee / official"/>
    <s v="for free"/>
    <n v="15"/>
    <n v="1300"/>
    <x v="3"/>
    <x v="0"/>
    <s v="Medium-Term"/>
    <x v="0"/>
  </r>
  <r>
    <s v="Bad"/>
    <s v="Negative balance"/>
    <x v="6"/>
    <s v="Up to 500"/>
    <s v="female "/>
    <s v=" divorced/separated/married"/>
    <s v="skilled employee / official"/>
    <s v="own"/>
    <n v="12"/>
    <n v="741"/>
    <x v="1"/>
    <x v="0"/>
    <s v="Medium-Term"/>
    <x v="1"/>
  </r>
  <r>
    <s v="Bad"/>
    <s v="Normal balance"/>
    <x v="3"/>
    <s v="Up to 500"/>
    <s v="female "/>
    <s v=" divorced/separated/married"/>
    <s v="unskilled - resident"/>
    <s v="for free"/>
    <n v="10"/>
    <n v="1240"/>
    <x v="14"/>
    <x v="0"/>
    <s v="Low-Term"/>
    <x v="1"/>
  </r>
  <r>
    <s v="Good"/>
    <s v="Negative balance"/>
    <x v="0"/>
    <s v="More 1000"/>
    <s v="female "/>
    <s v=" divorced/separated/married"/>
    <s v="skilled employee / official"/>
    <s v="own"/>
    <n v="21"/>
    <n v="3357"/>
    <x v="28"/>
    <x v="2"/>
    <s v="Medium-Term"/>
    <x v="0"/>
  </r>
  <r>
    <s v="Good"/>
    <s v="Negative balance"/>
    <x v="4"/>
    <s v="Less 100"/>
    <s v="female "/>
    <s v=" divorced/separated/married"/>
    <s v="skilled employee / official"/>
    <s v="rent"/>
    <n v="24"/>
    <n v="3632"/>
    <x v="1"/>
    <x v="2"/>
    <s v="Medium-Term"/>
    <x v="0"/>
  </r>
  <r>
    <s v="Bad"/>
    <s v="No information"/>
    <x v="2"/>
    <s v="Less 100"/>
    <s v="female "/>
    <s v=" divorced/separated/married"/>
    <s v="skilled employee / official"/>
    <s v="own"/>
    <n v="18"/>
    <n v="1808"/>
    <x v="1"/>
    <x v="0"/>
    <s v="Medium-Term"/>
    <x v="1"/>
  </r>
  <r>
    <s v="Good"/>
    <s v="Low balance"/>
    <x v="5"/>
    <s v="No information"/>
    <s v="male "/>
    <s v=" single"/>
    <s v="management/ self-employed/ highly qualified employee/ officer"/>
    <s v="own"/>
    <n v="48"/>
    <n v="12204"/>
    <x v="14"/>
    <x v="1"/>
    <s v="Long-Term"/>
    <x v="2"/>
  </r>
  <r>
    <s v="Good"/>
    <s v="Low balance"/>
    <x v="0"/>
    <s v="No information"/>
    <s v="male "/>
    <s v=" single"/>
    <s v="management/ self-employed/ highly qualified employee/ officer"/>
    <s v="for free"/>
    <n v="60"/>
    <n v="9157"/>
    <x v="21"/>
    <x v="1"/>
    <s v="Long-Term"/>
    <x v="2"/>
  </r>
  <r>
    <s v="Good"/>
    <s v="Negative balance"/>
    <x v="3"/>
    <s v="Less 100"/>
    <s v="male "/>
    <s v=" single"/>
    <s v="skilled employee / official"/>
    <s v="rent"/>
    <n v="6"/>
    <n v="3676"/>
    <x v="25"/>
    <x v="2"/>
    <s v="Low-Term"/>
    <x v="0"/>
  </r>
  <r>
    <s v="Bad"/>
    <s v="Low balance"/>
    <x v="2"/>
    <s v="Up to 500"/>
    <s v="female "/>
    <s v=" divorced/separated/married"/>
    <s v="skilled employee / official"/>
    <s v="rent"/>
    <n v="30"/>
    <n v="3441"/>
    <x v="40"/>
    <x v="2"/>
    <s v="Medium-Term"/>
    <x v="1"/>
  </r>
  <r>
    <s v="Good"/>
    <s v="No information"/>
    <x v="3"/>
    <s v="Less 100"/>
    <s v="male "/>
    <s v=" divorced/separated"/>
    <s v="unskilled - resident"/>
    <s v="own"/>
    <n v="12"/>
    <n v="640"/>
    <x v="2"/>
    <x v="0"/>
    <s v="Medium-Term"/>
    <x v="0"/>
  </r>
  <r>
    <s v="Good"/>
    <s v="Low balance"/>
    <x v="5"/>
    <s v="Less 100"/>
    <s v="male "/>
    <s v=" single"/>
    <s v="skilled employee / official"/>
    <s v="own"/>
    <n v="21"/>
    <n v="3652"/>
    <x v="21"/>
    <x v="2"/>
    <s v="Medium-Term"/>
    <x v="0"/>
  </r>
  <r>
    <s v="Bad"/>
    <s v="No information"/>
    <x v="3"/>
    <s v="Less 100"/>
    <s v="male "/>
    <s v=" single"/>
    <s v="skilled employee / official"/>
    <s v="own"/>
    <n v="18"/>
    <n v="1530"/>
    <x v="11"/>
    <x v="0"/>
    <s v="Medium-Term"/>
    <x v="1"/>
  </r>
  <r>
    <s v="Bad"/>
    <s v="No information"/>
    <x v="5"/>
    <s v="No information"/>
    <s v="male "/>
    <s v=" divorced/separated"/>
    <s v="skilled employee / official"/>
    <s v="own"/>
    <n v="48"/>
    <n v="3914"/>
    <x v="41"/>
    <x v="2"/>
    <s v="Long-Term"/>
    <x v="1"/>
  </r>
  <r>
    <s v="Good"/>
    <s v="Negative balance"/>
    <x v="2"/>
    <s v="Less 100"/>
    <s v="female "/>
    <s v=" divorced/separated/married"/>
    <s v="skilled employee / official"/>
    <s v="rent"/>
    <n v="12"/>
    <n v="1858"/>
    <x v="1"/>
    <x v="0"/>
    <s v="Medium-Term"/>
    <x v="0"/>
  </r>
  <r>
    <s v="Bad"/>
    <s v="Negative balance"/>
    <x v="0"/>
    <s v="Less 100"/>
    <s v="male "/>
    <s v=" single"/>
    <s v="skilled employee / official"/>
    <s v="for free"/>
    <n v="18"/>
    <n v="2600"/>
    <x v="43"/>
    <x v="2"/>
    <s v="Medium-Term"/>
    <x v="1"/>
  </r>
  <r>
    <s v="Good"/>
    <s v="No information"/>
    <x v="0"/>
    <s v="No information"/>
    <s v="male "/>
    <s v=" single"/>
    <s v="skilled employee / official"/>
    <s v="own"/>
    <n v="15"/>
    <n v="1979"/>
    <x v="5"/>
    <x v="0"/>
    <s v="Medium-Term"/>
    <x v="0"/>
  </r>
  <r>
    <s v="Good"/>
    <s v="Normal balance"/>
    <x v="2"/>
    <s v="Less 100"/>
    <s v="male "/>
    <s v=" single"/>
    <s v="skilled employee / official"/>
    <s v="own"/>
    <n v="6"/>
    <n v="2116"/>
    <x v="33"/>
    <x v="2"/>
    <s v="Low-Term"/>
    <x v="0"/>
  </r>
  <r>
    <s v="Bad"/>
    <s v="Low balance"/>
    <x v="3"/>
    <s v="Up to 500"/>
    <s v="male "/>
    <s v=" single"/>
    <s v="skilled employee / official"/>
    <s v="own"/>
    <n v="9"/>
    <n v="1437"/>
    <x v="28"/>
    <x v="0"/>
    <s v="Low-Term"/>
    <x v="1"/>
  </r>
  <r>
    <s v="Good"/>
    <s v="No information"/>
    <x v="2"/>
    <s v="Up to 1000"/>
    <s v="male "/>
    <s v=" single"/>
    <s v="skilled employee / official"/>
    <s v="own"/>
    <n v="42"/>
    <n v="4042"/>
    <x v="16"/>
    <x v="2"/>
    <s v="Long-Term"/>
    <x v="0"/>
  </r>
  <r>
    <s v="Good"/>
    <s v="No information"/>
    <x v="1"/>
    <s v="No information"/>
    <s v="male "/>
    <s v=" single"/>
    <s v="unskilled - resident"/>
    <s v="own"/>
    <n v="9"/>
    <n v="3832"/>
    <x v="48"/>
    <x v="2"/>
    <s v="Low-Term"/>
    <x v="0"/>
  </r>
  <r>
    <s v="Good"/>
    <s v="Negative balance"/>
    <x v="0"/>
    <s v="Less 100"/>
    <s v="female "/>
    <s v=" divorced/separated/married"/>
    <s v="skilled employee / official"/>
    <s v="own"/>
    <n v="24"/>
    <n v="3660"/>
    <x v="7"/>
    <x v="2"/>
    <s v="Medium-Term"/>
    <x v="0"/>
  </r>
  <r>
    <s v="Bad"/>
    <s v="Negative balance"/>
    <x v="2"/>
    <s v="Less 100"/>
    <s v="male "/>
    <s v=" single"/>
    <s v="skilled employee / official"/>
    <s v="own"/>
    <n v="18"/>
    <n v="1553"/>
    <x v="12"/>
    <x v="0"/>
    <s v="Medium-Term"/>
    <x v="1"/>
  </r>
  <r>
    <s v="Good"/>
    <s v="Low balance"/>
    <x v="0"/>
    <s v="No information"/>
    <s v="male "/>
    <s v=" single"/>
    <s v="skilled employee / official"/>
    <s v="own"/>
    <n v="15"/>
    <n v="1444"/>
    <x v="27"/>
    <x v="0"/>
    <s v="Medium-Term"/>
    <x v="0"/>
  </r>
  <r>
    <s v="Bad"/>
    <s v="No information"/>
    <x v="2"/>
    <s v="Less 100"/>
    <s v="female "/>
    <s v=" divorced/separated/married"/>
    <s v="skilled employee / official"/>
    <s v="rent"/>
    <n v="9"/>
    <n v="1980"/>
    <x v="50"/>
    <x v="0"/>
    <s v="Low-Term"/>
    <x v="1"/>
  </r>
  <r>
    <s v="Bad"/>
    <s v="Low balance"/>
    <x v="3"/>
    <s v="Less 100"/>
    <s v="female "/>
    <s v=" divorced/separated/married"/>
    <s v="unskilled - resident"/>
    <s v="own"/>
    <n v="24"/>
    <n v="1355"/>
    <x v="8"/>
    <x v="0"/>
    <s v="Medium-Term"/>
    <x v="1"/>
  </r>
  <r>
    <s v="Good"/>
    <s v="No information"/>
    <x v="1"/>
    <s v="Less 100"/>
    <s v="male "/>
    <s v=" single"/>
    <s v="skilled employee / official"/>
    <s v="own"/>
    <n v="12"/>
    <n v="1393"/>
    <x v="36"/>
    <x v="0"/>
    <s v="Medium-Term"/>
    <x v="0"/>
  </r>
  <r>
    <s v="Good"/>
    <s v="No information"/>
    <x v="0"/>
    <s v="Up to 1000"/>
    <s v="female "/>
    <s v=" divorced/separated/married"/>
    <s v="skilled employee / official"/>
    <s v="own"/>
    <n v="24"/>
    <n v="1376"/>
    <x v="7"/>
    <x v="0"/>
    <s v="Medium-Term"/>
    <x v="0"/>
  </r>
  <r>
    <s v="Good"/>
    <s v="No information"/>
    <x v="0"/>
    <s v="Less 100"/>
    <s v="male "/>
    <s v=" single"/>
    <s v="skilled employee / official"/>
    <s v="own"/>
    <n v="60"/>
    <n v="15653"/>
    <x v="40"/>
    <x v="1"/>
    <s v="Long-Term"/>
    <x v="2"/>
  </r>
  <r>
    <s v="Good"/>
    <s v="No information"/>
    <x v="0"/>
    <s v="Less 100"/>
    <s v="female "/>
    <s v=" divorced/separated/married"/>
    <s v="skilled employee / official"/>
    <s v="own"/>
    <n v="12"/>
    <n v="1493"/>
    <x v="19"/>
    <x v="0"/>
    <s v="Medium-Term"/>
    <x v="0"/>
  </r>
  <r>
    <s v="Bad"/>
    <s v="Negative balance"/>
    <x v="0"/>
    <s v="Less 100"/>
    <s v="male "/>
    <s v=" single"/>
    <s v="skilled employee / official"/>
    <s v="own"/>
    <n v="42"/>
    <n v="4370"/>
    <x v="15"/>
    <x v="2"/>
    <s v="Long-Term"/>
    <x v="1"/>
  </r>
  <r>
    <s v="Bad"/>
    <s v="Negative balance"/>
    <x v="1"/>
    <s v="Less 100"/>
    <s v="female "/>
    <s v=" divorced/separated/married"/>
    <s v="unemployed/ unskilled  - non-resident"/>
    <s v="own"/>
    <n v="18"/>
    <n v="750"/>
    <x v="21"/>
    <x v="0"/>
    <s v="Medium-Term"/>
    <x v="1"/>
  </r>
  <r>
    <s v="Good"/>
    <s v="Low balance"/>
    <x v="7"/>
    <s v="Less 100"/>
    <s v="male "/>
    <s v=" single"/>
    <s v="unskilled - resident"/>
    <s v="own"/>
    <n v="15"/>
    <n v="1308"/>
    <x v="41"/>
    <x v="0"/>
    <s v="Medium-Term"/>
    <x v="0"/>
  </r>
  <r>
    <s v="Bad"/>
    <s v="No information"/>
    <x v="1"/>
    <s v="Up to 500"/>
    <s v="male "/>
    <s v=" single"/>
    <s v="management/ self-employed/ highly qualified employee/ officer"/>
    <s v="own"/>
    <n v="15"/>
    <n v="4623"/>
    <x v="34"/>
    <x v="2"/>
    <s v="Medium-Term"/>
    <x v="1"/>
  </r>
  <r>
    <s v="Good"/>
    <s v="No information"/>
    <x v="0"/>
    <s v="Less 100"/>
    <s v="male "/>
    <s v=" married/widowed"/>
    <s v="skilled employee / official"/>
    <s v="own"/>
    <n v="24"/>
    <n v="1851"/>
    <x v="24"/>
    <x v="0"/>
    <s v="Medium-Term"/>
    <x v="0"/>
  </r>
  <r>
    <s v="Good"/>
    <s v="Negative balance"/>
    <x v="0"/>
    <s v="Less 100"/>
    <s v="male "/>
    <s v=" married/widowed"/>
    <s v="management/ self-employed/ highly qualified employee/ officer"/>
    <s v="own"/>
    <n v="18"/>
    <n v="1880"/>
    <x v="11"/>
    <x v="0"/>
    <s v="Medium-Term"/>
    <x v="0"/>
  </r>
  <r>
    <s v="Bad"/>
    <s v="No information"/>
    <x v="5"/>
    <s v="No information"/>
    <s v="male "/>
    <s v=" single"/>
    <s v="skilled employee / official"/>
    <s v="rent"/>
    <n v="36"/>
    <n v="7980"/>
    <x v="21"/>
    <x v="1"/>
    <s v="Long-Term"/>
    <x v="1"/>
  </r>
  <r>
    <s v="Good"/>
    <s v="Negative balance"/>
    <x v="2"/>
    <s v="Less 100"/>
    <s v="male "/>
    <s v=" divorced/separated"/>
    <s v="skilled employee / official"/>
    <s v="own"/>
    <n v="30"/>
    <n v="4583"/>
    <x v="11"/>
    <x v="2"/>
    <s v="Medium-Term"/>
    <x v="0"/>
  </r>
  <r>
    <s v="Bad"/>
    <s v="No information"/>
    <x v="3"/>
    <s v="Up to 1000"/>
    <s v="female "/>
    <s v=" divorced/separated/married"/>
    <s v="skilled employee / official"/>
    <s v="own"/>
    <n v="12"/>
    <n v="1386"/>
    <x v="15"/>
    <x v="0"/>
    <s v="Medium-Term"/>
    <x v="1"/>
  </r>
  <r>
    <s v="Bad"/>
    <s v="Normal balance"/>
    <x v="3"/>
    <s v="Less 100"/>
    <s v="male "/>
    <s v=" single"/>
    <s v="skilled employee / official"/>
    <s v="for free"/>
    <n v="24"/>
    <n v="947"/>
    <x v="41"/>
    <x v="0"/>
    <s v="Medium-Term"/>
    <x v="1"/>
  </r>
  <r>
    <s v="Bad"/>
    <s v="Negative balance"/>
    <x v="1"/>
    <s v="Less 100"/>
    <s v="male "/>
    <s v=" single"/>
    <s v="unskilled - resident"/>
    <s v="rent"/>
    <n v="12"/>
    <n v="684"/>
    <x v="34"/>
    <x v="0"/>
    <s v="Medium-Term"/>
    <x v="1"/>
  </r>
  <r>
    <s v="Good"/>
    <s v="Negative balance"/>
    <x v="1"/>
    <s v="Less 100"/>
    <s v="male "/>
    <s v=" single"/>
    <s v="management/ self-employed/ highly qualified employee/ officer"/>
    <s v="for free"/>
    <n v="48"/>
    <n v="7476"/>
    <x v="30"/>
    <x v="1"/>
    <s v="Long-Term"/>
    <x v="2"/>
  </r>
  <r>
    <s v="Bad"/>
    <s v="Low balance"/>
    <x v="2"/>
    <s v="Less 100"/>
    <s v="male "/>
    <s v=" single"/>
    <s v="unskilled - resident"/>
    <s v="own"/>
    <n v="12"/>
    <n v="1922"/>
    <x v="25"/>
    <x v="0"/>
    <s v="Medium-Term"/>
    <x v="1"/>
  </r>
  <r>
    <s v="Bad"/>
    <s v="Negative balance"/>
    <x v="3"/>
    <s v="Less 100"/>
    <s v="male "/>
    <s v=" single"/>
    <s v="skilled employee / official"/>
    <s v="own"/>
    <n v="24"/>
    <n v="2303"/>
    <x v="3"/>
    <x v="2"/>
    <s v="Medium-Term"/>
    <x v="1"/>
  </r>
  <r>
    <s v="Bad"/>
    <s v="Low balance"/>
    <x v="3"/>
    <s v="Up to 500"/>
    <s v="male "/>
    <s v=" single"/>
    <s v="management/ self-employed/ highly qualified employee/ officer"/>
    <s v="own"/>
    <n v="36"/>
    <n v="8086"/>
    <x v="18"/>
    <x v="1"/>
    <s v="Long-Term"/>
    <x v="1"/>
  </r>
  <r>
    <s v="Good"/>
    <s v="No information"/>
    <x v="4"/>
    <s v="Less 100"/>
    <s v="male "/>
    <s v=" single"/>
    <s v="skilled employee / official"/>
    <s v="own"/>
    <n v="24"/>
    <n v="2346"/>
    <x v="5"/>
    <x v="2"/>
    <s v="Medium-Term"/>
    <x v="0"/>
  </r>
  <r>
    <s v="Good"/>
    <s v="Negative balance"/>
    <x v="3"/>
    <s v="Less 100"/>
    <s v="male "/>
    <s v=" single"/>
    <s v="skilled employee / official"/>
    <s v="for free"/>
    <n v="14"/>
    <n v="3973"/>
    <x v="1"/>
    <x v="2"/>
    <s v="Medium-Term"/>
    <x v="0"/>
  </r>
  <r>
    <s v="Bad"/>
    <s v="Low balance"/>
    <x v="3"/>
    <s v="Less 100"/>
    <s v="male "/>
    <s v=" single"/>
    <s v="unskilled - resident"/>
    <s v="own"/>
    <n v="12"/>
    <n v="888"/>
    <x v="33"/>
    <x v="0"/>
    <s v="Medium-Term"/>
    <x v="1"/>
  </r>
  <r>
    <s v="Good"/>
    <s v="No information"/>
    <x v="0"/>
    <s v="No information"/>
    <s v="male "/>
    <s v=" single"/>
    <s v="skilled employee / official"/>
    <s v="own"/>
    <n v="48"/>
    <n v="10222"/>
    <x v="25"/>
    <x v="1"/>
    <s v="Long-Term"/>
    <x v="2"/>
  </r>
  <r>
    <s v="Good"/>
    <s v="Low balance"/>
    <x v="5"/>
    <s v="Less 100"/>
    <s v="female "/>
    <s v=" divorced/separated/married"/>
    <s v="skilled employee / official"/>
    <s v="own"/>
    <n v="30"/>
    <n v="4221"/>
    <x v="7"/>
    <x v="2"/>
    <s v="Medium-Term"/>
    <x v="0"/>
  </r>
  <r>
    <s v="Good"/>
    <s v="Low balance"/>
    <x v="2"/>
    <s v="Less 100"/>
    <s v="male "/>
    <s v=" single"/>
    <s v="skilled employee / official"/>
    <s v="own"/>
    <n v="18"/>
    <n v="6361"/>
    <x v="33"/>
    <x v="1"/>
    <s v="Medium-Term"/>
    <x v="0"/>
  </r>
  <r>
    <s v="Good"/>
    <s v="Normal balance"/>
    <x v="0"/>
    <s v="Less 100"/>
    <s v="male "/>
    <s v=" married/widowed"/>
    <s v="skilled employee / official"/>
    <s v="rent"/>
    <n v="12"/>
    <n v="1297"/>
    <x v="27"/>
    <x v="0"/>
    <s v="Medium-Term"/>
    <x v="0"/>
  </r>
  <r>
    <s v="Bad"/>
    <s v="Negative balance"/>
    <x v="3"/>
    <s v="No information"/>
    <s v="male "/>
    <s v=" married/widowed"/>
    <s v="skilled employee / official"/>
    <s v="own"/>
    <n v="12"/>
    <n v="900"/>
    <x v="27"/>
    <x v="0"/>
    <s v="Medium-Term"/>
    <x v="1"/>
  </r>
  <r>
    <s v="Good"/>
    <s v="No information"/>
    <x v="2"/>
    <s v="Less 100"/>
    <s v="male "/>
    <s v=" single"/>
    <s v="skilled employee / official"/>
    <s v="own"/>
    <n v="21"/>
    <n v="2241"/>
    <x v="30"/>
    <x v="2"/>
    <s v="Medium-Term"/>
    <x v="0"/>
  </r>
  <r>
    <s v="Good"/>
    <s v="Low balance"/>
    <x v="2"/>
    <s v="Less 100"/>
    <s v="male "/>
    <s v=" single"/>
    <s v="management/ self-employed/ highly qualified employee/ officer"/>
    <s v="own"/>
    <n v="6"/>
    <n v="1050"/>
    <x v="5"/>
    <x v="0"/>
    <s v="Low-Term"/>
    <x v="0"/>
  </r>
  <r>
    <s v="Good"/>
    <s v="Normal balance"/>
    <x v="1"/>
    <s v="Less 100"/>
    <s v="female "/>
    <s v=" divorced/separated/married"/>
    <s v="unskilled - resident"/>
    <s v="own"/>
    <n v="6"/>
    <n v="1047"/>
    <x v="30"/>
    <x v="0"/>
    <s v="Low-Term"/>
    <x v="0"/>
  </r>
  <r>
    <s v="Good"/>
    <s v="No information"/>
    <x v="8"/>
    <s v="Less 100"/>
    <s v="male "/>
    <s v=" single"/>
    <s v="management/ self-employed/ highly qualified employee/ officer"/>
    <s v="own"/>
    <n v="24"/>
    <n v="6314"/>
    <x v="21"/>
    <x v="1"/>
    <s v="Medium-Term"/>
    <x v="0"/>
  </r>
  <r>
    <s v="Good"/>
    <s v="Low balance"/>
    <x v="2"/>
    <s v="More 1000"/>
    <s v="male "/>
    <s v=" single"/>
    <s v="skilled employee / official"/>
    <s v="own"/>
    <n v="30"/>
    <n v="3496"/>
    <x v="19"/>
    <x v="2"/>
    <s v="Medium-Term"/>
    <x v="0"/>
  </r>
  <r>
    <s v="Good"/>
    <s v="No information"/>
    <x v="5"/>
    <s v="Less 100"/>
    <s v="female "/>
    <s v=" divorced/separated/married"/>
    <s v="skilled employee / official"/>
    <s v="own"/>
    <n v="48"/>
    <n v="3609"/>
    <x v="21"/>
    <x v="2"/>
    <s v="Long-Term"/>
    <x v="0"/>
  </r>
  <r>
    <s v="Bad"/>
    <s v="Negative balance"/>
    <x v="3"/>
    <s v="Less 100"/>
    <s v="male "/>
    <s v=" single"/>
    <s v="skilled employee / official"/>
    <s v="rent"/>
    <n v="12"/>
    <n v="4843"/>
    <x v="46"/>
    <x v="2"/>
    <s v="Medium-Term"/>
    <x v="1"/>
  </r>
  <r>
    <s v="Good"/>
    <s v="Normal balance"/>
    <x v="0"/>
    <s v="Less 100"/>
    <s v="male "/>
    <s v=" single"/>
    <s v="skilled employee / official"/>
    <s v="own"/>
    <n v="30"/>
    <n v="3017"/>
    <x v="36"/>
    <x v="2"/>
    <s v="Medium-Term"/>
    <x v="0"/>
  </r>
  <r>
    <s v="Good"/>
    <s v="No information"/>
    <x v="5"/>
    <s v="Up to 500"/>
    <s v="male "/>
    <s v=" single"/>
    <s v="unskilled - resident"/>
    <s v="own"/>
    <n v="24"/>
    <n v="4139"/>
    <x v="21"/>
    <x v="2"/>
    <s v="Medium-Term"/>
    <x v="0"/>
  </r>
  <r>
    <s v="Good"/>
    <s v="No information"/>
    <x v="5"/>
    <s v="Up to 500"/>
    <s v="male "/>
    <s v=" single"/>
    <s v="skilled employee / official"/>
    <s v="own"/>
    <n v="36"/>
    <n v="5742"/>
    <x v="13"/>
    <x v="1"/>
    <s v="Long-Term"/>
    <x v="0"/>
  </r>
  <r>
    <s v="Good"/>
    <s v="No information"/>
    <x v="3"/>
    <s v="Less 100"/>
    <s v="male "/>
    <s v=" single"/>
    <s v="management/ self-employed/ highly qualified employee/ officer"/>
    <s v="own"/>
    <n v="60"/>
    <n v="10366"/>
    <x v="18"/>
    <x v="1"/>
    <s v="Long-Term"/>
    <x v="2"/>
  </r>
  <r>
    <s v="Good"/>
    <s v="No information"/>
    <x v="3"/>
    <s v="Up to 1000"/>
    <s v="male "/>
    <s v=" married/widowed"/>
    <s v="skilled employee / official"/>
    <s v="own"/>
    <n v="6"/>
    <n v="2080"/>
    <x v="9"/>
    <x v="2"/>
    <s v="Low-Term"/>
    <x v="0"/>
  </r>
  <r>
    <s v="Bad"/>
    <s v="No information"/>
    <x v="5"/>
    <s v="Up to 1000"/>
    <s v="male "/>
    <s v=" single"/>
    <s v="unskilled - resident"/>
    <s v="own"/>
    <n v="21"/>
    <n v="2580"/>
    <x v="33"/>
    <x v="2"/>
    <s v="Medium-Term"/>
    <x v="1"/>
  </r>
  <r>
    <s v="Good"/>
    <s v="No information"/>
    <x v="0"/>
    <s v="Less 100"/>
    <s v="female "/>
    <s v=" divorced/separated/married"/>
    <s v="management/ self-employed/ highly qualified employee/ officer"/>
    <s v="rent"/>
    <n v="30"/>
    <n v="4530"/>
    <x v="15"/>
    <x v="2"/>
    <s v="Medium-Term"/>
    <x v="0"/>
  </r>
  <r>
    <s v="Good"/>
    <s v="No information"/>
    <x v="2"/>
    <s v="Less 100"/>
    <s v="male "/>
    <s v=" single"/>
    <s v="skilled employee / official"/>
    <s v="own"/>
    <n v="24"/>
    <n v="5150"/>
    <x v="24"/>
    <x v="1"/>
    <s v="Medium-Term"/>
    <x v="0"/>
  </r>
  <r>
    <s v="Bad"/>
    <s v="Low balance"/>
    <x v="0"/>
    <s v="Up to 500"/>
    <s v="male "/>
    <s v=" married/widowed"/>
    <s v="skilled employee / official"/>
    <s v="own"/>
    <n v="72"/>
    <n v="5595"/>
    <x v="9"/>
    <x v="1"/>
    <s v="Long-Term"/>
    <x v="1"/>
  </r>
  <r>
    <s v="Good"/>
    <s v="Negative balance"/>
    <x v="0"/>
    <s v="Less 100"/>
    <s v="male "/>
    <s v=" single"/>
    <s v="unskilled - resident"/>
    <s v="rent"/>
    <n v="24"/>
    <n v="2384"/>
    <x v="48"/>
    <x v="2"/>
    <s v="Medium-Term"/>
    <x v="0"/>
  </r>
  <r>
    <s v="Good"/>
    <s v="No information"/>
    <x v="0"/>
    <s v="Less 100"/>
    <s v="female "/>
    <s v=" divorced/separated/married"/>
    <s v="skilled employee / official"/>
    <s v="own"/>
    <n v="18"/>
    <n v="1453"/>
    <x v="15"/>
    <x v="0"/>
    <s v="Medium-Term"/>
    <x v="0"/>
  </r>
  <r>
    <s v="Good"/>
    <s v="No information"/>
    <x v="1"/>
    <s v="Less 100"/>
    <s v="female "/>
    <s v=" divorced/separated/married"/>
    <s v="skilled employee / official"/>
    <s v="own"/>
    <n v="6"/>
    <n v="1538"/>
    <x v="37"/>
    <x v="0"/>
    <s v="Low-Term"/>
    <x v="0"/>
  </r>
  <r>
    <s v="Good"/>
    <s v="No information"/>
    <x v="0"/>
    <s v="No information"/>
    <s v="male "/>
    <s v=" single"/>
    <s v="skilled employee / official"/>
    <s v="for free"/>
    <n v="12"/>
    <n v="2279"/>
    <x v="25"/>
    <x v="2"/>
    <s v="Medium-Term"/>
    <x v="0"/>
  </r>
  <r>
    <s v="Good"/>
    <s v="No information"/>
    <x v="0"/>
    <s v="Less 100"/>
    <s v="male "/>
    <s v=" married/widowed"/>
    <s v="skilled employee / official"/>
    <s v="own"/>
    <n v="15"/>
    <n v="1478"/>
    <x v="24"/>
    <x v="0"/>
    <s v="Medium-Term"/>
    <x v="0"/>
  </r>
  <r>
    <s v="Good"/>
    <s v="No information"/>
    <x v="0"/>
    <s v="Less 100"/>
    <s v="male "/>
    <s v=" married/widowed"/>
    <s v="skilled employee / official"/>
    <s v="for free"/>
    <n v="24"/>
    <n v="5103"/>
    <x v="36"/>
    <x v="1"/>
    <s v="Medium-Term"/>
    <x v="0"/>
  </r>
  <r>
    <s v="Good"/>
    <s v="Low balance"/>
    <x v="5"/>
    <s v="Up to 500"/>
    <s v="male "/>
    <s v=" single"/>
    <s v="unskilled - resident"/>
    <s v="own"/>
    <n v="36"/>
    <n v="9857"/>
    <x v="13"/>
    <x v="1"/>
    <s v="Long-Term"/>
    <x v="2"/>
  </r>
  <r>
    <s v="Good"/>
    <s v="No information"/>
    <x v="3"/>
    <s v="No information"/>
    <s v="male "/>
    <s v=" single"/>
    <s v="skilled employee / official"/>
    <s v="for free"/>
    <n v="60"/>
    <n v="6527"/>
    <x v="19"/>
    <x v="1"/>
    <s v="Long-Term"/>
    <x v="0"/>
  </r>
  <r>
    <s v="Good"/>
    <s v="Normal balance"/>
    <x v="0"/>
    <s v="No information"/>
    <s v="male "/>
    <s v=" single"/>
    <s v="skilled employee / official"/>
    <s v="own"/>
    <n v="10"/>
    <n v="1347"/>
    <x v="21"/>
    <x v="0"/>
    <s v="Low-Term"/>
    <x v="0"/>
  </r>
  <r>
    <s v="Good"/>
    <s v="Low balance"/>
    <x v="3"/>
    <s v="Up to 500"/>
    <s v="male "/>
    <s v=" single"/>
    <s v="skilled employee / official"/>
    <s v="for free"/>
    <n v="36"/>
    <n v="2862"/>
    <x v="22"/>
    <x v="2"/>
    <s v="Long-Term"/>
    <x v="0"/>
  </r>
  <r>
    <s v="Good"/>
    <s v="No information"/>
    <x v="0"/>
    <s v="Up to 500"/>
    <s v="male "/>
    <s v=" single"/>
    <s v="skilled employee / official"/>
    <s v="own"/>
    <n v="9"/>
    <n v="2753"/>
    <x v="5"/>
    <x v="2"/>
    <s v="Low-Term"/>
    <x v="0"/>
  </r>
  <r>
    <s v="Good"/>
    <s v="Negative balance"/>
    <x v="3"/>
    <s v="More 1000"/>
    <s v="male "/>
    <s v=" single"/>
    <s v="skilled employee / official"/>
    <s v="own"/>
    <n v="12"/>
    <n v="3651"/>
    <x v="13"/>
    <x v="2"/>
    <s v="Medium-Term"/>
    <x v="0"/>
  </r>
  <r>
    <s v="Good"/>
    <s v="Negative balance"/>
    <x v="2"/>
    <s v="Less 100"/>
    <s v="male "/>
    <s v=" divorced/separated"/>
    <s v="skilled employee / official"/>
    <s v="own"/>
    <n v="15"/>
    <n v="975"/>
    <x v="8"/>
    <x v="0"/>
    <s v="Medium-Term"/>
    <x v="0"/>
  </r>
  <r>
    <s v="Good"/>
    <s v="Low balance"/>
    <x v="7"/>
    <s v="Up to 500"/>
    <s v="female "/>
    <s v=" divorced/separated/married"/>
    <s v="unskilled - resident"/>
    <s v="own"/>
    <n v="15"/>
    <n v="2631"/>
    <x v="8"/>
    <x v="2"/>
    <s v="Medium-Term"/>
    <x v="0"/>
  </r>
  <r>
    <s v="Good"/>
    <s v="Low balance"/>
    <x v="0"/>
    <s v="Up to 500"/>
    <s v="male "/>
    <s v=" single"/>
    <s v="skilled employee / official"/>
    <s v="own"/>
    <n v="24"/>
    <n v="2896"/>
    <x v="28"/>
    <x v="2"/>
    <s v="Medium-Term"/>
    <x v="0"/>
  </r>
  <r>
    <s v="Good"/>
    <s v="Negative balance"/>
    <x v="3"/>
    <s v="No information"/>
    <s v="male "/>
    <s v=" single"/>
    <s v="unskilled - resident"/>
    <s v="own"/>
    <n v="6"/>
    <n v="4716"/>
    <x v="12"/>
    <x v="2"/>
    <s v="Low-Term"/>
    <x v="0"/>
  </r>
  <r>
    <s v="Good"/>
    <s v="No information"/>
    <x v="0"/>
    <s v="Less 100"/>
    <s v="male "/>
    <s v=" single"/>
    <s v="skilled employee / official"/>
    <s v="own"/>
    <n v="24"/>
    <n v="2284"/>
    <x v="7"/>
    <x v="2"/>
    <s v="Medium-Term"/>
    <x v="0"/>
  </r>
  <r>
    <s v="Good"/>
    <s v="No information"/>
    <x v="4"/>
    <s v="Up to 1000"/>
    <s v="male "/>
    <s v=" single"/>
    <s v="skilled employee / official"/>
    <s v="rent"/>
    <n v="6"/>
    <n v="1236"/>
    <x v="30"/>
    <x v="0"/>
    <s v="Low-Term"/>
    <x v="0"/>
  </r>
  <r>
    <s v="Good"/>
    <s v="Low balance"/>
    <x v="0"/>
    <s v="Less 100"/>
    <s v="male "/>
    <s v=" single"/>
    <s v="skilled employee / official"/>
    <s v="own"/>
    <n v="12"/>
    <n v="1103"/>
    <x v="28"/>
    <x v="0"/>
    <s v="Medium-Term"/>
    <x v="0"/>
  </r>
  <r>
    <s v="Good"/>
    <s v="No information"/>
    <x v="3"/>
    <s v="Less 100"/>
    <s v="female "/>
    <s v=" divorced/separated/married"/>
    <s v="unemployed/ unskilled  - non-resident"/>
    <s v="own"/>
    <n v="12"/>
    <n v="926"/>
    <x v="41"/>
    <x v="0"/>
    <s v="Medium-Term"/>
    <x v="0"/>
  </r>
  <r>
    <s v="Good"/>
    <s v="No information"/>
    <x v="0"/>
    <s v="Less 100"/>
    <s v="male "/>
    <s v=" single"/>
    <s v="skilled employee / official"/>
    <s v="own"/>
    <n v="18"/>
    <n v="1800"/>
    <x v="9"/>
    <x v="0"/>
    <s v="Medium-Term"/>
    <x v="0"/>
  </r>
  <r>
    <s v="Good"/>
    <s v="Normal balance"/>
    <x v="1"/>
    <s v="Less 100"/>
    <s v="male "/>
    <s v=" single"/>
    <s v="management/ self-employed/ highly qualified employee/ officer"/>
    <s v="rent"/>
    <n v="15"/>
    <n v="1905"/>
    <x v="34"/>
    <x v="0"/>
    <s v="Medium-Term"/>
    <x v="0"/>
  </r>
  <r>
    <s v="Bad"/>
    <s v="No information"/>
    <x v="2"/>
    <s v="Up to 1000"/>
    <s v="female "/>
    <s v=" divorced/separated/married"/>
    <s v="unskilled - resident"/>
    <s v="rent"/>
    <n v="12"/>
    <n v="1123"/>
    <x v="28"/>
    <x v="0"/>
    <s v="Medium-Term"/>
    <x v="1"/>
  </r>
  <r>
    <s v="Bad"/>
    <s v="Negative balance"/>
    <x v="4"/>
    <s v="Less 100"/>
    <s v="male "/>
    <s v=" single"/>
    <s v="skilled employee / official"/>
    <s v="for free"/>
    <n v="48"/>
    <n v="6331"/>
    <x v="31"/>
    <x v="1"/>
    <s v="Long-Term"/>
    <x v="1"/>
  </r>
  <r>
    <s v="Good"/>
    <s v="Normal balance"/>
    <x v="0"/>
    <s v="Up to 500"/>
    <s v="female "/>
    <s v=" divorced/separated/married"/>
    <s v="skilled employee / official"/>
    <s v="for free"/>
    <n v="24"/>
    <n v="1377"/>
    <x v="36"/>
    <x v="0"/>
    <s v="Medium-Term"/>
    <x v="0"/>
  </r>
  <r>
    <s v="Good"/>
    <s v="Low balance"/>
    <x v="5"/>
    <s v="Up to 500"/>
    <s v="male "/>
    <s v=" single"/>
    <s v="skilled employee / official"/>
    <s v="own"/>
    <n v="30"/>
    <n v="2503"/>
    <x v="33"/>
    <x v="2"/>
    <s v="Medium-Term"/>
    <x v="0"/>
  </r>
  <r>
    <s v="Good"/>
    <s v="Low balance"/>
    <x v="5"/>
    <s v="Less 100"/>
    <s v="female "/>
    <s v=" divorced/separated/married"/>
    <s v="skilled employee / official"/>
    <s v="own"/>
    <n v="27"/>
    <n v="2528"/>
    <x v="11"/>
    <x v="2"/>
    <s v="Medium-Term"/>
    <x v="0"/>
  </r>
  <r>
    <s v="Good"/>
    <s v="No information"/>
    <x v="3"/>
    <s v="Up to 1000"/>
    <s v="female "/>
    <s v=" divorced/separated/married"/>
    <s v="skilled employee / official"/>
    <s v="for free"/>
    <n v="15"/>
    <n v="5324"/>
    <x v="5"/>
    <x v="1"/>
    <s v="Medium-Term"/>
    <x v="0"/>
  </r>
  <r>
    <s v="Bad"/>
    <s v="Low balance"/>
    <x v="3"/>
    <s v="Up to 500"/>
    <s v="male "/>
    <s v=" single"/>
    <s v="skilled employee / official"/>
    <s v="own"/>
    <n v="48"/>
    <n v="6560"/>
    <x v="9"/>
    <x v="1"/>
    <s v="Long-Term"/>
    <x v="1"/>
  </r>
  <r>
    <s v="Bad"/>
    <s v="Low balance"/>
    <x v="2"/>
    <s v="Less 100"/>
    <s v="female "/>
    <s v=" divorced/separated/married"/>
    <s v="skilled employee / official"/>
    <s v="rent"/>
    <n v="12"/>
    <n v="2969"/>
    <x v="8"/>
    <x v="2"/>
    <s v="Medium-Term"/>
    <x v="1"/>
  </r>
  <r>
    <s v="Good"/>
    <s v="Low balance"/>
    <x v="0"/>
    <s v="Less 100"/>
    <s v="female "/>
    <s v=" divorced/separated/married"/>
    <s v="skilled employee / official"/>
    <s v="own"/>
    <n v="9"/>
    <n v="1206"/>
    <x v="8"/>
    <x v="0"/>
    <s v="Low-Term"/>
    <x v="0"/>
  </r>
  <r>
    <s v="Good"/>
    <s v="Low balance"/>
    <x v="0"/>
    <s v="Less 100"/>
    <s v="male "/>
    <s v=" single"/>
    <s v="unskilled - resident"/>
    <s v="own"/>
    <n v="9"/>
    <n v="2118"/>
    <x v="25"/>
    <x v="2"/>
    <s v="Low-Term"/>
    <x v="0"/>
  </r>
  <r>
    <s v="Good"/>
    <s v="No information"/>
    <x v="0"/>
    <s v="Up to 1000"/>
    <s v="male "/>
    <s v=" single"/>
    <s v="management/ self-employed/ highly qualified employee/ officer"/>
    <s v="own"/>
    <n v="18"/>
    <n v="629"/>
    <x v="11"/>
    <x v="0"/>
    <s v="Medium-Term"/>
    <x v="0"/>
  </r>
  <r>
    <s v="Bad"/>
    <s v="Negative balance"/>
    <x v="1"/>
    <s v="Less 100"/>
    <s v="female "/>
    <s v=" divorced/separated/married"/>
    <s v="skilled employee / official"/>
    <s v="for free"/>
    <n v="6"/>
    <n v="1198"/>
    <x v="5"/>
    <x v="0"/>
    <s v="Low-Term"/>
    <x v="1"/>
  </r>
  <r>
    <s v="Good"/>
    <s v="No information"/>
    <x v="4"/>
    <s v="No information"/>
    <s v="male "/>
    <s v=" single"/>
    <s v="management/ self-employed/ highly qualified employee/ officer"/>
    <s v="own"/>
    <n v="21"/>
    <n v="2476"/>
    <x v="31"/>
    <x v="2"/>
    <s v="Medium-Term"/>
    <x v="0"/>
  </r>
  <r>
    <s v="Good"/>
    <s v="Negative balance"/>
    <x v="0"/>
    <s v="Less 100"/>
    <s v="male "/>
    <s v=" single"/>
    <s v="unskilled - resident"/>
    <s v="own"/>
    <n v="9"/>
    <n v="1138"/>
    <x v="8"/>
    <x v="0"/>
    <s v="Low-Term"/>
    <x v="0"/>
  </r>
  <r>
    <s v="Bad"/>
    <s v="Low balance"/>
    <x v="3"/>
    <s v="Less 100"/>
    <s v="male "/>
    <s v=" single"/>
    <s v="management/ self-employed/ highly qualified employee/ officer"/>
    <s v="own"/>
    <n v="60"/>
    <n v="14027"/>
    <x v="21"/>
    <x v="1"/>
    <s v="Long-Term"/>
    <x v="1"/>
  </r>
  <r>
    <s v="Good"/>
    <s v="No information"/>
    <x v="4"/>
    <s v="No information"/>
    <s v="male "/>
    <s v=" single"/>
    <s v="skilled employee / official"/>
    <s v="own"/>
    <n v="30"/>
    <n v="7596"/>
    <x v="20"/>
    <x v="1"/>
    <s v="Medium-Term"/>
    <x v="2"/>
  </r>
  <r>
    <s v="Good"/>
    <s v="No information"/>
    <x v="0"/>
    <s v="No information"/>
    <s v="male "/>
    <s v=" single"/>
    <s v="skilled employee / official"/>
    <s v="own"/>
    <n v="30"/>
    <n v="3077"/>
    <x v="34"/>
    <x v="2"/>
    <s v="Medium-Term"/>
    <x v="0"/>
  </r>
  <r>
    <s v="Good"/>
    <s v="No information"/>
    <x v="0"/>
    <s v="Less 100"/>
    <s v="male "/>
    <s v=" single"/>
    <s v="management/ self-employed/ highly qualified employee/ officer"/>
    <s v="for free"/>
    <n v="18"/>
    <n v="1505"/>
    <x v="11"/>
    <x v="0"/>
    <s v="Medium-Term"/>
    <x v="0"/>
  </r>
  <r>
    <s v="Good"/>
    <s v="Normal balance"/>
    <x v="0"/>
    <s v="No information"/>
    <s v="male "/>
    <s v=" single"/>
    <s v="skilled employee / official"/>
    <s v="own"/>
    <n v="24"/>
    <n v="3148"/>
    <x v="13"/>
    <x v="2"/>
    <s v="Medium-Term"/>
    <x v="0"/>
  </r>
  <r>
    <s v="Good"/>
    <s v="Low balance"/>
    <x v="4"/>
    <s v="Up to 500"/>
    <s v="male "/>
    <s v=" married/widowed"/>
    <s v="skilled employee / official"/>
    <s v="own"/>
    <n v="20"/>
    <n v="6148"/>
    <x v="13"/>
    <x v="1"/>
    <s v="Medium-Term"/>
    <x v="0"/>
  </r>
  <r>
    <s v="Bad"/>
    <s v="Normal balance"/>
    <x v="0"/>
    <s v="Less 100"/>
    <s v="male "/>
    <s v=" single"/>
    <s v="management/ self-employed/ highly qualified employee/ officer"/>
    <s v="own"/>
    <n v="9"/>
    <n v="1337"/>
    <x v="19"/>
    <x v="0"/>
    <s v="Low-Term"/>
    <x v="1"/>
  </r>
  <r>
    <s v="Bad"/>
    <s v="Low balance"/>
    <x v="1"/>
    <s v="More 1000"/>
    <s v="female "/>
    <s v=" divorced/separated/married"/>
    <s v="skilled employee / official"/>
    <s v="rent"/>
    <n v="6"/>
    <n v="433"/>
    <x v="9"/>
    <x v="0"/>
    <s v="Low-Term"/>
    <x v="1"/>
  </r>
  <r>
    <s v="Bad"/>
    <s v="Negative balance"/>
    <x v="3"/>
    <s v="Less 100"/>
    <s v="female "/>
    <s v=" divorced/separated/married"/>
    <s v="unskilled - resident"/>
    <s v="own"/>
    <n v="12"/>
    <n v="1228"/>
    <x v="9"/>
    <x v="0"/>
    <s v="Medium-Term"/>
    <x v="1"/>
  </r>
  <r>
    <s v="Good"/>
    <s v="Low balance"/>
    <x v="0"/>
    <s v="Up to 1000"/>
    <s v="female "/>
    <s v=" divorced/separated/married"/>
    <s v="unskilled - resident"/>
    <s v="own"/>
    <n v="9"/>
    <n v="790"/>
    <x v="35"/>
    <x v="0"/>
    <s v="Low-Term"/>
    <x v="0"/>
  </r>
  <r>
    <s v="Bad"/>
    <s v="No information"/>
    <x v="3"/>
    <s v="Less 100"/>
    <s v="female "/>
    <s v=" divorced/separated/married"/>
    <s v="skilled employee / official"/>
    <s v="rent"/>
    <n v="27"/>
    <n v="2570"/>
    <x v="40"/>
    <x v="2"/>
    <s v="Medium-Term"/>
    <x v="1"/>
  </r>
  <r>
    <s v="Good"/>
    <s v="No information"/>
    <x v="3"/>
    <s v="More 1000"/>
    <s v="female "/>
    <s v=" divorced/separated/married"/>
    <s v="unskilled - resident"/>
    <s v="own"/>
    <n v="6"/>
    <n v="250"/>
    <x v="33"/>
    <x v="0"/>
    <s v="Low-Term"/>
    <x v="0"/>
  </r>
  <r>
    <s v="Good"/>
    <s v="No information"/>
    <x v="0"/>
    <s v="Up to 1000"/>
    <s v="male "/>
    <s v=" married/widowed"/>
    <s v="unskilled - resident"/>
    <s v="own"/>
    <n v="15"/>
    <n v="1316"/>
    <x v="36"/>
    <x v="0"/>
    <s v="Medium-Term"/>
    <x v="0"/>
  </r>
  <r>
    <s v="Bad"/>
    <s v="Negative balance"/>
    <x v="0"/>
    <s v="Less 100"/>
    <s v="female "/>
    <s v=" divorced/separated/married"/>
    <s v="skilled employee / official"/>
    <s v="rent"/>
    <n v="18"/>
    <n v="1882"/>
    <x v="8"/>
    <x v="0"/>
    <s v="Medium-Term"/>
    <x v="1"/>
  </r>
  <r>
    <s v="Bad"/>
    <s v="Low balance"/>
    <x v="5"/>
    <s v="Less 100"/>
    <s v="female "/>
    <s v=" divorced/separated/married"/>
    <s v="skilled employee / official"/>
    <s v="rent"/>
    <n v="48"/>
    <n v="6416"/>
    <x v="52"/>
    <x v="1"/>
    <s v="Long-Term"/>
    <x v="1"/>
  </r>
  <r>
    <s v="Good"/>
    <s v="Normal balance"/>
    <x v="5"/>
    <s v="More 1000"/>
    <s v="male "/>
    <s v=" divorced/separated"/>
    <s v="skilled employee / official"/>
    <s v="own"/>
    <n v="24"/>
    <n v="1275"/>
    <x v="16"/>
    <x v="0"/>
    <s v="Medium-Term"/>
    <x v="0"/>
  </r>
  <r>
    <s v="Good"/>
    <s v="Low balance"/>
    <x v="0"/>
    <s v="Less 100"/>
    <s v="male "/>
    <s v=" single"/>
    <s v="skilled employee / official"/>
    <s v="own"/>
    <n v="24"/>
    <n v="6403"/>
    <x v="24"/>
    <x v="1"/>
    <s v="Medium-Term"/>
    <x v="0"/>
  </r>
  <r>
    <s v="Bad"/>
    <s v="Negative balance"/>
    <x v="0"/>
    <s v="Less 100"/>
    <s v="male "/>
    <s v=" single"/>
    <s v="unskilled - resident"/>
    <s v="rent"/>
    <n v="24"/>
    <n v="1987"/>
    <x v="40"/>
    <x v="0"/>
    <s v="Medium-Term"/>
    <x v="1"/>
  </r>
  <r>
    <s v="Good"/>
    <s v="Low balance"/>
    <x v="0"/>
    <s v="Less 100"/>
    <s v="female "/>
    <s v=" divorced/separated/married"/>
    <s v="unskilled - resident"/>
    <s v="own"/>
    <n v="8"/>
    <n v="760"/>
    <x v="12"/>
    <x v="0"/>
    <s v="Low-Term"/>
    <x v="0"/>
  </r>
  <r>
    <s v="Good"/>
    <s v="No information"/>
    <x v="4"/>
    <s v="More 1000"/>
    <s v="female "/>
    <s v=" divorced/separated/married"/>
    <s v="skilled employee / official"/>
    <s v="rent"/>
    <n v="24"/>
    <n v="2603"/>
    <x v="7"/>
    <x v="2"/>
    <s v="Medium-Term"/>
    <x v="0"/>
  </r>
  <r>
    <s v="Good"/>
    <s v="No information"/>
    <x v="3"/>
    <s v="Less 100"/>
    <s v="female "/>
    <s v=" divorced/separated/married"/>
    <s v="skilled employee / official"/>
    <s v="own"/>
    <n v="4"/>
    <n v="3380"/>
    <x v="25"/>
    <x v="2"/>
    <s v="Low-Term"/>
    <x v="0"/>
  </r>
  <r>
    <s v="Good"/>
    <s v="Low balance"/>
    <x v="6"/>
    <s v="No information"/>
    <s v="female "/>
    <s v=" divorced/separated/married"/>
    <s v="unemployed/ unskilled  - non-resident"/>
    <s v="own"/>
    <n v="36"/>
    <n v="3990"/>
    <x v="28"/>
    <x v="2"/>
    <s v="Long-Term"/>
    <x v="0"/>
  </r>
  <r>
    <s v="Bad"/>
    <s v="Low balance"/>
    <x v="4"/>
    <s v="Less 100"/>
    <s v="female "/>
    <s v=" divorced/separated/married"/>
    <s v="management/ self-employed/ highly qualified employee/ officer"/>
    <s v="rent"/>
    <n v="24"/>
    <n v="11560"/>
    <x v="27"/>
    <x v="1"/>
    <s v="Medium-Term"/>
    <x v="1"/>
  </r>
  <r>
    <s v="Good"/>
    <s v="Negative balance"/>
    <x v="3"/>
    <s v="Up to 500"/>
    <s v="male "/>
    <s v=" single"/>
    <s v="unskilled - resident"/>
    <s v="own"/>
    <n v="18"/>
    <n v="4380"/>
    <x v="5"/>
    <x v="2"/>
    <s v="Medium-Term"/>
    <x v="0"/>
  </r>
  <r>
    <s v="Good"/>
    <s v="No information"/>
    <x v="3"/>
    <s v="Less 100"/>
    <s v="male "/>
    <s v=" single"/>
    <s v="management/ self-employed/ highly qualified employee/ officer"/>
    <s v="own"/>
    <n v="6"/>
    <n v="6761"/>
    <x v="3"/>
    <x v="1"/>
    <s v="Low-Term"/>
    <x v="0"/>
  </r>
  <r>
    <s v="Bad"/>
    <s v="Low balance"/>
    <x v="5"/>
    <s v="Up to 500"/>
    <s v="female "/>
    <s v=" divorced/separated/married"/>
    <s v="unskilled - resident"/>
    <s v="rent"/>
    <n v="30"/>
    <n v="4280"/>
    <x v="15"/>
    <x v="2"/>
    <s v="Medium-Term"/>
    <x v="1"/>
  </r>
  <r>
    <s v="Good"/>
    <s v="Negative balance"/>
    <x v="3"/>
    <s v="Up to 500"/>
    <s v="male "/>
    <s v=" single"/>
    <s v="skilled employee / official"/>
    <s v="own"/>
    <n v="24"/>
    <n v="2325"/>
    <x v="11"/>
    <x v="2"/>
    <s v="Medium-Term"/>
    <x v="0"/>
  </r>
  <r>
    <s v="Good"/>
    <s v="Low balance"/>
    <x v="0"/>
    <s v="Less 100"/>
    <s v="male "/>
    <s v=" single"/>
    <s v="unskilled - resident"/>
    <s v="own"/>
    <n v="10"/>
    <n v="1048"/>
    <x v="27"/>
    <x v="0"/>
    <s v="Low-Term"/>
    <x v="0"/>
  </r>
  <r>
    <s v="Good"/>
    <s v="No information"/>
    <x v="0"/>
    <s v="No information"/>
    <s v="male "/>
    <s v=" single"/>
    <s v="skilled employee / official"/>
    <s v="own"/>
    <n v="21"/>
    <n v="3160"/>
    <x v="33"/>
    <x v="2"/>
    <s v="Medium-Term"/>
    <x v="0"/>
  </r>
  <r>
    <s v="Good"/>
    <s v="Negative balance"/>
    <x v="2"/>
    <s v="Up to 1000"/>
    <s v="male "/>
    <s v=" single"/>
    <s v="skilled employee / official"/>
    <s v="own"/>
    <n v="24"/>
    <n v="2483"/>
    <x v="1"/>
    <x v="2"/>
    <s v="Medium-Term"/>
    <x v="0"/>
  </r>
  <r>
    <s v="Good"/>
    <s v="Negative balance"/>
    <x v="2"/>
    <s v="No information"/>
    <s v="male "/>
    <s v=" single"/>
    <s v="management/ self-employed/ highly qualified employee/ officer"/>
    <s v="own"/>
    <n v="39"/>
    <n v="14179"/>
    <x v="22"/>
    <x v="1"/>
    <s v="Long-Term"/>
    <x v="2"/>
  </r>
  <r>
    <s v="Good"/>
    <s v="Negative balance"/>
    <x v="5"/>
    <s v="Less 100"/>
    <s v="male "/>
    <s v=" single"/>
    <s v="unskilled - resident"/>
    <s v="own"/>
    <n v="13"/>
    <n v="1797"/>
    <x v="7"/>
    <x v="0"/>
    <s v="Medium-Term"/>
    <x v="0"/>
  </r>
  <r>
    <s v="Good"/>
    <s v="Negative balance"/>
    <x v="3"/>
    <s v="Less 100"/>
    <s v="female "/>
    <s v=" divorced/separated/married"/>
    <s v="skilled employee / official"/>
    <s v="rent"/>
    <n v="15"/>
    <n v="2511"/>
    <x v="27"/>
    <x v="2"/>
    <s v="Medium-Term"/>
    <x v="0"/>
  </r>
  <r>
    <s v="Bad"/>
    <s v="Negative balance"/>
    <x v="3"/>
    <s v="Less 100"/>
    <s v="female "/>
    <s v=" divorced/separated/married"/>
    <s v="unskilled - resident"/>
    <s v="own"/>
    <n v="12"/>
    <n v="1274"/>
    <x v="25"/>
    <x v="0"/>
    <s v="Medium-Term"/>
    <x v="1"/>
  </r>
  <r>
    <s v="Good"/>
    <s v="No information"/>
    <x v="4"/>
    <s v="No information"/>
    <s v="male "/>
    <s v=" single"/>
    <s v="skilled employee / official"/>
    <s v="own"/>
    <n v="21"/>
    <n v="5248"/>
    <x v="15"/>
    <x v="1"/>
    <s v="Medium-Term"/>
    <x v="0"/>
  </r>
  <r>
    <s v="Good"/>
    <s v="No information"/>
    <x v="4"/>
    <s v="Less 100"/>
    <s v="male "/>
    <s v=" single"/>
    <s v="skilled employee / official"/>
    <s v="own"/>
    <n v="15"/>
    <n v="3029"/>
    <x v="24"/>
    <x v="2"/>
    <s v="Medium-Term"/>
    <x v="0"/>
  </r>
  <r>
    <s v="Good"/>
    <s v="Negative balance"/>
    <x v="2"/>
    <s v="Less 100"/>
    <s v="female "/>
    <s v=" divorced/separated/married"/>
    <s v="skilled employee / official"/>
    <s v="own"/>
    <n v="6"/>
    <n v="428"/>
    <x v="2"/>
    <x v="0"/>
    <s v="Low-Term"/>
    <x v="0"/>
  </r>
  <r>
    <s v="Bad"/>
    <s v="Negative balance"/>
    <x v="3"/>
    <s v="Less 100"/>
    <s v="female "/>
    <s v=" divorced/separated/married"/>
    <s v="unskilled - resident"/>
    <s v="own"/>
    <n v="18"/>
    <n v="976"/>
    <x v="27"/>
    <x v="0"/>
    <s v="Medium-Term"/>
    <x v="1"/>
  </r>
  <r>
    <s v="Good"/>
    <s v="Low balance"/>
    <x v="5"/>
    <s v="Up to 500"/>
    <s v="female "/>
    <s v=" divorced/separated/married"/>
    <s v="unskilled - resident"/>
    <s v="rent"/>
    <n v="12"/>
    <n v="841"/>
    <x v="27"/>
    <x v="0"/>
    <s v="Medium-Term"/>
    <x v="0"/>
  </r>
  <r>
    <s v="Good"/>
    <s v="No information"/>
    <x v="0"/>
    <s v="Less 100"/>
    <s v="female "/>
    <s v=" divorced/separated/married"/>
    <s v="skilled employee / official"/>
    <s v="own"/>
    <n v="30"/>
    <n v="5771"/>
    <x v="8"/>
    <x v="1"/>
    <s v="Medium-Term"/>
    <x v="0"/>
  </r>
  <r>
    <s v="Bad"/>
    <s v="No information"/>
    <x v="7"/>
    <s v="More 1000"/>
    <s v="male "/>
    <s v=" single"/>
    <s v="skilled employee / official"/>
    <s v="for free"/>
    <n v="12"/>
    <n v="1555"/>
    <x v="47"/>
    <x v="0"/>
    <s v="Medium-Term"/>
    <x v="1"/>
  </r>
  <r>
    <s v="Bad"/>
    <s v="Negative balance"/>
    <x v="3"/>
    <s v="No information"/>
    <s v="female "/>
    <s v=" divorced/separated/married"/>
    <s v="skilled employee / official"/>
    <s v="rent"/>
    <n v="24"/>
    <n v="1285"/>
    <x v="11"/>
    <x v="0"/>
    <s v="Medium-Term"/>
    <x v="1"/>
  </r>
  <r>
    <s v="Good"/>
    <s v="Normal balance"/>
    <x v="3"/>
    <s v="Less 100"/>
    <s v="male "/>
    <s v=" single"/>
    <s v="unemployed/ unskilled  - non-resident"/>
    <s v="own"/>
    <n v="6"/>
    <n v="1299"/>
    <x v="44"/>
    <x v="0"/>
    <s v="Low-Term"/>
    <x v="0"/>
  </r>
  <r>
    <s v="Bad"/>
    <s v="Normal balance"/>
    <x v="0"/>
    <s v="No information"/>
    <s v="male "/>
    <s v=" single"/>
    <s v="skilled employee / official"/>
    <s v="for free"/>
    <n v="15"/>
    <n v="1271"/>
    <x v="17"/>
    <x v="0"/>
    <s v="Medium-Term"/>
    <x v="1"/>
  </r>
  <r>
    <s v="Good"/>
    <s v="No information"/>
    <x v="3"/>
    <s v="Less 100"/>
    <s v="male "/>
    <s v=" single"/>
    <s v="skilled employee / official"/>
    <s v="own"/>
    <n v="24"/>
    <n v="1393"/>
    <x v="13"/>
    <x v="0"/>
    <s v="Medium-Term"/>
    <x v="0"/>
  </r>
  <r>
    <s v="Bad"/>
    <s v="Negative balance"/>
    <x v="3"/>
    <s v="Less 100"/>
    <s v="male "/>
    <s v=" single"/>
    <s v="skilled employee / official"/>
    <s v="own"/>
    <n v="12"/>
    <n v="691"/>
    <x v="5"/>
    <x v="0"/>
    <s v="Medium-Term"/>
    <x v="1"/>
  </r>
  <r>
    <s v="Good"/>
    <s v="No information"/>
    <x v="3"/>
    <s v="No information"/>
    <s v="female "/>
    <s v=" divorced/separated/married"/>
    <s v="skilled employee / official"/>
    <s v="own"/>
    <n v="15"/>
    <n v="5045"/>
    <x v="52"/>
    <x v="1"/>
    <s v="Medium-Term"/>
    <x v="0"/>
  </r>
  <r>
    <s v="Bad"/>
    <s v="Negative balance"/>
    <x v="2"/>
    <s v="Less 100"/>
    <s v="female "/>
    <s v=" divorced/separated/married"/>
    <s v="skilled employee / official"/>
    <s v="rent"/>
    <n v="18"/>
    <n v="2124"/>
    <x v="9"/>
    <x v="2"/>
    <s v="Medium-Term"/>
    <x v="1"/>
  </r>
  <r>
    <s v="Good"/>
    <s v="Negative balance"/>
    <x v="0"/>
    <s v="Less 100"/>
    <s v="male "/>
    <s v=" single"/>
    <s v="unskilled - resident"/>
    <s v="own"/>
    <n v="12"/>
    <n v="2214"/>
    <x v="9"/>
    <x v="2"/>
    <s v="Medium-Term"/>
    <x v="0"/>
  </r>
  <r>
    <s v="Bad"/>
    <s v="No information"/>
    <x v="3"/>
    <s v="No information"/>
    <s v="male "/>
    <s v=" single"/>
    <s v="management/ self-employed/ highly qualified employee/ officer"/>
    <s v="for free"/>
    <n v="21"/>
    <n v="12680"/>
    <x v="22"/>
    <x v="1"/>
    <s v="Medium-Term"/>
    <x v="1"/>
  </r>
  <r>
    <s v="Good"/>
    <s v="No information"/>
    <x v="3"/>
    <s v="Up to 500"/>
    <s v="male "/>
    <s v=" married/widowed"/>
    <s v="skilled employee / official"/>
    <s v="own"/>
    <n v="24"/>
    <n v="2463"/>
    <x v="21"/>
    <x v="2"/>
    <s v="Medium-Term"/>
    <x v="0"/>
  </r>
  <r>
    <s v="Good"/>
    <s v="Low balance"/>
    <x v="0"/>
    <s v="Less 100"/>
    <s v="male "/>
    <s v=" married/widowed"/>
    <s v="unskilled - resident"/>
    <s v="own"/>
    <n v="12"/>
    <n v="1155"/>
    <x v="34"/>
    <x v="0"/>
    <s v="Medium-Term"/>
    <x v="0"/>
  </r>
  <r>
    <s v="Bad"/>
    <s v="Negative balance"/>
    <x v="2"/>
    <s v="Less 100"/>
    <s v="male "/>
    <s v=" divorced/separated"/>
    <s v="unskilled - resident"/>
    <s v="own"/>
    <n v="30"/>
    <n v="3108"/>
    <x v="13"/>
    <x v="2"/>
    <s v="Medium-Term"/>
    <x v="1"/>
  </r>
  <r>
    <s v="Good"/>
    <s v="No information"/>
    <x v="4"/>
    <s v="No information"/>
    <s v="female "/>
    <s v=" divorced/separated/married"/>
    <s v="skilled employee / official"/>
    <s v="rent"/>
    <n v="10"/>
    <n v="2901"/>
    <x v="13"/>
    <x v="2"/>
    <s v="Low-Term"/>
    <x v="0"/>
  </r>
  <r>
    <s v="Good"/>
    <s v="Low balance"/>
    <x v="2"/>
    <s v="Less 100"/>
    <s v="male "/>
    <s v=" single"/>
    <s v="skilled employee / official"/>
    <s v="rent"/>
    <n v="12"/>
    <n v="3617"/>
    <x v="7"/>
    <x v="2"/>
    <s v="Medium-Term"/>
    <x v="0"/>
  </r>
  <r>
    <s v="Good"/>
    <s v="No information"/>
    <x v="0"/>
    <s v="Less 100"/>
    <s v="male "/>
    <s v=" single"/>
    <s v="unskilled - resident"/>
    <s v="own"/>
    <n v="12"/>
    <n v="1655"/>
    <x v="20"/>
    <x v="0"/>
    <s v="Medium-Term"/>
    <x v="0"/>
  </r>
  <r>
    <s v="Good"/>
    <s v="Negative balance"/>
    <x v="4"/>
    <s v="No information"/>
    <s v="female "/>
    <s v=" divorced/separated/married"/>
    <s v="skilled employee / official"/>
    <s v="rent"/>
    <n v="24"/>
    <n v="2812"/>
    <x v="15"/>
    <x v="2"/>
    <s v="Medium-Term"/>
    <x v="0"/>
  </r>
  <r>
    <s v="Bad"/>
    <s v="Negative balance"/>
    <x v="1"/>
    <s v="Less 100"/>
    <s v="female "/>
    <s v=" divorced/separated/married"/>
    <s v="management/ self-employed/ highly qualified employee/ officer"/>
    <s v="own"/>
    <n v="36"/>
    <n v="8065"/>
    <x v="8"/>
    <x v="1"/>
    <s v="Long-Term"/>
    <x v="1"/>
  </r>
  <r>
    <s v="Good"/>
    <s v="No information"/>
    <x v="4"/>
    <s v="Less 100"/>
    <s v="male "/>
    <s v=" single"/>
    <s v="management/ self-employed/ highly qualified employee/ officer"/>
    <s v="own"/>
    <n v="21"/>
    <n v="3275"/>
    <x v="16"/>
    <x v="2"/>
    <s v="Medium-Term"/>
    <x v="0"/>
  </r>
  <r>
    <s v="Good"/>
    <s v="No information"/>
    <x v="0"/>
    <s v="Up to 500"/>
    <s v="male "/>
    <s v=" single"/>
    <s v="skilled employee / official"/>
    <s v="own"/>
    <n v="24"/>
    <n v="2223"/>
    <x v="29"/>
    <x v="2"/>
    <s v="Medium-Term"/>
    <x v="0"/>
  </r>
  <r>
    <s v="Good"/>
    <s v="Normal balance"/>
    <x v="3"/>
    <s v="Up to 1000"/>
    <s v="male "/>
    <s v=" single"/>
    <s v="unemployed/ unskilled  - non-resident"/>
    <s v="for free"/>
    <n v="12"/>
    <n v="1480"/>
    <x v="35"/>
    <x v="0"/>
    <s v="Medium-Term"/>
    <x v="0"/>
  </r>
  <r>
    <s v="Bad"/>
    <s v="Negative balance"/>
    <x v="3"/>
    <s v="No information"/>
    <s v="female "/>
    <s v=" divorced/separated/married"/>
    <s v="skilled employee / official"/>
    <s v="rent"/>
    <n v="24"/>
    <n v="1371"/>
    <x v="8"/>
    <x v="0"/>
    <s v="Medium-Term"/>
    <x v="1"/>
  </r>
  <r>
    <s v="Good"/>
    <s v="No information"/>
    <x v="3"/>
    <s v="Less 100"/>
    <s v="male "/>
    <s v=" single"/>
    <s v="skilled employee / official"/>
    <s v="own"/>
    <n v="36"/>
    <n v="3535"/>
    <x v="25"/>
    <x v="2"/>
    <s v="Long-Term"/>
    <x v="0"/>
  </r>
  <r>
    <s v="Good"/>
    <s v="Negative balance"/>
    <x v="0"/>
    <s v="Less 100"/>
    <s v="female "/>
    <s v=" divorced/separated/married"/>
    <s v="skilled employee / official"/>
    <s v="own"/>
    <n v="18"/>
    <n v="3509"/>
    <x v="8"/>
    <x v="2"/>
    <s v="Medium-Term"/>
    <x v="0"/>
  </r>
  <r>
    <s v="Good"/>
    <s v="No information"/>
    <x v="4"/>
    <s v="More 1000"/>
    <s v="male "/>
    <s v=" single"/>
    <s v="management/ self-employed/ highly qualified employee/ officer"/>
    <s v="own"/>
    <n v="36"/>
    <n v="5711"/>
    <x v="41"/>
    <x v="1"/>
    <s v="Long-Term"/>
    <x v="0"/>
  </r>
  <r>
    <s v="Good"/>
    <s v="Low balance"/>
    <x v="7"/>
    <s v="Less 100"/>
    <s v="female "/>
    <s v=" divorced/separated/married"/>
    <s v="skilled employee / official"/>
    <s v="own"/>
    <n v="18"/>
    <n v="3872"/>
    <x v="0"/>
    <x v="2"/>
    <s v="Medium-Term"/>
    <x v="0"/>
  </r>
  <r>
    <s v="Bad"/>
    <s v="Low balance"/>
    <x v="0"/>
    <s v="Less 100"/>
    <s v="male "/>
    <s v=" single"/>
    <s v="skilled employee / official"/>
    <s v="own"/>
    <n v="39"/>
    <n v="4933"/>
    <x v="8"/>
    <x v="2"/>
    <s v="Long-Term"/>
    <x v="1"/>
  </r>
  <r>
    <s v="Good"/>
    <s v="No information"/>
    <x v="3"/>
    <s v="More 1000"/>
    <s v="male "/>
    <s v=" single"/>
    <s v="skilled employee / official"/>
    <s v="own"/>
    <n v="24"/>
    <n v="1940"/>
    <x v="10"/>
    <x v="0"/>
    <s v="Medium-Term"/>
    <x v="0"/>
  </r>
  <r>
    <s v="Good"/>
    <s v="Low balance"/>
    <x v="9"/>
    <s v="Less 100"/>
    <s v="male "/>
    <s v=" single"/>
    <s v="unskilled - resident"/>
    <s v="own"/>
    <n v="12"/>
    <n v="1410"/>
    <x v="13"/>
    <x v="0"/>
    <s v="Medium-Term"/>
    <x v="0"/>
  </r>
  <r>
    <s v="Bad"/>
    <s v="Low balance"/>
    <x v="3"/>
    <s v="Up to 500"/>
    <s v="female "/>
    <s v=" divorced/separated/married"/>
    <s v="unskilled - resident"/>
    <s v="own"/>
    <n v="12"/>
    <n v="836"/>
    <x v="27"/>
    <x v="0"/>
    <s v="Medium-Term"/>
    <x v="1"/>
  </r>
  <r>
    <s v="Good"/>
    <s v="Low balance"/>
    <x v="4"/>
    <s v="No information"/>
    <s v="male "/>
    <s v=" divorced/separated"/>
    <s v="management/ self-employed/ highly qualified employee/ officer"/>
    <s v="own"/>
    <n v="20"/>
    <n v="6468"/>
    <x v="10"/>
    <x v="1"/>
    <s v="Medium-Term"/>
    <x v="0"/>
  </r>
  <r>
    <s v="Good"/>
    <s v="Low balance"/>
    <x v="5"/>
    <s v="More 1000"/>
    <s v="male "/>
    <s v=" single"/>
    <s v="unskilled - resident"/>
    <s v="own"/>
    <n v="18"/>
    <n v="1941"/>
    <x v="5"/>
    <x v="0"/>
    <s v="Medium-Term"/>
    <x v="0"/>
  </r>
  <r>
    <s v="Good"/>
    <s v="No information"/>
    <x v="0"/>
    <s v="Up to 1000"/>
    <s v="male "/>
    <s v=" single"/>
    <s v="skilled employee / official"/>
    <s v="own"/>
    <n v="22"/>
    <n v="2675"/>
    <x v="34"/>
    <x v="2"/>
    <s v="Medium-Term"/>
    <x v="0"/>
  </r>
  <r>
    <s v="Good"/>
    <s v="No information"/>
    <x v="4"/>
    <s v="No information"/>
    <s v="male "/>
    <s v=" single"/>
    <s v="skilled employee / official"/>
    <s v="own"/>
    <n v="48"/>
    <n v="2751"/>
    <x v="41"/>
    <x v="2"/>
    <s v="Long-Term"/>
    <x v="0"/>
  </r>
  <r>
    <s v="Bad"/>
    <s v="Low balance"/>
    <x v="1"/>
    <s v="Less 100"/>
    <s v="male "/>
    <s v=" single"/>
    <s v="skilled employee / official"/>
    <s v="for free"/>
    <n v="48"/>
    <n v="6224"/>
    <x v="30"/>
    <x v="1"/>
    <s v="Long-Term"/>
    <x v="1"/>
  </r>
  <r>
    <s v="Bad"/>
    <s v="Negative balance"/>
    <x v="1"/>
    <s v="Less 100"/>
    <s v="male "/>
    <s v=" single"/>
    <s v="skilled employee / official"/>
    <s v="own"/>
    <n v="40"/>
    <n v="5998"/>
    <x v="21"/>
    <x v="1"/>
    <s v="Long-Term"/>
    <x v="1"/>
  </r>
  <r>
    <s v="Bad"/>
    <s v="Low balance"/>
    <x v="5"/>
    <s v="Less 100"/>
    <s v="female "/>
    <s v=" divorced/separated/married"/>
    <s v="skilled employee / official"/>
    <s v="own"/>
    <n v="21"/>
    <n v="1188"/>
    <x v="17"/>
    <x v="0"/>
    <s v="Medium-Term"/>
    <x v="1"/>
  </r>
  <r>
    <s v="Good"/>
    <s v="No information"/>
    <x v="4"/>
    <s v="No information"/>
    <s v="male "/>
    <s v=" single"/>
    <s v="management/ self-employed/ highly qualified employee/ officer"/>
    <s v="own"/>
    <n v="24"/>
    <n v="6313"/>
    <x v="33"/>
    <x v="1"/>
    <s v="Medium-Term"/>
    <x v="0"/>
  </r>
  <r>
    <s v="Good"/>
    <s v="No information"/>
    <x v="2"/>
    <s v="No information"/>
    <s v="male "/>
    <s v=" married/widowed"/>
    <s v="skilled employee / official"/>
    <s v="own"/>
    <n v="6"/>
    <n v="1221"/>
    <x v="21"/>
    <x v="0"/>
    <s v="Low-Term"/>
    <x v="0"/>
  </r>
  <r>
    <s v="Good"/>
    <s v="Normal balance"/>
    <x v="2"/>
    <s v="Less 100"/>
    <s v="male "/>
    <s v=" divorced/separated"/>
    <s v="skilled employee / official"/>
    <s v="for free"/>
    <n v="24"/>
    <n v="2892"/>
    <x v="32"/>
    <x v="2"/>
    <s v="Medium-Term"/>
    <x v="0"/>
  </r>
  <r>
    <s v="Good"/>
    <s v="No information"/>
    <x v="2"/>
    <s v="Up to 1000"/>
    <s v="male "/>
    <s v=" single"/>
    <s v="skilled employee / official"/>
    <s v="rent"/>
    <n v="24"/>
    <n v="3062"/>
    <x v="11"/>
    <x v="2"/>
    <s v="Medium-Term"/>
    <x v="0"/>
  </r>
  <r>
    <s v="Good"/>
    <s v="No information"/>
    <x v="2"/>
    <s v="Up to 500"/>
    <s v="female "/>
    <s v=" divorced/separated/married"/>
    <s v="skilled employee / official"/>
    <s v="rent"/>
    <n v="9"/>
    <n v="2301"/>
    <x v="1"/>
    <x v="2"/>
    <s v="Low-Term"/>
    <x v="0"/>
  </r>
  <r>
    <s v="Bad"/>
    <s v="Negative balance"/>
    <x v="4"/>
    <s v="No information"/>
    <s v="male "/>
    <s v=" single"/>
    <s v="skilled employee / official"/>
    <s v="for free"/>
    <n v="18"/>
    <n v="7511"/>
    <x v="32"/>
    <x v="1"/>
    <s v="Medium-Term"/>
    <x v="1"/>
  </r>
  <r>
    <s v="Good"/>
    <s v="No information"/>
    <x v="2"/>
    <s v="Less 100"/>
    <s v="female "/>
    <s v=" divorced/separated/married"/>
    <s v="unskilled - resident"/>
    <s v="rent"/>
    <n v="12"/>
    <n v="1258"/>
    <x v="1"/>
    <x v="0"/>
    <s v="Medium-Term"/>
    <x v="0"/>
  </r>
  <r>
    <s v="Good"/>
    <s v="No information"/>
    <x v="3"/>
    <s v="No information"/>
    <s v="male "/>
    <s v=" married/widowed"/>
    <s v="skilled employee / official"/>
    <s v="own"/>
    <n v="24"/>
    <n v="717"/>
    <x v="38"/>
    <x v="0"/>
    <s v="Medium-Term"/>
    <x v="0"/>
  </r>
  <r>
    <s v="Good"/>
    <s v="Low balance"/>
    <x v="3"/>
    <s v="No information"/>
    <s v="male "/>
    <s v=" single"/>
    <s v="unemployed/ unskilled  - non-resident"/>
    <s v="own"/>
    <n v="9"/>
    <n v="1549"/>
    <x v="5"/>
    <x v="0"/>
    <s v="Low-Term"/>
    <x v="0"/>
  </r>
  <r>
    <s v="Good"/>
    <s v="No information"/>
    <x v="1"/>
    <s v="Less 100"/>
    <s v="male "/>
    <s v=" single"/>
    <s v="skilled employee / official"/>
    <s v="for free"/>
    <n v="24"/>
    <n v="1597"/>
    <x v="38"/>
    <x v="0"/>
    <s v="Medium-Term"/>
    <x v="0"/>
  </r>
  <r>
    <s v="Good"/>
    <s v="Low balance"/>
    <x v="0"/>
    <s v="Less 100"/>
    <s v="female "/>
    <s v=" divorced/separated/married"/>
    <s v="unskilled - resident"/>
    <s v="rent"/>
    <n v="18"/>
    <n v="1795"/>
    <x v="14"/>
    <x v="0"/>
    <s v="Medium-Term"/>
    <x v="0"/>
  </r>
  <r>
    <s v="Good"/>
    <s v="Negative balance"/>
    <x v="2"/>
    <s v="Less 100"/>
    <s v="female "/>
    <s v=" divorced/separated/married"/>
    <s v="skilled employee / official"/>
    <s v="own"/>
    <n v="20"/>
    <n v="4272"/>
    <x v="9"/>
    <x v="2"/>
    <s v="Medium-Term"/>
    <x v="0"/>
  </r>
  <r>
    <s v="Good"/>
    <s v="No information"/>
    <x v="0"/>
    <s v="No information"/>
    <s v="male "/>
    <s v=" single"/>
    <s v="skilled employee / official"/>
    <s v="own"/>
    <n v="12"/>
    <n v="976"/>
    <x v="5"/>
    <x v="0"/>
    <s v="Medium-Term"/>
    <x v="0"/>
  </r>
  <r>
    <s v="Good"/>
    <s v="Low balance"/>
    <x v="3"/>
    <s v="No information"/>
    <s v="female "/>
    <s v=" divorced/separated/married"/>
    <s v="unemployed/ unskilled  - non-resident"/>
    <s v="rent"/>
    <n v="12"/>
    <n v="7472"/>
    <x v="9"/>
    <x v="1"/>
    <s v="Medium-Term"/>
    <x v="2"/>
  </r>
  <r>
    <s v="Bad"/>
    <s v="Negative balance"/>
    <x v="3"/>
    <s v="Less 100"/>
    <s v="male "/>
    <s v=" single"/>
    <s v="skilled employee / official"/>
    <s v="own"/>
    <n v="36"/>
    <n v="9271"/>
    <x v="9"/>
    <x v="1"/>
    <s v="Long-Term"/>
    <x v="1"/>
  </r>
  <r>
    <s v="Good"/>
    <s v="Low balance"/>
    <x v="0"/>
    <s v="Less 100"/>
    <s v="male "/>
    <s v=" married/widowed"/>
    <s v="unskilled - resident"/>
    <s v="own"/>
    <n v="6"/>
    <n v="590"/>
    <x v="15"/>
    <x v="0"/>
    <s v="Low-Term"/>
    <x v="0"/>
  </r>
  <r>
    <s v="Good"/>
    <s v="No information"/>
    <x v="0"/>
    <s v="No information"/>
    <s v="male "/>
    <s v=" single"/>
    <s v="skilled employee / official"/>
    <s v="own"/>
    <n v="12"/>
    <n v="930"/>
    <x v="43"/>
    <x v="0"/>
    <s v="Medium-Term"/>
    <x v="0"/>
  </r>
  <r>
    <s v="Good"/>
    <s v="Low balance"/>
    <x v="4"/>
    <s v="Less 100"/>
    <s v="male "/>
    <s v=" single"/>
    <s v="management/ self-employed/ highly qualified employee/ officer"/>
    <s v="for free"/>
    <n v="42"/>
    <n v="9283"/>
    <x v="47"/>
    <x v="1"/>
    <s v="Long-Term"/>
    <x v="2"/>
  </r>
  <r>
    <s v="Bad"/>
    <s v="Low balance"/>
    <x v="3"/>
    <s v="Less 100"/>
    <s v="female "/>
    <s v=" divorced/separated/married"/>
    <s v="unemployed/ unskilled  - non-resident"/>
    <s v="rent"/>
    <n v="15"/>
    <n v="1778"/>
    <x v="15"/>
    <x v="0"/>
    <s v="Medium-Term"/>
    <x v="1"/>
  </r>
  <r>
    <s v="Good"/>
    <s v="Low balance"/>
    <x v="5"/>
    <s v="Less 100"/>
    <s v="male "/>
    <s v=" married/widowed"/>
    <s v="skilled employee / official"/>
    <s v="own"/>
    <n v="8"/>
    <n v="907"/>
    <x v="15"/>
    <x v="0"/>
    <s v="Low-Term"/>
    <x v="0"/>
  </r>
  <r>
    <s v="Good"/>
    <s v="Low balance"/>
    <x v="0"/>
    <s v="Less 100"/>
    <s v="male "/>
    <s v=" married/widowed"/>
    <s v="unskilled - resident"/>
    <s v="own"/>
    <n v="6"/>
    <n v="484"/>
    <x v="7"/>
    <x v="0"/>
    <s v="Low-Term"/>
    <x v="0"/>
  </r>
  <r>
    <s v="Bad"/>
    <s v="Negative balance"/>
    <x v="4"/>
    <s v="Less 100"/>
    <s v="male "/>
    <s v=" single"/>
    <s v="skilled employee / official"/>
    <s v="own"/>
    <n v="36"/>
    <n v="9629"/>
    <x v="9"/>
    <x v="1"/>
    <s v="Long-Term"/>
    <x v="1"/>
  </r>
  <r>
    <s v="Bad"/>
    <s v="Negative balance"/>
    <x v="6"/>
    <s v="Less 100"/>
    <s v="male "/>
    <s v=" single"/>
    <s v="skilled employee / official"/>
    <s v="own"/>
    <n v="48"/>
    <n v="3051"/>
    <x v="38"/>
    <x v="2"/>
    <s v="Long-Term"/>
    <x v="1"/>
  </r>
  <r>
    <s v="Bad"/>
    <s v="Negative balance"/>
    <x v="3"/>
    <s v="Less 100"/>
    <s v="male "/>
    <s v=" single"/>
    <s v="skilled employee / official"/>
    <s v="for free"/>
    <n v="48"/>
    <n v="3931"/>
    <x v="31"/>
    <x v="2"/>
    <s v="Long-Term"/>
    <x v="1"/>
  </r>
  <r>
    <s v="Good"/>
    <s v="Low balance"/>
    <x v="3"/>
    <s v="Less 100"/>
    <s v="female "/>
    <s v=" divorced/separated/married"/>
    <s v="skilled employee / official"/>
    <s v="rent"/>
    <n v="36"/>
    <n v="7432"/>
    <x v="38"/>
    <x v="1"/>
    <s v="Long-Term"/>
    <x v="2"/>
  </r>
  <r>
    <s v="Good"/>
    <s v="No information"/>
    <x v="6"/>
    <s v="Up to 1000"/>
    <s v="male "/>
    <s v=" divorced/separated"/>
    <s v="skilled employee / official"/>
    <s v="own"/>
    <n v="6"/>
    <n v="1338"/>
    <x v="51"/>
    <x v="0"/>
    <s v="Low-Term"/>
    <x v="0"/>
  </r>
  <r>
    <s v="Good"/>
    <s v="No information"/>
    <x v="0"/>
    <s v="Less 100"/>
    <s v="female "/>
    <s v=" divorced/separated/married"/>
    <s v="skilled employee / official"/>
    <s v="rent"/>
    <n v="6"/>
    <n v="1554"/>
    <x v="9"/>
    <x v="0"/>
    <s v="Low-Term"/>
    <x v="0"/>
  </r>
  <r>
    <s v="Good"/>
    <s v="Negative balance"/>
    <x v="8"/>
    <s v="Less 100"/>
    <s v="male "/>
    <s v=" divorced/separated"/>
    <s v="management/ self-employed/ highly qualified employee/ officer"/>
    <s v="own"/>
    <n v="36"/>
    <n v="15857"/>
    <x v="46"/>
    <x v="1"/>
    <s v="Long-Term"/>
    <x v="2"/>
  </r>
  <r>
    <s v="Bad"/>
    <s v="Negative balance"/>
    <x v="0"/>
    <s v="Less 100"/>
    <s v="male "/>
    <s v=" married/widowed"/>
    <s v="skilled employee / official"/>
    <s v="own"/>
    <n v="18"/>
    <n v="1345"/>
    <x v="15"/>
    <x v="0"/>
    <s v="Medium-Term"/>
    <x v="1"/>
  </r>
  <r>
    <s v="Good"/>
    <s v="No information"/>
    <x v="3"/>
    <s v="Less 100"/>
    <s v="male "/>
    <s v=" married/widowed"/>
    <s v="skilled employee / official"/>
    <s v="own"/>
    <n v="12"/>
    <n v="1101"/>
    <x v="21"/>
    <x v="0"/>
    <s v="Medium-Term"/>
    <x v="0"/>
  </r>
  <r>
    <s v="Good"/>
    <s v="Normal balance"/>
    <x v="0"/>
    <s v="Less 100"/>
    <s v="male "/>
    <s v=" married/widowed"/>
    <s v="skilled employee / official"/>
    <s v="own"/>
    <n v="12"/>
    <n v="3016"/>
    <x v="9"/>
    <x v="2"/>
    <s v="Medium-Term"/>
    <x v="0"/>
  </r>
  <r>
    <s v="Bad"/>
    <s v="Negative balance"/>
    <x v="2"/>
    <s v="Less 100"/>
    <s v="male "/>
    <s v=" single"/>
    <s v="skilled employee / official"/>
    <s v="own"/>
    <n v="36"/>
    <n v="2712"/>
    <x v="33"/>
    <x v="2"/>
    <s v="Long-Term"/>
    <x v="1"/>
  </r>
  <r>
    <s v="Good"/>
    <s v="Negative balance"/>
    <x v="3"/>
    <s v="Less 100"/>
    <s v="male "/>
    <s v=" single"/>
    <s v="unskilled - resident"/>
    <s v="own"/>
    <n v="8"/>
    <n v="731"/>
    <x v="36"/>
    <x v="0"/>
    <s v="Low-Term"/>
    <x v="0"/>
  </r>
  <r>
    <s v="Good"/>
    <s v="No information"/>
    <x v="2"/>
    <s v="Less 100"/>
    <s v="male "/>
    <s v=" divorced/separated"/>
    <s v="management/ self-employed/ highly qualified employee/ officer"/>
    <s v="own"/>
    <n v="18"/>
    <n v="3780"/>
    <x v="5"/>
    <x v="2"/>
    <s v="Medium-Term"/>
    <x v="0"/>
  </r>
  <r>
    <s v="Good"/>
    <s v="Negative balance"/>
    <x v="3"/>
    <s v="Less 100"/>
    <s v="male "/>
    <s v=" married/widowed"/>
    <s v="skilled employee / official"/>
    <s v="own"/>
    <n v="21"/>
    <n v="1602"/>
    <x v="22"/>
    <x v="0"/>
    <s v="Medium-Term"/>
    <x v="0"/>
  </r>
  <r>
    <s v="Bad"/>
    <s v="Negative balance"/>
    <x v="3"/>
    <s v="Less 100"/>
    <s v="female "/>
    <s v=" divorced/separated/married"/>
    <s v="skilled employee / official"/>
    <s v="rent"/>
    <n v="18"/>
    <n v="3966"/>
    <x v="24"/>
    <x v="2"/>
    <s v="Medium-Term"/>
    <x v="1"/>
  </r>
  <r>
    <s v="Bad"/>
    <s v="No information"/>
    <x v="5"/>
    <s v="Less 100"/>
    <s v="male "/>
    <s v=" single"/>
    <s v="skilled employee / official"/>
    <s v="own"/>
    <n v="18"/>
    <n v="4165"/>
    <x v="16"/>
    <x v="2"/>
    <s v="Medium-Term"/>
    <x v="1"/>
  </r>
  <r>
    <s v="Bad"/>
    <s v="Negative balance"/>
    <x v="4"/>
    <s v="No information"/>
    <s v="male "/>
    <s v=" single"/>
    <s v="skilled employee / official"/>
    <s v="for free"/>
    <n v="36"/>
    <n v="8335"/>
    <x v="36"/>
    <x v="1"/>
    <s v="Long-Term"/>
    <x v="1"/>
  </r>
  <r>
    <s v="Good"/>
    <s v="Low balance"/>
    <x v="5"/>
    <s v="No information"/>
    <s v="male "/>
    <s v=" single"/>
    <s v="skilled employee / official"/>
    <s v="for free"/>
    <n v="48"/>
    <n v="6681"/>
    <x v="41"/>
    <x v="1"/>
    <s v="Long-Term"/>
    <x v="0"/>
  </r>
  <r>
    <s v="Good"/>
    <s v="No information"/>
    <x v="5"/>
    <s v="Up to 1000"/>
    <s v="male "/>
    <s v=" single"/>
    <s v="skilled employee / official"/>
    <s v="own"/>
    <n v="24"/>
    <n v="2375"/>
    <x v="12"/>
    <x v="2"/>
    <s v="Medium-Term"/>
    <x v="0"/>
  </r>
  <r>
    <s v="Bad"/>
    <s v="Negative balance"/>
    <x v="3"/>
    <s v="Less 100"/>
    <s v="female "/>
    <s v=" divorced/separated/married"/>
    <s v="skilled employee / official"/>
    <s v="rent"/>
    <n v="18"/>
    <n v="1216"/>
    <x v="27"/>
    <x v="0"/>
    <s v="Medium-Term"/>
    <x v="1"/>
  </r>
  <r>
    <s v="Bad"/>
    <s v="Negative balance"/>
    <x v="5"/>
    <s v="Less 100"/>
    <s v="male "/>
    <s v=" single"/>
    <s v="skilled employee / official"/>
    <s v="rent"/>
    <n v="45"/>
    <n v="11816"/>
    <x v="28"/>
    <x v="1"/>
    <s v="Long-Term"/>
    <x v="1"/>
  </r>
  <r>
    <s v="Good"/>
    <s v="Low balance"/>
    <x v="0"/>
    <s v="No information"/>
    <s v="female "/>
    <s v=" divorced/separated/married"/>
    <s v="skilled employee / official"/>
    <s v="own"/>
    <n v="24"/>
    <n v="5084"/>
    <x v="18"/>
    <x v="1"/>
    <s v="Medium-Term"/>
    <x v="0"/>
  </r>
  <r>
    <s v="Bad"/>
    <s v="Normal balance"/>
    <x v="0"/>
    <s v="Less 100"/>
    <s v="female "/>
    <s v=" divorced/separated/married"/>
    <s v="unskilled - resident"/>
    <s v="own"/>
    <n v="15"/>
    <n v="2327"/>
    <x v="8"/>
    <x v="2"/>
    <s v="Medium-Term"/>
    <x v="1"/>
  </r>
  <r>
    <s v="Bad"/>
    <s v="Negative balance"/>
    <x v="3"/>
    <s v="Less 100"/>
    <s v="male "/>
    <s v=" single"/>
    <s v="skilled employee / official"/>
    <s v="own"/>
    <n v="12"/>
    <n v="1082"/>
    <x v="14"/>
    <x v="0"/>
    <s v="Medium-Term"/>
    <x v="1"/>
  </r>
  <r>
    <s v="Good"/>
    <s v="No information"/>
    <x v="0"/>
    <s v="No information"/>
    <s v="female "/>
    <s v=" divorced/separated/married"/>
    <s v="skilled employee / official"/>
    <s v="own"/>
    <n v="12"/>
    <n v="886"/>
    <x v="40"/>
    <x v="0"/>
    <s v="Medium-Term"/>
    <x v="0"/>
  </r>
  <r>
    <s v="Good"/>
    <s v="No information"/>
    <x v="2"/>
    <s v="Less 100"/>
    <s v="female "/>
    <s v=" divorced/separated/married"/>
    <s v="unskilled - resident"/>
    <s v="rent"/>
    <n v="4"/>
    <n v="601"/>
    <x v="27"/>
    <x v="0"/>
    <s v="Low-Term"/>
    <x v="0"/>
  </r>
  <r>
    <s v="Good"/>
    <s v="Negative balance"/>
    <x v="4"/>
    <s v="Less 100"/>
    <s v="male "/>
    <s v=" single"/>
    <s v="skilled employee / official"/>
    <s v="own"/>
    <n v="24"/>
    <n v="2957"/>
    <x v="20"/>
    <x v="2"/>
    <s v="Medium-Term"/>
    <x v="0"/>
  </r>
  <r>
    <s v="Good"/>
    <s v="No information"/>
    <x v="0"/>
    <s v="Less 100"/>
    <s v="male "/>
    <s v=" married/widowed"/>
    <s v="skilled employee / official"/>
    <s v="own"/>
    <n v="24"/>
    <n v="2611"/>
    <x v="31"/>
    <x v="2"/>
    <s v="Medium-Term"/>
    <x v="0"/>
  </r>
  <r>
    <s v="Bad"/>
    <s v="Negative balance"/>
    <x v="2"/>
    <s v="Less 100"/>
    <s v="male "/>
    <s v=" single"/>
    <s v="skilled employee / official"/>
    <s v="own"/>
    <n v="36"/>
    <n v="5179"/>
    <x v="28"/>
    <x v="1"/>
    <s v="Long-Term"/>
    <x v="1"/>
  </r>
  <r>
    <s v="Good"/>
    <s v="No information"/>
    <x v="4"/>
    <s v="Less 100"/>
    <s v="male "/>
    <s v=" single"/>
    <s v="unskilled - resident"/>
    <s v="own"/>
    <n v="21"/>
    <n v="2993"/>
    <x v="7"/>
    <x v="2"/>
    <s v="Medium-Term"/>
    <x v="0"/>
  </r>
  <r>
    <s v="Bad"/>
    <s v="No information"/>
    <x v="7"/>
    <s v="Less 100"/>
    <s v="female "/>
    <s v=" divorced/separated/married"/>
    <s v="skilled employee / official"/>
    <s v="own"/>
    <n v="18"/>
    <n v="1943"/>
    <x v="27"/>
    <x v="0"/>
    <s v="Medium-Term"/>
    <x v="1"/>
  </r>
  <r>
    <s v="Good"/>
    <s v="No information"/>
    <x v="5"/>
    <s v="Less 100"/>
    <s v="male "/>
    <s v=" single"/>
    <s v="skilled employee / official"/>
    <s v="own"/>
    <n v="24"/>
    <n v="1559"/>
    <x v="30"/>
    <x v="0"/>
    <s v="Medium-Term"/>
    <x v="0"/>
  </r>
  <r>
    <s v="Good"/>
    <s v="No information"/>
    <x v="2"/>
    <s v="Less 100"/>
    <s v="male "/>
    <s v=" single"/>
    <s v="skilled employee / official"/>
    <s v="own"/>
    <n v="18"/>
    <n v="3422"/>
    <x v="36"/>
    <x v="2"/>
    <s v="Medium-Term"/>
    <x v="0"/>
  </r>
  <r>
    <s v="Good"/>
    <s v="Low balance"/>
    <x v="2"/>
    <s v="No information"/>
    <s v="male "/>
    <s v=" single"/>
    <s v="skilled employee / official"/>
    <s v="own"/>
    <n v="21"/>
    <n v="3976"/>
    <x v="5"/>
    <x v="2"/>
    <s v="Medium-Term"/>
    <x v="0"/>
  </r>
  <r>
    <s v="Bad"/>
    <s v="No information"/>
    <x v="3"/>
    <s v="No information"/>
    <s v="male "/>
    <s v=" single"/>
    <s v="skilled employee / official"/>
    <s v="rent"/>
    <n v="18"/>
    <n v="6761"/>
    <x v="45"/>
    <x v="1"/>
    <s v="Medium-Term"/>
    <x v="1"/>
  </r>
  <r>
    <s v="Good"/>
    <s v="No information"/>
    <x v="3"/>
    <s v="Less 100"/>
    <s v="male "/>
    <s v=" married/widowed"/>
    <s v="skilled employee / official"/>
    <s v="own"/>
    <n v="24"/>
    <n v="1249"/>
    <x v="7"/>
    <x v="0"/>
    <s v="Medium-Term"/>
    <x v="0"/>
  </r>
  <r>
    <s v="Good"/>
    <s v="Negative balance"/>
    <x v="0"/>
    <s v="Less 100"/>
    <s v="male "/>
    <s v=" single"/>
    <s v="skilled employee / official"/>
    <s v="own"/>
    <n v="9"/>
    <n v="1364"/>
    <x v="52"/>
    <x v="0"/>
    <s v="Low-Term"/>
    <x v="0"/>
  </r>
  <r>
    <s v="Bad"/>
    <s v="Negative balance"/>
    <x v="0"/>
    <s v="Less 100"/>
    <s v="male "/>
    <s v=" single"/>
    <s v="unskilled - resident"/>
    <s v="own"/>
    <n v="12"/>
    <n v="709"/>
    <x v="23"/>
    <x v="0"/>
    <s v="Medium-Term"/>
    <x v="1"/>
  </r>
  <r>
    <s v="Bad"/>
    <s v="Negative balance"/>
    <x v="3"/>
    <s v="Less 100"/>
    <s v="male "/>
    <s v=" married/widowed"/>
    <s v="skilled employee / official"/>
    <s v="rent"/>
    <n v="20"/>
    <n v="2235"/>
    <x v="24"/>
    <x v="2"/>
    <s v="Medium-Term"/>
    <x v="1"/>
  </r>
  <r>
    <s v="Good"/>
    <s v="No information"/>
    <x v="4"/>
    <s v="No information"/>
    <s v="male "/>
    <s v=" single"/>
    <s v="skilled employee / official"/>
    <s v="own"/>
    <n v="24"/>
    <n v="4042"/>
    <x v="46"/>
    <x v="2"/>
    <s v="Medium-Term"/>
    <x v="0"/>
  </r>
  <r>
    <s v="Good"/>
    <s v="No information"/>
    <x v="0"/>
    <s v="Less 100"/>
    <s v="male "/>
    <s v=" single"/>
    <s v="skilled employee / official"/>
    <s v="for free"/>
    <n v="15"/>
    <n v="1471"/>
    <x v="5"/>
    <x v="0"/>
    <s v="Medium-Term"/>
    <x v="0"/>
  </r>
  <r>
    <s v="Bad"/>
    <s v="Negative balance"/>
    <x v="3"/>
    <s v="Less 100"/>
    <s v="male "/>
    <s v=" single"/>
    <s v="unskilled - resident"/>
    <s v="for free"/>
    <n v="18"/>
    <n v="1442"/>
    <x v="11"/>
    <x v="0"/>
    <s v="Medium-Term"/>
    <x v="1"/>
  </r>
  <r>
    <s v="Good"/>
    <s v="No information"/>
    <x v="3"/>
    <s v="Less 100"/>
    <s v="male "/>
    <s v=" single"/>
    <s v="skilled employee / official"/>
    <s v="own"/>
    <n v="36"/>
    <n v="10875"/>
    <x v="3"/>
    <x v="1"/>
    <s v="Long-Term"/>
    <x v="2"/>
  </r>
  <r>
    <s v="Good"/>
    <s v="No information"/>
    <x v="3"/>
    <s v="Up to 500"/>
    <s v="male "/>
    <s v=" married/widowed"/>
    <s v="skilled employee / official"/>
    <s v="own"/>
    <n v="24"/>
    <n v="1474"/>
    <x v="24"/>
    <x v="0"/>
    <s v="Medium-Term"/>
    <x v="0"/>
  </r>
  <r>
    <s v="Good"/>
    <s v="No information"/>
    <x v="9"/>
    <s v="No information"/>
    <s v="female "/>
    <s v=" divorced/separated/married"/>
    <s v="skilled employee / official"/>
    <s v="own"/>
    <n v="10"/>
    <n v="894"/>
    <x v="34"/>
    <x v="0"/>
    <s v="Low-Term"/>
    <x v="0"/>
  </r>
  <r>
    <s v="Good"/>
    <s v="No information"/>
    <x v="2"/>
    <s v="Less 100"/>
    <s v="male "/>
    <s v=" single"/>
    <s v="skilled employee / official"/>
    <s v="for free"/>
    <n v="15"/>
    <n v="3343"/>
    <x v="7"/>
    <x v="2"/>
    <s v="Medium-Term"/>
    <x v="0"/>
  </r>
  <r>
    <s v="Bad"/>
    <s v="Negative balance"/>
    <x v="3"/>
    <s v="Less 100"/>
    <s v="female "/>
    <s v=" divorced/separated/married"/>
    <s v="skilled employee / official"/>
    <s v="own"/>
    <n v="15"/>
    <n v="3959"/>
    <x v="28"/>
    <x v="2"/>
    <s v="Medium-Term"/>
    <x v="1"/>
  </r>
  <r>
    <s v="Good"/>
    <s v="No information"/>
    <x v="3"/>
    <s v="Up to 500"/>
    <s v="male "/>
    <s v=" single"/>
    <s v="skilled employee / official"/>
    <s v="rent"/>
    <n v="9"/>
    <n v="3577"/>
    <x v="15"/>
    <x v="2"/>
    <s v="Low-Term"/>
    <x v="0"/>
  </r>
  <r>
    <s v="Good"/>
    <s v="No information"/>
    <x v="4"/>
    <s v="More 1000"/>
    <s v="male "/>
    <s v=" single"/>
    <s v="skilled employee / official"/>
    <s v="own"/>
    <n v="24"/>
    <n v="5804"/>
    <x v="21"/>
    <x v="1"/>
    <s v="Medium-Term"/>
    <x v="0"/>
  </r>
  <r>
    <s v="Bad"/>
    <s v="No information"/>
    <x v="5"/>
    <s v="Less 100"/>
    <s v="male "/>
    <s v=" married/widowed"/>
    <s v="skilled employee / official"/>
    <s v="own"/>
    <n v="18"/>
    <n v="2169"/>
    <x v="7"/>
    <x v="2"/>
    <s v="Medium-Term"/>
    <x v="1"/>
  </r>
  <r>
    <s v="Bad"/>
    <s v="Negative balance"/>
    <x v="0"/>
    <s v="Less 100"/>
    <s v="female "/>
    <s v=" divorced/separated/married"/>
    <s v="skilled employee / official"/>
    <s v="own"/>
    <n v="24"/>
    <n v="2439"/>
    <x v="5"/>
    <x v="2"/>
    <s v="Medium-Term"/>
    <x v="1"/>
  </r>
  <r>
    <s v="Good"/>
    <s v="No information"/>
    <x v="2"/>
    <s v="More 1000"/>
    <s v="male "/>
    <s v=" single"/>
    <s v="unskilled - resident"/>
    <s v="own"/>
    <n v="27"/>
    <n v="4526"/>
    <x v="11"/>
    <x v="2"/>
    <s v="Medium-Term"/>
    <x v="0"/>
  </r>
  <r>
    <s v="Bad"/>
    <s v="No information"/>
    <x v="2"/>
    <s v="Less 100"/>
    <s v="male "/>
    <s v=" single"/>
    <s v="unskilled - resident"/>
    <s v="rent"/>
    <n v="10"/>
    <n v="2210"/>
    <x v="8"/>
    <x v="2"/>
    <s v="Low-Term"/>
    <x v="1"/>
  </r>
  <r>
    <s v="Good"/>
    <s v="No information"/>
    <x v="2"/>
    <s v="Up to 1000"/>
    <s v="female "/>
    <s v=" divorced/separated/married"/>
    <s v="skilled employee / official"/>
    <s v="rent"/>
    <n v="15"/>
    <n v="2221"/>
    <x v="39"/>
    <x v="2"/>
    <s v="Medium-Term"/>
    <x v="0"/>
  </r>
  <r>
    <s v="Good"/>
    <s v="Negative balance"/>
    <x v="0"/>
    <s v="Less 100"/>
    <s v="female "/>
    <s v=" divorced/separated/married"/>
    <s v="skilled employee / official"/>
    <s v="own"/>
    <n v="18"/>
    <n v="2389"/>
    <x v="21"/>
    <x v="2"/>
    <s v="Medium-Term"/>
    <x v="0"/>
  </r>
  <r>
    <s v="Good"/>
    <s v="No information"/>
    <x v="2"/>
    <s v="Less 100"/>
    <s v="male "/>
    <s v=" single"/>
    <s v="skilled employee / official"/>
    <s v="own"/>
    <n v="12"/>
    <n v="3331"/>
    <x v="18"/>
    <x v="2"/>
    <s v="Medium-Term"/>
    <x v="0"/>
  </r>
  <r>
    <s v="Good"/>
    <s v="No information"/>
    <x v="5"/>
    <s v="No information"/>
    <s v="male "/>
    <s v=" single"/>
    <s v="skilled employee / official"/>
    <s v="own"/>
    <n v="36"/>
    <n v="7409"/>
    <x v="25"/>
    <x v="1"/>
    <s v="Long-Term"/>
    <x v="2"/>
  </r>
  <r>
    <s v="Good"/>
    <s v="Negative balance"/>
    <x v="2"/>
    <s v="Less 100"/>
    <s v="female "/>
    <s v=" divorced/separated/married"/>
    <s v="skilled employee / official"/>
    <s v="rent"/>
    <n v="12"/>
    <n v="652"/>
    <x v="9"/>
    <x v="0"/>
    <s v="Medium-Term"/>
    <x v="0"/>
  </r>
  <r>
    <s v="Good"/>
    <s v="No information"/>
    <x v="2"/>
    <s v="Up to 1000"/>
    <s v="female "/>
    <s v=" divorced/separated/married"/>
    <s v="skilled employee / official"/>
    <s v="own"/>
    <n v="36"/>
    <n v="7678"/>
    <x v="34"/>
    <x v="1"/>
    <s v="Long-Term"/>
    <x v="2"/>
  </r>
  <r>
    <s v="Good"/>
    <s v="Normal balance"/>
    <x v="3"/>
    <s v="Less 100"/>
    <s v="male "/>
    <s v=" single"/>
    <s v="skilled employee / official"/>
    <s v="own"/>
    <n v="6"/>
    <n v="1343"/>
    <x v="31"/>
    <x v="0"/>
    <s v="Low-Term"/>
    <x v="0"/>
  </r>
  <r>
    <s v="Good"/>
    <s v="Negative balance"/>
    <x v="5"/>
    <s v="Up to 500"/>
    <s v="male "/>
    <s v=" single"/>
    <s v="skilled employee / official"/>
    <s v="own"/>
    <n v="24"/>
    <n v="1382"/>
    <x v="15"/>
    <x v="0"/>
    <s v="Medium-Term"/>
    <x v="0"/>
  </r>
  <r>
    <s v="Good"/>
    <s v="No information"/>
    <x v="6"/>
    <s v="No information"/>
    <s v="female "/>
    <s v=" divorced/separated/married"/>
    <s v="skilled employee / official"/>
    <s v="own"/>
    <n v="15"/>
    <n v="874"/>
    <x v="9"/>
    <x v="0"/>
    <s v="Medium-Term"/>
    <x v="0"/>
  </r>
  <r>
    <s v="Good"/>
    <s v="Negative balance"/>
    <x v="2"/>
    <s v="Less 100"/>
    <s v="male "/>
    <s v=" single"/>
    <s v="unskilled - resident"/>
    <s v="own"/>
    <n v="12"/>
    <n v="3590"/>
    <x v="28"/>
    <x v="2"/>
    <s v="Medium-Term"/>
    <x v="0"/>
  </r>
  <r>
    <s v="Good"/>
    <s v="Low balance"/>
    <x v="3"/>
    <s v="More 1000"/>
    <s v="female "/>
    <s v=" divorced/separated/married"/>
    <s v="skilled employee / official"/>
    <s v="own"/>
    <n v="11"/>
    <n v="1322"/>
    <x v="34"/>
    <x v="0"/>
    <s v="Low-Term"/>
    <x v="0"/>
  </r>
  <r>
    <s v="Good"/>
    <s v="Negative balance"/>
    <x v="0"/>
    <s v="Less 100"/>
    <s v="male "/>
    <s v=" single"/>
    <s v="management/ self-employed/ highly qualified employee/ officer"/>
    <s v="for free"/>
    <n v="18"/>
    <n v="1940"/>
    <x v="16"/>
    <x v="0"/>
    <s v="Medium-Term"/>
    <x v="0"/>
  </r>
  <r>
    <s v="Good"/>
    <s v="No information"/>
    <x v="0"/>
    <s v="Less 100"/>
    <s v="male "/>
    <s v=" single"/>
    <s v="skilled employee / official"/>
    <s v="own"/>
    <n v="36"/>
    <n v="3595"/>
    <x v="7"/>
    <x v="2"/>
    <s v="Long-Term"/>
    <x v="0"/>
  </r>
  <r>
    <s v="Bad"/>
    <s v="Negative balance"/>
    <x v="3"/>
    <s v="Less 100"/>
    <s v="male "/>
    <s v=" single"/>
    <s v="management/ self-employed/ highly qualified employee/ officer"/>
    <s v="for free"/>
    <n v="9"/>
    <n v="1422"/>
    <x v="21"/>
    <x v="0"/>
    <s v="Low-Term"/>
    <x v="1"/>
  </r>
  <r>
    <s v="Good"/>
    <s v="No information"/>
    <x v="0"/>
    <s v="No information"/>
    <s v="male "/>
    <s v=" single"/>
    <s v="skilled employee / official"/>
    <s v="own"/>
    <n v="30"/>
    <n v="6742"/>
    <x v="16"/>
    <x v="1"/>
    <s v="Medium-Term"/>
    <x v="0"/>
  </r>
  <r>
    <s v="Good"/>
    <s v="No information"/>
    <x v="4"/>
    <s v="Less 100"/>
    <s v="male "/>
    <s v=" single"/>
    <s v="management/ self-employed/ highly qualified employee/ officer"/>
    <s v="own"/>
    <n v="24"/>
    <n v="7814"/>
    <x v="41"/>
    <x v="1"/>
    <s v="Medium-Term"/>
    <x v="2"/>
  </r>
  <r>
    <s v="Good"/>
    <s v="No information"/>
    <x v="4"/>
    <s v="No information"/>
    <s v="male "/>
    <s v=" divorced/separated"/>
    <s v="skilled employee / official"/>
    <s v="for free"/>
    <n v="24"/>
    <n v="9277"/>
    <x v="14"/>
    <x v="1"/>
    <s v="Medium-Term"/>
    <x v="2"/>
  </r>
  <r>
    <s v="Good"/>
    <s v="Low balance"/>
    <x v="3"/>
    <s v="No information"/>
    <s v="male "/>
    <s v=" single"/>
    <s v="skilled employee / official"/>
    <s v="own"/>
    <n v="30"/>
    <n v="2181"/>
    <x v="16"/>
    <x v="2"/>
    <s v="Medium-Term"/>
    <x v="0"/>
  </r>
  <r>
    <s v="Good"/>
    <s v="No information"/>
    <x v="0"/>
    <s v="Less 100"/>
    <s v="female "/>
    <s v=" divorced/separated/married"/>
    <s v="unemployed/ unskilled  - non-resident"/>
    <s v="own"/>
    <n v="18"/>
    <n v="1098"/>
    <x v="43"/>
    <x v="0"/>
    <s v="Medium-Term"/>
    <x v="0"/>
  </r>
  <r>
    <s v="Bad"/>
    <s v="Low balance"/>
    <x v="2"/>
    <s v="Less 100"/>
    <s v="male "/>
    <s v=" divorced/separated"/>
    <s v="skilled employee / official"/>
    <s v="own"/>
    <n v="24"/>
    <n v="4057"/>
    <x v="46"/>
    <x v="2"/>
    <s v="Medium-Term"/>
    <x v="1"/>
  </r>
  <r>
    <s v="Bad"/>
    <s v="Negative balance"/>
    <x v="1"/>
    <s v="Less 100"/>
    <s v="female "/>
    <s v=" divorced/separated/married"/>
    <s v="skilled employee / official"/>
    <s v="own"/>
    <n v="12"/>
    <n v="795"/>
    <x v="4"/>
    <x v="0"/>
    <s v="Medium-Term"/>
    <x v="1"/>
  </r>
  <r>
    <s v="Good"/>
    <s v="Low balance"/>
    <x v="5"/>
    <s v="No information"/>
    <s v="male "/>
    <s v=" single"/>
    <s v="skilled employee / official"/>
    <s v="own"/>
    <n v="24"/>
    <n v="2825"/>
    <x v="19"/>
    <x v="2"/>
    <s v="Medium-Term"/>
    <x v="0"/>
  </r>
  <r>
    <s v="Bad"/>
    <s v="Low balance"/>
    <x v="5"/>
    <s v="Less 100"/>
    <s v="male "/>
    <s v=" single"/>
    <s v="skilled employee / official"/>
    <s v="own"/>
    <n v="48"/>
    <n v="15672"/>
    <x v="27"/>
    <x v="1"/>
    <s v="Long-Term"/>
    <x v="1"/>
  </r>
  <r>
    <s v="Good"/>
    <s v="No information"/>
    <x v="3"/>
    <s v="Less 100"/>
    <s v="male "/>
    <s v=" single"/>
    <s v="management/ self-employed/ highly qualified employee/ officer"/>
    <s v="own"/>
    <n v="36"/>
    <n v="6614"/>
    <x v="19"/>
    <x v="1"/>
    <s v="Long-Term"/>
    <x v="0"/>
  </r>
  <r>
    <s v="Good"/>
    <s v="No information"/>
    <x v="4"/>
    <s v="No information"/>
    <s v="male "/>
    <s v=" single"/>
    <s v="skilled employee / official"/>
    <s v="rent"/>
    <n v="28"/>
    <n v="7824"/>
    <x v="34"/>
    <x v="1"/>
    <s v="Medium-Term"/>
    <x v="2"/>
  </r>
  <r>
    <s v="Good"/>
    <s v="Negative balance"/>
    <x v="5"/>
    <s v="Less 100"/>
    <s v="male "/>
    <s v=" single"/>
    <s v="management/ self-employed/ highly qualified employee/ officer"/>
    <s v="own"/>
    <n v="27"/>
    <n v="2442"/>
    <x v="46"/>
    <x v="2"/>
    <s v="Medium-Term"/>
    <x v="0"/>
  </r>
  <r>
    <s v="Good"/>
    <s v="No information"/>
    <x v="0"/>
    <s v="Less 100"/>
    <s v="male "/>
    <s v=" single"/>
    <s v="skilled employee / official"/>
    <s v="own"/>
    <n v="15"/>
    <n v="1829"/>
    <x v="31"/>
    <x v="0"/>
    <s v="Medium-Term"/>
    <x v="0"/>
  </r>
  <r>
    <s v="Good"/>
    <s v="Negative balance"/>
    <x v="3"/>
    <s v="Less 100"/>
    <s v="male "/>
    <s v=" single"/>
    <s v="unskilled - resident"/>
    <s v="own"/>
    <n v="12"/>
    <n v="2171"/>
    <x v="41"/>
    <x v="2"/>
    <s v="Medium-Term"/>
    <x v="0"/>
  </r>
  <r>
    <s v="Good"/>
    <s v="Low balance"/>
    <x v="4"/>
    <s v="Less 100"/>
    <s v="male "/>
    <s v=" single"/>
    <s v="skilled employee / official"/>
    <s v="own"/>
    <n v="36"/>
    <n v="5800"/>
    <x v="19"/>
    <x v="1"/>
    <s v="Long-Term"/>
    <x v="0"/>
  </r>
  <r>
    <s v="Good"/>
    <s v="No information"/>
    <x v="0"/>
    <s v="No information"/>
    <s v="male "/>
    <s v=" single"/>
    <s v="skilled employee / official"/>
    <s v="own"/>
    <n v="18"/>
    <n v="1169"/>
    <x v="28"/>
    <x v="0"/>
    <s v="Medium-Term"/>
    <x v="0"/>
  </r>
  <r>
    <s v="Good"/>
    <s v="No information"/>
    <x v="4"/>
    <s v="No information"/>
    <s v="male "/>
    <s v=" single"/>
    <s v="management/ self-employed/ highly qualified employee/ officer"/>
    <s v="own"/>
    <n v="36"/>
    <n v="8947"/>
    <x v="13"/>
    <x v="1"/>
    <s v="Long-Term"/>
    <x v="2"/>
  </r>
  <r>
    <s v="Good"/>
    <s v="Negative balance"/>
    <x v="0"/>
    <s v="Less 100"/>
    <s v="female "/>
    <s v=" divorced/separated/married"/>
    <s v="management/ self-employed/ highly qualified employee/ officer"/>
    <s v="rent"/>
    <n v="21"/>
    <n v="2606"/>
    <x v="7"/>
    <x v="2"/>
    <s v="Medium-Term"/>
    <x v="0"/>
  </r>
  <r>
    <s v="Good"/>
    <s v="No information"/>
    <x v="2"/>
    <s v="More 1000"/>
    <s v="female "/>
    <s v=" divorced/separated/married"/>
    <s v="skilled employee / official"/>
    <s v="own"/>
    <n v="12"/>
    <n v="1592"/>
    <x v="5"/>
    <x v="0"/>
    <s v="Medium-Term"/>
    <x v="0"/>
  </r>
  <r>
    <s v="Good"/>
    <s v="No information"/>
    <x v="2"/>
    <s v="No information"/>
    <s v="female "/>
    <s v=" divorced/separated/married"/>
    <s v="unskilled - resident"/>
    <s v="rent"/>
    <n v="15"/>
    <n v="2186"/>
    <x v="24"/>
    <x v="2"/>
    <s v="Medium-Term"/>
    <x v="0"/>
  </r>
  <r>
    <s v="Bad"/>
    <s v="Negative balance"/>
    <x v="2"/>
    <s v="Less 100"/>
    <s v="male "/>
    <s v=" single"/>
    <s v="skilled employee / official"/>
    <s v="own"/>
    <n v="18"/>
    <n v="4153"/>
    <x v="18"/>
    <x v="2"/>
    <s v="Medium-Term"/>
    <x v="1"/>
  </r>
  <r>
    <s v="Bad"/>
    <s v="Negative balance"/>
    <x v="3"/>
    <s v="Less 100"/>
    <s v="male "/>
    <s v=" single"/>
    <s v="skilled employee / official"/>
    <s v="rent"/>
    <n v="16"/>
    <n v="2625"/>
    <x v="46"/>
    <x v="2"/>
    <s v="Medium-Term"/>
    <x v="1"/>
  </r>
  <r>
    <s v="Good"/>
    <s v="No information"/>
    <x v="3"/>
    <s v="No information"/>
    <s v="male "/>
    <s v=" divorced/separated"/>
    <s v="skilled employee / official"/>
    <s v="own"/>
    <n v="20"/>
    <n v="3485"/>
    <x v="12"/>
    <x v="2"/>
    <s v="Medium-Term"/>
    <x v="0"/>
  </r>
  <r>
    <s v="Good"/>
    <s v="No information"/>
    <x v="4"/>
    <s v="No information"/>
    <s v="male "/>
    <s v=" single"/>
    <s v="skilled employee / official"/>
    <s v="for free"/>
    <n v="36"/>
    <n v="10477"/>
    <x v="18"/>
    <x v="1"/>
    <s v="Long-Term"/>
    <x v="2"/>
  </r>
  <r>
    <s v="Good"/>
    <s v="No information"/>
    <x v="0"/>
    <s v="No information"/>
    <s v="male "/>
    <s v=" married/widowed"/>
    <s v="skilled employee / official"/>
    <s v="rent"/>
    <n v="15"/>
    <n v="1386"/>
    <x v="34"/>
    <x v="0"/>
    <s v="Medium-Term"/>
    <x v="0"/>
  </r>
  <r>
    <s v="Good"/>
    <s v="No information"/>
    <x v="0"/>
    <s v="Less 100"/>
    <s v="male "/>
    <s v=" single"/>
    <s v="management/ self-employed/ highly qualified employee/ officer"/>
    <s v="own"/>
    <n v="24"/>
    <n v="1278"/>
    <x v="16"/>
    <x v="0"/>
    <s v="Medium-Term"/>
    <x v="0"/>
  </r>
  <r>
    <s v="Good"/>
    <s v="Negative balance"/>
    <x v="0"/>
    <s v="Less 100"/>
    <s v="male "/>
    <s v=" single"/>
    <s v="management/ self-employed/ highly qualified employee/ officer"/>
    <s v="rent"/>
    <n v="12"/>
    <n v="1107"/>
    <x v="39"/>
    <x v="0"/>
    <s v="Medium-Term"/>
    <x v="0"/>
  </r>
  <r>
    <s v="Good"/>
    <s v="Negative balance"/>
    <x v="3"/>
    <s v="No information"/>
    <s v="male "/>
    <s v=" single"/>
    <s v="unskilled - resident"/>
    <s v="own"/>
    <n v="21"/>
    <n v="3763"/>
    <x v="9"/>
    <x v="2"/>
    <s v="Medium-Term"/>
    <x v="0"/>
  </r>
  <r>
    <s v="Good"/>
    <s v="Low balance"/>
    <x v="1"/>
    <s v="No information"/>
    <s v="male "/>
    <s v=" married/widowed"/>
    <s v="skilled employee / official"/>
    <s v="own"/>
    <n v="36"/>
    <n v="3711"/>
    <x v="21"/>
    <x v="2"/>
    <s v="Long-Term"/>
    <x v="0"/>
  </r>
  <r>
    <s v="Good"/>
    <s v="No information"/>
    <x v="4"/>
    <s v="Less 100"/>
    <s v="female "/>
    <s v=" divorced/separated/married"/>
    <s v="unskilled - resident"/>
    <s v="own"/>
    <n v="15"/>
    <n v="3594"/>
    <x v="31"/>
    <x v="2"/>
    <s v="Medium-Term"/>
    <x v="0"/>
  </r>
  <r>
    <s v="Good"/>
    <s v="Low balance"/>
    <x v="3"/>
    <s v="No information"/>
    <s v="female "/>
    <s v=" divorced/separated/married"/>
    <s v="unskilled - resident"/>
    <s v="own"/>
    <n v="9"/>
    <n v="3195"/>
    <x v="24"/>
    <x v="2"/>
    <s v="Low-Term"/>
    <x v="0"/>
  </r>
  <r>
    <s v="Good"/>
    <s v="No information"/>
    <x v="0"/>
    <s v="Less 100"/>
    <s v="female "/>
    <s v=" divorced/separated/married"/>
    <s v="skilled employee / official"/>
    <s v="own"/>
    <n v="36"/>
    <n v="4454"/>
    <x v="19"/>
    <x v="2"/>
    <s v="Long-Term"/>
    <x v="0"/>
  </r>
  <r>
    <s v="Bad"/>
    <s v="Low balance"/>
    <x v="2"/>
    <s v="Less 100"/>
    <s v="female "/>
    <s v=" divorced/separated/married"/>
    <s v="unskilled - resident"/>
    <s v="own"/>
    <n v="24"/>
    <n v="4736"/>
    <x v="8"/>
    <x v="2"/>
    <s v="Medium-Term"/>
    <x v="1"/>
  </r>
  <r>
    <s v="Good"/>
    <s v="Low balance"/>
    <x v="0"/>
    <s v="No information"/>
    <s v="female "/>
    <s v=" divorced/separated/married"/>
    <s v="skilled employee / official"/>
    <s v="own"/>
    <n v="30"/>
    <n v="2991"/>
    <x v="8"/>
    <x v="2"/>
    <s v="Medium-Term"/>
    <x v="0"/>
  </r>
  <r>
    <s v="Good"/>
    <s v="No information"/>
    <x v="5"/>
    <s v="More 1000"/>
    <s v="male "/>
    <s v=" divorced/separated"/>
    <s v="skilled employee / official"/>
    <s v="own"/>
    <n v="11"/>
    <n v="2142"/>
    <x v="7"/>
    <x v="2"/>
    <s v="Low-Term"/>
    <x v="0"/>
  </r>
  <r>
    <s v="Bad"/>
    <s v="Negative balance"/>
    <x v="5"/>
    <s v="Less 100"/>
    <s v="male "/>
    <s v=" single"/>
    <s v="skilled employee / official"/>
    <s v="rent"/>
    <n v="24"/>
    <n v="3161"/>
    <x v="13"/>
    <x v="2"/>
    <s v="Medium-Term"/>
    <x v="1"/>
  </r>
  <r>
    <s v="Bad"/>
    <s v="Low balance"/>
    <x v="8"/>
    <s v="Less 100"/>
    <s v="female "/>
    <s v=" divorced/separated/married"/>
    <s v="management/ self-employed/ highly qualified employee/ officer"/>
    <s v="own"/>
    <n v="48"/>
    <n v="18424"/>
    <x v="11"/>
    <x v="1"/>
    <s v="Long-Term"/>
    <x v="1"/>
  </r>
  <r>
    <s v="Good"/>
    <s v="No information"/>
    <x v="4"/>
    <s v="Up to 500"/>
    <s v="male "/>
    <s v=" single"/>
    <s v="skilled employee / official"/>
    <s v="own"/>
    <n v="10"/>
    <n v="2848"/>
    <x v="11"/>
    <x v="2"/>
    <s v="Low-Term"/>
    <x v="0"/>
  </r>
  <r>
    <s v="Bad"/>
    <s v="Negative balance"/>
    <x v="3"/>
    <s v="Less 100"/>
    <s v="male "/>
    <s v=" single"/>
    <s v="management/ self-employed/ highly qualified employee/ officer"/>
    <s v="own"/>
    <n v="6"/>
    <n v="14896"/>
    <x v="45"/>
    <x v="1"/>
    <s v="Low-Term"/>
    <x v="1"/>
  </r>
  <r>
    <s v="Bad"/>
    <s v="Negative balance"/>
    <x v="2"/>
    <s v="Up to 500"/>
    <s v="male "/>
    <s v=" divorced/separated"/>
    <s v="skilled employee / official"/>
    <s v="own"/>
    <n v="24"/>
    <n v="2359"/>
    <x v="24"/>
    <x v="2"/>
    <s v="Medium-Term"/>
    <x v="1"/>
  </r>
  <r>
    <s v="Bad"/>
    <s v="Negative balance"/>
    <x v="2"/>
    <s v="Less 100"/>
    <s v="male "/>
    <s v=" single"/>
    <s v="management/ self-employed/ highly qualified employee/ officer"/>
    <s v="rent"/>
    <n v="24"/>
    <n v="3345"/>
    <x v="17"/>
    <x v="2"/>
    <s v="Medium-Term"/>
    <x v="1"/>
  </r>
  <r>
    <s v="Good"/>
    <s v="No information"/>
    <x v="2"/>
    <s v="Less 100"/>
    <s v="female "/>
    <s v=" divorced/separated/married"/>
    <s v="skilled employee / official"/>
    <s v="own"/>
    <n v="18"/>
    <n v="1817"/>
    <x v="7"/>
    <x v="0"/>
    <s v="Medium-Term"/>
    <x v="0"/>
  </r>
  <r>
    <s v="Good"/>
    <s v="No information"/>
    <x v="0"/>
    <s v="Up to 1000"/>
    <s v="male "/>
    <s v=" single"/>
    <s v="management/ self-employed/ highly qualified employee/ officer"/>
    <s v="own"/>
    <n v="48"/>
    <n v="12749"/>
    <x v="25"/>
    <x v="1"/>
    <s v="Long-Term"/>
    <x v="2"/>
  </r>
  <r>
    <s v="Bad"/>
    <s v="Negative balance"/>
    <x v="0"/>
    <s v="Less 100"/>
    <s v="female "/>
    <s v=" divorced/separated/married"/>
    <s v="skilled employee / official"/>
    <s v="rent"/>
    <n v="9"/>
    <n v="1366"/>
    <x v="1"/>
    <x v="0"/>
    <s v="Low-Term"/>
    <x v="1"/>
  </r>
  <r>
    <s v="Good"/>
    <s v="Low balance"/>
    <x v="3"/>
    <s v="Less 100"/>
    <s v="male "/>
    <s v=" single"/>
    <s v="skilled employee / official"/>
    <s v="rent"/>
    <n v="12"/>
    <n v="2002"/>
    <x v="22"/>
    <x v="2"/>
    <s v="Medium-Term"/>
    <x v="0"/>
  </r>
  <r>
    <s v="Bad"/>
    <s v="Negative balance"/>
    <x v="2"/>
    <s v="Less 100"/>
    <s v="male "/>
    <s v=" divorced/separated"/>
    <s v="skilled employee / official"/>
    <s v="own"/>
    <n v="24"/>
    <n v="6872"/>
    <x v="47"/>
    <x v="1"/>
    <s v="Medium-Term"/>
    <x v="1"/>
  </r>
  <r>
    <s v="Bad"/>
    <s v="Negative balance"/>
    <x v="3"/>
    <s v="Less 100"/>
    <s v="male "/>
    <s v=" single"/>
    <s v="skilled employee / official"/>
    <s v="own"/>
    <n v="12"/>
    <n v="697"/>
    <x v="31"/>
    <x v="0"/>
    <s v="Medium-Term"/>
    <x v="1"/>
  </r>
  <r>
    <s v="Good"/>
    <s v="Negative balance"/>
    <x v="2"/>
    <s v="Less 100"/>
    <s v="female "/>
    <s v=" divorced/separated/married"/>
    <s v="skilled employee / official"/>
    <s v="rent"/>
    <n v="18"/>
    <n v="1049"/>
    <x v="40"/>
    <x v="0"/>
    <s v="Medium-Term"/>
    <x v="0"/>
  </r>
  <r>
    <s v="Bad"/>
    <s v="Negative balance"/>
    <x v="4"/>
    <s v="Less 100"/>
    <s v="male "/>
    <s v=" single"/>
    <s v="skilled employee / official"/>
    <s v="for free"/>
    <n v="48"/>
    <n v="10297"/>
    <x v="17"/>
    <x v="1"/>
    <s v="Long-Term"/>
    <x v="1"/>
  </r>
  <r>
    <s v="Good"/>
    <s v="No information"/>
    <x v="0"/>
    <s v="No information"/>
    <s v="male "/>
    <s v=" single"/>
    <s v="skilled employee / official"/>
    <s v="own"/>
    <n v="30"/>
    <n v="1867"/>
    <x v="26"/>
    <x v="0"/>
    <s v="Medium-Term"/>
    <x v="0"/>
  </r>
  <r>
    <s v="Good"/>
    <s v="Negative balance"/>
    <x v="3"/>
    <s v="Less 100"/>
    <s v="male "/>
    <s v=" single"/>
    <s v="unskilled - resident"/>
    <s v="own"/>
    <n v="12"/>
    <n v="1344"/>
    <x v="46"/>
    <x v="0"/>
    <s v="Medium-Term"/>
    <x v="0"/>
  </r>
  <r>
    <s v="Good"/>
    <s v="Negative balance"/>
    <x v="2"/>
    <s v="Less 100"/>
    <s v="male "/>
    <s v=" single"/>
    <s v="unskilled - resident"/>
    <s v="own"/>
    <n v="24"/>
    <n v="1747"/>
    <x v="9"/>
    <x v="0"/>
    <s v="Medium-Term"/>
    <x v="0"/>
  </r>
  <r>
    <s v="Bad"/>
    <s v="Low balance"/>
    <x v="0"/>
    <s v="Less 100"/>
    <s v="female "/>
    <s v=" divorced/separated/married"/>
    <s v="skilled employee / official"/>
    <s v="own"/>
    <n v="9"/>
    <n v="1670"/>
    <x v="1"/>
    <x v="0"/>
    <s v="Low-Term"/>
    <x v="1"/>
  </r>
  <r>
    <s v="Good"/>
    <s v="No information"/>
    <x v="3"/>
    <s v="Less 100"/>
    <s v="male "/>
    <s v=" single"/>
    <s v="skilled employee / official"/>
    <s v="own"/>
    <n v="9"/>
    <n v="1224"/>
    <x v="22"/>
    <x v="0"/>
    <s v="Low-Term"/>
    <x v="0"/>
  </r>
  <r>
    <s v="Good"/>
    <s v="No information"/>
    <x v="0"/>
    <s v="Up to 1000"/>
    <s v="male "/>
    <s v=" single"/>
    <s v="skilled employee / official"/>
    <s v="own"/>
    <n v="12"/>
    <n v="522"/>
    <x v="18"/>
    <x v="0"/>
    <s v="Medium-Term"/>
    <x v="0"/>
  </r>
  <r>
    <s v="Good"/>
    <s v="Negative balance"/>
    <x v="0"/>
    <s v="Less 100"/>
    <s v="female "/>
    <s v=" divorced/separated/married"/>
    <s v="skilled employee / official"/>
    <s v="own"/>
    <n v="12"/>
    <n v="1498"/>
    <x v="27"/>
    <x v="0"/>
    <s v="Medium-Term"/>
    <x v="0"/>
  </r>
  <r>
    <s v="Bad"/>
    <s v="Low balance"/>
    <x v="0"/>
    <s v="Up to 500"/>
    <s v="male "/>
    <s v=" single"/>
    <s v="management/ self-employed/ highly qualified employee/ officer"/>
    <s v="own"/>
    <n v="30"/>
    <n v="1919"/>
    <x v="22"/>
    <x v="0"/>
    <s v="Medium-Term"/>
    <x v="1"/>
  </r>
  <r>
    <s v="Bad"/>
    <s v="Normal balance"/>
    <x v="0"/>
    <s v="Less 100"/>
    <s v="female "/>
    <s v=" divorced/separated/married"/>
    <s v="unskilled - resident"/>
    <s v="own"/>
    <n v="9"/>
    <n v="745"/>
    <x v="7"/>
    <x v="0"/>
    <s v="Low-Term"/>
    <x v="1"/>
  </r>
  <r>
    <s v="Good"/>
    <s v="Low balance"/>
    <x v="0"/>
    <s v="Less 100"/>
    <s v="male "/>
    <s v=" married/widowed"/>
    <s v="management/ self-employed/ highly qualified employee/ officer"/>
    <s v="rent"/>
    <n v="6"/>
    <n v="2063"/>
    <x v="22"/>
    <x v="2"/>
    <s v="Low-Term"/>
    <x v="0"/>
  </r>
  <r>
    <s v="Bad"/>
    <s v="Low balance"/>
    <x v="1"/>
    <s v="Less 100"/>
    <s v="male "/>
    <s v=" single"/>
    <s v="skilled employee / official"/>
    <s v="for free"/>
    <n v="60"/>
    <n v="6288"/>
    <x v="18"/>
    <x v="1"/>
    <s v="Long-Term"/>
    <x v="1"/>
  </r>
  <r>
    <s v="Good"/>
    <s v="No information"/>
    <x v="4"/>
    <s v="No information"/>
    <s v="male "/>
    <s v=" single"/>
    <s v="management/ self-employed/ highly qualified employee/ officer"/>
    <s v="own"/>
    <n v="24"/>
    <n v="6842"/>
    <x v="31"/>
    <x v="1"/>
    <s v="Medium-Term"/>
    <x v="0"/>
  </r>
  <r>
    <s v="Good"/>
    <s v="No information"/>
    <x v="3"/>
    <s v="No information"/>
    <s v="male "/>
    <s v=" single"/>
    <s v="management/ self-employed/ highly qualified employee/ officer"/>
    <s v="own"/>
    <n v="12"/>
    <n v="3527"/>
    <x v="3"/>
    <x v="2"/>
    <s v="Medium-Term"/>
    <x v="0"/>
  </r>
  <r>
    <s v="Good"/>
    <s v="No information"/>
    <x v="3"/>
    <s v="Less 100"/>
    <s v="male "/>
    <s v=" single"/>
    <s v="unskilled - resident"/>
    <s v="own"/>
    <n v="10"/>
    <n v="1546"/>
    <x v="13"/>
    <x v="0"/>
    <s v="Low-Term"/>
    <x v="0"/>
  </r>
  <r>
    <s v="Good"/>
    <s v="No information"/>
    <x v="2"/>
    <s v="No information"/>
    <s v="male "/>
    <s v=" single"/>
    <s v="skilled employee / official"/>
    <s v="own"/>
    <n v="24"/>
    <n v="929"/>
    <x v="13"/>
    <x v="0"/>
    <s v="Medium-Term"/>
    <x v="0"/>
  </r>
  <r>
    <s v="Good"/>
    <s v="No information"/>
    <x v="3"/>
    <s v="Less 100"/>
    <s v="male "/>
    <s v=" single"/>
    <s v="unskilled - resident"/>
    <s v="own"/>
    <n v="4"/>
    <n v="1455"/>
    <x v="18"/>
    <x v="0"/>
    <s v="Low-Term"/>
    <x v="0"/>
  </r>
  <r>
    <s v="Good"/>
    <s v="Negative balance"/>
    <x v="2"/>
    <s v="Less 100"/>
    <s v="female "/>
    <s v=" divorced/separated/married"/>
    <s v="skilled employee / official"/>
    <s v="rent"/>
    <n v="15"/>
    <n v="1845"/>
    <x v="31"/>
    <x v="0"/>
    <s v="Medium-Term"/>
    <x v="0"/>
  </r>
  <r>
    <s v="Good"/>
    <s v="Low balance"/>
    <x v="3"/>
    <s v="Up to 1000"/>
    <s v="female "/>
    <s v=" divorced/separated/married"/>
    <s v="skilled employee / official"/>
    <s v="own"/>
    <n v="48"/>
    <n v="8358"/>
    <x v="22"/>
    <x v="1"/>
    <s v="Long-Term"/>
    <x v="2"/>
  </r>
  <r>
    <s v="Bad"/>
    <s v="Negative balance"/>
    <x v="2"/>
    <s v="Up to 1000"/>
    <s v="male "/>
    <s v=" single"/>
    <s v="skilled employee / official"/>
    <s v="for free"/>
    <n v="24"/>
    <n v="3349"/>
    <x v="22"/>
    <x v="2"/>
    <s v="Medium-Term"/>
    <x v="1"/>
  </r>
  <r>
    <s v="Good"/>
    <s v="No information"/>
    <x v="3"/>
    <s v="No information"/>
    <s v="male "/>
    <s v=" single"/>
    <s v="management/ self-employed/ highly qualified employee/ officer"/>
    <s v="own"/>
    <n v="12"/>
    <n v="2859"/>
    <x v="41"/>
    <x v="2"/>
    <s v="Medium-Term"/>
    <x v="0"/>
  </r>
  <r>
    <s v="Bad"/>
    <s v="No information"/>
    <x v="2"/>
    <s v="Less 100"/>
    <s v="male "/>
    <s v=" married/widowed"/>
    <s v="unskilled - resident"/>
    <s v="own"/>
    <n v="18"/>
    <n v="1533"/>
    <x v="46"/>
    <x v="0"/>
    <s v="Medium-Term"/>
    <x v="1"/>
  </r>
  <r>
    <s v="Bad"/>
    <s v="No information"/>
    <x v="0"/>
    <s v="Up to 500"/>
    <s v="male "/>
    <s v=" single"/>
    <s v="skilled employee / official"/>
    <s v="own"/>
    <n v="24"/>
    <n v="3621"/>
    <x v="13"/>
    <x v="2"/>
    <s v="Medium-Term"/>
    <x v="1"/>
  </r>
  <r>
    <s v="Good"/>
    <s v="Low balance"/>
    <x v="5"/>
    <s v="Less 100"/>
    <s v="male "/>
    <s v=" married/widowed"/>
    <s v="unemployed/ unskilled  - non-resident"/>
    <s v="own"/>
    <n v="18"/>
    <n v="3590"/>
    <x v="34"/>
    <x v="2"/>
    <s v="Medium-Term"/>
    <x v="0"/>
  </r>
  <r>
    <s v="Bad"/>
    <s v="Negative balance"/>
    <x v="5"/>
    <s v="Less 100"/>
    <s v="male "/>
    <s v=" single"/>
    <s v="skilled employee / official"/>
    <s v="own"/>
    <n v="36"/>
    <n v="2145"/>
    <x v="9"/>
    <x v="2"/>
    <s v="Long-Term"/>
    <x v="1"/>
  </r>
  <r>
    <s v="Bad"/>
    <s v="Low balance"/>
    <x v="4"/>
    <s v="Up to 1000"/>
    <s v="female "/>
    <s v=" divorced/separated/married"/>
    <s v="skilled employee / official"/>
    <s v="rent"/>
    <n v="24"/>
    <n v="4113"/>
    <x v="7"/>
    <x v="2"/>
    <s v="Medium-Term"/>
    <x v="1"/>
  </r>
  <r>
    <s v="Bad"/>
    <s v="No information"/>
    <x v="2"/>
    <s v="Less 100"/>
    <s v="female "/>
    <s v=" divorced/separated/married"/>
    <s v="management/ self-employed/ highly qualified employee/ officer"/>
    <s v="own"/>
    <n v="36"/>
    <n v="10974"/>
    <x v="15"/>
    <x v="1"/>
    <s v="Long-Term"/>
    <x v="1"/>
  </r>
  <r>
    <s v="Good"/>
    <s v="Negative balance"/>
    <x v="3"/>
    <s v="Less 100"/>
    <s v="female "/>
    <s v=" divorced/separated/married"/>
    <s v="skilled employee / official"/>
    <s v="own"/>
    <n v="12"/>
    <n v="1893"/>
    <x v="28"/>
    <x v="0"/>
    <s v="Medium-Term"/>
    <x v="0"/>
  </r>
  <r>
    <s v="Good"/>
    <s v="Negative balance"/>
    <x v="0"/>
    <s v="More 1000"/>
    <s v="female "/>
    <s v=" divorced/separated/married"/>
    <s v="management/ self-employed/ highly qualified employee/ officer"/>
    <s v="rent"/>
    <n v="24"/>
    <n v="1231"/>
    <x v="23"/>
    <x v="0"/>
    <s v="Medium-Term"/>
    <x v="0"/>
  </r>
  <r>
    <s v="Good"/>
    <s v="Normal balance"/>
    <x v="0"/>
    <s v="No information"/>
    <s v="male "/>
    <s v=" single"/>
    <s v="unskilled - resident"/>
    <s v="own"/>
    <n v="30"/>
    <n v="3656"/>
    <x v="2"/>
    <x v="2"/>
    <s v="Medium-Term"/>
    <x v="0"/>
  </r>
  <r>
    <s v="Good"/>
    <s v="Low balance"/>
    <x v="0"/>
    <s v="Less 100"/>
    <s v="male "/>
    <s v=" single"/>
    <s v="unskilled - resident"/>
    <s v="own"/>
    <n v="9"/>
    <n v="1154"/>
    <x v="25"/>
    <x v="0"/>
    <s v="Low-Term"/>
    <x v="0"/>
  </r>
  <r>
    <s v="Bad"/>
    <s v="Negative balance"/>
    <x v="3"/>
    <s v="Less 100"/>
    <s v="male "/>
    <s v=" single"/>
    <s v="unskilled - resident"/>
    <s v="own"/>
    <n v="28"/>
    <n v="4006"/>
    <x v="3"/>
    <x v="2"/>
    <s v="Medium-Term"/>
    <x v="1"/>
  </r>
  <r>
    <s v="Good"/>
    <s v="Low balance"/>
    <x v="2"/>
    <s v="Up to 500"/>
    <s v="male "/>
    <s v=" single"/>
    <s v="skilled employee / official"/>
    <s v="for free"/>
    <n v="24"/>
    <n v="3069"/>
    <x v="22"/>
    <x v="2"/>
    <s v="Medium-Term"/>
    <x v="0"/>
  </r>
  <r>
    <s v="Good"/>
    <s v="No information"/>
    <x v="0"/>
    <s v="Less 100"/>
    <s v="male "/>
    <s v=" married/widowed"/>
    <s v="skilled employee / official"/>
    <s v="rent"/>
    <n v="6"/>
    <n v="1740"/>
    <x v="22"/>
    <x v="0"/>
    <s v="Low-Term"/>
    <x v="0"/>
  </r>
  <r>
    <s v="Good"/>
    <s v="Low balance"/>
    <x v="3"/>
    <s v="Less 100"/>
    <s v="male "/>
    <s v=" divorced/separated"/>
    <s v="skilled employee / official"/>
    <s v="own"/>
    <n v="21"/>
    <n v="2353"/>
    <x v="36"/>
    <x v="2"/>
    <s v="Medium-Term"/>
    <x v="0"/>
  </r>
  <r>
    <s v="Good"/>
    <s v="No information"/>
    <x v="3"/>
    <s v="No information"/>
    <s v="male "/>
    <s v=" single"/>
    <s v="skilled employee / official"/>
    <s v="own"/>
    <n v="15"/>
    <n v="3556"/>
    <x v="28"/>
    <x v="2"/>
    <s v="Medium-Term"/>
    <x v="0"/>
  </r>
  <r>
    <s v="Bad"/>
    <s v="No information"/>
    <x v="0"/>
    <s v="Up to 1000"/>
    <s v="male "/>
    <s v=" single"/>
    <s v="skilled employee / official"/>
    <s v="own"/>
    <n v="24"/>
    <n v="2397"/>
    <x v="5"/>
    <x v="2"/>
    <s v="Medium-Term"/>
    <x v="1"/>
  </r>
  <r>
    <s v="Good"/>
    <s v="Low balance"/>
    <x v="7"/>
    <s v="Less 100"/>
    <s v="male "/>
    <s v=" married/widowed"/>
    <s v="unskilled - resident"/>
    <s v="own"/>
    <n v="6"/>
    <n v="454"/>
    <x v="1"/>
    <x v="0"/>
    <s v="Low-Term"/>
    <x v="0"/>
  </r>
  <r>
    <s v="Good"/>
    <s v="Low balance"/>
    <x v="0"/>
    <s v="No information"/>
    <s v="female "/>
    <s v=" divorced/separated/married"/>
    <s v="skilled employee / official"/>
    <s v="own"/>
    <n v="30"/>
    <n v="1715"/>
    <x v="15"/>
    <x v="0"/>
    <s v="Medium-Term"/>
    <x v="0"/>
  </r>
  <r>
    <s v="Bad"/>
    <s v="Low balance"/>
    <x v="0"/>
    <s v="Up to 1000"/>
    <s v="male "/>
    <s v=" single"/>
    <s v="unskilled - resident"/>
    <s v="own"/>
    <n v="27"/>
    <n v="2520"/>
    <x v="27"/>
    <x v="2"/>
    <s v="Medium-Term"/>
    <x v="1"/>
  </r>
  <r>
    <s v="Good"/>
    <s v="No information"/>
    <x v="0"/>
    <s v="Less 100"/>
    <s v="female "/>
    <s v=" divorced/separated/married"/>
    <s v="management/ self-employed/ highly qualified employee/ officer"/>
    <s v="rent"/>
    <n v="15"/>
    <n v="3568"/>
    <x v="38"/>
    <x v="2"/>
    <s v="Medium-Term"/>
    <x v="0"/>
  </r>
  <r>
    <s v="Good"/>
    <s v="No information"/>
    <x v="0"/>
    <s v="No information"/>
    <s v="male "/>
    <s v=" married/widowed"/>
    <s v="skilled employee / official"/>
    <s v="rent"/>
    <n v="42"/>
    <n v="7166"/>
    <x v="28"/>
    <x v="1"/>
    <s v="Long-Term"/>
    <x v="2"/>
  </r>
  <r>
    <s v="Good"/>
    <s v="Negative balance"/>
    <x v="3"/>
    <s v="Less 100"/>
    <s v="male "/>
    <s v=" single"/>
    <s v="unskilled - resident"/>
    <s v="own"/>
    <n v="11"/>
    <n v="3939"/>
    <x v="34"/>
    <x v="2"/>
    <s v="Low-Term"/>
    <x v="0"/>
  </r>
  <r>
    <s v="Good"/>
    <s v="Low balance"/>
    <x v="7"/>
    <s v="Up to 500"/>
    <s v="male "/>
    <s v=" single"/>
    <s v="skilled employee / official"/>
    <s v="own"/>
    <n v="15"/>
    <n v="1514"/>
    <x v="1"/>
    <x v="0"/>
    <s v="Medium-Term"/>
    <x v="0"/>
  </r>
  <r>
    <s v="Good"/>
    <s v="No information"/>
    <x v="3"/>
    <s v="Less 100"/>
    <s v="male "/>
    <s v=" single"/>
    <s v="unskilled - resident"/>
    <s v="own"/>
    <n v="24"/>
    <n v="7393"/>
    <x v="46"/>
    <x v="1"/>
    <s v="Medium-Term"/>
    <x v="2"/>
  </r>
  <r>
    <s v="Bad"/>
    <s v="Negative balance"/>
    <x v="3"/>
    <s v="Less 100"/>
    <s v="female "/>
    <s v=" divorced/separated/married"/>
    <s v="unemployed/ unskilled  - non-resident"/>
    <s v="rent"/>
    <n v="24"/>
    <n v="1193"/>
    <x v="28"/>
    <x v="0"/>
    <s v="Medium-Term"/>
    <x v="1"/>
  </r>
  <r>
    <s v="Bad"/>
    <s v="Negative balance"/>
    <x v="5"/>
    <s v="Less 100"/>
    <s v="male "/>
    <s v=" single"/>
    <s v="skilled employee / official"/>
    <s v="rent"/>
    <n v="60"/>
    <n v="7297"/>
    <x v="16"/>
    <x v="1"/>
    <s v="Long-Term"/>
    <x v="1"/>
  </r>
  <r>
    <s v="Good"/>
    <s v="No information"/>
    <x v="0"/>
    <s v="Less 100"/>
    <s v="female "/>
    <s v=" divorced/separated/married"/>
    <s v="skilled employee / official"/>
    <s v="own"/>
    <n v="30"/>
    <n v="2831"/>
    <x v="24"/>
    <x v="2"/>
    <s v="Medium-Term"/>
    <x v="0"/>
  </r>
  <r>
    <s v="Good"/>
    <s v="Normal balance"/>
    <x v="0"/>
    <s v="Up to 1000"/>
    <s v="female "/>
    <s v=" divorced/separated/married"/>
    <s v="unskilled - resident"/>
    <s v="own"/>
    <n v="24"/>
    <n v="1258"/>
    <x v="23"/>
    <x v="0"/>
    <s v="Medium-Term"/>
    <x v="0"/>
  </r>
  <r>
    <s v="Good"/>
    <s v="Low balance"/>
    <x v="0"/>
    <s v="Less 100"/>
    <s v="female "/>
    <s v=" divorced/separated/married"/>
    <s v="skilled employee / official"/>
    <s v="own"/>
    <n v="6"/>
    <n v="753"/>
    <x v="48"/>
    <x v="0"/>
    <s v="Low-Term"/>
    <x v="0"/>
  </r>
  <r>
    <s v="Good"/>
    <s v="Low balance"/>
    <x v="5"/>
    <s v="No information"/>
    <s v="male "/>
    <s v=" single"/>
    <s v="skilled employee / official"/>
    <s v="own"/>
    <n v="18"/>
    <n v="2427"/>
    <x v="18"/>
    <x v="2"/>
    <s v="Medium-Term"/>
    <x v="0"/>
  </r>
  <r>
    <s v="Bad"/>
    <s v="No information"/>
    <x v="3"/>
    <s v="Less 100"/>
    <s v="male "/>
    <s v=" single"/>
    <s v="unskilled - resident"/>
    <s v="own"/>
    <n v="24"/>
    <n v="2538"/>
    <x v="36"/>
    <x v="2"/>
    <s v="Medium-Term"/>
    <x v="1"/>
  </r>
  <r>
    <s v="Bad"/>
    <s v="Low balance"/>
    <x v="3"/>
    <s v="Up to 500"/>
    <s v="male "/>
    <s v=" married/widowed"/>
    <s v="skilled employee / official"/>
    <s v="rent"/>
    <n v="15"/>
    <n v="1264"/>
    <x v="8"/>
    <x v="0"/>
    <s v="Medium-Term"/>
    <x v="1"/>
  </r>
  <r>
    <s v="Bad"/>
    <s v="Low balance"/>
    <x v="2"/>
    <s v="Less 100"/>
    <s v="male "/>
    <s v=" single"/>
    <s v="skilled employee / official"/>
    <s v="own"/>
    <n v="30"/>
    <n v="8386"/>
    <x v="2"/>
    <x v="1"/>
    <s v="Medium-Term"/>
    <x v="1"/>
  </r>
  <r>
    <s v="Bad"/>
    <s v="No information"/>
    <x v="5"/>
    <s v="Less 100"/>
    <s v="male "/>
    <s v=" single"/>
    <s v="management/ self-employed/ highly qualified employee/ officer"/>
    <s v="rent"/>
    <n v="48"/>
    <n v="4844"/>
    <x v="24"/>
    <x v="2"/>
    <s v="Long-Term"/>
    <x v="1"/>
  </r>
  <r>
    <s v="Good"/>
    <s v="Normal balance"/>
    <x v="3"/>
    <s v="Up to 500"/>
    <s v="female "/>
    <s v=" divorced/separated/married"/>
    <s v="management/ self-employed/ highly qualified employee/ officer"/>
    <s v="own"/>
    <n v="21"/>
    <n v="2923"/>
    <x v="7"/>
    <x v="2"/>
    <s v="Medium-Term"/>
    <x v="0"/>
  </r>
  <r>
    <s v="Bad"/>
    <s v="Negative balance"/>
    <x v="4"/>
    <s v="Less 100"/>
    <s v="male "/>
    <s v=" single"/>
    <s v="skilled employee / official"/>
    <s v="own"/>
    <n v="36"/>
    <n v="8229"/>
    <x v="15"/>
    <x v="1"/>
    <s v="Long-Term"/>
    <x v="1"/>
  </r>
  <r>
    <s v="Good"/>
    <s v="No information"/>
    <x v="2"/>
    <s v="Less 100"/>
    <s v="male "/>
    <s v=" single"/>
    <s v="unskilled - resident"/>
    <s v="own"/>
    <n v="24"/>
    <n v="2028"/>
    <x v="22"/>
    <x v="2"/>
    <s v="Medium-Term"/>
    <x v="0"/>
  </r>
  <r>
    <s v="Good"/>
    <s v="Negative balance"/>
    <x v="2"/>
    <s v="Less 100"/>
    <s v="female "/>
    <s v=" divorced/separated/married"/>
    <s v="skilled employee / official"/>
    <s v="rent"/>
    <n v="15"/>
    <n v="1433"/>
    <x v="8"/>
    <x v="0"/>
    <s v="Medium-Term"/>
    <x v="0"/>
  </r>
  <r>
    <s v="Good"/>
    <s v="Normal balance"/>
    <x v="5"/>
    <s v="Less 100"/>
    <s v="male "/>
    <s v=" divorced/separated"/>
    <s v="skilled employee / official"/>
    <s v="own"/>
    <n v="42"/>
    <n v="6289"/>
    <x v="24"/>
    <x v="1"/>
    <s v="Long-Term"/>
    <x v="0"/>
  </r>
  <r>
    <s v="Good"/>
    <s v="No information"/>
    <x v="0"/>
    <s v="Up to 500"/>
    <s v="female "/>
    <s v=" divorced/separated/married"/>
    <s v="skilled employee / official"/>
    <s v="own"/>
    <n v="13"/>
    <n v="1409"/>
    <x v="48"/>
    <x v="0"/>
    <s v="Medium-Term"/>
    <x v="0"/>
  </r>
  <r>
    <s v="Good"/>
    <s v="Negative balance"/>
    <x v="4"/>
    <s v="Less 100"/>
    <s v="male "/>
    <s v=" single"/>
    <s v="management/ self-employed/ highly qualified employee/ officer"/>
    <s v="for free"/>
    <n v="24"/>
    <n v="6579"/>
    <x v="28"/>
    <x v="1"/>
    <s v="Medium-Term"/>
    <x v="0"/>
  </r>
  <r>
    <s v="Good"/>
    <s v="Low balance"/>
    <x v="0"/>
    <s v="Less 100"/>
    <s v="male "/>
    <s v=" single"/>
    <s v="unskilled - resident"/>
    <s v="own"/>
    <n v="24"/>
    <n v="1743"/>
    <x v="14"/>
    <x v="0"/>
    <s v="Medium-Term"/>
    <x v="0"/>
  </r>
  <r>
    <s v="Good"/>
    <s v="No information"/>
    <x v="1"/>
    <s v="No information"/>
    <s v="male "/>
    <s v=" single"/>
    <s v="unskilled - resident"/>
    <s v="own"/>
    <n v="12"/>
    <n v="3565"/>
    <x v="25"/>
    <x v="2"/>
    <s v="Medium-Term"/>
    <x v="0"/>
  </r>
  <r>
    <s v="Good"/>
    <s v="No information"/>
    <x v="0"/>
    <s v="Up to 500"/>
    <s v="male "/>
    <s v=" single"/>
    <s v="unskilled - resident"/>
    <s v="own"/>
    <n v="15"/>
    <n v="1569"/>
    <x v="19"/>
    <x v="0"/>
    <s v="Medium-Term"/>
    <x v="0"/>
  </r>
  <r>
    <s v="Good"/>
    <s v="Negative balance"/>
    <x v="0"/>
    <s v="No information"/>
    <s v="male "/>
    <s v=" married/widowed"/>
    <s v="unskilled - resident"/>
    <s v="rent"/>
    <n v="18"/>
    <n v="1936"/>
    <x v="27"/>
    <x v="0"/>
    <s v="Medium-Term"/>
    <x v="0"/>
  </r>
  <r>
    <s v="Good"/>
    <s v="Negative balance"/>
    <x v="2"/>
    <s v="Less 100"/>
    <s v="male "/>
    <s v=" single"/>
    <s v="management/ self-employed/ highly qualified employee/ officer"/>
    <s v="own"/>
    <n v="36"/>
    <n v="3959"/>
    <x v="22"/>
    <x v="2"/>
    <s v="Long-Term"/>
    <x v="0"/>
  </r>
  <r>
    <s v="Good"/>
    <s v="No information"/>
    <x v="3"/>
    <s v="No information"/>
    <s v="male "/>
    <s v=" single"/>
    <s v="skilled employee / official"/>
    <s v="own"/>
    <n v="12"/>
    <n v="2390"/>
    <x v="30"/>
    <x v="2"/>
    <s v="Medium-Term"/>
    <x v="0"/>
  </r>
  <r>
    <s v="Good"/>
    <s v="No information"/>
    <x v="2"/>
    <s v="Less 100"/>
    <s v="female "/>
    <s v=" divorced/separated/married"/>
    <s v="unskilled - resident"/>
    <s v="own"/>
    <n v="12"/>
    <n v="1736"/>
    <x v="13"/>
    <x v="0"/>
    <s v="Medium-Term"/>
    <x v="0"/>
  </r>
  <r>
    <s v="Good"/>
    <s v="Negative balance"/>
    <x v="4"/>
    <s v="Less 100"/>
    <s v="male "/>
    <s v=" divorced/separated"/>
    <s v="management/ self-employed/ highly qualified employee/ officer"/>
    <s v="own"/>
    <n v="30"/>
    <n v="3857"/>
    <x v="34"/>
    <x v="2"/>
    <s v="Medium-Term"/>
    <x v="0"/>
  </r>
  <r>
    <s v="Good"/>
    <s v="No information"/>
    <x v="0"/>
    <s v="Less 100"/>
    <s v="male "/>
    <s v=" single"/>
    <s v="skilled employee / official"/>
    <s v="own"/>
    <n v="12"/>
    <n v="804"/>
    <x v="41"/>
    <x v="0"/>
    <s v="Medium-Term"/>
    <x v="0"/>
  </r>
  <r>
    <s v="Bad"/>
    <s v="Negative balance"/>
    <x v="0"/>
    <s v="Less 100"/>
    <s v="male "/>
    <s v=" single"/>
    <s v="skilled employee / official"/>
    <s v="for free"/>
    <n v="45"/>
    <n v="1845"/>
    <x v="27"/>
    <x v="0"/>
    <s v="Long-Term"/>
    <x v="1"/>
  </r>
  <r>
    <s v="Good"/>
    <s v="Low balance"/>
    <x v="4"/>
    <s v="Up to 500"/>
    <s v="male "/>
    <s v=" single"/>
    <s v="skilled employee / official"/>
    <s v="own"/>
    <n v="45"/>
    <n v="4576"/>
    <x v="21"/>
    <x v="2"/>
    <s v="Long-Term"/>
    <x v="0"/>
  </r>
  <r>
    <m/>
    <m/>
    <x v="10"/>
    <m/>
    <m/>
    <m/>
    <m/>
    <m/>
    <m/>
    <m/>
    <x v="53"/>
    <x v="3"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Bad"/>
    <x v="0"/>
    <s v="radio/television"/>
    <s v="Less 100"/>
    <s v="female "/>
    <s v=" divorced/separated/married"/>
    <x v="0"/>
    <x v="0"/>
    <n v="48"/>
    <n v="5951"/>
    <n v="22"/>
    <s v="Hight"/>
    <s v="Long-Term"/>
    <s v="Review Required"/>
    <n v="5951"/>
  </r>
  <r>
    <s v="Bad"/>
    <x v="1"/>
    <s v="car (new)"/>
    <s v="Less 100"/>
    <s v="male "/>
    <s v=" single"/>
    <x v="0"/>
    <x v="1"/>
    <n v="24"/>
    <n v="4870"/>
    <n v="53"/>
    <s v="Medium"/>
    <s v="Medium-Term"/>
    <s v="Review Required"/>
    <n v="4870"/>
  </r>
  <r>
    <s v="Bad"/>
    <x v="0"/>
    <s v="car (new)"/>
    <s v="Less 100"/>
    <s v="male "/>
    <s v=" married/widowed"/>
    <x v="1"/>
    <x v="0"/>
    <n v="30"/>
    <n v="5234"/>
    <n v="28"/>
    <s v="Hight"/>
    <s v="Medium-Term"/>
    <s v="Review Required"/>
    <n v="5234"/>
  </r>
  <r>
    <s v="Bad"/>
    <x v="0"/>
    <s v="car (new)"/>
    <s v="Less 100"/>
    <s v="female "/>
    <s v=" divorced/separated/married"/>
    <x v="0"/>
    <x v="2"/>
    <n v="12"/>
    <n v="1295"/>
    <n v="25"/>
    <s v="Low"/>
    <s v="Medium-Term"/>
    <s v="Review Required"/>
    <n v="1295"/>
  </r>
  <r>
    <s v="Bad"/>
    <x v="1"/>
    <s v="business"/>
    <s v="Less 100"/>
    <s v="female "/>
    <s v=" divorced/separated/married"/>
    <x v="0"/>
    <x v="2"/>
    <n v="48"/>
    <n v="4308"/>
    <n v="24"/>
    <s v="Medium"/>
    <s v="Long-Term"/>
    <s v="Review Required"/>
    <n v="4308"/>
  </r>
  <r>
    <s v="Bad"/>
    <x v="1"/>
    <s v="car (new)"/>
    <s v="Less 100"/>
    <s v="male "/>
    <s v=" single"/>
    <x v="2"/>
    <x v="0"/>
    <n v="24"/>
    <n v="1199"/>
    <n v="60"/>
    <s v="Low"/>
    <s v="Medium-Term"/>
    <s v="Review Required"/>
    <n v="1199"/>
  </r>
  <r>
    <s v="Bad"/>
    <x v="1"/>
    <s v="radio/television"/>
    <s v="Up to 500"/>
    <s v="female "/>
    <s v=" divorced/separated/married"/>
    <x v="2"/>
    <x v="0"/>
    <n v="24"/>
    <n v="1282"/>
    <n v="32"/>
    <s v="Low"/>
    <s v="Medium-Term"/>
    <s v="Review Required"/>
    <n v="1282"/>
  </r>
  <r>
    <s v="Bad"/>
    <x v="0"/>
    <s v="car (used)"/>
    <s v="Less 100"/>
    <s v="female "/>
    <s v=" divorced/separated/married"/>
    <x v="1"/>
    <x v="1"/>
    <n v="24"/>
    <n v="12579"/>
    <n v="44"/>
    <s v="Hight"/>
    <s v="Medium-Term"/>
    <s v="Review Required"/>
    <n v="12579"/>
  </r>
  <r>
    <s v="Bad"/>
    <x v="1"/>
    <s v="business"/>
    <s v="Less 100"/>
    <s v="male "/>
    <s v=" single"/>
    <x v="0"/>
    <x v="0"/>
    <n v="60"/>
    <n v="6836"/>
    <n v="63"/>
    <s v="Hight"/>
    <s v="Long-Term"/>
    <s v="Review Required"/>
    <n v="6836"/>
  </r>
  <r>
    <s v="Bad"/>
    <x v="0"/>
    <s v="radio/television"/>
    <s v="Less 100"/>
    <s v="male "/>
    <s v=" single"/>
    <x v="2"/>
    <x v="0"/>
    <n v="45"/>
    <n v="4746"/>
    <n v="25"/>
    <s v="Medium"/>
    <s v="Long-Term"/>
    <s v="Review Required"/>
    <n v="4746"/>
  </r>
  <r>
    <s v="Bad"/>
    <x v="2"/>
    <s v="radio/television"/>
    <s v="Less 100"/>
    <s v="male "/>
    <s v=" single"/>
    <x v="0"/>
    <x v="0"/>
    <n v="18"/>
    <n v="2100"/>
    <n v="37"/>
    <s v="Medium"/>
    <s v="Medium-Term"/>
    <s v="Review Required"/>
    <n v="2100"/>
  </r>
  <r>
    <s v="Bad"/>
    <x v="1"/>
    <s v="car (used)"/>
    <s v="Less 100"/>
    <s v="female "/>
    <s v=" divorced/separated/married"/>
    <x v="2"/>
    <x v="1"/>
    <n v="48"/>
    <n v="6143"/>
    <n v="58"/>
    <s v="Hight"/>
    <s v="Long-Term"/>
    <s v="Review Required"/>
    <n v="6143"/>
  </r>
  <r>
    <s v="Bad"/>
    <x v="0"/>
    <s v="car (new)"/>
    <s v="Less 100"/>
    <s v="male "/>
    <s v=" single"/>
    <x v="0"/>
    <x v="1"/>
    <n v="36"/>
    <n v="2225"/>
    <n v="57"/>
    <s v="Medium"/>
    <s v="Long-Term"/>
    <s v="Review Required"/>
    <n v="2225"/>
  </r>
  <r>
    <s v="Bad"/>
    <x v="0"/>
    <s v="radio/television"/>
    <s v="No information"/>
    <s v="male "/>
    <s v=" single"/>
    <x v="1"/>
    <x v="0"/>
    <n v="12"/>
    <n v="6468"/>
    <n v="52"/>
    <s v="Hight"/>
    <s v="Medium-Term"/>
    <s v="Review Required"/>
    <n v="6468"/>
  </r>
  <r>
    <s v="Bad"/>
    <x v="1"/>
    <s v="furniture/equipment"/>
    <s v="Less 100"/>
    <s v="female "/>
    <s v=" divorced/separated/married"/>
    <x v="2"/>
    <x v="2"/>
    <n v="36"/>
    <n v="6229"/>
    <n v="23"/>
    <s v="Hight"/>
    <s v="Long-Term"/>
    <s v="Review Required"/>
    <n v="6229"/>
  </r>
  <r>
    <s v="Bad"/>
    <x v="0"/>
    <s v="business"/>
    <s v="Less 100"/>
    <s v="male "/>
    <s v=" single"/>
    <x v="1"/>
    <x v="1"/>
    <n v="36"/>
    <n v="1953"/>
    <n v="61"/>
    <s v="Low"/>
    <s v="Long-Term"/>
    <s v="Review Required"/>
    <n v="1953"/>
  </r>
  <r>
    <s v="Bad"/>
    <x v="0"/>
    <s v="business"/>
    <s v="Less 100"/>
    <s v="male "/>
    <s v=" single"/>
    <x v="0"/>
    <x v="0"/>
    <n v="48"/>
    <n v="14421"/>
    <n v="25"/>
    <s v="Hight"/>
    <s v="Long-Term"/>
    <s v="Review Required"/>
    <n v="14421"/>
  </r>
  <r>
    <s v="Bad"/>
    <x v="3"/>
    <s v="education"/>
    <s v="Less 100"/>
    <s v="male "/>
    <s v=" single"/>
    <x v="0"/>
    <x v="1"/>
    <n v="36"/>
    <n v="1819"/>
    <n v="37"/>
    <s v="Low"/>
    <s v="Long-Term"/>
    <s v="Review Required"/>
    <n v="1819"/>
  </r>
  <r>
    <s v="Bad"/>
    <x v="1"/>
    <s v="education"/>
    <s v="No information"/>
    <s v="male "/>
    <s v=" single"/>
    <x v="1"/>
    <x v="0"/>
    <n v="36"/>
    <n v="1977"/>
    <n v="40"/>
    <s v="Low"/>
    <s v="Long-Term"/>
    <s v="Review Required"/>
    <n v="1977"/>
  </r>
  <r>
    <s v="Bad"/>
    <x v="1"/>
    <s v="radio/television"/>
    <s v="Less 100"/>
    <s v="male "/>
    <s v=" single"/>
    <x v="0"/>
    <x v="0"/>
    <n v="42"/>
    <n v="3965"/>
    <n v="34"/>
    <s v="Medium"/>
    <s v="Long-Term"/>
    <s v="Review Required"/>
    <n v="3965"/>
  </r>
  <r>
    <s v="Bad"/>
    <x v="3"/>
    <s v="radio/television"/>
    <s v="No information"/>
    <s v="female "/>
    <s v=" divorced/separated/married"/>
    <x v="0"/>
    <x v="0"/>
    <n v="24"/>
    <n v="5943"/>
    <n v="44"/>
    <s v="Hight"/>
    <s v="Medium-Term"/>
    <s v="Review Required"/>
    <n v="5943"/>
  </r>
  <r>
    <s v="Bad"/>
    <x v="0"/>
    <s v="education"/>
    <s v="Up to 500"/>
    <s v="male "/>
    <s v=" single"/>
    <x v="0"/>
    <x v="1"/>
    <n v="36"/>
    <n v="12612"/>
    <n v="47"/>
    <s v="Hight"/>
    <s v="Long-Term"/>
    <s v="Review Required"/>
    <n v="12612"/>
  </r>
  <r>
    <s v="Bad"/>
    <x v="1"/>
    <s v="repairs"/>
    <s v="Less 100"/>
    <s v="male "/>
    <s v=" single"/>
    <x v="0"/>
    <x v="0"/>
    <n v="12"/>
    <n v="1108"/>
    <n v="28"/>
    <s v="Low"/>
    <s v="Medium-Term"/>
    <s v="Review Required"/>
    <n v="1108"/>
  </r>
  <r>
    <s v="Bad"/>
    <x v="3"/>
    <s v="radio/television"/>
    <s v="No information"/>
    <s v="female "/>
    <s v=" divorced/separated/married"/>
    <x v="2"/>
    <x v="0"/>
    <n v="12"/>
    <n v="797"/>
    <n v="33"/>
    <s v="Low"/>
    <s v="Medium-Term"/>
    <s v="Review Required"/>
    <n v="797"/>
  </r>
  <r>
    <s v="Bad"/>
    <x v="0"/>
    <s v="business"/>
    <s v="Less 100"/>
    <s v="male "/>
    <s v=" single"/>
    <x v="0"/>
    <x v="2"/>
    <n v="54"/>
    <n v="15945"/>
    <n v="58"/>
    <s v="Hight"/>
    <s v="Long-Term"/>
    <s v="Review Required"/>
    <n v="15945"/>
  </r>
  <r>
    <s v="Bad"/>
    <x v="0"/>
    <s v="others"/>
    <s v="Less 100"/>
    <s v="male "/>
    <s v=" single"/>
    <x v="1"/>
    <x v="0"/>
    <n v="24"/>
    <n v="11938"/>
    <n v="39"/>
    <s v="Hight"/>
    <s v="Medium-Term"/>
    <s v="Review Required"/>
    <n v="11938"/>
  </r>
  <r>
    <s v="Bad"/>
    <x v="3"/>
    <s v="car (new)"/>
    <s v="Less 100"/>
    <s v="male "/>
    <s v=" single"/>
    <x v="1"/>
    <x v="0"/>
    <n v="18"/>
    <n v="6458"/>
    <n v="39"/>
    <s v="Hight"/>
    <s v="Medium-Term"/>
    <s v="Review Required"/>
    <n v="6458"/>
  </r>
  <r>
    <s v="Bad"/>
    <x v="3"/>
    <s v="car (new)"/>
    <s v="Less 100"/>
    <s v="female "/>
    <s v=" divorced/separated/married"/>
    <x v="0"/>
    <x v="0"/>
    <n v="36"/>
    <n v="7855"/>
    <n v="25"/>
    <s v="Hight"/>
    <s v="Long-Term"/>
    <s v="Review Required"/>
    <n v="7855"/>
  </r>
  <r>
    <s v="Bad"/>
    <x v="1"/>
    <s v="radio/television"/>
    <s v="No information"/>
    <s v="female "/>
    <s v=" divorced/separated/married"/>
    <x v="1"/>
    <x v="0"/>
    <n v="42"/>
    <n v="7174"/>
    <n v="30"/>
    <s v="Hight"/>
    <s v="Long-Term"/>
    <s v="Review Required"/>
    <n v="7174"/>
  </r>
  <r>
    <s v="Bad"/>
    <x v="1"/>
    <s v="furniture/equipment"/>
    <s v="Up to 1000"/>
    <s v="female "/>
    <s v=" divorced/separated/married"/>
    <x v="0"/>
    <x v="0"/>
    <n v="33"/>
    <n v="4281"/>
    <n v="23"/>
    <s v="Medium"/>
    <s v="Medium-Term"/>
    <s v="Review Required"/>
    <n v="4281"/>
  </r>
  <r>
    <s v="Bad"/>
    <x v="1"/>
    <s v="radio/television"/>
    <s v="Less 100"/>
    <s v="female "/>
    <s v=" divorced/separated/married"/>
    <x v="0"/>
    <x v="0"/>
    <n v="21"/>
    <n v="1835"/>
    <n v="25"/>
    <s v="Low"/>
    <s v="Medium-Term"/>
    <s v="Review Required"/>
    <n v="1835"/>
  </r>
  <r>
    <s v="Bad"/>
    <x v="0"/>
    <s v="furniture/equipment"/>
    <s v="No information"/>
    <s v="female "/>
    <s v=" divorced/separated/married"/>
    <x v="0"/>
    <x v="2"/>
    <n v="18"/>
    <n v="1924"/>
    <n v="27"/>
    <s v="Low"/>
    <s v="Medium-Term"/>
    <s v="Review Required"/>
    <n v="1924"/>
  </r>
  <r>
    <s v="Bad"/>
    <x v="0"/>
    <s v="repairs"/>
    <s v="Less 100"/>
    <s v="male "/>
    <s v=" single"/>
    <x v="0"/>
    <x v="0"/>
    <n v="12"/>
    <n v="639"/>
    <n v="30"/>
    <s v="Low"/>
    <s v="Medium-Term"/>
    <s v="Review Required"/>
    <n v="639"/>
  </r>
  <r>
    <s v="Bad"/>
    <x v="1"/>
    <s v="car (new)"/>
    <s v="Less 100"/>
    <s v="female "/>
    <s v=" divorced/separated/married"/>
    <x v="0"/>
    <x v="0"/>
    <n v="12"/>
    <n v="3499"/>
    <n v="29"/>
    <s v="Medium"/>
    <s v="Medium-Term"/>
    <s v="Review Required"/>
    <n v="3499"/>
  </r>
  <r>
    <s v="Bad"/>
    <x v="1"/>
    <s v="education"/>
    <s v="Less 100"/>
    <s v="male "/>
    <s v=" single"/>
    <x v="0"/>
    <x v="0"/>
    <n v="36"/>
    <n v="6887"/>
    <n v="29"/>
    <s v="Hight"/>
    <s v="Long-Term"/>
    <s v="Review Required"/>
    <n v="6887"/>
  </r>
  <r>
    <s v="Bad"/>
    <x v="0"/>
    <s v="radio/television"/>
    <s v="Up to 1000"/>
    <s v="male "/>
    <s v=" single"/>
    <x v="2"/>
    <x v="0"/>
    <n v="12"/>
    <n v="766"/>
    <n v="66"/>
    <s v="Low"/>
    <s v="Medium-Term"/>
    <s v="Review Required"/>
    <n v="766"/>
  </r>
  <r>
    <s v="Bad"/>
    <x v="1"/>
    <s v="furniture/equipment"/>
    <s v="Less 100"/>
    <s v="male "/>
    <s v=" single"/>
    <x v="0"/>
    <x v="0"/>
    <n v="18"/>
    <n v="2462"/>
    <n v="22"/>
    <s v="Medium"/>
    <s v="Medium-Term"/>
    <s v="Review Required"/>
    <n v="2462"/>
  </r>
  <r>
    <s v="Bad"/>
    <x v="1"/>
    <s v="furniture/equipment"/>
    <s v="Less 100"/>
    <s v="female "/>
    <s v=" divorced/separated/married"/>
    <x v="0"/>
    <x v="2"/>
    <n v="12"/>
    <n v="1282"/>
    <n v="20"/>
    <s v="Low"/>
    <s v="Medium-Term"/>
    <s v="Review Required"/>
    <n v="1282"/>
  </r>
  <r>
    <s v="Bad"/>
    <x v="1"/>
    <s v="furniture/equipment"/>
    <s v="Less 100"/>
    <s v="female "/>
    <s v=" divorced/separated/married"/>
    <x v="0"/>
    <x v="0"/>
    <n v="18"/>
    <n v="1131"/>
    <n v="33"/>
    <s v="Low"/>
    <s v="Medium-Term"/>
    <s v="Review Required"/>
    <n v="1131"/>
  </r>
  <r>
    <s v="Bad"/>
    <x v="0"/>
    <s v="business"/>
    <s v="Less 100"/>
    <s v="male "/>
    <s v=" divorced/separated"/>
    <x v="0"/>
    <x v="0"/>
    <n v="24"/>
    <n v="1935"/>
    <n v="31"/>
    <s v="Low"/>
    <s v="Medium-Term"/>
    <s v="Review Required"/>
    <n v="1935"/>
  </r>
  <r>
    <s v="Bad"/>
    <x v="1"/>
    <s v="car (new)"/>
    <s v="Less 100"/>
    <s v="male "/>
    <s v=" single"/>
    <x v="0"/>
    <x v="2"/>
    <n v="15"/>
    <n v="950"/>
    <n v="33"/>
    <s v="Low"/>
    <s v="Medium-Term"/>
    <s v="Review Required"/>
    <n v="950"/>
  </r>
  <r>
    <s v="Bad"/>
    <x v="0"/>
    <s v="furniture/equipment"/>
    <s v="Less 100"/>
    <s v="female "/>
    <s v=" divorced/separated/married"/>
    <x v="1"/>
    <x v="0"/>
    <n v="24"/>
    <n v="2064"/>
    <n v="34"/>
    <s v="Medium"/>
    <s v="Medium-Term"/>
    <s v="Review Required"/>
    <n v="2064"/>
  </r>
  <r>
    <s v="Bad"/>
    <x v="1"/>
    <s v="education"/>
    <s v="Less 100"/>
    <s v="male "/>
    <s v=" single"/>
    <x v="0"/>
    <x v="0"/>
    <n v="21"/>
    <n v="3414"/>
    <n v="26"/>
    <s v="Medium"/>
    <s v="Medium-Term"/>
    <s v="Review Required"/>
    <n v="3414"/>
  </r>
  <r>
    <s v="Bad"/>
    <x v="3"/>
    <s v="car (used)"/>
    <s v="No information"/>
    <s v="female "/>
    <s v=" divorced/separated/married"/>
    <x v="1"/>
    <x v="0"/>
    <n v="30"/>
    <n v="7485"/>
    <n v="53"/>
    <s v="Hight"/>
    <s v="Medium-Term"/>
    <s v="Review Required"/>
    <n v="7485"/>
  </r>
  <r>
    <s v="Bad"/>
    <x v="3"/>
    <s v="business"/>
    <s v="Less 100"/>
    <s v="male "/>
    <s v=" divorced/separated"/>
    <x v="0"/>
    <x v="0"/>
    <n v="36"/>
    <n v="9572"/>
    <n v="28"/>
    <s v="Hight"/>
    <s v="Long-Term"/>
    <s v="Review Required"/>
    <n v="9572"/>
  </r>
  <r>
    <s v="Bad"/>
    <x v="0"/>
    <s v="business"/>
    <s v="Less 100"/>
    <s v="male "/>
    <s v=" divorced/separated"/>
    <x v="1"/>
    <x v="0"/>
    <n v="36"/>
    <n v="4455"/>
    <n v="30"/>
    <s v="Medium"/>
    <s v="Long-Term"/>
    <s v="Review Required"/>
    <n v="4455"/>
  </r>
  <r>
    <s v="Bad"/>
    <x v="1"/>
    <s v="car (new)"/>
    <s v="No information"/>
    <s v="male "/>
    <s v=" single"/>
    <x v="2"/>
    <x v="0"/>
    <n v="21"/>
    <n v="1647"/>
    <n v="40"/>
    <s v="Low"/>
    <s v="Medium-Term"/>
    <s v="Review Required"/>
    <n v="1647"/>
  </r>
  <r>
    <s v="Bad"/>
    <x v="0"/>
    <s v="car (new)"/>
    <s v="Less 100"/>
    <s v="male "/>
    <s v=" single"/>
    <x v="0"/>
    <x v="0"/>
    <n v="18"/>
    <n v="884"/>
    <n v="36"/>
    <s v="Low"/>
    <s v="Medium-Term"/>
    <s v="Review Required"/>
    <n v="884"/>
  </r>
  <r>
    <s v="Bad"/>
    <x v="0"/>
    <s v="car (used)"/>
    <s v="Less 100"/>
    <s v="female "/>
    <s v=" divorced/separated/married"/>
    <x v="1"/>
    <x v="1"/>
    <n v="9"/>
    <n v="5129"/>
    <n v="74"/>
    <s v="Hight"/>
    <s v="Low-Term"/>
    <s v="Review Required"/>
    <n v="5129"/>
  </r>
  <r>
    <s v="Bad"/>
    <x v="1"/>
    <s v="radio/television"/>
    <s v="Up to 500"/>
    <s v="male "/>
    <s v=" married/widowed"/>
    <x v="0"/>
    <x v="0"/>
    <n v="12"/>
    <n v="674"/>
    <n v="20"/>
    <s v="Low"/>
    <s v="Medium-Term"/>
    <s v="Review Required"/>
    <n v="674"/>
  </r>
  <r>
    <s v="Bad"/>
    <x v="3"/>
    <s v="business"/>
    <s v="More 1000"/>
    <s v="male "/>
    <s v=" single"/>
    <x v="1"/>
    <x v="0"/>
    <n v="24"/>
    <n v="4591"/>
    <n v="54"/>
    <s v="Medium"/>
    <s v="Medium-Term"/>
    <s v="Review Required"/>
    <n v="4591"/>
  </r>
  <r>
    <s v="Bad"/>
    <x v="0"/>
    <s v="business"/>
    <s v="Up to 500"/>
    <s v="male "/>
    <s v=" single"/>
    <x v="2"/>
    <x v="1"/>
    <n v="48"/>
    <n v="3844"/>
    <n v="34"/>
    <s v="Medium"/>
    <s v="Long-Term"/>
    <s v="Review Required"/>
    <n v="3844"/>
  </r>
  <r>
    <s v="Bad"/>
    <x v="0"/>
    <s v="business"/>
    <s v="Less 100"/>
    <s v="male "/>
    <s v=" single"/>
    <x v="0"/>
    <x v="0"/>
    <n v="27"/>
    <n v="3915"/>
    <n v="36"/>
    <s v="Medium"/>
    <s v="Medium-Term"/>
    <s v="Review Required"/>
    <n v="3915"/>
  </r>
  <r>
    <s v="Bad"/>
    <x v="0"/>
    <s v="radio/television"/>
    <s v="Up to 500"/>
    <s v="male "/>
    <s v=" single"/>
    <x v="0"/>
    <x v="2"/>
    <n v="45"/>
    <n v="3031"/>
    <n v="21"/>
    <s v="Medium"/>
    <s v="Long-Term"/>
    <s v="Review Required"/>
    <n v="3031"/>
  </r>
  <r>
    <s v="Bad"/>
    <x v="0"/>
    <s v="education"/>
    <s v="Less 100"/>
    <s v="female "/>
    <s v=" divorced/separated/married"/>
    <x v="1"/>
    <x v="0"/>
    <n v="9"/>
    <n v="1501"/>
    <n v="34"/>
    <s v="Low"/>
    <s v="Low-Term"/>
    <s v="Review Required"/>
    <n v="1501"/>
  </r>
  <r>
    <s v="Bad"/>
    <x v="0"/>
    <s v="furniture/equipment"/>
    <s v="Up to 500"/>
    <s v="female "/>
    <s v=" divorced/separated/married"/>
    <x v="0"/>
    <x v="2"/>
    <n v="12"/>
    <n v="951"/>
    <n v="27"/>
    <s v="Low"/>
    <s v="Medium-Term"/>
    <s v="Review Required"/>
    <n v="951"/>
  </r>
  <r>
    <s v="Bad"/>
    <x v="0"/>
    <s v="furniture/equipment"/>
    <s v="Less 100"/>
    <s v="male "/>
    <s v=" divorced/separated"/>
    <x v="1"/>
    <x v="0"/>
    <n v="18"/>
    <n v="4297"/>
    <n v="40"/>
    <s v="Medium"/>
    <s v="Medium-Term"/>
    <s v="Review Required"/>
    <n v="4297"/>
  </r>
  <r>
    <s v="Bad"/>
    <x v="1"/>
    <s v="retraining"/>
    <s v="Less 100"/>
    <s v="male "/>
    <s v=" married/widowed"/>
    <x v="0"/>
    <x v="2"/>
    <n v="12"/>
    <n v="902"/>
    <n v="21"/>
    <s v="Low"/>
    <s v="Medium-Term"/>
    <s v="Review Required"/>
    <n v="902"/>
  </r>
  <r>
    <s v="Bad"/>
    <x v="1"/>
    <s v="business"/>
    <s v="Less 100"/>
    <s v="male "/>
    <s v=" single"/>
    <x v="0"/>
    <x v="0"/>
    <n v="27"/>
    <n v="5293"/>
    <n v="50"/>
    <s v="Hight"/>
    <s v="Medium-Term"/>
    <s v="Review Required"/>
    <n v="5293"/>
  </r>
  <r>
    <s v="Bad"/>
    <x v="2"/>
    <s v="business"/>
    <s v="Less 100"/>
    <s v="male "/>
    <s v=" single"/>
    <x v="1"/>
    <x v="0"/>
    <n v="30"/>
    <n v="1908"/>
    <n v="66"/>
    <s v="Low"/>
    <s v="Medium-Term"/>
    <s v="Review Required"/>
    <n v="1908"/>
  </r>
  <r>
    <s v="Bad"/>
    <x v="0"/>
    <s v="radio/television"/>
    <s v="More 1000"/>
    <s v="male "/>
    <s v=" single"/>
    <x v="0"/>
    <x v="0"/>
    <n v="48"/>
    <n v="10961"/>
    <n v="27"/>
    <s v="Hight"/>
    <s v="Long-Term"/>
    <s v="Review Required"/>
    <n v="10961"/>
  </r>
  <r>
    <s v="Bad"/>
    <x v="1"/>
    <s v="furniture/equipment"/>
    <s v="Less 100"/>
    <s v="male "/>
    <s v=" single"/>
    <x v="1"/>
    <x v="1"/>
    <n v="12"/>
    <n v="7865"/>
    <n v="53"/>
    <s v="Hight"/>
    <s v="Medium-Term"/>
    <s v="Review Required"/>
    <n v="7865"/>
  </r>
  <r>
    <s v="Bad"/>
    <x v="3"/>
    <s v="radio/television"/>
    <s v="Less 100"/>
    <s v="male "/>
    <s v=" single"/>
    <x v="0"/>
    <x v="0"/>
    <n v="9"/>
    <n v="1478"/>
    <n v="22"/>
    <s v="Low"/>
    <s v="Low-Term"/>
    <s v="Review Required"/>
    <n v="1478"/>
  </r>
  <r>
    <s v="Bad"/>
    <x v="2"/>
    <s v="radio/television"/>
    <s v="Less 100"/>
    <s v="male "/>
    <s v=" single"/>
    <x v="0"/>
    <x v="0"/>
    <n v="36"/>
    <n v="4210"/>
    <n v="26"/>
    <s v="Medium"/>
    <s v="Long-Term"/>
    <s v="Review Required"/>
    <n v="4210"/>
  </r>
  <r>
    <s v="Bad"/>
    <x v="1"/>
    <s v="radio/television"/>
    <s v="Less 100"/>
    <s v="male "/>
    <s v=" single"/>
    <x v="1"/>
    <x v="0"/>
    <n v="24"/>
    <n v="1823"/>
    <n v="30"/>
    <s v="Low"/>
    <s v="Medium-Term"/>
    <s v="Review Required"/>
    <n v="1823"/>
  </r>
  <r>
    <s v="Bad"/>
    <x v="0"/>
    <s v="car (new)"/>
    <s v="No information"/>
    <s v="male "/>
    <s v=" single"/>
    <x v="3"/>
    <x v="0"/>
    <n v="6"/>
    <n v="14555"/>
    <n v="23"/>
    <s v="Hight"/>
    <s v="Low-Term"/>
    <s v="Review Required"/>
    <n v="14555"/>
  </r>
  <r>
    <s v="Bad"/>
    <x v="0"/>
    <s v="business"/>
    <s v="Up to 500"/>
    <s v="male "/>
    <s v=" divorced/separated"/>
    <x v="2"/>
    <x v="2"/>
    <n v="21"/>
    <n v="2767"/>
    <n v="61"/>
    <s v="Medium"/>
    <s v="Medium-Term"/>
    <s v="Review Required"/>
    <n v="2767"/>
  </r>
  <r>
    <s v="Bad"/>
    <x v="1"/>
    <s v="car (new)"/>
    <s v="No information"/>
    <s v="female "/>
    <s v=" divorced/separated/married"/>
    <x v="0"/>
    <x v="0"/>
    <n v="24"/>
    <n v="915"/>
    <n v="29"/>
    <s v="Low"/>
    <s v="Medium-Term"/>
    <s v="Review Required"/>
    <n v="915"/>
  </r>
  <r>
    <s v="Bad"/>
    <x v="1"/>
    <s v="car (used)"/>
    <s v="Less 100"/>
    <s v="male "/>
    <s v=" single"/>
    <x v="0"/>
    <x v="1"/>
    <n v="48"/>
    <n v="4605"/>
    <n v="24"/>
    <s v="Medium"/>
    <s v="Long-Term"/>
    <s v="Review Required"/>
    <n v="4605"/>
  </r>
  <r>
    <s v="Bad"/>
    <x v="3"/>
    <s v="radio/television"/>
    <s v="Less 100"/>
    <s v="female "/>
    <s v=" divorced/separated/married"/>
    <x v="0"/>
    <x v="2"/>
    <n v="18"/>
    <n v="433"/>
    <n v="22"/>
    <s v="Low"/>
    <s v="Medium-Term"/>
    <s v="Review Required"/>
    <n v="433"/>
  </r>
  <r>
    <s v="Bad"/>
    <x v="0"/>
    <s v="car (new)"/>
    <s v="Less 100"/>
    <s v="female "/>
    <s v=" divorced/separated/married"/>
    <x v="0"/>
    <x v="0"/>
    <n v="30"/>
    <n v="2150"/>
    <n v="24"/>
    <s v="Medium"/>
    <s v="Medium-Term"/>
    <s v="Review Required"/>
    <n v="2150"/>
  </r>
  <r>
    <s v="Bad"/>
    <x v="1"/>
    <s v="radio/television"/>
    <s v="Less 100"/>
    <s v="male "/>
    <s v=" divorced/separated"/>
    <x v="0"/>
    <x v="1"/>
    <n v="12"/>
    <n v="2149"/>
    <n v="29"/>
    <s v="Medium"/>
    <s v="Medium-Term"/>
    <s v="Review Required"/>
    <n v="2149"/>
  </r>
  <r>
    <s v="Bad"/>
    <x v="0"/>
    <s v="radio/television"/>
    <s v="Less 100"/>
    <s v="male "/>
    <s v=" single"/>
    <x v="0"/>
    <x v="0"/>
    <n v="15"/>
    <n v="802"/>
    <n v="37"/>
    <s v="Low"/>
    <s v="Medium-Term"/>
    <s v="Review Required"/>
    <n v="802"/>
  </r>
  <r>
    <s v="Bad"/>
    <x v="1"/>
    <s v="car (new)"/>
    <s v="Less 100"/>
    <s v="male "/>
    <s v=" divorced/separated"/>
    <x v="1"/>
    <x v="0"/>
    <n v="14"/>
    <n v="8978"/>
    <n v="45"/>
    <s v="Hight"/>
    <s v="Medium-Term"/>
    <s v="Review Required"/>
    <n v="8978"/>
  </r>
  <r>
    <s v="Bad"/>
    <x v="0"/>
    <s v="radio/television"/>
    <s v="Less 100"/>
    <s v="male "/>
    <s v=" single"/>
    <x v="0"/>
    <x v="0"/>
    <n v="48"/>
    <n v="3060"/>
    <n v="28"/>
    <s v="Medium"/>
    <s v="Long-Term"/>
    <s v="Review Required"/>
    <n v="3060"/>
  </r>
  <r>
    <s v="Bad"/>
    <x v="1"/>
    <s v="repairs"/>
    <s v="Less 100"/>
    <s v="male "/>
    <s v=" divorced/separated"/>
    <x v="2"/>
    <x v="0"/>
    <n v="30"/>
    <n v="11998"/>
    <n v="34"/>
    <s v="Hight"/>
    <s v="Medium-Term"/>
    <s v="Review Required"/>
    <n v="11998"/>
  </r>
  <r>
    <s v="Bad"/>
    <x v="3"/>
    <s v="furniture/equipment"/>
    <s v="Less 100"/>
    <s v="female "/>
    <s v=" divorced/separated/married"/>
    <x v="0"/>
    <x v="0"/>
    <n v="6"/>
    <n v="4611"/>
    <n v="32"/>
    <s v="Medium"/>
    <s v="Low-Term"/>
    <s v="Review Required"/>
    <n v="4611"/>
  </r>
  <r>
    <s v="Bad"/>
    <x v="1"/>
    <s v="radio/television"/>
    <s v="Less 100"/>
    <s v="male "/>
    <s v=" married/widowed"/>
    <x v="0"/>
    <x v="0"/>
    <n v="24"/>
    <n v="1024"/>
    <n v="48"/>
    <s v="Low"/>
    <s v="Medium-Term"/>
    <s v="Review Required"/>
    <n v="1024"/>
  </r>
  <r>
    <s v="Bad"/>
    <x v="0"/>
    <s v="car (used)"/>
    <s v="Less 100"/>
    <s v="male "/>
    <s v=" married/widowed"/>
    <x v="1"/>
    <x v="2"/>
    <n v="36"/>
    <n v="9398"/>
    <n v="28"/>
    <s v="Hight"/>
    <s v="Long-Term"/>
    <s v="Review Required"/>
    <n v="9398"/>
  </r>
  <r>
    <s v="Bad"/>
    <x v="0"/>
    <s v="furniture/equipment"/>
    <s v="Less 100"/>
    <s v="female "/>
    <s v=" divorced/separated/married"/>
    <x v="0"/>
    <x v="0"/>
    <n v="48"/>
    <n v="9960"/>
    <n v="26"/>
    <s v="Hight"/>
    <s v="Long-Term"/>
    <s v="Review Required"/>
    <n v="9960"/>
  </r>
  <r>
    <s v="Bad"/>
    <x v="0"/>
    <s v="radio/television"/>
    <s v="Less 100"/>
    <s v="female "/>
    <s v=" divorced/separated/married"/>
    <x v="0"/>
    <x v="0"/>
    <n v="36"/>
    <n v="3804"/>
    <n v="42"/>
    <s v="Medium"/>
    <s v="Long-Term"/>
    <s v="Review Required"/>
    <n v="3804"/>
  </r>
  <r>
    <s v="Bad"/>
    <x v="2"/>
    <s v="car (new)"/>
    <s v="No information"/>
    <s v="male "/>
    <s v=" single"/>
    <x v="2"/>
    <x v="0"/>
    <n v="24"/>
    <n v="1344"/>
    <n v="37"/>
    <s v="Low"/>
    <s v="Medium-Term"/>
    <s v="Review Required"/>
    <n v="1344"/>
  </r>
  <r>
    <s v="Bad"/>
    <x v="3"/>
    <s v="car (new)"/>
    <s v="Up to 1000"/>
    <s v="male "/>
    <s v=" single"/>
    <x v="0"/>
    <x v="1"/>
    <n v="48"/>
    <n v="10127"/>
    <n v="44"/>
    <s v="Hight"/>
    <s v="Long-Term"/>
    <s v="Review Required"/>
    <n v="10127"/>
  </r>
  <r>
    <s v="Bad"/>
    <x v="1"/>
    <s v="radio/television"/>
    <s v="Up to 500"/>
    <s v="male "/>
    <s v=" married/widowed"/>
    <x v="2"/>
    <x v="0"/>
    <n v="12"/>
    <n v="727"/>
    <n v="33"/>
    <s v="Low"/>
    <s v="Medium-Term"/>
    <s v="Review Required"/>
    <n v="727"/>
  </r>
  <r>
    <s v="Bad"/>
    <x v="0"/>
    <s v="furniture/equipment"/>
    <s v="Less 100"/>
    <s v="female "/>
    <s v=" divorced/separated/married"/>
    <x v="0"/>
    <x v="0"/>
    <n v="8"/>
    <n v="1237"/>
    <n v="24"/>
    <s v="Low"/>
    <s v="Low-Term"/>
    <s v="Review Required"/>
    <n v="1237"/>
  </r>
  <r>
    <s v="Bad"/>
    <x v="0"/>
    <s v="car (new)"/>
    <s v="Less 100"/>
    <s v="male "/>
    <s v=" married/widowed"/>
    <x v="2"/>
    <x v="0"/>
    <n v="12"/>
    <n v="685"/>
    <n v="25"/>
    <s v="Low"/>
    <s v="Medium-Term"/>
    <s v="Review Required"/>
    <n v="685"/>
  </r>
  <r>
    <s v="Bad"/>
    <x v="1"/>
    <s v="furniture/equipment"/>
    <s v="Less 100"/>
    <s v="male "/>
    <s v=" single"/>
    <x v="0"/>
    <x v="0"/>
    <n v="36"/>
    <n v="2746"/>
    <n v="31"/>
    <s v="Medium"/>
    <s v="Long-Term"/>
    <s v="Review Required"/>
    <n v="2746"/>
  </r>
  <r>
    <s v="Bad"/>
    <x v="0"/>
    <s v="car (new)"/>
    <s v="Less 100"/>
    <s v="male "/>
    <s v=" married/widowed"/>
    <x v="1"/>
    <x v="0"/>
    <n v="30"/>
    <n v="4249"/>
    <n v="28"/>
    <s v="Medium"/>
    <s v="Medium-Term"/>
    <s v="Review Required"/>
    <n v="4249"/>
  </r>
  <r>
    <s v="Bad"/>
    <x v="1"/>
    <s v="radio/television"/>
    <s v="Less 100"/>
    <s v="male "/>
    <s v=" divorced/separated"/>
    <x v="0"/>
    <x v="0"/>
    <n v="24"/>
    <n v="1938"/>
    <n v="32"/>
    <s v="Low"/>
    <s v="Medium-Term"/>
    <s v="Review Required"/>
    <n v="1938"/>
  </r>
  <r>
    <s v="Bad"/>
    <x v="3"/>
    <s v="education"/>
    <s v="Up to 500"/>
    <s v="female "/>
    <s v=" divorced/separated/married"/>
    <x v="0"/>
    <x v="0"/>
    <n v="18"/>
    <n v="1864"/>
    <n v="30"/>
    <s v="Low"/>
    <s v="Medium-Term"/>
    <s v="Review Required"/>
    <n v="1864"/>
  </r>
  <r>
    <s v="Bad"/>
    <x v="0"/>
    <s v="car (new)"/>
    <s v="Up to 500"/>
    <s v="female "/>
    <s v=" divorced/separated/married"/>
    <x v="1"/>
    <x v="0"/>
    <n v="60"/>
    <n v="7408"/>
    <n v="24"/>
    <s v="Hight"/>
    <s v="Long-Term"/>
    <s v="Review Required"/>
    <n v="7408"/>
  </r>
  <r>
    <s v="Bad"/>
    <x v="3"/>
    <s v="car (used)"/>
    <s v="Up to 500"/>
    <s v="female "/>
    <s v=" divorced/separated/married"/>
    <x v="2"/>
    <x v="2"/>
    <n v="48"/>
    <n v="11590"/>
    <n v="24"/>
    <s v="Hight"/>
    <s v="Long-Term"/>
    <s v="Review Required"/>
    <n v="11590"/>
  </r>
  <r>
    <s v="Bad"/>
    <x v="1"/>
    <s v="furniture/equipment"/>
    <s v="Less 100"/>
    <s v="male "/>
    <s v=" single"/>
    <x v="0"/>
    <x v="2"/>
    <n v="24"/>
    <n v="4110"/>
    <n v="23"/>
    <s v="Medium"/>
    <s v="Medium-Term"/>
    <s v="Review Required"/>
    <n v="4110"/>
  </r>
  <r>
    <s v="Bad"/>
    <x v="1"/>
    <s v="furniture/equipment"/>
    <s v="Less 100"/>
    <s v="male "/>
    <s v=" divorced/separated"/>
    <x v="1"/>
    <x v="2"/>
    <n v="6"/>
    <n v="3384"/>
    <n v="44"/>
    <s v="Medium"/>
    <s v="Low-Term"/>
    <s v="Review Required"/>
    <n v="3384"/>
  </r>
  <r>
    <s v="Bad"/>
    <x v="1"/>
    <s v="domestic appliances"/>
    <s v="No information"/>
    <s v="female "/>
    <s v=" divorced/separated/married"/>
    <x v="0"/>
    <x v="2"/>
    <n v="15"/>
    <n v="1275"/>
    <n v="24"/>
    <s v="Low"/>
    <s v="Medium-Term"/>
    <s v="Review Required"/>
    <n v="1275"/>
  </r>
  <r>
    <s v="Bad"/>
    <x v="0"/>
    <s v="education"/>
    <s v="More 1000"/>
    <s v="male "/>
    <s v=" single"/>
    <x v="0"/>
    <x v="1"/>
    <n v="9"/>
    <n v="1136"/>
    <n v="32"/>
    <s v="Low"/>
    <s v="Low-Term"/>
    <s v="Review Required"/>
    <n v="1136"/>
  </r>
  <r>
    <s v="Bad"/>
    <x v="0"/>
    <s v="furniture/equipment"/>
    <s v="Less 100"/>
    <s v="female "/>
    <s v=" divorced/separated/married"/>
    <x v="0"/>
    <x v="0"/>
    <n v="9"/>
    <n v="959"/>
    <n v="29"/>
    <s v="Low"/>
    <s v="Low-Term"/>
    <s v="Review Required"/>
    <n v="959"/>
  </r>
  <r>
    <s v="Bad"/>
    <x v="1"/>
    <s v="radio/television"/>
    <s v="Less 100"/>
    <s v="male "/>
    <s v=" single"/>
    <x v="0"/>
    <x v="2"/>
    <n v="12"/>
    <n v="6199"/>
    <n v="28"/>
    <s v="Hight"/>
    <s v="Medium-Term"/>
    <s v="Review Required"/>
    <n v="6199"/>
  </r>
  <r>
    <s v="Bad"/>
    <x v="0"/>
    <s v="car (new)"/>
    <s v="Less 100"/>
    <s v="male "/>
    <s v=" single"/>
    <x v="2"/>
    <x v="0"/>
    <n v="24"/>
    <n v="1246"/>
    <n v="23"/>
    <s v="Low"/>
    <s v="Medium-Term"/>
    <s v="Review Required"/>
    <n v="1246"/>
  </r>
  <r>
    <s v="Bad"/>
    <x v="3"/>
    <s v="radio/television"/>
    <s v="Less 100"/>
    <s v="male "/>
    <s v=" single"/>
    <x v="1"/>
    <x v="0"/>
    <n v="36"/>
    <n v="4463"/>
    <n v="26"/>
    <s v="Medium"/>
    <s v="Long-Term"/>
    <s v="Review Required"/>
    <n v="4463"/>
  </r>
  <r>
    <s v="Bad"/>
    <x v="1"/>
    <s v="furniture/equipment"/>
    <s v="Less 100"/>
    <s v="female "/>
    <s v=" divorced/separated/married"/>
    <x v="0"/>
    <x v="2"/>
    <n v="30"/>
    <n v="2406"/>
    <n v="23"/>
    <s v="Medium"/>
    <s v="Medium-Term"/>
    <s v="Review Required"/>
    <n v="2406"/>
  </r>
  <r>
    <s v="Bad"/>
    <x v="1"/>
    <s v="furniture/equipment"/>
    <s v="Less 100"/>
    <s v="male "/>
    <s v=" single"/>
    <x v="3"/>
    <x v="0"/>
    <n v="18"/>
    <n v="2473"/>
    <n v="25"/>
    <s v="Medium"/>
    <s v="Medium-Term"/>
    <s v="Review Required"/>
    <n v="2473"/>
  </r>
  <r>
    <s v="Bad"/>
    <x v="1"/>
    <s v="furniture/equipment"/>
    <s v="Less 100"/>
    <s v="male "/>
    <s v=" single"/>
    <x v="0"/>
    <x v="0"/>
    <n v="36"/>
    <n v="3446"/>
    <n v="42"/>
    <s v="Medium"/>
    <s v="Long-Term"/>
    <s v="Review Required"/>
    <n v="3446"/>
  </r>
  <r>
    <s v="Bad"/>
    <x v="0"/>
    <s v="others"/>
    <s v="Up to 500"/>
    <s v="female "/>
    <s v=" divorced/separated/married"/>
    <x v="1"/>
    <x v="1"/>
    <n v="60"/>
    <n v="14782"/>
    <n v="60"/>
    <s v="Hight"/>
    <s v="Long-Term"/>
    <s v="Review Required"/>
    <n v="14782"/>
  </r>
  <r>
    <s v="Bad"/>
    <x v="1"/>
    <s v="business"/>
    <s v="Less 100"/>
    <s v="female "/>
    <s v=" divorced/separated/married"/>
    <x v="0"/>
    <x v="2"/>
    <n v="48"/>
    <n v="7685"/>
    <n v="37"/>
    <s v="Hight"/>
    <s v="Long-Term"/>
    <s v="Review Required"/>
    <n v="7685"/>
  </r>
  <r>
    <s v="Bad"/>
    <x v="0"/>
    <s v="car (new)"/>
    <s v="Less 100"/>
    <s v="male "/>
    <s v=" single"/>
    <x v="1"/>
    <x v="1"/>
    <n v="36"/>
    <n v="14318"/>
    <n v="57"/>
    <s v="Hight"/>
    <s v="Long-Term"/>
    <s v="Review Required"/>
    <n v="14318"/>
  </r>
  <r>
    <s v="Bad"/>
    <x v="0"/>
    <s v="car (used)"/>
    <s v="Less 100"/>
    <s v="female "/>
    <s v=" divorced/separated/married"/>
    <x v="1"/>
    <x v="1"/>
    <n v="18"/>
    <n v="12976"/>
    <n v="38"/>
    <s v="Hight"/>
    <s v="Medium-Term"/>
    <s v="Review Required"/>
    <n v="12976"/>
  </r>
  <r>
    <s v="Bad"/>
    <x v="0"/>
    <s v="car (new)"/>
    <s v="Less 100"/>
    <s v="male "/>
    <s v=" divorced/separated"/>
    <x v="0"/>
    <x v="2"/>
    <n v="12"/>
    <n v="1223"/>
    <n v="46"/>
    <s v="Low"/>
    <s v="Medium-Term"/>
    <s v="Review Required"/>
    <n v="1223"/>
  </r>
  <r>
    <s v="Bad"/>
    <x v="3"/>
    <s v="business"/>
    <s v="Less 100"/>
    <s v="male "/>
    <s v=" single"/>
    <x v="0"/>
    <x v="0"/>
    <n v="24"/>
    <n v="8648"/>
    <n v="27"/>
    <s v="Hight"/>
    <s v="Medium-Term"/>
    <s v="Review Required"/>
    <n v="8648"/>
  </r>
  <r>
    <s v="Bad"/>
    <x v="0"/>
    <s v="radio/television"/>
    <s v="Less 100"/>
    <s v="male "/>
    <s v=" married/widowed"/>
    <x v="0"/>
    <x v="0"/>
    <n v="24"/>
    <n v="2039"/>
    <n v="22"/>
    <s v="Medium"/>
    <s v="Medium-Term"/>
    <s v="Review Required"/>
    <n v="2039"/>
  </r>
  <r>
    <s v="Bad"/>
    <x v="2"/>
    <s v="car (new)"/>
    <s v="Up to 1000"/>
    <s v="male "/>
    <s v=" married/widowed"/>
    <x v="0"/>
    <x v="0"/>
    <n v="12"/>
    <n v="939"/>
    <n v="28"/>
    <s v="Low"/>
    <s v="Medium-Term"/>
    <s v="Review Required"/>
    <n v="939"/>
  </r>
  <r>
    <s v="Bad"/>
    <x v="3"/>
    <s v="business"/>
    <s v="Less 100"/>
    <s v="male "/>
    <s v=" single"/>
    <x v="1"/>
    <x v="0"/>
    <n v="12"/>
    <n v="2292"/>
    <n v="42"/>
    <s v="Medium"/>
    <s v="Medium-Term"/>
    <s v="Review Required"/>
    <n v="2292"/>
  </r>
  <r>
    <s v="Bad"/>
    <x v="1"/>
    <s v="car (new)"/>
    <s v="No information"/>
    <s v="female "/>
    <s v=" divorced/separated/married"/>
    <x v="0"/>
    <x v="0"/>
    <n v="24"/>
    <n v="1381"/>
    <n v="35"/>
    <s v="Low"/>
    <s v="Medium-Term"/>
    <s v="Review Required"/>
    <n v="1381"/>
  </r>
  <r>
    <s v="Bad"/>
    <x v="1"/>
    <s v="car (new)"/>
    <s v="Less 100"/>
    <s v="male "/>
    <s v=" single"/>
    <x v="2"/>
    <x v="0"/>
    <n v="12"/>
    <n v="2579"/>
    <n v="33"/>
    <s v="Medium"/>
    <s v="Medium-Term"/>
    <s v="Review Required"/>
    <n v="2579"/>
  </r>
  <r>
    <s v="Bad"/>
    <x v="0"/>
    <s v="car (new)"/>
    <s v="No information"/>
    <s v="female "/>
    <s v=" divorced/separated/married"/>
    <x v="0"/>
    <x v="0"/>
    <n v="18"/>
    <n v="1042"/>
    <n v="33"/>
    <s v="Low"/>
    <s v="Medium-Term"/>
    <s v="Review Required"/>
    <n v="1042"/>
  </r>
  <r>
    <s v="Bad"/>
    <x v="0"/>
    <s v="furniture/equipment"/>
    <s v="No information"/>
    <s v="female "/>
    <s v=" divorced/separated/married"/>
    <x v="0"/>
    <x v="0"/>
    <n v="12"/>
    <n v="2762"/>
    <n v="25"/>
    <s v="Medium"/>
    <s v="Medium-Term"/>
    <s v="Review Required"/>
    <n v="2762"/>
  </r>
  <r>
    <s v="Bad"/>
    <x v="1"/>
    <s v="repairs"/>
    <s v="Less 100"/>
    <s v="female "/>
    <s v=" divorced/separated/married"/>
    <x v="3"/>
    <x v="1"/>
    <n v="18"/>
    <n v="1190"/>
    <n v="55"/>
    <s v="Low"/>
    <s v="Medium-Term"/>
    <s v="Review Required"/>
    <n v="1190"/>
  </r>
  <r>
    <s v="Bad"/>
    <x v="0"/>
    <s v="others"/>
    <s v="Less 100"/>
    <s v="male "/>
    <s v=" single"/>
    <x v="1"/>
    <x v="0"/>
    <n v="24"/>
    <n v="11328"/>
    <n v="29"/>
    <s v="Hight"/>
    <s v="Medium-Term"/>
    <s v="Review Required"/>
    <n v="11328"/>
  </r>
  <r>
    <s v="Bad"/>
    <x v="0"/>
    <s v="radio/television"/>
    <s v="No information"/>
    <s v="male "/>
    <s v=" married/widowed"/>
    <x v="0"/>
    <x v="0"/>
    <n v="12"/>
    <n v="1484"/>
    <n v="25"/>
    <s v="Low"/>
    <s v="Medium-Term"/>
    <s v="Review Required"/>
    <n v="1484"/>
  </r>
  <r>
    <s v="Bad"/>
    <x v="2"/>
    <s v="business"/>
    <s v="Less 100"/>
    <s v="female "/>
    <s v=" divorced/separated/married"/>
    <x v="3"/>
    <x v="0"/>
    <n v="12"/>
    <n v="609"/>
    <n v="26"/>
    <s v="Low"/>
    <s v="Medium-Term"/>
    <s v="Review Required"/>
    <n v="609"/>
  </r>
  <r>
    <s v="Bad"/>
    <x v="3"/>
    <s v="education"/>
    <s v="Less 100"/>
    <s v="male "/>
    <s v=" single"/>
    <x v="2"/>
    <x v="0"/>
    <n v="12"/>
    <n v="719"/>
    <n v="41"/>
    <s v="Low"/>
    <s v="Medium-Term"/>
    <s v="Review Required"/>
    <n v="719"/>
  </r>
  <r>
    <s v="Bad"/>
    <x v="0"/>
    <s v="furniture/equipment"/>
    <s v="Less 100"/>
    <s v="female "/>
    <s v=" divorced/separated/married"/>
    <x v="1"/>
    <x v="0"/>
    <n v="48"/>
    <n v="5096"/>
    <n v="30"/>
    <s v="Hight"/>
    <s v="Long-Term"/>
    <s v="Review Required"/>
    <n v="5096"/>
  </r>
  <r>
    <s v="Bad"/>
    <x v="1"/>
    <s v="car (new)"/>
    <s v="Less 100"/>
    <s v="female "/>
    <s v=" divorced/separated/married"/>
    <x v="0"/>
    <x v="0"/>
    <n v="36"/>
    <n v="1842"/>
    <n v="34"/>
    <s v="Low"/>
    <s v="Long-Term"/>
    <s v="Review Required"/>
    <n v="1842"/>
  </r>
  <r>
    <s v="Bad"/>
    <x v="0"/>
    <s v="repairs"/>
    <s v="More 1000"/>
    <s v="male "/>
    <s v=" married/widowed"/>
    <x v="0"/>
    <x v="0"/>
    <n v="15"/>
    <n v="1512"/>
    <n v="61"/>
    <s v="Low"/>
    <s v="Medium-Term"/>
    <s v="Review Required"/>
    <n v="1512"/>
  </r>
  <r>
    <s v="Bad"/>
    <x v="1"/>
    <s v="car (new)"/>
    <s v="Less 100"/>
    <s v="male "/>
    <s v=" single"/>
    <x v="0"/>
    <x v="0"/>
    <n v="24"/>
    <n v="4817"/>
    <n v="31"/>
    <s v="Medium"/>
    <s v="Medium-Term"/>
    <s v="Review Required"/>
    <n v="4817"/>
  </r>
  <r>
    <s v="Bad"/>
    <x v="1"/>
    <s v="car (used)"/>
    <s v="Less 100"/>
    <s v="male "/>
    <s v=" single"/>
    <x v="0"/>
    <x v="1"/>
    <n v="12"/>
    <n v="3386"/>
    <n v="35"/>
    <s v="Medium"/>
    <s v="Medium-Term"/>
    <s v="Review Required"/>
    <n v="3386"/>
  </r>
  <r>
    <s v="Bad"/>
    <x v="1"/>
    <s v="radio/television"/>
    <s v="Less 100"/>
    <s v="female "/>
    <s v=" divorced/separated/married"/>
    <x v="2"/>
    <x v="2"/>
    <n v="24"/>
    <n v="1659"/>
    <n v="29"/>
    <s v="Low"/>
    <s v="Medium-Term"/>
    <s v="Review Required"/>
    <n v="1659"/>
  </r>
  <r>
    <s v="Bad"/>
    <x v="0"/>
    <s v="radio/television"/>
    <s v="Up to 500"/>
    <s v="male "/>
    <s v=" married/widowed"/>
    <x v="0"/>
    <x v="2"/>
    <n v="24"/>
    <n v="3092"/>
    <n v="22"/>
    <s v="Medium"/>
    <s v="Medium-Term"/>
    <s v="Review Required"/>
    <n v="3092"/>
  </r>
  <r>
    <s v="Bad"/>
    <x v="1"/>
    <s v="education"/>
    <s v="Less 100"/>
    <s v="female "/>
    <s v=" divorced/separated/married"/>
    <x v="0"/>
    <x v="0"/>
    <n v="6"/>
    <n v="448"/>
    <n v="23"/>
    <s v="Low"/>
    <s v="Low-Term"/>
    <s v="Review Required"/>
    <n v="448"/>
  </r>
  <r>
    <s v="Bad"/>
    <x v="1"/>
    <s v="car (new)"/>
    <s v="Less 100"/>
    <s v="male "/>
    <s v=" single"/>
    <x v="2"/>
    <x v="0"/>
    <n v="9"/>
    <n v="654"/>
    <n v="28"/>
    <s v="Low"/>
    <s v="Low-Term"/>
    <s v="Review Required"/>
    <n v="654"/>
  </r>
  <r>
    <s v="Bad"/>
    <x v="0"/>
    <s v="radio/television"/>
    <s v="Less 100"/>
    <s v="male "/>
    <s v=" married/widowed"/>
    <x v="0"/>
    <x v="0"/>
    <n v="18"/>
    <n v="1245"/>
    <n v="33"/>
    <s v="Low"/>
    <s v="Medium-Term"/>
    <s v="Review Required"/>
    <n v="1245"/>
  </r>
  <r>
    <s v="Bad"/>
    <x v="1"/>
    <s v="furniture/equipment"/>
    <s v="Less 100"/>
    <s v="female "/>
    <s v=" divorced/separated/married"/>
    <x v="0"/>
    <x v="2"/>
    <n v="18"/>
    <n v="3114"/>
    <n v="26"/>
    <s v="Medium"/>
    <s v="Medium-Term"/>
    <s v="Review Required"/>
    <n v="3114"/>
  </r>
  <r>
    <s v="Bad"/>
    <x v="0"/>
    <s v="car (new)"/>
    <s v="Less 100"/>
    <s v="male "/>
    <s v=" single"/>
    <x v="1"/>
    <x v="0"/>
    <n v="6"/>
    <n v="1209"/>
    <n v="47"/>
    <s v="Low"/>
    <s v="Low-Term"/>
    <s v="Review Required"/>
    <n v="1209"/>
  </r>
  <r>
    <s v="Bad"/>
    <x v="0"/>
    <s v="business"/>
    <s v="Less 100"/>
    <s v="female "/>
    <s v=" divorced/separated/married"/>
    <x v="1"/>
    <x v="1"/>
    <n v="27"/>
    <n v="8318"/>
    <n v="42"/>
    <s v="Hight"/>
    <s v="Medium-Term"/>
    <s v="Review Required"/>
    <n v="8318"/>
  </r>
  <r>
    <s v="Bad"/>
    <x v="1"/>
    <s v="furniture/equipment"/>
    <s v="No information"/>
    <s v="male "/>
    <s v=" married/widowed"/>
    <x v="0"/>
    <x v="0"/>
    <n v="24"/>
    <n v="2996"/>
    <n v="20"/>
    <s v="Medium"/>
    <s v="Medium-Term"/>
    <s v="Review Required"/>
    <n v="2996"/>
  </r>
  <r>
    <s v="Bad"/>
    <x v="0"/>
    <s v="furniture/equipment"/>
    <s v="Up to 500"/>
    <s v="male "/>
    <s v=" single"/>
    <x v="1"/>
    <x v="2"/>
    <n v="36"/>
    <n v="9034"/>
    <n v="29"/>
    <s v="Hight"/>
    <s v="Long-Term"/>
    <s v="Review Required"/>
    <n v="9034"/>
  </r>
  <r>
    <s v="Bad"/>
    <x v="1"/>
    <s v="car (new)"/>
    <s v="Less 100"/>
    <s v="female "/>
    <s v=" divorced/separated/married"/>
    <x v="0"/>
    <x v="0"/>
    <n v="24"/>
    <n v="3123"/>
    <n v="27"/>
    <s v="Medium"/>
    <s v="Medium-Term"/>
    <s v="Review Required"/>
    <n v="3123"/>
  </r>
  <r>
    <s v="Bad"/>
    <x v="0"/>
    <s v="radio/television"/>
    <s v="Up to 500"/>
    <s v="male "/>
    <s v=" single"/>
    <x v="0"/>
    <x v="0"/>
    <n v="24"/>
    <n v="1216"/>
    <n v="38"/>
    <s v="Low"/>
    <s v="Medium-Term"/>
    <s v="Review Required"/>
    <n v="1216"/>
  </r>
  <r>
    <s v="Bad"/>
    <x v="1"/>
    <s v="car (new)"/>
    <s v="Less 100"/>
    <s v="female "/>
    <s v=" divorced/separated/married"/>
    <x v="0"/>
    <x v="2"/>
    <n v="24"/>
    <n v="1207"/>
    <n v="24"/>
    <s v="Low"/>
    <s v="Medium-Term"/>
    <s v="Review Required"/>
    <n v="1207"/>
  </r>
  <r>
    <s v="Bad"/>
    <x v="3"/>
    <s v="car (new)"/>
    <s v="No information"/>
    <s v="male "/>
    <s v=" single"/>
    <x v="2"/>
    <x v="0"/>
    <n v="10"/>
    <n v="1309"/>
    <n v="27"/>
    <s v="Low"/>
    <s v="Low-Term"/>
    <s v="Review Required"/>
    <n v="1309"/>
  </r>
  <r>
    <s v="Bad"/>
    <x v="0"/>
    <s v="car (new)"/>
    <s v="Up to 500"/>
    <s v="male "/>
    <s v=" single"/>
    <x v="1"/>
    <x v="0"/>
    <n v="15"/>
    <n v="6850"/>
    <n v="34"/>
    <s v="Hight"/>
    <s v="Medium-Term"/>
    <s v="Review Required"/>
    <n v="6850"/>
  </r>
  <r>
    <s v="Bad"/>
    <x v="1"/>
    <s v="car (new)"/>
    <s v="Less 100"/>
    <s v="male "/>
    <s v=" single"/>
    <x v="0"/>
    <x v="0"/>
    <n v="12"/>
    <n v="759"/>
    <n v="26"/>
    <s v="Low"/>
    <s v="Medium-Term"/>
    <s v="Review Required"/>
    <n v="759"/>
  </r>
  <r>
    <s v="Bad"/>
    <x v="3"/>
    <s v="furniture/equipment"/>
    <s v="Less 100"/>
    <s v="female "/>
    <s v=" divorced/separated/married"/>
    <x v="0"/>
    <x v="2"/>
    <n v="36"/>
    <n v="7127"/>
    <n v="23"/>
    <s v="Hight"/>
    <s v="Long-Term"/>
    <s v="Review Required"/>
    <n v="7127"/>
  </r>
  <r>
    <s v="Bad"/>
    <x v="1"/>
    <s v="radio/television"/>
    <s v="Less 100"/>
    <s v="female "/>
    <s v=" divorced/separated/married"/>
    <x v="0"/>
    <x v="0"/>
    <n v="18"/>
    <n v="3190"/>
    <n v="24"/>
    <s v="Medium"/>
    <s v="Medium-Term"/>
    <s v="Review Required"/>
    <n v="3190"/>
  </r>
  <r>
    <s v="Bad"/>
    <x v="1"/>
    <s v="furniture/equipment"/>
    <s v="Less 100"/>
    <s v="male "/>
    <s v=" single"/>
    <x v="0"/>
    <x v="1"/>
    <n v="48"/>
    <n v="7119"/>
    <n v="53"/>
    <s v="Hight"/>
    <s v="Long-Term"/>
    <s v="Review Required"/>
    <n v="7119"/>
  </r>
  <r>
    <s v="Bad"/>
    <x v="1"/>
    <s v="radio/television"/>
    <s v="Less 100"/>
    <s v="male "/>
    <s v=" divorced/separated"/>
    <x v="0"/>
    <x v="2"/>
    <n v="36"/>
    <n v="2302"/>
    <n v="31"/>
    <s v="Medium"/>
    <s v="Long-Term"/>
    <s v="Review Required"/>
    <n v="2302"/>
  </r>
  <r>
    <s v="Bad"/>
    <x v="0"/>
    <s v="car (new)"/>
    <s v="Up to 500"/>
    <s v="female "/>
    <s v=" divorced/separated/married"/>
    <x v="0"/>
    <x v="2"/>
    <n v="15"/>
    <n v="2631"/>
    <n v="28"/>
    <s v="Medium"/>
    <s v="Medium-Term"/>
    <s v="Review Required"/>
    <n v="2631"/>
  </r>
  <r>
    <s v="Bad"/>
    <x v="2"/>
    <s v="education"/>
    <s v="Less 100"/>
    <s v="male "/>
    <s v=" divorced/separated"/>
    <x v="0"/>
    <x v="2"/>
    <n v="21"/>
    <n v="2319"/>
    <n v="33"/>
    <s v="Medium"/>
    <s v="Medium-Term"/>
    <s v="Review Required"/>
    <n v="2319"/>
  </r>
  <r>
    <s v="Bad"/>
    <x v="1"/>
    <s v="car (new)"/>
    <s v="Less 100"/>
    <s v="male "/>
    <s v=" single"/>
    <x v="1"/>
    <x v="1"/>
    <n v="48"/>
    <n v="7763"/>
    <n v="42"/>
    <s v="Hight"/>
    <s v="Long-Term"/>
    <s v="Review Required"/>
    <n v="7763"/>
  </r>
  <r>
    <s v="Bad"/>
    <x v="0"/>
    <s v="radio/television"/>
    <s v="Less 100"/>
    <s v="male "/>
    <s v=" married/widowed"/>
    <x v="0"/>
    <x v="2"/>
    <n v="12"/>
    <n v="1534"/>
    <n v="23"/>
    <s v="Low"/>
    <s v="Medium-Term"/>
    <s v="Review Required"/>
    <n v="1534"/>
  </r>
  <r>
    <s v="Bad"/>
    <x v="1"/>
    <s v="furniture/equipment"/>
    <s v="No information"/>
    <s v="male "/>
    <s v=" single"/>
    <x v="0"/>
    <x v="0"/>
    <n v="30"/>
    <n v="6350"/>
    <n v="31"/>
    <s v="Hight"/>
    <s v="Medium-Term"/>
    <s v="Review Required"/>
    <n v="6350"/>
  </r>
  <r>
    <s v="Bad"/>
    <x v="2"/>
    <s v="furniture/equipment"/>
    <s v="Less 100"/>
    <s v="male "/>
    <s v=" single"/>
    <x v="2"/>
    <x v="0"/>
    <n v="18"/>
    <n v="2864"/>
    <n v="34"/>
    <s v="Medium"/>
    <s v="Medium-Term"/>
    <s v="Review Required"/>
    <n v="2864"/>
  </r>
  <r>
    <s v="Bad"/>
    <x v="1"/>
    <s v="car (new)"/>
    <s v="Less 100"/>
    <s v="male "/>
    <s v=" single"/>
    <x v="0"/>
    <x v="1"/>
    <n v="24"/>
    <n v="1333"/>
    <n v="43"/>
    <s v="Low"/>
    <s v="Medium-Term"/>
    <s v="Review Required"/>
    <n v="1333"/>
  </r>
  <r>
    <s v="Bad"/>
    <x v="1"/>
    <s v="radio/television"/>
    <s v="Less 100"/>
    <s v="female "/>
    <s v=" divorced/separated/married"/>
    <x v="2"/>
    <x v="0"/>
    <n v="12"/>
    <n v="626"/>
    <n v="24"/>
    <s v="Low"/>
    <s v="Medium-Term"/>
    <s v="Review Required"/>
    <n v="626"/>
  </r>
  <r>
    <s v="Bad"/>
    <x v="1"/>
    <s v="radio/television"/>
    <s v="Less 100"/>
    <s v="male "/>
    <s v=" married/widowed"/>
    <x v="0"/>
    <x v="0"/>
    <n v="48"/>
    <n v="6999"/>
    <n v="34"/>
    <s v="Hight"/>
    <s v="Long-Term"/>
    <s v="Review Required"/>
    <n v="6999"/>
  </r>
  <r>
    <s v="Bad"/>
    <x v="0"/>
    <s v="radio/television"/>
    <s v="Less 100"/>
    <s v="male "/>
    <s v=" single"/>
    <x v="0"/>
    <x v="0"/>
    <n v="12"/>
    <n v="1331"/>
    <n v="22"/>
    <s v="Low"/>
    <s v="Medium-Term"/>
    <s v="Review Required"/>
    <n v="1331"/>
  </r>
  <r>
    <s v="Bad"/>
    <x v="0"/>
    <s v="car (new)"/>
    <s v="Up to 500"/>
    <s v="female "/>
    <s v=" divorced/separated/married"/>
    <x v="0"/>
    <x v="0"/>
    <n v="18"/>
    <n v="2278"/>
    <n v="28"/>
    <s v="Medium"/>
    <s v="Medium-Term"/>
    <s v="Review Required"/>
    <n v="2278"/>
  </r>
  <r>
    <s v="Bad"/>
    <x v="3"/>
    <s v="car (new)"/>
    <s v="No information"/>
    <s v="female "/>
    <s v=" divorced/separated/married"/>
    <x v="0"/>
    <x v="0"/>
    <n v="21"/>
    <n v="5003"/>
    <n v="29"/>
    <s v="Hight"/>
    <s v="Medium-Term"/>
    <s v="Review Required"/>
    <n v="5003"/>
  </r>
  <r>
    <s v="Bad"/>
    <x v="1"/>
    <s v="furniture/equipment"/>
    <s v="Less 100"/>
    <s v="male "/>
    <s v=" single"/>
    <x v="0"/>
    <x v="0"/>
    <n v="24"/>
    <n v="3552"/>
    <n v="27"/>
    <s v="Medium"/>
    <s v="Medium-Term"/>
    <s v="Review Required"/>
    <n v="3552"/>
  </r>
  <r>
    <s v="Bad"/>
    <x v="0"/>
    <s v="furniture/equipment"/>
    <s v="Less 100"/>
    <s v="male "/>
    <s v=" single"/>
    <x v="2"/>
    <x v="0"/>
    <n v="18"/>
    <n v="1928"/>
    <n v="31"/>
    <s v="Low"/>
    <s v="Medium-Term"/>
    <s v="Review Required"/>
    <n v="1928"/>
  </r>
  <r>
    <s v="Bad"/>
    <x v="1"/>
    <s v="radio/television"/>
    <s v="Less 100"/>
    <s v="male "/>
    <s v=" single"/>
    <x v="2"/>
    <x v="2"/>
    <n v="24"/>
    <n v="1546"/>
    <n v="24"/>
    <s v="Low"/>
    <s v="Medium-Term"/>
    <s v="Review Required"/>
    <n v="1546"/>
  </r>
  <r>
    <s v="Bad"/>
    <x v="0"/>
    <s v="car (new)"/>
    <s v="No information"/>
    <s v="male "/>
    <s v=" single"/>
    <x v="0"/>
    <x v="1"/>
    <n v="36"/>
    <n v="12389"/>
    <n v="37"/>
    <s v="Hight"/>
    <s v="Long-Term"/>
    <s v="Review Required"/>
    <n v="12389"/>
  </r>
  <r>
    <s v="Bad"/>
    <x v="1"/>
    <s v="car (new)"/>
    <s v="Less 100"/>
    <s v="male "/>
    <s v=" divorced/separated"/>
    <x v="0"/>
    <x v="0"/>
    <n v="12"/>
    <n v="1372"/>
    <n v="36"/>
    <s v="Low"/>
    <s v="Medium-Term"/>
    <s v="Review Required"/>
    <n v="1372"/>
  </r>
  <r>
    <s v="Bad"/>
    <x v="1"/>
    <s v="radio/television"/>
    <s v="Less 100"/>
    <s v="female "/>
    <s v=" divorced/separated/married"/>
    <x v="0"/>
    <x v="0"/>
    <n v="48"/>
    <n v="6758"/>
    <n v="31"/>
    <s v="Hight"/>
    <s v="Long-Term"/>
    <s v="Review Required"/>
    <n v="6758"/>
  </r>
  <r>
    <s v="Bad"/>
    <x v="1"/>
    <s v="furniture/equipment"/>
    <s v="Less 100"/>
    <s v="female "/>
    <s v=" divorced/separated/married"/>
    <x v="2"/>
    <x v="2"/>
    <n v="24"/>
    <n v="3234"/>
    <n v="23"/>
    <s v="Medium"/>
    <s v="Medium-Term"/>
    <s v="Review Required"/>
    <n v="3234"/>
  </r>
  <r>
    <s v="Bad"/>
    <x v="0"/>
    <s v="car (new)"/>
    <s v="Less 100"/>
    <s v="male "/>
    <s v=" divorced/separated"/>
    <x v="0"/>
    <x v="0"/>
    <n v="36"/>
    <n v="2820"/>
    <n v="27"/>
    <s v="Medium"/>
    <s v="Long-Term"/>
    <s v="Review Required"/>
    <n v="2820"/>
  </r>
  <r>
    <s v="Bad"/>
    <x v="0"/>
    <s v="car (new)"/>
    <s v="Less 100"/>
    <s v="male "/>
    <s v=" single"/>
    <x v="0"/>
    <x v="0"/>
    <n v="18"/>
    <n v="1056"/>
    <n v="30"/>
    <s v="Low"/>
    <s v="Medium-Term"/>
    <s v="Review Required"/>
    <n v="1056"/>
  </r>
  <r>
    <s v="Bad"/>
    <x v="0"/>
    <s v="repairs"/>
    <s v="Less 100"/>
    <s v="male "/>
    <s v=" single"/>
    <x v="2"/>
    <x v="2"/>
    <n v="36"/>
    <n v="2384"/>
    <n v="33"/>
    <s v="Medium"/>
    <s v="Long-Term"/>
    <s v="Review Required"/>
    <n v="2384"/>
  </r>
  <r>
    <s v="Bad"/>
    <x v="1"/>
    <s v="furniture/equipment"/>
    <s v="Less 100"/>
    <s v="female "/>
    <s v=" divorced/separated/married"/>
    <x v="0"/>
    <x v="2"/>
    <n v="18"/>
    <n v="2039"/>
    <n v="20"/>
    <s v="Medium"/>
    <s v="Medium-Term"/>
    <s v="Review Required"/>
    <n v="2039"/>
  </r>
  <r>
    <s v="Bad"/>
    <x v="1"/>
    <s v="domestic appliances"/>
    <s v="Less 100"/>
    <s v="male "/>
    <s v=" married/widowed"/>
    <x v="2"/>
    <x v="0"/>
    <n v="18"/>
    <n v="1217"/>
    <n v="47"/>
    <s v="Low"/>
    <s v="Medium-Term"/>
    <s v="Review Required"/>
    <n v="1217"/>
  </r>
  <r>
    <s v="Bad"/>
    <x v="1"/>
    <s v="furniture/equipment"/>
    <s v="Less 100"/>
    <s v="male "/>
    <s v=" single"/>
    <x v="0"/>
    <x v="0"/>
    <n v="12"/>
    <n v="2246"/>
    <n v="60"/>
    <s v="Medium"/>
    <s v="Medium-Term"/>
    <s v="Review Required"/>
    <n v="2246"/>
  </r>
  <r>
    <s v="Bad"/>
    <x v="0"/>
    <s v="car (new)"/>
    <s v="Less 100"/>
    <s v="female "/>
    <s v=" divorced/separated/married"/>
    <x v="2"/>
    <x v="2"/>
    <n v="24"/>
    <n v="2718"/>
    <n v="20"/>
    <s v="Medium"/>
    <s v="Medium-Term"/>
    <s v="Review Required"/>
    <n v="2718"/>
  </r>
  <r>
    <s v="Bad"/>
    <x v="1"/>
    <s v="others"/>
    <s v="No information"/>
    <s v="male "/>
    <s v=" single"/>
    <x v="1"/>
    <x v="0"/>
    <n v="24"/>
    <n v="1358"/>
    <n v="40"/>
    <s v="Low"/>
    <s v="Medium-Term"/>
    <s v="Review Required"/>
    <n v="1358"/>
  </r>
  <r>
    <s v="Bad"/>
    <x v="0"/>
    <s v="car (new)"/>
    <s v="Up to 500"/>
    <s v="female "/>
    <s v=" divorced/separated/married"/>
    <x v="2"/>
    <x v="0"/>
    <n v="6"/>
    <n v="931"/>
    <n v="32"/>
    <s v="Low"/>
    <s v="Low-Term"/>
    <s v="Review Required"/>
    <n v="931"/>
  </r>
  <r>
    <s v="Bad"/>
    <x v="1"/>
    <s v="car (new)"/>
    <s v="Less 100"/>
    <s v="female "/>
    <s v=" divorced/separated/married"/>
    <x v="0"/>
    <x v="2"/>
    <n v="24"/>
    <n v="1442"/>
    <n v="23"/>
    <s v="Low"/>
    <s v="Medium-Term"/>
    <s v="Review Required"/>
    <n v="1442"/>
  </r>
  <r>
    <s v="Bad"/>
    <x v="0"/>
    <s v="business"/>
    <s v="Less 100"/>
    <s v="male "/>
    <s v=" single"/>
    <x v="2"/>
    <x v="0"/>
    <n v="24"/>
    <n v="4241"/>
    <n v="36"/>
    <s v="Medium"/>
    <s v="Medium-Term"/>
    <s v="Review Required"/>
    <n v="4241"/>
  </r>
  <r>
    <s v="Bad"/>
    <x v="3"/>
    <s v="car (new)"/>
    <s v="Less 100"/>
    <s v="male "/>
    <s v=" single"/>
    <x v="0"/>
    <x v="0"/>
    <n v="18"/>
    <n v="2775"/>
    <n v="31"/>
    <s v="Medium"/>
    <s v="Medium-Term"/>
    <s v="Review Required"/>
    <n v="2775"/>
  </r>
  <r>
    <s v="Bad"/>
    <x v="0"/>
    <s v="furniture/equipment"/>
    <s v="Less 100"/>
    <s v="female "/>
    <s v=" divorced/separated/married"/>
    <x v="0"/>
    <x v="0"/>
    <n v="9"/>
    <n v="918"/>
    <n v="30"/>
    <s v="Low"/>
    <s v="Low-Term"/>
    <s v="Review Required"/>
    <n v="918"/>
  </r>
  <r>
    <s v="Bad"/>
    <x v="0"/>
    <s v="education"/>
    <s v="Less 100"/>
    <s v="female "/>
    <s v=" divorced/separated/married"/>
    <x v="2"/>
    <x v="1"/>
    <n v="24"/>
    <n v="1837"/>
    <n v="34"/>
    <s v="Low"/>
    <s v="Medium-Term"/>
    <s v="Review Required"/>
    <n v="1837"/>
  </r>
  <r>
    <s v="Bad"/>
    <x v="3"/>
    <s v="furniture/equipment"/>
    <s v="Less 100"/>
    <s v="female "/>
    <s v=" divorced/separated/married"/>
    <x v="1"/>
    <x v="0"/>
    <n v="36"/>
    <n v="3349"/>
    <n v="28"/>
    <s v="Medium"/>
    <s v="Long-Term"/>
    <s v="Review Required"/>
    <n v="3349"/>
  </r>
  <r>
    <s v="Bad"/>
    <x v="0"/>
    <s v="radio/television"/>
    <s v="Up to 500"/>
    <s v="female "/>
    <s v=" divorced/separated/married"/>
    <x v="0"/>
    <x v="1"/>
    <n v="36"/>
    <n v="2671"/>
    <n v="50"/>
    <s v="Medium"/>
    <s v="Long-Term"/>
    <s v="Review Required"/>
    <n v="2671"/>
  </r>
  <r>
    <s v="Bad"/>
    <x v="1"/>
    <s v="domestic appliances"/>
    <s v="Up to 500"/>
    <s v="female "/>
    <s v=" divorced/separated/married"/>
    <x v="0"/>
    <x v="0"/>
    <n v="12"/>
    <n v="741"/>
    <n v="22"/>
    <s v="Low"/>
    <s v="Medium-Term"/>
    <s v="Review Required"/>
    <n v="741"/>
  </r>
  <r>
    <s v="Bad"/>
    <x v="2"/>
    <s v="car (new)"/>
    <s v="Up to 500"/>
    <s v="female "/>
    <s v=" divorced/separated/married"/>
    <x v="2"/>
    <x v="1"/>
    <n v="10"/>
    <n v="1240"/>
    <n v="48"/>
    <s v="Low"/>
    <s v="Low-Term"/>
    <s v="Review Required"/>
    <n v="1240"/>
  </r>
  <r>
    <s v="Bad"/>
    <x v="3"/>
    <s v="furniture/equipment"/>
    <s v="Less 100"/>
    <s v="female "/>
    <s v=" divorced/separated/married"/>
    <x v="0"/>
    <x v="0"/>
    <n v="18"/>
    <n v="1808"/>
    <n v="22"/>
    <s v="Low"/>
    <s v="Medium-Term"/>
    <s v="Review Required"/>
    <n v="1808"/>
  </r>
  <r>
    <s v="Bad"/>
    <x v="0"/>
    <s v="furniture/equipment"/>
    <s v="Up to 500"/>
    <s v="female "/>
    <s v=" divorced/separated/married"/>
    <x v="0"/>
    <x v="2"/>
    <n v="30"/>
    <n v="3441"/>
    <n v="21"/>
    <s v="Medium"/>
    <s v="Medium-Term"/>
    <s v="Review Required"/>
    <n v="3441"/>
  </r>
  <r>
    <s v="Bad"/>
    <x v="3"/>
    <s v="car (new)"/>
    <s v="Less 100"/>
    <s v="male "/>
    <s v=" single"/>
    <x v="0"/>
    <x v="0"/>
    <n v="18"/>
    <n v="1530"/>
    <n v="32"/>
    <s v="Low"/>
    <s v="Medium-Term"/>
    <s v="Review Required"/>
    <n v="1530"/>
  </r>
  <r>
    <s v="Bad"/>
    <x v="3"/>
    <s v="business"/>
    <s v="No information"/>
    <s v="male "/>
    <s v=" divorced/separated"/>
    <x v="0"/>
    <x v="0"/>
    <n v="48"/>
    <n v="3914"/>
    <n v="38"/>
    <s v="Medium"/>
    <s v="Long-Term"/>
    <s v="Review Required"/>
    <n v="3914"/>
  </r>
  <r>
    <s v="Bad"/>
    <x v="1"/>
    <s v="radio/television"/>
    <s v="Less 100"/>
    <s v="male "/>
    <s v=" single"/>
    <x v="0"/>
    <x v="1"/>
    <n v="18"/>
    <n v="2600"/>
    <n v="65"/>
    <s v="Medium"/>
    <s v="Medium-Term"/>
    <s v="Review Required"/>
    <n v="2600"/>
  </r>
  <r>
    <s v="Bad"/>
    <x v="0"/>
    <s v="car (new)"/>
    <s v="Up to 500"/>
    <s v="male "/>
    <s v=" single"/>
    <x v="0"/>
    <x v="0"/>
    <n v="9"/>
    <n v="1437"/>
    <n v="29"/>
    <s v="Low"/>
    <s v="Low-Term"/>
    <s v="Review Required"/>
    <n v="1437"/>
  </r>
  <r>
    <s v="Bad"/>
    <x v="1"/>
    <s v="furniture/equipment"/>
    <s v="Less 100"/>
    <s v="male "/>
    <s v=" single"/>
    <x v="0"/>
    <x v="0"/>
    <n v="18"/>
    <n v="1553"/>
    <n v="44"/>
    <s v="Low"/>
    <s v="Medium-Term"/>
    <s v="Review Required"/>
    <n v="1553"/>
  </r>
  <r>
    <s v="Bad"/>
    <x v="3"/>
    <s v="furniture/equipment"/>
    <s v="Less 100"/>
    <s v="female "/>
    <s v=" divorced/separated/married"/>
    <x v="0"/>
    <x v="2"/>
    <n v="9"/>
    <n v="1980"/>
    <n v="19"/>
    <s v="Low"/>
    <s v="Low-Term"/>
    <s v="Review Required"/>
    <n v="1980"/>
  </r>
  <r>
    <s v="Bad"/>
    <x v="0"/>
    <s v="car (new)"/>
    <s v="Less 100"/>
    <s v="female "/>
    <s v=" divorced/separated/married"/>
    <x v="2"/>
    <x v="0"/>
    <n v="24"/>
    <n v="1355"/>
    <n v="25"/>
    <s v="Low"/>
    <s v="Medium-Term"/>
    <s v="Review Required"/>
    <n v="1355"/>
  </r>
  <r>
    <s v="Bad"/>
    <x v="1"/>
    <s v="radio/television"/>
    <s v="Less 100"/>
    <s v="male "/>
    <s v=" single"/>
    <x v="0"/>
    <x v="0"/>
    <n v="42"/>
    <n v="4370"/>
    <n v="26"/>
    <s v="Medium"/>
    <s v="Long-Term"/>
    <s v="Review Required"/>
    <n v="4370"/>
  </r>
  <r>
    <s v="Bad"/>
    <x v="1"/>
    <s v="education"/>
    <s v="Less 100"/>
    <s v="female "/>
    <s v=" divorced/separated/married"/>
    <x v="3"/>
    <x v="0"/>
    <n v="18"/>
    <n v="750"/>
    <n v="27"/>
    <s v="Low"/>
    <s v="Medium-Term"/>
    <s v="Review Required"/>
    <n v="750"/>
  </r>
  <r>
    <s v="Bad"/>
    <x v="3"/>
    <s v="education"/>
    <s v="Up to 500"/>
    <s v="male "/>
    <s v=" single"/>
    <x v="1"/>
    <x v="0"/>
    <n v="15"/>
    <n v="4623"/>
    <n v="40"/>
    <s v="Medium"/>
    <s v="Medium-Term"/>
    <s v="Review Required"/>
    <n v="4623"/>
  </r>
  <r>
    <s v="Bad"/>
    <x v="3"/>
    <s v="business"/>
    <s v="No information"/>
    <s v="male "/>
    <s v=" single"/>
    <x v="0"/>
    <x v="2"/>
    <n v="36"/>
    <n v="7980"/>
    <n v="27"/>
    <s v="Hight"/>
    <s v="Long-Term"/>
    <s v="Review Required"/>
    <n v="7980"/>
  </r>
  <r>
    <s v="Bad"/>
    <x v="3"/>
    <s v="car (new)"/>
    <s v="Up to 1000"/>
    <s v="female "/>
    <s v=" divorced/separated/married"/>
    <x v="0"/>
    <x v="0"/>
    <n v="12"/>
    <n v="1386"/>
    <n v="26"/>
    <s v="Low"/>
    <s v="Medium-Term"/>
    <s v="Review Required"/>
    <n v="1386"/>
  </r>
  <r>
    <s v="Bad"/>
    <x v="2"/>
    <s v="car (new)"/>
    <s v="Less 100"/>
    <s v="male "/>
    <s v=" single"/>
    <x v="0"/>
    <x v="1"/>
    <n v="24"/>
    <n v="947"/>
    <n v="38"/>
    <s v="Low"/>
    <s v="Medium-Term"/>
    <s v="Review Required"/>
    <n v="947"/>
  </r>
  <r>
    <s v="Bad"/>
    <x v="1"/>
    <s v="education"/>
    <s v="Less 100"/>
    <s v="male "/>
    <s v=" single"/>
    <x v="2"/>
    <x v="2"/>
    <n v="12"/>
    <n v="684"/>
    <n v="40"/>
    <s v="Low"/>
    <s v="Medium-Term"/>
    <s v="Review Required"/>
    <n v="684"/>
  </r>
  <r>
    <s v="Bad"/>
    <x v="0"/>
    <s v="furniture/equipment"/>
    <s v="Less 100"/>
    <s v="male "/>
    <s v=" single"/>
    <x v="2"/>
    <x v="0"/>
    <n v="12"/>
    <n v="1922"/>
    <n v="37"/>
    <s v="Low"/>
    <s v="Medium-Term"/>
    <s v="Review Required"/>
    <n v="1922"/>
  </r>
  <r>
    <s v="Bad"/>
    <x v="1"/>
    <s v="car (new)"/>
    <s v="Less 100"/>
    <s v="male "/>
    <s v=" single"/>
    <x v="0"/>
    <x v="0"/>
    <n v="24"/>
    <n v="2303"/>
    <n v="45"/>
    <s v="Medium"/>
    <s v="Medium-Term"/>
    <s v="Review Required"/>
    <n v="2303"/>
  </r>
  <r>
    <s v="Bad"/>
    <x v="0"/>
    <s v="car (new)"/>
    <s v="Up to 500"/>
    <s v="male "/>
    <s v=" single"/>
    <x v="1"/>
    <x v="0"/>
    <n v="36"/>
    <n v="8086"/>
    <n v="42"/>
    <s v="Hight"/>
    <s v="Long-Term"/>
    <s v="Review Required"/>
    <n v="8086"/>
  </r>
  <r>
    <s v="Bad"/>
    <x v="0"/>
    <s v="car (new)"/>
    <s v="Less 100"/>
    <s v="male "/>
    <s v=" single"/>
    <x v="2"/>
    <x v="0"/>
    <n v="12"/>
    <n v="888"/>
    <n v="41"/>
    <s v="Low"/>
    <s v="Medium-Term"/>
    <s v="Review Required"/>
    <n v="888"/>
  </r>
  <r>
    <s v="Bad"/>
    <x v="1"/>
    <s v="car (new)"/>
    <s v="No information"/>
    <s v="male "/>
    <s v=" married/widowed"/>
    <x v="0"/>
    <x v="0"/>
    <n v="12"/>
    <n v="900"/>
    <n v="23"/>
    <s v="Low"/>
    <s v="Medium-Term"/>
    <s v="Review Required"/>
    <n v="900"/>
  </r>
  <r>
    <s v="Bad"/>
    <x v="1"/>
    <s v="car (new)"/>
    <s v="Less 100"/>
    <s v="male "/>
    <s v=" single"/>
    <x v="0"/>
    <x v="2"/>
    <n v="12"/>
    <n v="4843"/>
    <n v="43"/>
    <s v="Medium"/>
    <s v="Medium-Term"/>
    <s v="Review Required"/>
    <n v="4843"/>
  </r>
  <r>
    <s v="Bad"/>
    <x v="3"/>
    <s v="business"/>
    <s v="Up to 1000"/>
    <s v="male "/>
    <s v=" single"/>
    <x v="2"/>
    <x v="0"/>
    <n v="21"/>
    <n v="2580"/>
    <n v="41"/>
    <s v="Medium"/>
    <s v="Medium-Term"/>
    <s v="Review Required"/>
    <n v="2580"/>
  </r>
  <r>
    <s v="Bad"/>
    <x v="0"/>
    <s v="radio/television"/>
    <s v="Up to 500"/>
    <s v="male "/>
    <s v=" married/widowed"/>
    <x v="0"/>
    <x v="0"/>
    <n v="72"/>
    <n v="5595"/>
    <n v="24"/>
    <s v="Hight"/>
    <s v="Long-Term"/>
    <s v="Review Required"/>
    <n v="5595"/>
  </r>
  <r>
    <s v="Bad"/>
    <x v="3"/>
    <s v="furniture/equipment"/>
    <s v="Up to 1000"/>
    <s v="female "/>
    <s v=" divorced/separated/married"/>
    <x v="2"/>
    <x v="2"/>
    <n v="12"/>
    <n v="1123"/>
    <n v="29"/>
    <s v="Low"/>
    <s v="Medium-Term"/>
    <s v="Review Required"/>
    <n v="1123"/>
  </r>
  <r>
    <s v="Bad"/>
    <x v="1"/>
    <s v="car (used)"/>
    <s v="Less 100"/>
    <s v="male "/>
    <s v=" single"/>
    <x v="0"/>
    <x v="1"/>
    <n v="48"/>
    <n v="6331"/>
    <n v="46"/>
    <s v="Hight"/>
    <s v="Long-Term"/>
    <s v="Review Required"/>
    <n v="6331"/>
  </r>
  <r>
    <s v="Bad"/>
    <x v="0"/>
    <s v="car (new)"/>
    <s v="Up to 500"/>
    <s v="male "/>
    <s v=" single"/>
    <x v="0"/>
    <x v="0"/>
    <n v="48"/>
    <n v="6560"/>
    <n v="24"/>
    <s v="Hight"/>
    <s v="Long-Term"/>
    <s v="Review Required"/>
    <n v="6560"/>
  </r>
  <r>
    <s v="Bad"/>
    <x v="0"/>
    <s v="furniture/equipment"/>
    <s v="Less 100"/>
    <s v="female "/>
    <s v=" divorced/separated/married"/>
    <x v="0"/>
    <x v="2"/>
    <n v="12"/>
    <n v="2969"/>
    <n v="25"/>
    <s v="Medium"/>
    <s v="Medium-Term"/>
    <s v="Review Required"/>
    <n v="2969"/>
  </r>
  <r>
    <s v="Bad"/>
    <x v="1"/>
    <s v="education"/>
    <s v="Less 100"/>
    <s v="female "/>
    <s v=" divorced/separated/married"/>
    <x v="0"/>
    <x v="1"/>
    <n v="6"/>
    <n v="1198"/>
    <n v="35"/>
    <s v="Low"/>
    <s v="Low-Term"/>
    <s v="Review Required"/>
    <n v="1198"/>
  </r>
  <r>
    <s v="Bad"/>
    <x v="0"/>
    <s v="car (new)"/>
    <s v="Less 100"/>
    <s v="male "/>
    <s v=" single"/>
    <x v="1"/>
    <x v="0"/>
    <n v="60"/>
    <n v="14027"/>
    <n v="27"/>
    <s v="Hight"/>
    <s v="Long-Term"/>
    <s v="Review Required"/>
    <n v="14027"/>
  </r>
  <r>
    <s v="Bad"/>
    <x v="2"/>
    <s v="radio/television"/>
    <s v="Less 100"/>
    <s v="male "/>
    <s v=" single"/>
    <x v="1"/>
    <x v="0"/>
    <n v="9"/>
    <n v="1337"/>
    <n v="34"/>
    <s v="Low"/>
    <s v="Low-Term"/>
    <s v="Review Required"/>
    <n v="1337"/>
  </r>
  <r>
    <s v="Bad"/>
    <x v="0"/>
    <s v="education"/>
    <s v="More 1000"/>
    <s v="female "/>
    <s v=" divorced/separated/married"/>
    <x v="0"/>
    <x v="2"/>
    <n v="6"/>
    <n v="433"/>
    <n v="24"/>
    <s v="Low"/>
    <s v="Low-Term"/>
    <s v="Review Required"/>
    <n v="433"/>
  </r>
  <r>
    <s v="Bad"/>
    <x v="1"/>
    <s v="car (new)"/>
    <s v="Less 100"/>
    <s v="female "/>
    <s v=" divorced/separated/married"/>
    <x v="2"/>
    <x v="0"/>
    <n v="12"/>
    <n v="1228"/>
    <n v="24"/>
    <s v="Low"/>
    <s v="Medium-Term"/>
    <s v="Review Required"/>
    <n v="1228"/>
  </r>
  <r>
    <s v="Bad"/>
    <x v="3"/>
    <s v="car (new)"/>
    <s v="Less 100"/>
    <s v="female "/>
    <s v=" divorced/separated/married"/>
    <x v="0"/>
    <x v="2"/>
    <n v="27"/>
    <n v="2570"/>
    <n v="21"/>
    <s v="Medium"/>
    <s v="Medium-Term"/>
    <s v="Review Required"/>
    <n v="2570"/>
  </r>
  <r>
    <s v="Bad"/>
    <x v="1"/>
    <s v="radio/television"/>
    <s v="Less 100"/>
    <s v="female "/>
    <s v=" divorced/separated/married"/>
    <x v="0"/>
    <x v="2"/>
    <n v="18"/>
    <n v="1882"/>
    <n v="25"/>
    <s v="Low"/>
    <s v="Medium-Term"/>
    <s v="Review Required"/>
    <n v="1882"/>
  </r>
  <r>
    <s v="Bad"/>
    <x v="0"/>
    <s v="business"/>
    <s v="Less 100"/>
    <s v="female "/>
    <s v=" divorced/separated/married"/>
    <x v="0"/>
    <x v="2"/>
    <n v="48"/>
    <n v="6416"/>
    <n v="59"/>
    <s v="Hight"/>
    <s v="Long-Term"/>
    <s v="Review Required"/>
    <n v="6416"/>
  </r>
  <r>
    <s v="Bad"/>
    <x v="1"/>
    <s v="radio/television"/>
    <s v="Less 100"/>
    <s v="male "/>
    <s v=" single"/>
    <x v="2"/>
    <x v="2"/>
    <n v="24"/>
    <n v="1987"/>
    <n v="21"/>
    <s v="Low"/>
    <s v="Medium-Term"/>
    <s v="Review Required"/>
    <n v="1987"/>
  </r>
  <r>
    <s v="Bad"/>
    <x v="0"/>
    <s v="car (used)"/>
    <s v="Less 100"/>
    <s v="female "/>
    <s v=" divorced/separated/married"/>
    <x v="1"/>
    <x v="2"/>
    <n v="24"/>
    <n v="11560"/>
    <n v="23"/>
    <s v="Hight"/>
    <s v="Medium-Term"/>
    <s v="Review Required"/>
    <n v="11560"/>
  </r>
  <r>
    <s v="Bad"/>
    <x v="0"/>
    <s v="business"/>
    <s v="Up to 500"/>
    <s v="female "/>
    <s v=" divorced/separated/married"/>
    <x v="2"/>
    <x v="2"/>
    <n v="30"/>
    <n v="4280"/>
    <n v="26"/>
    <s v="Medium"/>
    <s v="Medium-Term"/>
    <s v="Review Required"/>
    <n v="4280"/>
  </r>
  <r>
    <s v="Bad"/>
    <x v="1"/>
    <s v="car (new)"/>
    <s v="Less 100"/>
    <s v="female "/>
    <s v=" divorced/separated/married"/>
    <x v="2"/>
    <x v="0"/>
    <n v="12"/>
    <n v="1274"/>
    <n v="37"/>
    <s v="Low"/>
    <s v="Medium-Term"/>
    <s v="Review Required"/>
    <n v="1274"/>
  </r>
  <r>
    <s v="Bad"/>
    <x v="1"/>
    <s v="car (new)"/>
    <s v="Less 100"/>
    <s v="female "/>
    <s v=" divorced/separated/married"/>
    <x v="2"/>
    <x v="0"/>
    <n v="18"/>
    <n v="976"/>
    <n v="23"/>
    <s v="Low"/>
    <s v="Medium-Term"/>
    <s v="Review Required"/>
    <n v="976"/>
  </r>
  <r>
    <s v="Bad"/>
    <x v="3"/>
    <s v="repairs"/>
    <s v="More 1000"/>
    <s v="male "/>
    <s v=" single"/>
    <x v="0"/>
    <x v="1"/>
    <n v="12"/>
    <n v="1555"/>
    <n v="55"/>
    <s v="Low"/>
    <s v="Medium-Term"/>
    <s v="Review Required"/>
    <n v="1555"/>
  </r>
  <r>
    <s v="Bad"/>
    <x v="1"/>
    <s v="car (new)"/>
    <s v="No information"/>
    <s v="female "/>
    <s v=" divorced/separated/married"/>
    <x v="0"/>
    <x v="2"/>
    <n v="24"/>
    <n v="1285"/>
    <n v="32"/>
    <s v="Low"/>
    <s v="Medium-Term"/>
    <s v="Review Required"/>
    <n v="1285"/>
  </r>
  <r>
    <s v="Bad"/>
    <x v="2"/>
    <s v="radio/television"/>
    <s v="No information"/>
    <s v="male "/>
    <s v=" single"/>
    <x v="0"/>
    <x v="1"/>
    <n v="15"/>
    <n v="1271"/>
    <n v="39"/>
    <s v="Low"/>
    <s v="Medium-Term"/>
    <s v="Review Required"/>
    <n v="1271"/>
  </r>
  <r>
    <s v="Bad"/>
    <x v="1"/>
    <s v="car (new)"/>
    <s v="Less 100"/>
    <s v="male "/>
    <s v=" single"/>
    <x v="0"/>
    <x v="0"/>
    <n v="12"/>
    <n v="691"/>
    <n v="35"/>
    <s v="Low"/>
    <s v="Medium-Term"/>
    <s v="Review Required"/>
    <n v="691"/>
  </r>
  <r>
    <s v="Bad"/>
    <x v="1"/>
    <s v="furniture/equipment"/>
    <s v="Less 100"/>
    <s v="female "/>
    <s v=" divorced/separated/married"/>
    <x v="0"/>
    <x v="2"/>
    <n v="18"/>
    <n v="2124"/>
    <n v="24"/>
    <s v="Medium"/>
    <s v="Medium-Term"/>
    <s v="Review Required"/>
    <n v="2124"/>
  </r>
  <r>
    <s v="Bad"/>
    <x v="3"/>
    <s v="car (new)"/>
    <s v="No information"/>
    <s v="male "/>
    <s v=" single"/>
    <x v="1"/>
    <x v="1"/>
    <n v="21"/>
    <n v="12680"/>
    <n v="30"/>
    <s v="Hight"/>
    <s v="Medium-Term"/>
    <s v="Review Required"/>
    <n v="12680"/>
  </r>
  <r>
    <s v="Bad"/>
    <x v="1"/>
    <s v="furniture/equipment"/>
    <s v="Less 100"/>
    <s v="male "/>
    <s v=" divorced/separated"/>
    <x v="2"/>
    <x v="0"/>
    <n v="30"/>
    <n v="3108"/>
    <n v="31"/>
    <s v="Medium"/>
    <s v="Medium-Term"/>
    <s v="Review Required"/>
    <n v="3108"/>
  </r>
  <r>
    <s v="Bad"/>
    <x v="1"/>
    <s v="education"/>
    <s v="Less 100"/>
    <s v="female "/>
    <s v=" divorced/separated/married"/>
    <x v="1"/>
    <x v="0"/>
    <n v="36"/>
    <n v="8065"/>
    <n v="25"/>
    <s v="Hight"/>
    <s v="Long-Term"/>
    <s v="Review Required"/>
    <n v="8065"/>
  </r>
  <r>
    <s v="Bad"/>
    <x v="1"/>
    <s v="car (new)"/>
    <s v="No information"/>
    <s v="female "/>
    <s v=" divorced/separated/married"/>
    <x v="0"/>
    <x v="2"/>
    <n v="24"/>
    <n v="1371"/>
    <n v="25"/>
    <s v="Low"/>
    <s v="Medium-Term"/>
    <s v="Review Required"/>
    <n v="1371"/>
  </r>
  <r>
    <s v="Bad"/>
    <x v="0"/>
    <s v="radio/television"/>
    <s v="Less 100"/>
    <s v="male "/>
    <s v=" single"/>
    <x v="0"/>
    <x v="0"/>
    <n v="39"/>
    <n v="4933"/>
    <n v="25"/>
    <s v="Medium"/>
    <s v="Long-Term"/>
    <s v="Review Required"/>
    <n v="4933"/>
  </r>
  <r>
    <s v="Bad"/>
    <x v="0"/>
    <s v="car (new)"/>
    <s v="Up to 500"/>
    <s v="female "/>
    <s v=" divorced/separated/married"/>
    <x v="2"/>
    <x v="0"/>
    <n v="12"/>
    <n v="836"/>
    <n v="23"/>
    <s v="Low"/>
    <s v="Medium-Term"/>
    <s v="Review Required"/>
    <n v="836"/>
  </r>
  <r>
    <s v="Bad"/>
    <x v="0"/>
    <s v="education"/>
    <s v="Less 100"/>
    <s v="male "/>
    <s v=" single"/>
    <x v="0"/>
    <x v="1"/>
    <n v="48"/>
    <n v="6224"/>
    <n v="50"/>
    <s v="Hight"/>
    <s v="Long-Term"/>
    <s v="Review Required"/>
    <n v="6224"/>
  </r>
  <r>
    <s v="Bad"/>
    <x v="1"/>
    <s v="education"/>
    <s v="Less 100"/>
    <s v="male "/>
    <s v=" single"/>
    <x v="0"/>
    <x v="0"/>
    <n v="40"/>
    <n v="5998"/>
    <n v="27"/>
    <s v="Hight"/>
    <s v="Long-Term"/>
    <s v="Review Required"/>
    <n v="5998"/>
  </r>
  <r>
    <s v="Bad"/>
    <x v="0"/>
    <s v="business"/>
    <s v="Less 100"/>
    <s v="female "/>
    <s v=" divorced/separated/married"/>
    <x v="0"/>
    <x v="0"/>
    <n v="21"/>
    <n v="1188"/>
    <n v="39"/>
    <s v="Low"/>
    <s v="Medium-Term"/>
    <s v="Review Required"/>
    <n v="1188"/>
  </r>
  <r>
    <s v="Bad"/>
    <x v="1"/>
    <s v="car (used)"/>
    <s v="No information"/>
    <s v="male "/>
    <s v=" single"/>
    <x v="0"/>
    <x v="1"/>
    <n v="18"/>
    <n v="7511"/>
    <n v="51"/>
    <s v="Hight"/>
    <s v="Medium-Term"/>
    <s v="Review Required"/>
    <n v="7511"/>
  </r>
  <r>
    <s v="Bad"/>
    <x v="1"/>
    <s v="car (new)"/>
    <s v="Less 100"/>
    <s v="male "/>
    <s v=" single"/>
    <x v="0"/>
    <x v="0"/>
    <n v="36"/>
    <n v="9271"/>
    <n v="24"/>
    <s v="Hight"/>
    <s v="Long-Term"/>
    <s v="Review Required"/>
    <n v="9271"/>
  </r>
  <r>
    <s v="Bad"/>
    <x v="0"/>
    <s v="car (new)"/>
    <s v="Less 100"/>
    <s v="female "/>
    <s v=" divorced/separated/married"/>
    <x v="3"/>
    <x v="2"/>
    <n v="15"/>
    <n v="1778"/>
    <n v="26"/>
    <s v="Low"/>
    <s v="Medium-Term"/>
    <s v="Review Required"/>
    <n v="1778"/>
  </r>
  <r>
    <s v="Bad"/>
    <x v="1"/>
    <s v="car (used)"/>
    <s v="Less 100"/>
    <s v="male "/>
    <s v=" single"/>
    <x v="0"/>
    <x v="0"/>
    <n v="36"/>
    <n v="9629"/>
    <n v="24"/>
    <s v="Hight"/>
    <s v="Long-Term"/>
    <s v="Review Required"/>
    <n v="9629"/>
  </r>
  <r>
    <s v="Bad"/>
    <x v="1"/>
    <s v="domestic appliances"/>
    <s v="Less 100"/>
    <s v="male "/>
    <s v=" single"/>
    <x v="0"/>
    <x v="0"/>
    <n v="48"/>
    <n v="3051"/>
    <n v="54"/>
    <s v="Medium"/>
    <s v="Long-Term"/>
    <s v="Review Required"/>
    <n v="3051"/>
  </r>
  <r>
    <s v="Bad"/>
    <x v="1"/>
    <s v="car (new)"/>
    <s v="Less 100"/>
    <s v="male "/>
    <s v=" single"/>
    <x v="0"/>
    <x v="1"/>
    <n v="48"/>
    <n v="3931"/>
    <n v="46"/>
    <s v="Medium"/>
    <s v="Long-Term"/>
    <s v="Review Required"/>
    <n v="3931"/>
  </r>
  <r>
    <s v="Bad"/>
    <x v="1"/>
    <s v="radio/television"/>
    <s v="Less 100"/>
    <s v="male "/>
    <s v=" married/widowed"/>
    <x v="0"/>
    <x v="0"/>
    <n v="18"/>
    <n v="1345"/>
    <n v="26"/>
    <s v="Low"/>
    <s v="Medium-Term"/>
    <s v="Review Required"/>
    <n v="1345"/>
  </r>
  <r>
    <s v="Bad"/>
    <x v="1"/>
    <s v="furniture/equipment"/>
    <s v="Less 100"/>
    <s v="male "/>
    <s v=" single"/>
    <x v="0"/>
    <x v="0"/>
    <n v="36"/>
    <n v="2712"/>
    <n v="41"/>
    <s v="Medium"/>
    <s v="Long-Term"/>
    <s v="Review Required"/>
    <n v="2712"/>
  </r>
  <r>
    <s v="Bad"/>
    <x v="1"/>
    <s v="car (new)"/>
    <s v="Less 100"/>
    <s v="female "/>
    <s v=" divorced/separated/married"/>
    <x v="0"/>
    <x v="2"/>
    <n v="18"/>
    <n v="3966"/>
    <n v="33"/>
    <s v="Medium"/>
    <s v="Medium-Term"/>
    <s v="Review Required"/>
    <n v="3966"/>
  </r>
  <r>
    <s v="Bad"/>
    <x v="3"/>
    <s v="business"/>
    <s v="Less 100"/>
    <s v="male "/>
    <s v=" single"/>
    <x v="0"/>
    <x v="0"/>
    <n v="18"/>
    <n v="4165"/>
    <n v="36"/>
    <s v="Medium"/>
    <s v="Medium-Term"/>
    <s v="Review Required"/>
    <n v="4165"/>
  </r>
  <r>
    <s v="Bad"/>
    <x v="1"/>
    <s v="car (used)"/>
    <s v="No information"/>
    <s v="male "/>
    <s v=" single"/>
    <x v="0"/>
    <x v="1"/>
    <n v="36"/>
    <n v="8335"/>
    <n v="47"/>
    <s v="Hight"/>
    <s v="Long-Term"/>
    <s v="Review Required"/>
    <n v="8335"/>
  </r>
  <r>
    <s v="Bad"/>
    <x v="1"/>
    <s v="car (new)"/>
    <s v="Less 100"/>
    <s v="female "/>
    <s v=" divorced/separated/married"/>
    <x v="0"/>
    <x v="2"/>
    <n v="18"/>
    <n v="1216"/>
    <n v="23"/>
    <s v="Low"/>
    <s v="Medium-Term"/>
    <s v="Review Required"/>
    <n v="1216"/>
  </r>
  <r>
    <s v="Bad"/>
    <x v="1"/>
    <s v="business"/>
    <s v="Less 100"/>
    <s v="male "/>
    <s v=" single"/>
    <x v="0"/>
    <x v="2"/>
    <n v="45"/>
    <n v="11816"/>
    <n v="29"/>
    <s v="Hight"/>
    <s v="Long-Term"/>
    <s v="Review Required"/>
    <n v="11816"/>
  </r>
  <r>
    <s v="Bad"/>
    <x v="2"/>
    <s v="radio/television"/>
    <s v="Less 100"/>
    <s v="female "/>
    <s v=" divorced/separated/married"/>
    <x v="2"/>
    <x v="0"/>
    <n v="15"/>
    <n v="2327"/>
    <n v="25"/>
    <s v="Medium"/>
    <s v="Medium-Term"/>
    <s v="Review Required"/>
    <n v="2327"/>
  </r>
  <r>
    <s v="Bad"/>
    <x v="1"/>
    <s v="car (new)"/>
    <s v="Less 100"/>
    <s v="male "/>
    <s v=" single"/>
    <x v="0"/>
    <x v="0"/>
    <n v="12"/>
    <n v="1082"/>
    <n v="48"/>
    <s v="Low"/>
    <s v="Medium-Term"/>
    <s v="Review Required"/>
    <n v="1082"/>
  </r>
  <r>
    <s v="Bad"/>
    <x v="1"/>
    <s v="furniture/equipment"/>
    <s v="Less 100"/>
    <s v="male "/>
    <s v=" single"/>
    <x v="0"/>
    <x v="0"/>
    <n v="36"/>
    <n v="5179"/>
    <n v="29"/>
    <s v="Hight"/>
    <s v="Long-Term"/>
    <s v="Review Required"/>
    <n v="5179"/>
  </r>
  <r>
    <s v="Bad"/>
    <x v="3"/>
    <s v="repairs"/>
    <s v="Less 100"/>
    <s v="female "/>
    <s v=" divorced/separated/married"/>
    <x v="0"/>
    <x v="0"/>
    <n v="18"/>
    <n v="1943"/>
    <n v="23"/>
    <s v="Low"/>
    <s v="Medium-Term"/>
    <s v="Review Required"/>
    <n v="1943"/>
  </r>
  <r>
    <s v="Bad"/>
    <x v="3"/>
    <s v="car (new)"/>
    <s v="No information"/>
    <s v="male "/>
    <s v=" single"/>
    <x v="0"/>
    <x v="2"/>
    <n v="18"/>
    <n v="6761"/>
    <n v="68"/>
    <s v="Hight"/>
    <s v="Medium-Term"/>
    <s v="Review Required"/>
    <n v="6761"/>
  </r>
  <r>
    <s v="Bad"/>
    <x v="1"/>
    <s v="radio/television"/>
    <s v="Less 100"/>
    <s v="male "/>
    <s v=" single"/>
    <x v="2"/>
    <x v="0"/>
    <n v="12"/>
    <n v="709"/>
    <n v="57"/>
    <s v="Low"/>
    <s v="Medium-Term"/>
    <s v="Review Required"/>
    <n v="709"/>
  </r>
  <r>
    <s v="Bad"/>
    <x v="1"/>
    <s v="car (new)"/>
    <s v="Less 100"/>
    <s v="male "/>
    <s v=" married/widowed"/>
    <x v="0"/>
    <x v="2"/>
    <n v="20"/>
    <n v="2235"/>
    <n v="33"/>
    <s v="Medium"/>
    <s v="Medium-Term"/>
    <s v="Review Required"/>
    <n v="2235"/>
  </r>
  <r>
    <s v="Bad"/>
    <x v="1"/>
    <s v="car (new)"/>
    <s v="Less 100"/>
    <s v="male "/>
    <s v=" single"/>
    <x v="2"/>
    <x v="1"/>
    <n v="18"/>
    <n v="1442"/>
    <n v="32"/>
    <s v="Low"/>
    <s v="Medium-Term"/>
    <s v="Review Required"/>
    <n v="1442"/>
  </r>
  <r>
    <s v="Bad"/>
    <x v="1"/>
    <s v="car (new)"/>
    <s v="Less 100"/>
    <s v="female "/>
    <s v=" divorced/separated/married"/>
    <x v="0"/>
    <x v="0"/>
    <n v="15"/>
    <n v="3959"/>
    <n v="29"/>
    <s v="Medium"/>
    <s v="Medium-Term"/>
    <s v="Review Required"/>
    <n v="3959"/>
  </r>
  <r>
    <s v="Bad"/>
    <x v="3"/>
    <s v="business"/>
    <s v="Less 100"/>
    <s v="male "/>
    <s v=" married/widowed"/>
    <x v="0"/>
    <x v="0"/>
    <n v="18"/>
    <n v="2169"/>
    <n v="28"/>
    <s v="Medium"/>
    <s v="Medium-Term"/>
    <s v="Review Required"/>
    <n v="2169"/>
  </r>
  <r>
    <s v="Bad"/>
    <x v="1"/>
    <s v="radio/television"/>
    <s v="Less 100"/>
    <s v="female "/>
    <s v=" divorced/separated/married"/>
    <x v="0"/>
    <x v="0"/>
    <n v="24"/>
    <n v="2439"/>
    <n v="35"/>
    <s v="Medium"/>
    <s v="Medium-Term"/>
    <s v="Review Required"/>
    <n v="2439"/>
  </r>
  <r>
    <s v="Bad"/>
    <x v="3"/>
    <s v="furniture/equipment"/>
    <s v="Less 100"/>
    <s v="male "/>
    <s v=" single"/>
    <x v="2"/>
    <x v="2"/>
    <n v="10"/>
    <n v="2210"/>
    <n v="25"/>
    <s v="Medium"/>
    <s v="Low-Term"/>
    <s v="Review Required"/>
    <n v="2210"/>
  </r>
  <r>
    <s v="Bad"/>
    <x v="1"/>
    <s v="car (new)"/>
    <s v="Less 100"/>
    <s v="male "/>
    <s v=" single"/>
    <x v="1"/>
    <x v="1"/>
    <n v="9"/>
    <n v="1422"/>
    <n v="27"/>
    <s v="Low"/>
    <s v="Low-Term"/>
    <s v="Review Required"/>
    <n v="1422"/>
  </r>
  <r>
    <s v="Bad"/>
    <x v="0"/>
    <s v="furniture/equipment"/>
    <s v="Less 100"/>
    <s v="male "/>
    <s v=" divorced/separated"/>
    <x v="0"/>
    <x v="0"/>
    <n v="24"/>
    <n v="4057"/>
    <n v="43"/>
    <s v="Medium"/>
    <s v="Medium-Term"/>
    <s v="Review Required"/>
    <n v="4057"/>
  </r>
  <r>
    <s v="Bad"/>
    <x v="1"/>
    <s v="education"/>
    <s v="Less 100"/>
    <s v="female "/>
    <s v=" divorced/separated/married"/>
    <x v="0"/>
    <x v="0"/>
    <n v="12"/>
    <n v="795"/>
    <n v="53"/>
    <s v="Low"/>
    <s v="Medium-Term"/>
    <s v="Review Required"/>
    <n v="795"/>
  </r>
  <r>
    <s v="Bad"/>
    <x v="0"/>
    <s v="business"/>
    <s v="Less 100"/>
    <s v="male "/>
    <s v=" single"/>
    <x v="0"/>
    <x v="0"/>
    <n v="48"/>
    <n v="15672"/>
    <n v="23"/>
    <s v="Hight"/>
    <s v="Long-Term"/>
    <s v="Review Required"/>
    <n v="15672"/>
  </r>
  <r>
    <s v="Bad"/>
    <x v="1"/>
    <s v="furniture/equipment"/>
    <s v="Less 100"/>
    <s v="male "/>
    <s v=" single"/>
    <x v="0"/>
    <x v="0"/>
    <n v="18"/>
    <n v="4153"/>
    <n v="42"/>
    <s v="Medium"/>
    <s v="Medium-Term"/>
    <s v="Review Required"/>
    <n v="4153"/>
  </r>
  <r>
    <s v="Bad"/>
    <x v="1"/>
    <s v="car (new)"/>
    <s v="Less 100"/>
    <s v="male "/>
    <s v=" single"/>
    <x v="0"/>
    <x v="2"/>
    <n v="16"/>
    <n v="2625"/>
    <n v="43"/>
    <s v="Medium"/>
    <s v="Medium-Term"/>
    <s v="Review Required"/>
    <n v="2625"/>
  </r>
  <r>
    <s v="Bad"/>
    <x v="0"/>
    <s v="furniture/equipment"/>
    <s v="Less 100"/>
    <s v="female "/>
    <s v=" divorced/separated/married"/>
    <x v="2"/>
    <x v="0"/>
    <n v="24"/>
    <n v="4736"/>
    <n v="25"/>
    <s v="Medium"/>
    <s v="Medium-Term"/>
    <s v="Review Required"/>
    <n v="4736"/>
  </r>
  <r>
    <s v="Bad"/>
    <x v="1"/>
    <s v="business"/>
    <s v="Less 100"/>
    <s v="male "/>
    <s v=" single"/>
    <x v="0"/>
    <x v="2"/>
    <n v="24"/>
    <n v="3161"/>
    <n v="31"/>
    <s v="Medium"/>
    <s v="Medium-Term"/>
    <s v="Review Required"/>
    <n v="3161"/>
  </r>
  <r>
    <s v="Bad"/>
    <x v="0"/>
    <s v="others"/>
    <s v="Less 100"/>
    <s v="female "/>
    <s v=" divorced/separated/married"/>
    <x v="1"/>
    <x v="0"/>
    <n v="48"/>
    <n v="18424"/>
    <n v="32"/>
    <s v="Hight"/>
    <s v="Long-Term"/>
    <s v="Review Required"/>
    <n v="18424"/>
  </r>
  <r>
    <s v="Bad"/>
    <x v="1"/>
    <s v="car (new)"/>
    <s v="Less 100"/>
    <s v="male "/>
    <s v=" single"/>
    <x v="1"/>
    <x v="0"/>
    <n v="6"/>
    <n v="14896"/>
    <n v="68"/>
    <s v="Hight"/>
    <s v="Low-Term"/>
    <s v="Review Required"/>
    <n v="14896"/>
  </r>
  <r>
    <s v="Bad"/>
    <x v="1"/>
    <s v="furniture/equipment"/>
    <s v="Up to 500"/>
    <s v="male "/>
    <s v=" divorced/separated"/>
    <x v="0"/>
    <x v="0"/>
    <n v="24"/>
    <n v="2359"/>
    <n v="33"/>
    <s v="Medium"/>
    <s v="Medium-Term"/>
    <s v="Review Required"/>
    <n v="2359"/>
  </r>
  <r>
    <s v="Bad"/>
    <x v="1"/>
    <s v="furniture/equipment"/>
    <s v="Less 100"/>
    <s v="male "/>
    <s v=" single"/>
    <x v="1"/>
    <x v="2"/>
    <n v="24"/>
    <n v="3345"/>
    <n v="39"/>
    <s v="Medium"/>
    <s v="Medium-Term"/>
    <s v="Review Required"/>
    <n v="3345"/>
  </r>
  <r>
    <s v="Bad"/>
    <x v="1"/>
    <s v="radio/television"/>
    <s v="Less 100"/>
    <s v="female "/>
    <s v=" divorced/separated/married"/>
    <x v="0"/>
    <x v="2"/>
    <n v="9"/>
    <n v="1366"/>
    <n v="22"/>
    <s v="Low"/>
    <s v="Low-Term"/>
    <s v="Review Required"/>
    <n v="1366"/>
  </r>
  <r>
    <s v="Bad"/>
    <x v="1"/>
    <s v="furniture/equipment"/>
    <s v="Less 100"/>
    <s v="male "/>
    <s v=" divorced/separated"/>
    <x v="0"/>
    <x v="0"/>
    <n v="24"/>
    <n v="6872"/>
    <n v="55"/>
    <s v="Hight"/>
    <s v="Medium-Term"/>
    <s v="Review Required"/>
    <n v="6872"/>
  </r>
  <r>
    <s v="Bad"/>
    <x v="1"/>
    <s v="car (new)"/>
    <s v="Less 100"/>
    <s v="male "/>
    <s v=" single"/>
    <x v="0"/>
    <x v="0"/>
    <n v="12"/>
    <n v="697"/>
    <n v="46"/>
    <s v="Low"/>
    <s v="Medium-Term"/>
    <s v="Review Required"/>
    <n v="697"/>
  </r>
  <r>
    <s v="Bad"/>
    <x v="1"/>
    <s v="car (used)"/>
    <s v="Less 100"/>
    <s v="male "/>
    <s v=" single"/>
    <x v="0"/>
    <x v="1"/>
    <n v="48"/>
    <n v="10297"/>
    <n v="39"/>
    <s v="Hight"/>
    <s v="Long-Term"/>
    <s v="Review Required"/>
    <n v="10297"/>
  </r>
  <r>
    <s v="Bad"/>
    <x v="0"/>
    <s v="radio/television"/>
    <s v="Less 100"/>
    <s v="female "/>
    <s v=" divorced/separated/married"/>
    <x v="0"/>
    <x v="0"/>
    <n v="9"/>
    <n v="1670"/>
    <n v="22"/>
    <s v="Low"/>
    <s v="Low-Term"/>
    <s v="Review Required"/>
    <n v="1670"/>
  </r>
  <r>
    <s v="Bad"/>
    <x v="0"/>
    <s v="radio/television"/>
    <s v="Up to 500"/>
    <s v="male "/>
    <s v=" single"/>
    <x v="1"/>
    <x v="0"/>
    <n v="30"/>
    <n v="1919"/>
    <n v="30"/>
    <s v="Low"/>
    <s v="Medium-Term"/>
    <s v="Review Required"/>
    <n v="1919"/>
  </r>
  <r>
    <s v="Bad"/>
    <x v="2"/>
    <s v="radio/television"/>
    <s v="Less 100"/>
    <s v="female "/>
    <s v=" divorced/separated/married"/>
    <x v="2"/>
    <x v="0"/>
    <n v="9"/>
    <n v="745"/>
    <n v="28"/>
    <s v="Low"/>
    <s v="Low-Term"/>
    <s v="Review Required"/>
    <n v="745"/>
  </r>
  <r>
    <s v="Bad"/>
    <x v="0"/>
    <s v="education"/>
    <s v="Less 100"/>
    <s v="male "/>
    <s v=" single"/>
    <x v="0"/>
    <x v="1"/>
    <n v="60"/>
    <n v="6288"/>
    <n v="42"/>
    <s v="Hight"/>
    <s v="Long-Term"/>
    <s v="Review Required"/>
    <n v="6288"/>
  </r>
  <r>
    <s v="Bad"/>
    <x v="1"/>
    <s v="furniture/equipment"/>
    <s v="Up to 1000"/>
    <s v="male "/>
    <s v=" single"/>
    <x v="0"/>
    <x v="1"/>
    <n v="24"/>
    <n v="3349"/>
    <n v="30"/>
    <s v="Medium"/>
    <s v="Medium-Term"/>
    <s v="Review Required"/>
    <n v="3349"/>
  </r>
  <r>
    <s v="Bad"/>
    <x v="3"/>
    <s v="furniture/equipment"/>
    <s v="Less 100"/>
    <s v="male "/>
    <s v=" married/widowed"/>
    <x v="2"/>
    <x v="0"/>
    <n v="18"/>
    <n v="1533"/>
    <n v="43"/>
    <s v="Low"/>
    <s v="Medium-Term"/>
    <s v="Review Required"/>
    <n v="1533"/>
  </r>
  <r>
    <s v="Bad"/>
    <x v="3"/>
    <s v="radio/television"/>
    <s v="Up to 500"/>
    <s v="male "/>
    <s v=" single"/>
    <x v="0"/>
    <x v="0"/>
    <n v="24"/>
    <n v="3621"/>
    <n v="31"/>
    <s v="Medium"/>
    <s v="Medium-Term"/>
    <s v="Review Required"/>
    <n v="3621"/>
  </r>
  <r>
    <s v="Bad"/>
    <x v="1"/>
    <s v="business"/>
    <s v="Less 100"/>
    <s v="male "/>
    <s v=" single"/>
    <x v="0"/>
    <x v="0"/>
    <n v="36"/>
    <n v="2145"/>
    <n v="24"/>
    <s v="Medium"/>
    <s v="Long-Term"/>
    <s v="Review Required"/>
    <n v="2145"/>
  </r>
  <r>
    <s v="Bad"/>
    <x v="0"/>
    <s v="car (used)"/>
    <s v="Up to 1000"/>
    <s v="female "/>
    <s v=" divorced/separated/married"/>
    <x v="0"/>
    <x v="2"/>
    <n v="24"/>
    <n v="4113"/>
    <n v="28"/>
    <s v="Medium"/>
    <s v="Medium-Term"/>
    <s v="Review Required"/>
    <n v="4113"/>
  </r>
  <r>
    <s v="Bad"/>
    <x v="3"/>
    <s v="furniture/equipment"/>
    <s v="Less 100"/>
    <s v="female "/>
    <s v=" divorced/separated/married"/>
    <x v="1"/>
    <x v="0"/>
    <n v="36"/>
    <n v="10974"/>
    <n v="26"/>
    <s v="Hight"/>
    <s v="Long-Term"/>
    <s v="Review Required"/>
    <n v="10974"/>
  </r>
  <r>
    <s v="Bad"/>
    <x v="1"/>
    <s v="car (new)"/>
    <s v="Less 100"/>
    <s v="male "/>
    <s v=" single"/>
    <x v="2"/>
    <x v="0"/>
    <n v="28"/>
    <n v="4006"/>
    <n v="45"/>
    <s v="Medium"/>
    <s v="Medium-Term"/>
    <s v="Review Required"/>
    <n v="4006"/>
  </r>
  <r>
    <s v="Bad"/>
    <x v="3"/>
    <s v="radio/television"/>
    <s v="Up to 1000"/>
    <s v="male "/>
    <s v=" single"/>
    <x v="0"/>
    <x v="0"/>
    <n v="24"/>
    <n v="2397"/>
    <n v="35"/>
    <s v="Medium"/>
    <s v="Medium-Term"/>
    <s v="Review Required"/>
    <n v="2397"/>
  </r>
  <r>
    <s v="Bad"/>
    <x v="0"/>
    <s v="radio/television"/>
    <s v="Up to 1000"/>
    <s v="male "/>
    <s v=" single"/>
    <x v="2"/>
    <x v="0"/>
    <n v="27"/>
    <n v="2520"/>
    <n v="23"/>
    <s v="Medium"/>
    <s v="Medium-Term"/>
    <s v="Review Required"/>
    <n v="2520"/>
  </r>
  <r>
    <s v="Bad"/>
    <x v="1"/>
    <s v="car (new)"/>
    <s v="Less 100"/>
    <s v="female "/>
    <s v=" divorced/separated/married"/>
    <x v="3"/>
    <x v="2"/>
    <n v="24"/>
    <n v="1193"/>
    <n v="29"/>
    <s v="Low"/>
    <s v="Medium-Term"/>
    <s v="Review Required"/>
    <n v="1193"/>
  </r>
  <r>
    <s v="Bad"/>
    <x v="1"/>
    <s v="business"/>
    <s v="Less 100"/>
    <s v="male "/>
    <s v=" single"/>
    <x v="0"/>
    <x v="2"/>
    <n v="60"/>
    <n v="7297"/>
    <n v="36"/>
    <s v="Hight"/>
    <s v="Long-Term"/>
    <s v="Review Required"/>
    <n v="7297"/>
  </r>
  <r>
    <s v="Bad"/>
    <x v="3"/>
    <s v="car (new)"/>
    <s v="Less 100"/>
    <s v="male "/>
    <s v=" single"/>
    <x v="2"/>
    <x v="0"/>
    <n v="24"/>
    <n v="2538"/>
    <n v="47"/>
    <s v="Medium"/>
    <s v="Medium-Term"/>
    <s v="Review Required"/>
    <n v="2538"/>
  </r>
  <r>
    <s v="Bad"/>
    <x v="0"/>
    <s v="car (new)"/>
    <s v="Up to 500"/>
    <s v="male "/>
    <s v=" married/widowed"/>
    <x v="0"/>
    <x v="2"/>
    <n v="15"/>
    <n v="1264"/>
    <n v="25"/>
    <s v="Low"/>
    <s v="Medium-Term"/>
    <s v="Review Required"/>
    <n v="1264"/>
  </r>
  <r>
    <s v="Bad"/>
    <x v="0"/>
    <s v="furniture/equipment"/>
    <s v="Less 100"/>
    <s v="male "/>
    <s v=" single"/>
    <x v="0"/>
    <x v="0"/>
    <n v="30"/>
    <n v="8386"/>
    <n v="49"/>
    <s v="Hight"/>
    <s v="Medium-Term"/>
    <s v="Review Required"/>
    <n v="8386"/>
  </r>
  <r>
    <s v="Bad"/>
    <x v="3"/>
    <s v="business"/>
    <s v="Less 100"/>
    <s v="male "/>
    <s v=" single"/>
    <x v="1"/>
    <x v="2"/>
    <n v="48"/>
    <n v="4844"/>
    <n v="33"/>
    <s v="Medium"/>
    <s v="Long-Term"/>
    <s v="Review Required"/>
    <n v="4844"/>
  </r>
  <r>
    <s v="Bad"/>
    <x v="1"/>
    <s v="car (used)"/>
    <s v="Less 100"/>
    <s v="male "/>
    <s v=" single"/>
    <x v="0"/>
    <x v="0"/>
    <n v="36"/>
    <n v="8229"/>
    <n v="26"/>
    <s v="Hight"/>
    <s v="Long-Term"/>
    <s v="Review Required"/>
    <n v="8229"/>
  </r>
  <r>
    <s v="Bad"/>
    <x v="1"/>
    <s v="radio/television"/>
    <s v="Less 100"/>
    <s v="male "/>
    <s v=" single"/>
    <x v="0"/>
    <x v="1"/>
    <n v="45"/>
    <n v="1845"/>
    <n v="23"/>
    <s v="Low"/>
    <s v="Long-Term"/>
    <s v="Review Required"/>
    <n v="1845"/>
  </r>
  <r>
    <s v="Good"/>
    <x v="1"/>
    <s v="radio/television"/>
    <s v="No information"/>
    <s v="male "/>
    <s v=" single"/>
    <x v="0"/>
    <x v="0"/>
    <n v="6"/>
    <n v="1169"/>
    <n v="67"/>
    <s v="Low"/>
    <s v="Low-Term"/>
    <s v="Standart Client"/>
    <m/>
  </r>
  <r>
    <s v="Good"/>
    <x v="3"/>
    <s v="education"/>
    <s v="Less 100"/>
    <s v="male "/>
    <s v=" single"/>
    <x v="2"/>
    <x v="0"/>
    <n v="12"/>
    <n v="2096"/>
    <n v="49"/>
    <s v="Medium"/>
    <s v="Medium-Term"/>
    <s v="Standart Client"/>
    <m/>
  </r>
  <r>
    <s v="Good"/>
    <x v="1"/>
    <s v="furniture/equipment"/>
    <s v="Less 100"/>
    <s v="male "/>
    <s v=" single"/>
    <x v="0"/>
    <x v="1"/>
    <n v="42"/>
    <n v="7882"/>
    <n v="45"/>
    <s v="Hight"/>
    <s v="Long-Term"/>
    <s v="VIP Client"/>
    <m/>
  </r>
  <r>
    <s v="Good"/>
    <x v="3"/>
    <s v="education"/>
    <s v="No information"/>
    <s v="male "/>
    <s v=" single"/>
    <x v="2"/>
    <x v="1"/>
    <n v="36"/>
    <n v="9055"/>
    <n v="35"/>
    <s v="Hight"/>
    <s v="Long-Term"/>
    <s v="VIP Client"/>
    <m/>
  </r>
  <r>
    <s v="Good"/>
    <x v="3"/>
    <s v="furniture/equipment"/>
    <s v="Up to 1000"/>
    <s v="male "/>
    <s v=" single"/>
    <x v="0"/>
    <x v="0"/>
    <n v="24"/>
    <n v="2835"/>
    <n v="53"/>
    <s v="Medium"/>
    <s v="Medium-Term"/>
    <s v="Standart Client"/>
    <m/>
  </r>
  <r>
    <s v="Good"/>
    <x v="0"/>
    <s v="car (used)"/>
    <s v="Less 100"/>
    <s v="male "/>
    <s v=" single"/>
    <x v="1"/>
    <x v="2"/>
    <n v="36"/>
    <n v="6948"/>
    <n v="35"/>
    <s v="Hight"/>
    <s v="Long-Term"/>
    <s v="Standart Client"/>
    <m/>
  </r>
  <r>
    <s v="Good"/>
    <x v="3"/>
    <s v="radio/television"/>
    <s v="More 1000"/>
    <s v="male "/>
    <s v=" divorced/separated"/>
    <x v="2"/>
    <x v="0"/>
    <n v="12"/>
    <n v="3059"/>
    <n v="61"/>
    <s v="Medium"/>
    <s v="Medium-Term"/>
    <s v="Standart Client"/>
    <m/>
  </r>
  <r>
    <s v="Good"/>
    <x v="0"/>
    <s v="radio/television"/>
    <s v="Less 100"/>
    <s v="female "/>
    <s v=" divorced/separated/married"/>
    <x v="0"/>
    <x v="0"/>
    <n v="12"/>
    <n v="1567"/>
    <n v="22"/>
    <s v="Low"/>
    <s v="Medium-Term"/>
    <s v="Standart Client"/>
    <m/>
  </r>
  <r>
    <s v="Good"/>
    <x v="1"/>
    <s v="car (new)"/>
    <s v="Less 100"/>
    <s v="female "/>
    <s v=" divorced/separated/married"/>
    <x v="0"/>
    <x v="2"/>
    <n v="15"/>
    <n v="1403"/>
    <n v="28"/>
    <s v="Low"/>
    <s v="Medium-Term"/>
    <s v="Standart Client"/>
    <m/>
  </r>
  <r>
    <s v="Good"/>
    <x v="3"/>
    <s v="radio/television"/>
    <s v="No information"/>
    <s v="male "/>
    <s v=" single"/>
    <x v="0"/>
    <x v="0"/>
    <n v="24"/>
    <n v="2424"/>
    <n v="53"/>
    <s v="Medium"/>
    <s v="Medium-Term"/>
    <s v="Standart Client"/>
    <m/>
  </r>
  <r>
    <s v="Good"/>
    <x v="1"/>
    <s v="business"/>
    <s v="No information"/>
    <s v="male "/>
    <s v=" single"/>
    <x v="0"/>
    <x v="0"/>
    <n v="30"/>
    <n v="8072"/>
    <n v="25"/>
    <s v="Hight"/>
    <s v="Medium-Term"/>
    <s v="VIP Client"/>
    <m/>
  </r>
  <r>
    <s v="Good"/>
    <x v="3"/>
    <s v="radio/television"/>
    <s v="Up to 1000"/>
    <s v="male "/>
    <s v=" single"/>
    <x v="0"/>
    <x v="0"/>
    <n v="24"/>
    <n v="3430"/>
    <n v="31"/>
    <s v="Medium"/>
    <s v="Medium-Term"/>
    <s v="Standart Client"/>
    <m/>
  </r>
  <r>
    <s v="Good"/>
    <x v="3"/>
    <s v="car (new)"/>
    <s v="Less 100"/>
    <s v="male "/>
    <s v=" single"/>
    <x v="0"/>
    <x v="0"/>
    <n v="9"/>
    <n v="2134"/>
    <n v="48"/>
    <s v="Medium"/>
    <s v="Low-Term"/>
    <s v="Standart Client"/>
    <m/>
  </r>
  <r>
    <s v="Good"/>
    <x v="1"/>
    <s v="radio/television"/>
    <s v="Up to 1000"/>
    <s v="male "/>
    <s v=" single"/>
    <x v="0"/>
    <x v="2"/>
    <n v="6"/>
    <n v="2647"/>
    <n v="44"/>
    <s v="Medium"/>
    <s v="Low-Term"/>
    <s v="Standart Client"/>
    <m/>
  </r>
  <r>
    <s v="Good"/>
    <x v="1"/>
    <s v="car (new)"/>
    <s v="Less 100"/>
    <s v="male "/>
    <s v=" single"/>
    <x v="2"/>
    <x v="2"/>
    <n v="10"/>
    <n v="2241"/>
    <n v="48"/>
    <s v="Medium"/>
    <s v="Low-Term"/>
    <s v="Standart Client"/>
    <m/>
  </r>
  <r>
    <s v="Good"/>
    <x v="0"/>
    <s v="car (used)"/>
    <s v="Up to 500"/>
    <s v="male "/>
    <s v=" single"/>
    <x v="0"/>
    <x v="0"/>
    <n v="12"/>
    <n v="1804"/>
    <n v="44"/>
    <s v="Low"/>
    <s v="Medium-Term"/>
    <s v="Standart Client"/>
    <m/>
  </r>
  <r>
    <s v="Good"/>
    <x v="3"/>
    <s v="furniture/equipment"/>
    <s v="No information"/>
    <s v="male "/>
    <s v=" married/widowed"/>
    <x v="0"/>
    <x v="0"/>
    <n v="10"/>
    <n v="2069"/>
    <n v="26"/>
    <s v="Medium"/>
    <s v="Low-Term"/>
    <s v="Standart Client"/>
    <m/>
  </r>
  <r>
    <s v="Good"/>
    <x v="1"/>
    <s v="furniture/equipment"/>
    <s v="Less 100"/>
    <s v="male "/>
    <s v=" single"/>
    <x v="2"/>
    <x v="0"/>
    <n v="6"/>
    <n v="1374"/>
    <n v="36"/>
    <s v="Low"/>
    <s v="Low-Term"/>
    <s v="Standart Client"/>
    <m/>
  </r>
  <r>
    <s v="Good"/>
    <x v="3"/>
    <s v="radio/television"/>
    <s v="Less 100"/>
    <s v="male "/>
    <s v=" married/widowed"/>
    <x v="2"/>
    <x v="0"/>
    <n v="6"/>
    <n v="426"/>
    <n v="39"/>
    <s v="Low"/>
    <s v="Low-Term"/>
    <s v="Standart Client"/>
    <m/>
  </r>
  <r>
    <s v="Good"/>
    <x v="2"/>
    <s v="radio/television"/>
    <s v="More 1000"/>
    <s v="female "/>
    <s v=" divorced/separated/married"/>
    <x v="0"/>
    <x v="2"/>
    <n v="12"/>
    <n v="409"/>
    <n v="42"/>
    <s v="Low"/>
    <s v="Medium-Term"/>
    <s v="Standart Client"/>
    <m/>
  </r>
  <r>
    <s v="Good"/>
    <x v="0"/>
    <s v="radio/television"/>
    <s v="Less 100"/>
    <s v="male "/>
    <s v=" single"/>
    <x v="0"/>
    <x v="0"/>
    <n v="7"/>
    <n v="2415"/>
    <n v="34"/>
    <s v="Medium"/>
    <s v="Low-Term"/>
    <s v="Standart Client"/>
    <m/>
  </r>
  <r>
    <s v="Good"/>
    <x v="0"/>
    <s v="business"/>
    <s v="More 1000"/>
    <s v="male "/>
    <s v=" married/widowed"/>
    <x v="0"/>
    <x v="0"/>
    <n v="18"/>
    <n v="1913"/>
    <n v="36"/>
    <s v="Low"/>
    <s v="Medium-Term"/>
    <s v="Standart Client"/>
    <m/>
  </r>
  <r>
    <s v="Good"/>
    <x v="1"/>
    <s v="furniture/equipment"/>
    <s v="Less 100"/>
    <s v="male "/>
    <s v=" single"/>
    <x v="0"/>
    <x v="0"/>
    <n v="24"/>
    <n v="4020"/>
    <n v="27"/>
    <s v="Medium"/>
    <s v="Medium-Term"/>
    <s v="Standart Client"/>
    <m/>
  </r>
  <r>
    <s v="Good"/>
    <x v="0"/>
    <s v="car (new)"/>
    <s v="Up to 500"/>
    <s v="male "/>
    <s v=" single"/>
    <x v="0"/>
    <x v="0"/>
    <n v="18"/>
    <n v="5866"/>
    <n v="30"/>
    <s v="Hight"/>
    <s v="Medium-Term"/>
    <s v="Standart Client"/>
    <m/>
  </r>
  <r>
    <s v="Good"/>
    <x v="3"/>
    <s v="business"/>
    <s v="No information"/>
    <s v="male "/>
    <s v=" single"/>
    <x v="2"/>
    <x v="2"/>
    <n v="12"/>
    <n v="1264"/>
    <n v="57"/>
    <s v="Low"/>
    <s v="Medium-Term"/>
    <s v="Standart Client"/>
    <m/>
  </r>
  <r>
    <s v="Good"/>
    <x v="2"/>
    <s v="furniture/equipment"/>
    <s v="Less 100"/>
    <s v="female "/>
    <s v=" divorced/separated/married"/>
    <x v="1"/>
    <x v="0"/>
    <n v="12"/>
    <n v="1474"/>
    <n v="33"/>
    <s v="Low"/>
    <s v="Medium-Term"/>
    <s v="Standart Client"/>
    <m/>
  </r>
  <r>
    <s v="Good"/>
    <x v="3"/>
    <s v="education"/>
    <s v="Less 100"/>
    <s v="male "/>
    <s v=" single"/>
    <x v="0"/>
    <x v="1"/>
    <n v="48"/>
    <n v="6110"/>
    <n v="31"/>
    <s v="Hight"/>
    <s v="Long-Term"/>
    <s v="Standart Client"/>
    <m/>
  </r>
  <r>
    <s v="Good"/>
    <x v="2"/>
    <s v="domestic appliances"/>
    <s v="Less 100"/>
    <s v="male "/>
    <s v=" single"/>
    <x v="0"/>
    <x v="0"/>
    <n v="10"/>
    <n v="1225"/>
    <n v="37"/>
    <s v="Low"/>
    <s v="Low-Term"/>
    <s v="Standart Client"/>
    <m/>
  </r>
  <r>
    <s v="Good"/>
    <x v="0"/>
    <s v="radio/television"/>
    <s v="Less 100"/>
    <s v="male "/>
    <s v=" single"/>
    <x v="0"/>
    <x v="0"/>
    <n v="9"/>
    <n v="458"/>
    <n v="24"/>
    <s v="Low"/>
    <s v="Low-Term"/>
    <s v="Standart Client"/>
    <m/>
  </r>
  <r>
    <s v="Good"/>
    <x v="3"/>
    <s v="radio/television"/>
    <s v="Up to 1000"/>
    <s v="male "/>
    <s v=" single"/>
    <x v="1"/>
    <x v="0"/>
    <n v="30"/>
    <n v="2333"/>
    <n v="30"/>
    <s v="Medium"/>
    <s v="Medium-Term"/>
    <s v="Standart Client"/>
    <m/>
  </r>
  <r>
    <s v="Good"/>
    <x v="0"/>
    <s v="radio/television"/>
    <s v="Up to 1000"/>
    <s v="male "/>
    <s v=" divorced/separated"/>
    <x v="0"/>
    <x v="0"/>
    <n v="12"/>
    <n v="1158"/>
    <n v="26"/>
    <s v="Low"/>
    <s v="Medium-Term"/>
    <s v="Standart Client"/>
    <m/>
  </r>
  <r>
    <s v="Good"/>
    <x v="0"/>
    <s v="repairs"/>
    <s v="Less 100"/>
    <s v="male "/>
    <s v=" single"/>
    <x v="2"/>
    <x v="0"/>
    <n v="18"/>
    <n v="6204"/>
    <n v="44"/>
    <s v="Hight"/>
    <s v="Medium-Term"/>
    <s v="Standart Client"/>
    <m/>
  </r>
  <r>
    <s v="Good"/>
    <x v="1"/>
    <s v="car (used)"/>
    <s v="Up to 500"/>
    <s v="male "/>
    <s v=" married/widowed"/>
    <x v="0"/>
    <x v="2"/>
    <n v="30"/>
    <n v="6187"/>
    <n v="24"/>
    <s v="Hight"/>
    <s v="Medium-Term"/>
    <s v="Standart Client"/>
    <m/>
  </r>
  <r>
    <s v="Good"/>
    <x v="3"/>
    <s v="car (new)"/>
    <s v="Less 100"/>
    <s v="female "/>
    <s v=" divorced/separated/married"/>
    <x v="1"/>
    <x v="0"/>
    <n v="11"/>
    <n v="1393"/>
    <n v="35"/>
    <s v="Low"/>
    <s v="Low-Term"/>
    <s v="Standart Client"/>
    <m/>
  </r>
  <r>
    <s v="Good"/>
    <x v="3"/>
    <s v="radio/television"/>
    <s v="Up to 1000"/>
    <s v="male "/>
    <s v=" single"/>
    <x v="0"/>
    <x v="0"/>
    <n v="36"/>
    <n v="2299"/>
    <n v="39"/>
    <s v="Medium"/>
    <s v="Long-Term"/>
    <s v="Standart Client"/>
    <m/>
  </r>
  <r>
    <s v="Good"/>
    <x v="1"/>
    <s v="car (used)"/>
    <s v="Up to 1000"/>
    <s v="female "/>
    <s v=" divorced/separated/married"/>
    <x v="3"/>
    <x v="2"/>
    <n v="6"/>
    <n v="1352"/>
    <n v="23"/>
    <s v="Low"/>
    <s v="Low-Term"/>
    <s v="Standart Client"/>
    <m/>
  </r>
  <r>
    <s v="Good"/>
    <x v="3"/>
    <s v="car (new)"/>
    <s v="Less 100"/>
    <s v="male "/>
    <s v=" single"/>
    <x v="2"/>
    <x v="0"/>
    <n v="11"/>
    <n v="7228"/>
    <n v="39"/>
    <s v="Hight"/>
    <s v="Low-Term"/>
    <s v="VIP Client"/>
    <m/>
  </r>
  <r>
    <s v="Good"/>
    <x v="3"/>
    <s v="radio/television"/>
    <s v="Up to 500"/>
    <s v="female "/>
    <s v=" divorced/separated/married"/>
    <x v="0"/>
    <x v="0"/>
    <n v="12"/>
    <n v="2073"/>
    <n v="28"/>
    <s v="Medium"/>
    <s v="Medium-Term"/>
    <s v="Standart Client"/>
    <m/>
  </r>
  <r>
    <s v="Good"/>
    <x v="0"/>
    <s v="furniture/equipment"/>
    <s v="No information"/>
    <s v="male "/>
    <s v=" single"/>
    <x v="2"/>
    <x v="0"/>
    <n v="24"/>
    <n v="2333"/>
    <n v="29"/>
    <s v="Medium"/>
    <s v="Medium-Term"/>
    <s v="Standart Client"/>
    <m/>
  </r>
  <r>
    <s v="Good"/>
    <x v="0"/>
    <s v="car (used)"/>
    <s v="Less 100"/>
    <s v="male "/>
    <s v=" single"/>
    <x v="1"/>
    <x v="0"/>
    <n v="27"/>
    <n v="5965"/>
    <n v="30"/>
    <s v="Hight"/>
    <s v="Medium-Term"/>
    <s v="Standart Client"/>
    <m/>
  </r>
  <r>
    <s v="Good"/>
    <x v="3"/>
    <s v="radio/television"/>
    <s v="Less 100"/>
    <s v="male "/>
    <s v=" single"/>
    <x v="0"/>
    <x v="0"/>
    <n v="12"/>
    <n v="1262"/>
    <n v="25"/>
    <s v="Low"/>
    <s v="Medium-Term"/>
    <s v="Standart Client"/>
    <m/>
  </r>
  <r>
    <s v="Good"/>
    <x v="3"/>
    <s v="car (used)"/>
    <s v="No information"/>
    <s v="male "/>
    <s v=" single"/>
    <x v="0"/>
    <x v="0"/>
    <n v="18"/>
    <n v="3378"/>
    <n v="31"/>
    <s v="Medium"/>
    <s v="Medium-Term"/>
    <s v="Standart Client"/>
    <m/>
  </r>
  <r>
    <s v="Good"/>
    <x v="3"/>
    <s v="car (new)"/>
    <s v="No information"/>
    <s v="male "/>
    <s v=" single"/>
    <x v="2"/>
    <x v="0"/>
    <n v="6"/>
    <n v="783"/>
    <n v="26"/>
    <s v="Low"/>
    <s v="Low-Term"/>
    <s v="Standart Client"/>
    <m/>
  </r>
  <r>
    <s v="Good"/>
    <x v="3"/>
    <s v="radio/television"/>
    <s v="Less 100"/>
    <s v="female "/>
    <s v=" divorced/separated/married"/>
    <x v="0"/>
    <x v="0"/>
    <n v="36"/>
    <n v="9566"/>
    <n v="31"/>
    <s v="Hight"/>
    <s v="Long-Term"/>
    <s v="VIP Client"/>
    <m/>
  </r>
  <r>
    <s v="Good"/>
    <x v="2"/>
    <s v="car (new)"/>
    <s v="Less 100"/>
    <s v="female "/>
    <s v=" divorced/separated/married"/>
    <x v="1"/>
    <x v="0"/>
    <n v="18"/>
    <n v="1961"/>
    <n v="23"/>
    <s v="Low"/>
    <s v="Medium-Term"/>
    <s v="Standart Client"/>
    <m/>
  </r>
  <r>
    <s v="Good"/>
    <x v="0"/>
    <s v="business"/>
    <s v="Less 100"/>
    <s v="male "/>
    <s v=" married/widowed"/>
    <x v="0"/>
    <x v="0"/>
    <n v="9"/>
    <n v="1391"/>
    <n v="27"/>
    <s v="Low"/>
    <s v="Low-Term"/>
    <s v="Standart Client"/>
    <m/>
  </r>
  <r>
    <s v="Good"/>
    <x v="0"/>
    <s v="radio/television"/>
    <s v="No information"/>
    <s v="male "/>
    <s v=" single"/>
    <x v="0"/>
    <x v="0"/>
    <n v="15"/>
    <n v="1537"/>
    <n v="50"/>
    <s v="Low"/>
    <s v="Medium-Term"/>
    <s v="Standart Client"/>
    <m/>
  </r>
  <r>
    <s v="Good"/>
    <x v="3"/>
    <s v="radio/television"/>
    <s v="Less 100"/>
    <s v="female "/>
    <s v=" divorced/separated/married"/>
    <x v="0"/>
    <x v="0"/>
    <n v="24"/>
    <n v="3181"/>
    <n v="26"/>
    <s v="Medium"/>
    <s v="Medium-Term"/>
    <s v="Standart Client"/>
    <m/>
  </r>
  <r>
    <s v="Good"/>
    <x v="3"/>
    <s v="repairs"/>
    <s v="No information"/>
    <s v="male "/>
    <s v=" single"/>
    <x v="0"/>
    <x v="0"/>
    <n v="27"/>
    <n v="5190"/>
    <n v="48"/>
    <s v="Hight"/>
    <s v="Medium-Term"/>
    <s v="Standart Client"/>
    <m/>
  </r>
  <r>
    <s v="Good"/>
    <x v="3"/>
    <s v="radio/television"/>
    <s v="Less 100"/>
    <s v="female "/>
    <s v=" divorced/separated/married"/>
    <x v="0"/>
    <x v="0"/>
    <n v="12"/>
    <n v="2171"/>
    <n v="29"/>
    <s v="Medium"/>
    <s v="Medium-Term"/>
    <s v="Standart Client"/>
    <m/>
  </r>
  <r>
    <s v="Good"/>
    <x v="0"/>
    <s v="car (new)"/>
    <s v="More 1000"/>
    <s v="male "/>
    <s v=" married/widowed"/>
    <x v="0"/>
    <x v="0"/>
    <n v="12"/>
    <n v="1007"/>
    <n v="22"/>
    <s v="Low"/>
    <s v="Medium-Term"/>
    <s v="Standart Client"/>
    <m/>
  </r>
  <r>
    <s v="Good"/>
    <x v="3"/>
    <s v="radio/television"/>
    <s v="No information"/>
    <s v="female "/>
    <s v=" divorced/separated/married"/>
    <x v="0"/>
    <x v="0"/>
    <n v="36"/>
    <n v="2394"/>
    <n v="25"/>
    <s v="Medium"/>
    <s v="Long-Term"/>
    <s v="Standart Client"/>
    <m/>
  </r>
  <r>
    <s v="Good"/>
    <x v="3"/>
    <s v="car (used)"/>
    <s v="Less 100"/>
    <s v="female "/>
    <s v=" divorced/separated/married"/>
    <x v="0"/>
    <x v="0"/>
    <n v="36"/>
    <n v="8133"/>
    <n v="30"/>
    <s v="Hight"/>
    <s v="Long-Term"/>
    <s v="VIP Client"/>
    <m/>
  </r>
  <r>
    <s v="Good"/>
    <x v="3"/>
    <s v="radio/television"/>
    <s v="No information"/>
    <s v="male "/>
    <s v=" single"/>
    <x v="2"/>
    <x v="2"/>
    <n v="7"/>
    <n v="730"/>
    <n v="46"/>
    <s v="Low"/>
    <s v="Low-Term"/>
    <s v="Standart Client"/>
    <m/>
  </r>
  <r>
    <s v="Good"/>
    <x v="1"/>
    <s v="others"/>
    <s v="Less 100"/>
    <s v="male "/>
    <s v=" single"/>
    <x v="1"/>
    <x v="1"/>
    <n v="8"/>
    <n v="1164"/>
    <n v="51"/>
    <s v="Low"/>
    <s v="Low-Term"/>
    <s v="Standart Client"/>
    <m/>
  </r>
  <r>
    <s v="Good"/>
    <x v="0"/>
    <s v="business"/>
    <s v="Less 100"/>
    <s v="female "/>
    <s v=" divorced/separated/married"/>
    <x v="2"/>
    <x v="0"/>
    <n v="42"/>
    <n v="5954"/>
    <n v="41"/>
    <s v="Hight"/>
    <s v="Long-Term"/>
    <s v="Standart Client"/>
    <m/>
  </r>
  <r>
    <s v="Good"/>
    <x v="1"/>
    <s v="car (used)"/>
    <s v="Less 100"/>
    <s v="male "/>
    <s v=" single"/>
    <x v="1"/>
    <x v="1"/>
    <n v="12"/>
    <n v="1526"/>
    <n v="66"/>
    <s v="Low"/>
    <s v="Medium-Term"/>
    <s v="Standart Client"/>
    <m/>
  </r>
  <r>
    <s v="Good"/>
    <x v="0"/>
    <s v="radio/television"/>
    <s v="Less 100"/>
    <s v="male "/>
    <s v=" single"/>
    <x v="0"/>
    <x v="0"/>
    <n v="11"/>
    <n v="4771"/>
    <n v="51"/>
    <s v="Medium"/>
    <s v="Low-Term"/>
    <s v="Standart Client"/>
    <m/>
  </r>
  <r>
    <s v="Good"/>
    <x v="3"/>
    <s v="car (used)"/>
    <s v="No information"/>
    <s v="male "/>
    <s v=" single"/>
    <x v="2"/>
    <x v="0"/>
    <n v="54"/>
    <n v="9436"/>
    <n v="39"/>
    <s v="Hight"/>
    <s v="Long-Term"/>
    <s v="VIP Client"/>
    <m/>
  </r>
  <r>
    <s v="Good"/>
    <x v="0"/>
    <s v="furniture/equipment"/>
    <s v="Less 100"/>
    <s v="male "/>
    <s v=" married/widowed"/>
    <x v="0"/>
    <x v="0"/>
    <n v="30"/>
    <n v="3832"/>
    <n v="22"/>
    <s v="Medium"/>
    <s v="Medium-Term"/>
    <s v="Standart Client"/>
    <m/>
  </r>
  <r>
    <s v="Good"/>
    <x v="3"/>
    <s v="radio/television"/>
    <s v="Up to 1000"/>
    <s v="male "/>
    <s v=" single"/>
    <x v="0"/>
    <x v="0"/>
    <n v="15"/>
    <n v="1213"/>
    <n v="47"/>
    <s v="Low"/>
    <s v="Medium-Term"/>
    <s v="Standart Client"/>
    <m/>
  </r>
  <r>
    <s v="Good"/>
    <x v="3"/>
    <s v="business"/>
    <s v="Up to 500"/>
    <s v="female "/>
    <s v=" divorced/separated/married"/>
    <x v="2"/>
    <x v="2"/>
    <n v="18"/>
    <n v="1568"/>
    <n v="24"/>
    <s v="Low"/>
    <s v="Medium-Term"/>
    <s v="Standart Client"/>
    <m/>
  </r>
  <r>
    <s v="Good"/>
    <x v="1"/>
    <s v="others"/>
    <s v="Less 100"/>
    <s v="female "/>
    <s v=" divorced/separated/married"/>
    <x v="2"/>
    <x v="0"/>
    <n v="24"/>
    <n v="1755"/>
    <n v="58"/>
    <s v="Low"/>
    <s v="Medium-Term"/>
    <s v="Standart Client"/>
    <m/>
  </r>
  <r>
    <s v="Good"/>
    <x v="1"/>
    <s v="radio/television"/>
    <s v="Less 100"/>
    <s v="male "/>
    <s v=" single"/>
    <x v="2"/>
    <x v="0"/>
    <n v="10"/>
    <n v="2315"/>
    <n v="52"/>
    <s v="Medium"/>
    <s v="Low-Term"/>
    <s v="Standart Client"/>
    <m/>
  </r>
  <r>
    <s v="Good"/>
    <x v="3"/>
    <s v="business"/>
    <s v="Less 100"/>
    <s v="female "/>
    <s v=" divorced/separated/married"/>
    <x v="1"/>
    <x v="0"/>
    <n v="12"/>
    <n v="1412"/>
    <n v="29"/>
    <s v="Low"/>
    <s v="Medium-Term"/>
    <s v="Standart Client"/>
    <m/>
  </r>
  <r>
    <s v="Good"/>
    <x v="0"/>
    <s v="furniture/equipment"/>
    <s v="Less 100"/>
    <s v="female "/>
    <s v=" divorced/separated/married"/>
    <x v="0"/>
    <x v="0"/>
    <n v="18"/>
    <n v="1295"/>
    <n v="27"/>
    <s v="Low"/>
    <s v="Medium-Term"/>
    <s v="Standart Client"/>
    <m/>
  </r>
  <r>
    <s v="Good"/>
    <x v="1"/>
    <s v="car (new)"/>
    <s v="Up to 500"/>
    <s v="male "/>
    <s v=" single"/>
    <x v="1"/>
    <x v="0"/>
    <n v="18"/>
    <n v="2249"/>
    <n v="30"/>
    <s v="Medium"/>
    <s v="Medium-Term"/>
    <s v="Standart Client"/>
    <m/>
  </r>
  <r>
    <s v="Good"/>
    <x v="3"/>
    <s v="radio/television"/>
    <s v="Less 100"/>
    <s v="male "/>
    <s v=" single"/>
    <x v="0"/>
    <x v="0"/>
    <n v="12"/>
    <n v="618"/>
    <n v="56"/>
    <s v="Low"/>
    <s v="Medium-Term"/>
    <s v="Standart Client"/>
    <m/>
  </r>
  <r>
    <s v="Good"/>
    <x v="1"/>
    <s v="car (used)"/>
    <s v="Less 100"/>
    <s v="male "/>
    <s v=" single"/>
    <x v="0"/>
    <x v="0"/>
    <n v="12"/>
    <n v="1409"/>
    <n v="54"/>
    <s v="Low"/>
    <s v="Medium-Term"/>
    <s v="Standart Client"/>
    <m/>
  </r>
  <r>
    <s v="Good"/>
    <x v="2"/>
    <s v="furniture/equipment"/>
    <s v="No information"/>
    <s v="male "/>
    <s v=" single"/>
    <x v="0"/>
    <x v="2"/>
    <n v="24"/>
    <n v="3617"/>
    <n v="20"/>
    <s v="Medium"/>
    <s v="Medium-Term"/>
    <s v="Standart Client"/>
    <m/>
  </r>
  <r>
    <s v="Good"/>
    <x v="0"/>
    <s v="car (new)"/>
    <s v="More 1000"/>
    <s v="male "/>
    <s v=" single"/>
    <x v="0"/>
    <x v="0"/>
    <n v="12"/>
    <n v="1318"/>
    <n v="54"/>
    <s v="Low"/>
    <s v="Medium-Term"/>
    <s v="Standart Client"/>
    <m/>
  </r>
  <r>
    <s v="Good"/>
    <x v="3"/>
    <s v="education"/>
    <s v="No information"/>
    <s v="female "/>
    <s v=" divorced/separated/married"/>
    <x v="0"/>
    <x v="0"/>
    <n v="12"/>
    <n v="2012"/>
    <n v="61"/>
    <s v="Medium"/>
    <s v="Medium-Term"/>
    <s v="Standart Client"/>
    <m/>
  </r>
  <r>
    <s v="Good"/>
    <x v="0"/>
    <s v="business"/>
    <s v="Up to 500"/>
    <s v="male "/>
    <s v=" single"/>
    <x v="0"/>
    <x v="0"/>
    <n v="18"/>
    <n v="2622"/>
    <n v="34"/>
    <s v="Medium"/>
    <s v="Medium-Term"/>
    <s v="Standart Client"/>
    <m/>
  </r>
  <r>
    <s v="Good"/>
    <x v="0"/>
    <s v="radio/television"/>
    <s v="Less 100"/>
    <s v="male "/>
    <s v=" single"/>
    <x v="0"/>
    <x v="0"/>
    <n v="36"/>
    <n v="2337"/>
    <n v="36"/>
    <s v="Medium"/>
    <s v="Long-Term"/>
    <s v="Standart Client"/>
    <m/>
  </r>
  <r>
    <s v="Good"/>
    <x v="0"/>
    <s v="car (used)"/>
    <s v="No information"/>
    <s v="male "/>
    <s v=" single"/>
    <x v="1"/>
    <x v="2"/>
    <n v="20"/>
    <n v="7057"/>
    <n v="36"/>
    <s v="Hight"/>
    <s v="Medium-Term"/>
    <s v="VIP Client"/>
    <m/>
  </r>
  <r>
    <s v="Good"/>
    <x v="3"/>
    <s v="car (new)"/>
    <s v="Up to 500"/>
    <s v="male "/>
    <s v=" married/widowed"/>
    <x v="2"/>
    <x v="2"/>
    <n v="24"/>
    <n v="1469"/>
    <n v="41"/>
    <s v="Low"/>
    <s v="Medium-Term"/>
    <s v="Standart Client"/>
    <m/>
  </r>
  <r>
    <s v="Good"/>
    <x v="0"/>
    <s v="radio/television"/>
    <s v="Less 100"/>
    <s v="male "/>
    <s v=" single"/>
    <x v="0"/>
    <x v="2"/>
    <n v="36"/>
    <n v="2323"/>
    <n v="24"/>
    <s v="Medium"/>
    <s v="Long-Term"/>
    <s v="Standart Client"/>
    <m/>
  </r>
  <r>
    <s v="Good"/>
    <x v="3"/>
    <s v="radio/television"/>
    <s v="Less 100"/>
    <s v="female "/>
    <s v=" divorced/separated/married"/>
    <x v="0"/>
    <x v="0"/>
    <n v="6"/>
    <n v="932"/>
    <n v="24"/>
    <s v="Low"/>
    <s v="Low-Term"/>
    <s v="Standart Client"/>
    <m/>
  </r>
  <r>
    <s v="Good"/>
    <x v="0"/>
    <s v="furniture/equipment"/>
    <s v="Less 100"/>
    <s v="male "/>
    <s v=" single"/>
    <x v="0"/>
    <x v="2"/>
    <n v="9"/>
    <n v="1919"/>
    <n v="35"/>
    <s v="Low"/>
    <s v="Low-Term"/>
    <s v="Standart Client"/>
    <m/>
  </r>
  <r>
    <s v="Good"/>
    <x v="3"/>
    <s v="car (used)"/>
    <s v="No information"/>
    <s v="male "/>
    <s v=" married/widowed"/>
    <x v="0"/>
    <x v="2"/>
    <n v="12"/>
    <n v="2445"/>
    <n v="26"/>
    <s v="Medium"/>
    <s v="Medium-Term"/>
    <s v="Standart Client"/>
    <m/>
  </r>
  <r>
    <s v="Good"/>
    <x v="0"/>
    <s v="car (new)"/>
    <s v="Less 100"/>
    <s v="male "/>
    <s v=" single"/>
    <x v="0"/>
    <x v="0"/>
    <n v="12"/>
    <n v="6078"/>
    <n v="32"/>
    <s v="Hight"/>
    <s v="Medium-Term"/>
    <s v="Standart Client"/>
    <m/>
  </r>
  <r>
    <s v="Good"/>
    <x v="1"/>
    <s v="furniture/equipment"/>
    <s v="No information"/>
    <s v="female "/>
    <s v=" divorced/separated/married"/>
    <x v="0"/>
    <x v="0"/>
    <n v="24"/>
    <n v="7721"/>
    <n v="30"/>
    <s v="Hight"/>
    <s v="Medium-Term"/>
    <s v="VIP Client"/>
    <m/>
  </r>
  <r>
    <s v="Good"/>
    <x v="0"/>
    <s v="business"/>
    <s v="Up to 1000"/>
    <s v="male "/>
    <s v=" married/widowed"/>
    <x v="0"/>
    <x v="0"/>
    <n v="14"/>
    <n v="1410"/>
    <n v="35"/>
    <s v="Low"/>
    <s v="Medium-Term"/>
    <s v="Standart Client"/>
    <m/>
  </r>
  <r>
    <s v="Good"/>
    <x v="0"/>
    <s v="business"/>
    <s v="Up to 500"/>
    <s v="male "/>
    <s v=" divorced/separated"/>
    <x v="0"/>
    <x v="0"/>
    <n v="6"/>
    <n v="1449"/>
    <n v="31"/>
    <s v="Low"/>
    <s v="Low-Term"/>
    <s v="Standart Client"/>
    <m/>
  </r>
  <r>
    <s v="Good"/>
    <x v="2"/>
    <s v="education"/>
    <s v="Less 100"/>
    <s v="female "/>
    <s v=" divorced/separated/married"/>
    <x v="0"/>
    <x v="2"/>
    <n v="15"/>
    <n v="392"/>
    <n v="23"/>
    <s v="Low"/>
    <s v="Medium-Term"/>
    <s v="Standart Client"/>
    <m/>
  </r>
  <r>
    <s v="Good"/>
    <x v="0"/>
    <s v="car (new)"/>
    <s v="Less 100"/>
    <s v="male "/>
    <s v=" single"/>
    <x v="2"/>
    <x v="2"/>
    <n v="18"/>
    <n v="6260"/>
    <n v="28"/>
    <s v="Hight"/>
    <s v="Medium-Term"/>
    <s v="Standart Client"/>
    <m/>
  </r>
  <r>
    <s v="Good"/>
    <x v="1"/>
    <s v="radio/television"/>
    <s v="Up to 1000"/>
    <s v="male "/>
    <s v=" married/widowed"/>
    <x v="0"/>
    <x v="0"/>
    <n v="12"/>
    <n v="1680"/>
    <n v="35"/>
    <s v="Low"/>
    <s v="Medium-Term"/>
    <s v="Standart Client"/>
    <m/>
  </r>
  <r>
    <s v="Good"/>
    <x v="3"/>
    <s v="radio/television"/>
    <s v="No information"/>
    <s v="male "/>
    <s v=" single"/>
    <x v="0"/>
    <x v="0"/>
    <n v="48"/>
    <n v="3578"/>
    <n v="47"/>
    <s v="Medium"/>
    <s v="Long-Term"/>
    <s v="Standart Client"/>
    <m/>
  </r>
  <r>
    <s v="Good"/>
    <x v="1"/>
    <s v="furniture/equipment"/>
    <s v="No information"/>
    <s v="female "/>
    <s v=" divorced/separated/married"/>
    <x v="0"/>
    <x v="2"/>
    <n v="10"/>
    <n v="2132"/>
    <n v="27"/>
    <s v="Medium"/>
    <s v="Low-Term"/>
    <s v="Standart Client"/>
    <m/>
  </r>
  <r>
    <s v="Good"/>
    <x v="0"/>
    <s v="car (new)"/>
    <s v="Up to 1000"/>
    <s v="male "/>
    <s v=" divorced/separated"/>
    <x v="1"/>
    <x v="0"/>
    <n v="12"/>
    <n v="2366"/>
    <n v="36"/>
    <s v="Medium"/>
    <s v="Medium-Term"/>
    <s v="Standart Client"/>
    <m/>
  </r>
  <r>
    <s v="Good"/>
    <x v="3"/>
    <s v="car (used)"/>
    <s v="Less 100"/>
    <s v="female "/>
    <s v=" divorced/separated/married"/>
    <x v="1"/>
    <x v="2"/>
    <n v="24"/>
    <n v="3868"/>
    <n v="41"/>
    <s v="Medium"/>
    <s v="Medium-Term"/>
    <s v="Standart Client"/>
    <m/>
  </r>
  <r>
    <s v="Good"/>
    <x v="3"/>
    <s v="furniture/equipment"/>
    <s v="Less 100"/>
    <s v="male "/>
    <s v=" single"/>
    <x v="2"/>
    <x v="2"/>
    <n v="12"/>
    <n v="1768"/>
    <n v="24"/>
    <s v="Low"/>
    <s v="Medium-Term"/>
    <s v="Standart Client"/>
    <m/>
  </r>
  <r>
    <s v="Good"/>
    <x v="2"/>
    <s v="car (new)"/>
    <s v="Less 100"/>
    <s v="male "/>
    <s v=" single"/>
    <x v="0"/>
    <x v="1"/>
    <n v="10"/>
    <n v="781"/>
    <n v="63"/>
    <s v="Low"/>
    <s v="Low-Term"/>
    <s v="Standart Client"/>
    <m/>
  </r>
  <r>
    <s v="Good"/>
    <x v="1"/>
    <s v="car (new)"/>
    <s v="Less 100"/>
    <s v="male "/>
    <s v=" single"/>
    <x v="0"/>
    <x v="0"/>
    <n v="12"/>
    <n v="2121"/>
    <n v="30"/>
    <s v="Medium"/>
    <s v="Medium-Term"/>
    <s v="Standart Client"/>
    <m/>
  </r>
  <r>
    <s v="Good"/>
    <x v="1"/>
    <s v="radio/television"/>
    <s v="Less 100"/>
    <s v="male "/>
    <s v=" married/widowed"/>
    <x v="2"/>
    <x v="0"/>
    <n v="12"/>
    <n v="701"/>
    <n v="40"/>
    <s v="Low"/>
    <s v="Medium-Term"/>
    <s v="Standart Client"/>
    <m/>
  </r>
  <r>
    <s v="Good"/>
    <x v="0"/>
    <s v="car (used)"/>
    <s v="Less 100"/>
    <s v="male "/>
    <s v=" single"/>
    <x v="1"/>
    <x v="0"/>
    <n v="12"/>
    <n v="1860"/>
    <n v="34"/>
    <s v="Low"/>
    <s v="Medium-Term"/>
    <s v="Standart Client"/>
    <m/>
  </r>
  <r>
    <s v="Good"/>
    <x v="0"/>
    <s v="car (new)"/>
    <s v="No information"/>
    <s v="female "/>
    <s v=" divorced/separated/married"/>
    <x v="0"/>
    <x v="0"/>
    <n v="48"/>
    <n v="8487"/>
    <n v="24"/>
    <s v="Hight"/>
    <s v="Long-Term"/>
    <s v="VIP Client"/>
    <m/>
  </r>
  <r>
    <s v="Good"/>
    <x v="3"/>
    <s v="furniture/equipment"/>
    <s v="Less 100"/>
    <s v="male "/>
    <s v=" single"/>
    <x v="2"/>
    <x v="0"/>
    <n v="15"/>
    <n v="2708"/>
    <n v="27"/>
    <s v="Medium"/>
    <s v="Medium-Term"/>
    <s v="Standart Client"/>
    <m/>
  </r>
  <r>
    <s v="Good"/>
    <x v="3"/>
    <s v="furniture/equipment"/>
    <s v="Less 100"/>
    <s v="male "/>
    <s v=" single"/>
    <x v="0"/>
    <x v="1"/>
    <n v="18"/>
    <n v="1984"/>
    <n v="47"/>
    <s v="Low"/>
    <s v="Medium-Term"/>
    <s v="Standart Client"/>
    <m/>
  </r>
  <r>
    <s v="Good"/>
    <x v="3"/>
    <s v="radio/television"/>
    <s v="Up to 500"/>
    <s v="female "/>
    <s v=" divorced/separated/married"/>
    <x v="0"/>
    <x v="0"/>
    <n v="60"/>
    <n v="10144"/>
    <n v="21"/>
    <s v="Hight"/>
    <s v="Long-Term"/>
    <s v="VIP Client"/>
    <m/>
  </r>
  <r>
    <s v="Good"/>
    <x v="3"/>
    <s v="radio/television"/>
    <s v="No information"/>
    <s v="female "/>
    <s v=" divorced/separated/married"/>
    <x v="0"/>
    <x v="0"/>
    <n v="12"/>
    <n v="1240"/>
    <n v="38"/>
    <s v="Low"/>
    <s v="Medium-Term"/>
    <s v="Standart Client"/>
    <m/>
  </r>
  <r>
    <s v="Good"/>
    <x v="3"/>
    <s v="car (used)"/>
    <s v="More 1000"/>
    <s v="male "/>
    <s v=" single"/>
    <x v="0"/>
    <x v="0"/>
    <n v="27"/>
    <n v="8613"/>
    <n v="27"/>
    <s v="Hight"/>
    <s v="Medium-Term"/>
    <s v="VIP Client"/>
    <m/>
  </r>
  <r>
    <s v="Good"/>
    <x v="0"/>
    <s v="radio/television"/>
    <s v="No information"/>
    <s v="male "/>
    <s v=" single"/>
    <x v="0"/>
    <x v="0"/>
    <n v="15"/>
    <n v="2728"/>
    <n v="35"/>
    <s v="Medium"/>
    <s v="Medium-Term"/>
    <s v="Standart Client"/>
    <m/>
  </r>
  <r>
    <s v="Good"/>
    <x v="2"/>
    <s v="radio/television"/>
    <s v="Less 100"/>
    <s v="female "/>
    <s v=" divorced/separated/married"/>
    <x v="2"/>
    <x v="2"/>
    <n v="12"/>
    <n v="1881"/>
    <n v="44"/>
    <s v="Low"/>
    <s v="Medium-Term"/>
    <s v="Standart Client"/>
    <m/>
  </r>
  <r>
    <s v="Good"/>
    <x v="2"/>
    <s v="car (new)"/>
    <s v="More 1000"/>
    <s v="male "/>
    <s v=" married/widowed"/>
    <x v="3"/>
    <x v="0"/>
    <n v="6"/>
    <n v="709"/>
    <n v="27"/>
    <s v="Low"/>
    <s v="Low-Term"/>
    <s v="Standart Client"/>
    <m/>
  </r>
  <r>
    <s v="Good"/>
    <x v="0"/>
    <s v="radio/television"/>
    <s v="Less 100"/>
    <s v="female "/>
    <s v=" divorced/separated/married"/>
    <x v="1"/>
    <x v="0"/>
    <n v="36"/>
    <n v="4795"/>
    <n v="30"/>
    <s v="Medium"/>
    <s v="Long-Term"/>
    <s v="Standart Client"/>
    <m/>
  </r>
  <r>
    <s v="Good"/>
    <x v="1"/>
    <s v="radio/television"/>
    <s v="Less 100"/>
    <s v="male "/>
    <s v=" single"/>
    <x v="1"/>
    <x v="0"/>
    <n v="27"/>
    <n v="3416"/>
    <n v="27"/>
    <s v="Medium"/>
    <s v="Medium-Term"/>
    <s v="Standart Client"/>
    <m/>
  </r>
  <r>
    <s v="Good"/>
    <x v="3"/>
    <s v="furniture/equipment"/>
    <s v="Less 100"/>
    <s v="female "/>
    <s v=" divorced/separated/married"/>
    <x v="0"/>
    <x v="0"/>
    <n v="21"/>
    <n v="2288"/>
    <n v="23"/>
    <s v="Medium"/>
    <s v="Medium-Term"/>
    <s v="Standart Client"/>
    <m/>
  </r>
  <r>
    <s v="Good"/>
    <x v="0"/>
    <s v="business"/>
    <s v="Up to 500"/>
    <s v="male "/>
    <s v=" single"/>
    <x v="0"/>
    <x v="0"/>
    <n v="48"/>
    <n v="3566"/>
    <n v="30"/>
    <s v="Medium"/>
    <s v="Long-Term"/>
    <s v="Standart Client"/>
    <m/>
  </r>
  <r>
    <s v="Good"/>
    <x v="1"/>
    <s v="car (new)"/>
    <s v="Less 100"/>
    <s v="female "/>
    <s v=" divorced/separated/married"/>
    <x v="0"/>
    <x v="0"/>
    <n v="6"/>
    <n v="860"/>
    <n v="39"/>
    <s v="Low"/>
    <s v="Low-Term"/>
    <s v="Standart Client"/>
    <m/>
  </r>
  <r>
    <s v="Good"/>
    <x v="3"/>
    <s v="car (new)"/>
    <s v="Up to 500"/>
    <s v="female "/>
    <s v=" divorced/separated/married"/>
    <x v="0"/>
    <x v="0"/>
    <n v="12"/>
    <n v="682"/>
    <n v="51"/>
    <s v="Low"/>
    <s v="Medium-Term"/>
    <s v="Standart Client"/>
    <m/>
  </r>
  <r>
    <s v="Good"/>
    <x v="1"/>
    <s v="furniture/equipment"/>
    <s v="Less 100"/>
    <s v="male "/>
    <s v=" single"/>
    <x v="0"/>
    <x v="0"/>
    <n v="36"/>
    <n v="5371"/>
    <n v="28"/>
    <s v="Hight"/>
    <s v="Long-Term"/>
    <s v="Standart Client"/>
    <m/>
  </r>
  <r>
    <s v="Good"/>
    <x v="3"/>
    <s v="radio/television"/>
    <s v="More 1000"/>
    <s v="male "/>
    <s v=" single"/>
    <x v="0"/>
    <x v="0"/>
    <n v="18"/>
    <n v="1582"/>
    <n v="46"/>
    <s v="Low"/>
    <s v="Medium-Term"/>
    <s v="Standart Client"/>
    <m/>
  </r>
  <r>
    <s v="Good"/>
    <x v="3"/>
    <s v="radio/television"/>
    <s v="Up to 500"/>
    <s v="male "/>
    <s v=" single"/>
    <x v="0"/>
    <x v="1"/>
    <n v="6"/>
    <n v="1346"/>
    <n v="42"/>
    <s v="Low"/>
    <s v="Low-Term"/>
    <s v="Standart Client"/>
    <m/>
  </r>
  <r>
    <s v="Good"/>
    <x v="3"/>
    <s v="radio/television"/>
    <s v="Less 100"/>
    <s v="male "/>
    <s v=" single"/>
    <x v="0"/>
    <x v="0"/>
    <n v="10"/>
    <n v="1924"/>
    <n v="38"/>
    <s v="Low"/>
    <s v="Low-Term"/>
    <s v="Standart Client"/>
    <m/>
  </r>
  <r>
    <s v="Good"/>
    <x v="2"/>
    <s v="radio/television"/>
    <s v="Less 100"/>
    <s v="male "/>
    <s v=" single"/>
    <x v="0"/>
    <x v="0"/>
    <n v="36"/>
    <n v="5848"/>
    <n v="24"/>
    <s v="Hight"/>
    <s v="Long-Term"/>
    <s v="Standart Client"/>
    <m/>
  </r>
  <r>
    <s v="Good"/>
    <x v="0"/>
    <s v="car (used)"/>
    <s v="More 1000"/>
    <s v="female "/>
    <s v=" divorced/separated/married"/>
    <x v="0"/>
    <x v="2"/>
    <n v="24"/>
    <n v="7758"/>
    <n v="29"/>
    <s v="Hight"/>
    <s v="Medium-Term"/>
    <s v="VIP Client"/>
    <m/>
  </r>
  <r>
    <s v="Good"/>
    <x v="0"/>
    <s v="business"/>
    <s v="Up to 500"/>
    <s v="male "/>
    <s v=" single"/>
    <x v="1"/>
    <x v="2"/>
    <n v="24"/>
    <n v="6967"/>
    <n v="36"/>
    <s v="Hight"/>
    <s v="Medium-Term"/>
    <s v="Standart Client"/>
    <m/>
  </r>
  <r>
    <s v="Good"/>
    <x v="1"/>
    <s v="repairs"/>
    <s v="Up to 500"/>
    <s v="male "/>
    <s v=" single"/>
    <x v="0"/>
    <x v="0"/>
    <n v="9"/>
    <n v="1288"/>
    <n v="48"/>
    <s v="Low"/>
    <s v="Low-Term"/>
    <s v="Standart Client"/>
    <m/>
  </r>
  <r>
    <s v="Good"/>
    <x v="1"/>
    <s v="retraining"/>
    <s v="Less 100"/>
    <s v="male "/>
    <s v=" married/widowed"/>
    <x v="2"/>
    <x v="0"/>
    <n v="12"/>
    <n v="339"/>
    <n v="45"/>
    <s v="Low"/>
    <s v="Medium-Term"/>
    <s v="Standart Client"/>
    <m/>
  </r>
  <r>
    <s v="Good"/>
    <x v="0"/>
    <s v="car (new)"/>
    <s v="Up to 500"/>
    <s v="male "/>
    <s v=" single"/>
    <x v="0"/>
    <x v="0"/>
    <n v="24"/>
    <n v="3512"/>
    <n v="38"/>
    <s v="Medium"/>
    <s v="Medium-Term"/>
    <s v="Standart Client"/>
    <m/>
  </r>
  <r>
    <s v="Good"/>
    <x v="3"/>
    <s v="radio/television"/>
    <s v="No information"/>
    <s v="male "/>
    <s v=" single"/>
    <x v="2"/>
    <x v="0"/>
    <n v="6"/>
    <n v="1898"/>
    <n v="34"/>
    <s v="Low"/>
    <s v="Low-Term"/>
    <s v="Standart Client"/>
    <m/>
  </r>
  <r>
    <s v="Good"/>
    <x v="3"/>
    <s v="radio/television"/>
    <s v="Up to 500"/>
    <s v="male "/>
    <s v=" single"/>
    <x v="0"/>
    <x v="0"/>
    <n v="24"/>
    <n v="2872"/>
    <n v="36"/>
    <s v="Medium"/>
    <s v="Medium-Term"/>
    <s v="Standart Client"/>
    <m/>
  </r>
  <r>
    <s v="Good"/>
    <x v="3"/>
    <s v="car (new)"/>
    <s v="Less 100"/>
    <s v="female "/>
    <s v=" divorced/separated/married"/>
    <x v="0"/>
    <x v="0"/>
    <n v="18"/>
    <n v="1055"/>
    <n v="30"/>
    <s v="Low"/>
    <s v="Medium-Term"/>
    <s v="Standart Client"/>
    <m/>
  </r>
  <r>
    <s v="Good"/>
    <x v="3"/>
    <s v="domestic appliances"/>
    <s v="Up to 1000"/>
    <s v="male "/>
    <s v=" single"/>
    <x v="0"/>
    <x v="0"/>
    <n v="15"/>
    <n v="1262"/>
    <n v="36"/>
    <s v="Low"/>
    <s v="Medium-Term"/>
    <s v="Standart Client"/>
    <m/>
  </r>
  <r>
    <s v="Good"/>
    <x v="0"/>
    <s v="car (new)"/>
    <s v="Less 100"/>
    <s v="male "/>
    <s v=" single"/>
    <x v="1"/>
    <x v="1"/>
    <n v="10"/>
    <n v="7308"/>
    <n v="70"/>
    <s v="Hight"/>
    <s v="Low-Term"/>
    <s v="VIP Client"/>
    <m/>
  </r>
  <r>
    <s v="Good"/>
    <x v="3"/>
    <s v="car (new)"/>
    <s v="Up to 1000"/>
    <s v="male "/>
    <s v=" single"/>
    <x v="0"/>
    <x v="0"/>
    <n v="36"/>
    <n v="909"/>
    <n v="36"/>
    <s v="Low"/>
    <s v="Long-Term"/>
    <s v="Standart Client"/>
    <m/>
  </r>
  <r>
    <s v="Good"/>
    <x v="3"/>
    <s v="furniture/equipment"/>
    <s v="Up to 1000"/>
    <s v="male "/>
    <s v=" single"/>
    <x v="0"/>
    <x v="0"/>
    <n v="6"/>
    <n v="2978"/>
    <n v="32"/>
    <s v="Medium"/>
    <s v="Low-Term"/>
    <s v="Standart Client"/>
    <m/>
  </r>
  <r>
    <s v="Good"/>
    <x v="0"/>
    <s v="furniture/equipment"/>
    <s v="More 1000"/>
    <s v="female "/>
    <s v=" divorced/separated/married"/>
    <x v="0"/>
    <x v="0"/>
    <n v="11"/>
    <n v="1577"/>
    <n v="20"/>
    <s v="Low"/>
    <s v="Low-Term"/>
    <s v="Standart Client"/>
    <m/>
  </r>
  <r>
    <s v="Good"/>
    <x v="3"/>
    <s v="furniture/equipment"/>
    <s v="Less 100"/>
    <s v="female "/>
    <s v=" divorced/separated/married"/>
    <x v="0"/>
    <x v="2"/>
    <n v="24"/>
    <n v="3972"/>
    <n v="25"/>
    <s v="Medium"/>
    <s v="Medium-Term"/>
    <s v="Standart Client"/>
    <m/>
  </r>
  <r>
    <s v="Good"/>
    <x v="3"/>
    <s v="furniture/equipment"/>
    <s v="Less 100"/>
    <s v="female "/>
    <s v=" divorced/separated/married"/>
    <x v="0"/>
    <x v="0"/>
    <n v="12"/>
    <n v="763"/>
    <n v="26"/>
    <s v="Low"/>
    <s v="Medium-Term"/>
    <s v="Standart Client"/>
    <m/>
  </r>
  <r>
    <s v="Good"/>
    <x v="0"/>
    <s v="radio/television"/>
    <s v="Less 100"/>
    <s v="male "/>
    <s v=" single"/>
    <x v="0"/>
    <x v="0"/>
    <n v="8"/>
    <n v="1414"/>
    <n v="33"/>
    <s v="Low"/>
    <s v="Low-Term"/>
    <s v="Standart Client"/>
    <m/>
  </r>
  <r>
    <s v="Good"/>
    <x v="1"/>
    <s v="furniture/equipment"/>
    <s v="Less 100"/>
    <s v="male "/>
    <s v=" divorced/separated"/>
    <x v="0"/>
    <x v="0"/>
    <n v="12"/>
    <n v="2577"/>
    <n v="42"/>
    <s v="Medium"/>
    <s v="Medium-Term"/>
    <s v="Standart Client"/>
    <m/>
  </r>
  <r>
    <s v="Good"/>
    <x v="1"/>
    <s v="radio/television"/>
    <s v="Up to 1000"/>
    <s v="male "/>
    <s v=" single"/>
    <x v="0"/>
    <x v="0"/>
    <n v="6"/>
    <n v="338"/>
    <n v="52"/>
    <s v="Low"/>
    <s v="Low-Term"/>
    <s v="Standart Client"/>
    <m/>
  </r>
  <r>
    <s v="Good"/>
    <x v="3"/>
    <s v="radio/television"/>
    <s v="Less 100"/>
    <s v="male "/>
    <s v=" single"/>
    <x v="1"/>
    <x v="2"/>
    <n v="12"/>
    <n v="1963"/>
    <n v="31"/>
    <s v="Low"/>
    <s v="Medium-Term"/>
    <s v="Standart Client"/>
    <m/>
  </r>
  <r>
    <s v="Good"/>
    <x v="1"/>
    <s v="car (new)"/>
    <s v="Less 100"/>
    <s v="male "/>
    <s v=" single"/>
    <x v="0"/>
    <x v="0"/>
    <n v="21"/>
    <n v="571"/>
    <n v="65"/>
    <s v="Low"/>
    <s v="Medium-Term"/>
    <s v="Standart Client"/>
    <m/>
  </r>
  <r>
    <s v="Good"/>
    <x v="3"/>
    <s v="furniture/equipment"/>
    <s v="More 1000"/>
    <s v="male "/>
    <s v=" single"/>
    <x v="0"/>
    <x v="0"/>
    <n v="24"/>
    <n v="3777"/>
    <n v="50"/>
    <s v="Medium"/>
    <s v="Medium-Term"/>
    <s v="Standart Client"/>
    <m/>
  </r>
  <r>
    <s v="Good"/>
    <x v="3"/>
    <s v="radio/television"/>
    <s v="Less 100"/>
    <s v="male "/>
    <s v=" single"/>
    <x v="0"/>
    <x v="0"/>
    <n v="15"/>
    <n v="1360"/>
    <n v="31"/>
    <s v="Low"/>
    <s v="Medium-Term"/>
    <s v="Standart Client"/>
    <m/>
  </r>
  <r>
    <s v="Good"/>
    <x v="0"/>
    <s v="car (new)"/>
    <s v="Less 100"/>
    <s v="male "/>
    <s v=" single"/>
    <x v="3"/>
    <x v="1"/>
    <n v="16"/>
    <n v="1175"/>
    <n v="68"/>
    <s v="Low"/>
    <s v="Medium-Term"/>
    <s v="Standart Client"/>
    <m/>
  </r>
  <r>
    <s v="Good"/>
    <x v="0"/>
    <s v="furniture/equipment"/>
    <s v="Less 100"/>
    <s v="female "/>
    <s v=" divorced/separated/married"/>
    <x v="0"/>
    <x v="0"/>
    <n v="18"/>
    <n v="3244"/>
    <n v="33"/>
    <s v="Medium"/>
    <s v="Medium-Term"/>
    <s v="Standart Client"/>
    <m/>
  </r>
  <r>
    <s v="Good"/>
    <x v="3"/>
    <s v="radio/television"/>
    <s v="Less 100"/>
    <s v="male "/>
    <s v=" married/widowed"/>
    <x v="0"/>
    <x v="2"/>
    <n v="6"/>
    <n v="2108"/>
    <n v="29"/>
    <s v="Medium"/>
    <s v="Low-Term"/>
    <s v="Standart Client"/>
    <m/>
  </r>
  <r>
    <s v="Good"/>
    <x v="3"/>
    <s v="radio/television"/>
    <s v="Less 100"/>
    <s v="female "/>
    <s v=" divorced/separated/married"/>
    <x v="0"/>
    <x v="0"/>
    <n v="6"/>
    <n v="1382"/>
    <n v="28"/>
    <s v="Low"/>
    <s v="Low-Term"/>
    <s v="Standart Client"/>
    <m/>
  </r>
  <r>
    <s v="Good"/>
    <x v="0"/>
    <s v="car (used)"/>
    <s v="No information"/>
    <s v="male "/>
    <s v=" single"/>
    <x v="0"/>
    <x v="1"/>
    <n v="24"/>
    <n v="2760"/>
    <n v="36"/>
    <s v="Medium"/>
    <s v="Medium-Term"/>
    <s v="Standart Client"/>
    <m/>
  </r>
  <r>
    <s v="Good"/>
    <x v="3"/>
    <s v="education"/>
    <s v="Up to 1000"/>
    <s v="male "/>
    <s v=" single"/>
    <x v="0"/>
    <x v="0"/>
    <n v="9"/>
    <n v="936"/>
    <n v="52"/>
    <s v="Low"/>
    <s v="Low-Term"/>
    <s v="Standart Client"/>
    <m/>
  </r>
  <r>
    <s v="Good"/>
    <x v="1"/>
    <s v="car (new)"/>
    <s v="Less 100"/>
    <s v="male "/>
    <s v=" married/widowed"/>
    <x v="2"/>
    <x v="0"/>
    <n v="12"/>
    <n v="1168"/>
    <n v="27"/>
    <s v="Low"/>
    <s v="Medium-Term"/>
    <s v="Standart Client"/>
    <m/>
  </r>
  <r>
    <s v="Good"/>
    <x v="3"/>
    <s v="business"/>
    <s v="Less 100"/>
    <s v="male "/>
    <s v=" single"/>
    <x v="0"/>
    <x v="0"/>
    <n v="27"/>
    <n v="5117"/>
    <n v="26"/>
    <s v="Hight"/>
    <s v="Medium-Term"/>
    <s v="Standart Client"/>
    <m/>
  </r>
  <r>
    <s v="Good"/>
    <x v="3"/>
    <s v="car (new)"/>
    <s v="Less 100"/>
    <s v="male "/>
    <s v=" single"/>
    <x v="2"/>
    <x v="0"/>
    <n v="12"/>
    <n v="1495"/>
    <n v="38"/>
    <s v="Low"/>
    <s v="Medium-Term"/>
    <s v="Standart Client"/>
    <m/>
  </r>
  <r>
    <s v="Good"/>
    <x v="1"/>
    <s v="car (used)"/>
    <s v="Less 100"/>
    <s v="male "/>
    <s v=" single"/>
    <x v="1"/>
    <x v="1"/>
    <n v="30"/>
    <n v="10623"/>
    <n v="38"/>
    <s v="Hight"/>
    <s v="Medium-Term"/>
    <s v="VIP Client"/>
    <m/>
  </r>
  <r>
    <s v="Good"/>
    <x v="3"/>
    <s v="furniture/equipment"/>
    <s v="Less 100"/>
    <s v="male "/>
    <s v=" single"/>
    <x v="0"/>
    <x v="0"/>
    <n v="12"/>
    <n v="1935"/>
    <n v="43"/>
    <s v="Low"/>
    <s v="Medium-Term"/>
    <s v="Standart Client"/>
    <m/>
  </r>
  <r>
    <s v="Good"/>
    <x v="0"/>
    <s v="domestic appliances"/>
    <s v="Less 100"/>
    <s v="male "/>
    <s v=" single"/>
    <x v="0"/>
    <x v="0"/>
    <n v="12"/>
    <n v="1424"/>
    <n v="26"/>
    <s v="Low"/>
    <s v="Medium-Term"/>
    <s v="Standart Client"/>
    <m/>
  </r>
  <r>
    <s v="Good"/>
    <x v="1"/>
    <s v="business"/>
    <s v="Less 100"/>
    <s v="male "/>
    <s v=" married/widowed"/>
    <x v="2"/>
    <x v="0"/>
    <n v="24"/>
    <n v="6568"/>
    <n v="21"/>
    <s v="Hight"/>
    <s v="Medium-Term"/>
    <s v="Standart Client"/>
    <m/>
  </r>
  <r>
    <s v="Good"/>
    <x v="3"/>
    <s v="car (used)"/>
    <s v="More 1000"/>
    <s v="male "/>
    <s v=" single"/>
    <x v="0"/>
    <x v="0"/>
    <n v="12"/>
    <n v="1413"/>
    <n v="55"/>
    <s v="Low"/>
    <s v="Medium-Term"/>
    <s v="Standart Client"/>
    <m/>
  </r>
  <r>
    <s v="Good"/>
    <x v="3"/>
    <s v="radio/television"/>
    <s v="No information"/>
    <s v="male "/>
    <s v=" single"/>
    <x v="0"/>
    <x v="0"/>
    <n v="9"/>
    <n v="3074"/>
    <n v="33"/>
    <s v="Medium"/>
    <s v="Low-Term"/>
    <s v="Standart Client"/>
    <m/>
  </r>
  <r>
    <s v="Good"/>
    <x v="3"/>
    <s v="radio/television"/>
    <s v="No information"/>
    <s v="female "/>
    <s v=" divorced/separated/married"/>
    <x v="2"/>
    <x v="0"/>
    <n v="36"/>
    <n v="3835"/>
    <n v="45"/>
    <s v="Medium"/>
    <s v="Long-Term"/>
    <s v="Standart Client"/>
    <m/>
  </r>
  <r>
    <s v="Good"/>
    <x v="3"/>
    <s v="radio/television"/>
    <s v="No information"/>
    <s v="male "/>
    <s v=" single"/>
    <x v="0"/>
    <x v="0"/>
    <n v="36"/>
    <n v="3342"/>
    <n v="51"/>
    <s v="Medium"/>
    <s v="Long-Term"/>
    <s v="Standart Client"/>
    <m/>
  </r>
  <r>
    <s v="Good"/>
    <x v="0"/>
    <s v="retraining"/>
    <s v="No information"/>
    <s v="female "/>
    <s v=" divorced/separated/married"/>
    <x v="2"/>
    <x v="0"/>
    <n v="6"/>
    <n v="932"/>
    <n v="39"/>
    <s v="Low"/>
    <s v="Low-Term"/>
    <s v="Standart Client"/>
    <m/>
  </r>
  <r>
    <s v="Good"/>
    <x v="1"/>
    <s v="business"/>
    <s v="Less 100"/>
    <s v="male "/>
    <s v=" single"/>
    <x v="0"/>
    <x v="0"/>
    <n v="18"/>
    <n v="3104"/>
    <n v="31"/>
    <s v="Medium"/>
    <s v="Medium-Term"/>
    <s v="Standart Client"/>
    <m/>
  </r>
  <r>
    <s v="Good"/>
    <x v="2"/>
    <s v="radio/television"/>
    <s v="Less 100"/>
    <s v="male "/>
    <s v=" single"/>
    <x v="0"/>
    <x v="0"/>
    <n v="36"/>
    <n v="3913"/>
    <n v="23"/>
    <s v="Medium"/>
    <s v="Long-Term"/>
    <s v="Standart Client"/>
    <m/>
  </r>
  <r>
    <s v="Good"/>
    <x v="1"/>
    <s v="furniture/equipment"/>
    <s v="Less 100"/>
    <s v="male "/>
    <s v=" divorced/separated"/>
    <x v="2"/>
    <x v="2"/>
    <n v="24"/>
    <n v="3021"/>
    <n v="24"/>
    <s v="Medium"/>
    <s v="Medium-Term"/>
    <s v="Standart Client"/>
    <m/>
  </r>
  <r>
    <s v="Good"/>
    <x v="3"/>
    <s v="car (new)"/>
    <s v="Less 100"/>
    <s v="female "/>
    <s v=" divorced/separated/married"/>
    <x v="0"/>
    <x v="0"/>
    <n v="10"/>
    <n v="1364"/>
    <n v="64"/>
    <s v="Low"/>
    <s v="Low-Term"/>
    <s v="Standart Client"/>
    <m/>
  </r>
  <r>
    <s v="Good"/>
    <x v="0"/>
    <s v="radio/television"/>
    <s v="Less 100"/>
    <s v="male "/>
    <s v=" married/widowed"/>
    <x v="2"/>
    <x v="0"/>
    <n v="12"/>
    <n v="625"/>
    <n v="26"/>
    <s v="Low"/>
    <s v="Medium-Term"/>
    <s v="Standart Client"/>
    <m/>
  </r>
  <r>
    <s v="Good"/>
    <x v="1"/>
    <s v="education"/>
    <s v="No information"/>
    <s v="female "/>
    <s v=" divorced/separated/married"/>
    <x v="0"/>
    <x v="2"/>
    <n v="12"/>
    <n v="1200"/>
    <n v="23"/>
    <s v="Low"/>
    <s v="Medium-Term"/>
    <s v="Standart Client"/>
    <m/>
  </r>
  <r>
    <s v="Good"/>
    <x v="3"/>
    <s v="radio/television"/>
    <s v="Less 100"/>
    <s v="male "/>
    <s v=" single"/>
    <x v="0"/>
    <x v="0"/>
    <n v="12"/>
    <n v="707"/>
    <n v="30"/>
    <s v="Low"/>
    <s v="Medium-Term"/>
    <s v="Standart Client"/>
    <m/>
  </r>
  <r>
    <s v="Good"/>
    <x v="3"/>
    <s v="business"/>
    <s v="No information"/>
    <s v="male "/>
    <s v=" single"/>
    <x v="0"/>
    <x v="0"/>
    <n v="24"/>
    <n v="2978"/>
    <n v="32"/>
    <s v="Medium"/>
    <s v="Medium-Term"/>
    <s v="Standart Client"/>
    <m/>
  </r>
  <r>
    <s v="Good"/>
    <x v="3"/>
    <s v="car (used)"/>
    <s v="Less 100"/>
    <s v="male "/>
    <s v=" single"/>
    <x v="0"/>
    <x v="0"/>
    <n v="15"/>
    <n v="4657"/>
    <n v="30"/>
    <s v="Medium"/>
    <s v="Medium-Term"/>
    <s v="Standart Client"/>
    <m/>
  </r>
  <r>
    <s v="Good"/>
    <x v="3"/>
    <s v="repairs"/>
    <s v="Less 100"/>
    <s v="male "/>
    <s v=" single"/>
    <x v="0"/>
    <x v="0"/>
    <n v="36"/>
    <n v="2613"/>
    <n v="27"/>
    <s v="Medium"/>
    <s v="Long-Term"/>
    <s v="Standart Client"/>
    <m/>
  </r>
  <r>
    <s v="Good"/>
    <x v="1"/>
    <s v="furniture/equipment"/>
    <s v="Less 100"/>
    <s v="male "/>
    <s v=" single"/>
    <x v="0"/>
    <x v="1"/>
    <n v="24"/>
    <n v="3149"/>
    <n v="22"/>
    <s v="Medium"/>
    <s v="Medium-Term"/>
    <s v="Standart Client"/>
    <m/>
  </r>
  <r>
    <s v="Good"/>
    <x v="3"/>
    <s v="car (new)"/>
    <s v="Up to 1000"/>
    <s v="male "/>
    <s v=" single"/>
    <x v="2"/>
    <x v="1"/>
    <n v="9"/>
    <n v="2507"/>
    <n v="51"/>
    <s v="Medium"/>
    <s v="Low-Term"/>
    <s v="Standart Client"/>
    <m/>
  </r>
  <r>
    <s v="Good"/>
    <x v="3"/>
    <s v="radio/television"/>
    <s v="Up to 500"/>
    <s v="male "/>
    <s v=" single"/>
    <x v="0"/>
    <x v="0"/>
    <n v="12"/>
    <n v="2141"/>
    <n v="35"/>
    <s v="Medium"/>
    <s v="Medium-Term"/>
    <s v="Standart Client"/>
    <m/>
  </r>
  <r>
    <s v="Good"/>
    <x v="0"/>
    <s v="radio/television"/>
    <s v="Less 100"/>
    <s v="male "/>
    <s v=" married/widowed"/>
    <x v="2"/>
    <x v="0"/>
    <n v="18"/>
    <n v="866"/>
    <n v="25"/>
    <s v="Low"/>
    <s v="Medium-Term"/>
    <s v="Standart Client"/>
    <m/>
  </r>
  <r>
    <s v="Good"/>
    <x v="3"/>
    <s v="radio/television"/>
    <s v="Less 100"/>
    <s v="male "/>
    <s v=" single"/>
    <x v="2"/>
    <x v="0"/>
    <n v="4"/>
    <n v="1544"/>
    <n v="42"/>
    <s v="Low"/>
    <s v="Low-Term"/>
    <s v="Standart Client"/>
    <m/>
  </r>
  <r>
    <s v="Good"/>
    <x v="3"/>
    <s v="radio/television"/>
    <s v="Less 100"/>
    <s v="female "/>
    <s v=" divorced/separated/married"/>
    <x v="0"/>
    <x v="0"/>
    <n v="12"/>
    <n v="1291"/>
    <n v="35"/>
    <s v="Low"/>
    <s v="Medium-Term"/>
    <s v="Standart Client"/>
    <m/>
  </r>
  <r>
    <s v="Good"/>
    <x v="1"/>
    <s v="radio/television"/>
    <s v="Less 100"/>
    <s v="male "/>
    <s v=" single"/>
    <x v="0"/>
    <x v="0"/>
    <n v="30"/>
    <n v="2522"/>
    <n v="39"/>
    <s v="Medium"/>
    <s v="Medium-Term"/>
    <s v="Standart Client"/>
    <m/>
  </r>
  <r>
    <s v="Good"/>
    <x v="3"/>
    <s v="radio/television"/>
    <s v="Less 100"/>
    <s v="male "/>
    <s v=" single"/>
    <x v="0"/>
    <x v="0"/>
    <n v="6"/>
    <n v="1595"/>
    <n v="51"/>
    <s v="Low"/>
    <s v="Low-Term"/>
    <s v="Standart Client"/>
    <m/>
  </r>
  <r>
    <s v="Good"/>
    <x v="3"/>
    <s v="business"/>
    <s v="Less 100"/>
    <s v="female "/>
    <s v=" divorced/separated/married"/>
    <x v="0"/>
    <x v="0"/>
    <n v="12"/>
    <n v="1185"/>
    <n v="27"/>
    <s v="Low"/>
    <s v="Medium-Term"/>
    <s v="Standart Client"/>
    <m/>
  </r>
  <r>
    <s v="Good"/>
    <x v="3"/>
    <s v="retraining"/>
    <s v="Up to 1000"/>
    <s v="female "/>
    <s v=" divorced/separated/married"/>
    <x v="2"/>
    <x v="0"/>
    <n v="12"/>
    <n v="3447"/>
    <n v="35"/>
    <s v="Medium"/>
    <s v="Medium-Term"/>
    <s v="Standart Client"/>
    <m/>
  </r>
  <r>
    <s v="Good"/>
    <x v="3"/>
    <s v="business"/>
    <s v="Less 100"/>
    <s v="male "/>
    <s v=" single"/>
    <x v="0"/>
    <x v="0"/>
    <n v="24"/>
    <n v="1258"/>
    <n v="25"/>
    <s v="Low"/>
    <s v="Medium-Term"/>
    <s v="Standart Client"/>
    <m/>
  </r>
  <r>
    <s v="Good"/>
    <x v="3"/>
    <s v="radio/television"/>
    <s v="Less 100"/>
    <s v="male "/>
    <s v=" single"/>
    <x v="0"/>
    <x v="0"/>
    <n v="12"/>
    <n v="717"/>
    <n v="52"/>
    <s v="Low"/>
    <s v="Medium-Term"/>
    <s v="Standart Client"/>
    <m/>
  </r>
  <r>
    <s v="Good"/>
    <x v="3"/>
    <s v="car (new)"/>
    <s v="Up to 500"/>
    <s v="male "/>
    <s v=" single"/>
    <x v="0"/>
    <x v="2"/>
    <n v="6"/>
    <n v="1204"/>
    <n v="35"/>
    <s v="Low"/>
    <s v="Low-Term"/>
    <s v="Standart Client"/>
    <m/>
  </r>
  <r>
    <s v="Good"/>
    <x v="2"/>
    <s v="furniture/equipment"/>
    <s v="Less 100"/>
    <s v="male "/>
    <s v=" single"/>
    <x v="0"/>
    <x v="0"/>
    <n v="24"/>
    <n v="1925"/>
    <n v="26"/>
    <s v="Low"/>
    <s v="Medium-Term"/>
    <s v="Standart Client"/>
    <m/>
  </r>
  <r>
    <s v="Good"/>
    <x v="1"/>
    <s v="car (new)"/>
    <s v="More 1000"/>
    <s v="female "/>
    <s v=" divorced/separated/married"/>
    <x v="2"/>
    <x v="0"/>
    <n v="6"/>
    <n v="666"/>
    <n v="39"/>
    <s v="Low"/>
    <s v="Low-Term"/>
    <s v="Standart Client"/>
    <m/>
  </r>
  <r>
    <s v="Good"/>
    <x v="2"/>
    <s v="furniture/equipment"/>
    <s v="Less 100"/>
    <s v="female "/>
    <s v=" divorced/separated/married"/>
    <x v="2"/>
    <x v="0"/>
    <n v="12"/>
    <n v="2251"/>
    <n v="46"/>
    <s v="Medium"/>
    <s v="Medium-Term"/>
    <s v="Standart Client"/>
    <m/>
  </r>
  <r>
    <s v="Good"/>
    <x v="3"/>
    <s v="furniture/equipment"/>
    <s v="Up to 500"/>
    <s v="male "/>
    <s v=" single"/>
    <x v="0"/>
    <x v="0"/>
    <n v="24"/>
    <n v="4151"/>
    <n v="35"/>
    <s v="Medium"/>
    <s v="Medium-Term"/>
    <s v="Standart Client"/>
    <m/>
  </r>
  <r>
    <s v="Good"/>
    <x v="0"/>
    <s v="furniture/equipment"/>
    <s v="No information"/>
    <s v="male "/>
    <s v=" single"/>
    <x v="0"/>
    <x v="0"/>
    <n v="9"/>
    <n v="2030"/>
    <n v="24"/>
    <s v="Medium"/>
    <s v="Low-Term"/>
    <s v="Standart Client"/>
    <m/>
  </r>
  <r>
    <s v="Good"/>
    <x v="0"/>
    <s v="radio/television"/>
    <s v="No information"/>
    <s v="male "/>
    <s v=" single"/>
    <x v="2"/>
    <x v="0"/>
    <n v="60"/>
    <n v="7418"/>
    <n v="27"/>
    <s v="Hight"/>
    <s v="Long-Term"/>
    <s v="VIP Client"/>
    <m/>
  </r>
  <r>
    <s v="Good"/>
    <x v="3"/>
    <s v="radio/television"/>
    <s v="Less 100"/>
    <s v="male "/>
    <s v=" single"/>
    <x v="2"/>
    <x v="0"/>
    <n v="24"/>
    <n v="2684"/>
    <n v="35"/>
    <s v="Medium"/>
    <s v="Medium-Term"/>
    <s v="Standart Client"/>
    <m/>
  </r>
  <r>
    <s v="Good"/>
    <x v="3"/>
    <s v="car (used)"/>
    <s v="Up to 500"/>
    <s v="female "/>
    <s v=" divorced/separated/married"/>
    <x v="0"/>
    <x v="0"/>
    <n v="15"/>
    <n v="3812"/>
    <n v="23"/>
    <s v="Medium"/>
    <s v="Medium-Term"/>
    <s v="Standart Client"/>
    <m/>
  </r>
  <r>
    <s v="Good"/>
    <x v="3"/>
    <s v="radio/television"/>
    <s v="Up to 500"/>
    <s v="female "/>
    <s v=" divorced/separated/married"/>
    <x v="2"/>
    <x v="0"/>
    <n v="11"/>
    <n v="1154"/>
    <n v="57"/>
    <s v="Low"/>
    <s v="Low-Term"/>
    <s v="Standart Client"/>
    <m/>
  </r>
  <r>
    <s v="Good"/>
    <x v="1"/>
    <s v="furniture/equipment"/>
    <s v="Less 100"/>
    <s v="male "/>
    <s v=" single"/>
    <x v="0"/>
    <x v="0"/>
    <n v="12"/>
    <n v="1657"/>
    <n v="27"/>
    <s v="Low"/>
    <s v="Medium-Term"/>
    <s v="Standart Client"/>
    <m/>
  </r>
  <r>
    <s v="Good"/>
    <x v="1"/>
    <s v="radio/television"/>
    <s v="Less 100"/>
    <s v="female "/>
    <s v=" divorced/separated/married"/>
    <x v="0"/>
    <x v="0"/>
    <n v="24"/>
    <n v="1603"/>
    <n v="55"/>
    <s v="Low"/>
    <s v="Medium-Term"/>
    <s v="Standart Client"/>
    <m/>
  </r>
  <r>
    <s v="Good"/>
    <x v="1"/>
    <s v="car (new)"/>
    <s v="Less 100"/>
    <s v="male "/>
    <s v=" single"/>
    <x v="1"/>
    <x v="1"/>
    <n v="18"/>
    <n v="5302"/>
    <n v="36"/>
    <s v="Hight"/>
    <s v="Medium-Term"/>
    <s v="Standart Client"/>
    <m/>
  </r>
  <r>
    <s v="Good"/>
    <x v="3"/>
    <s v="education"/>
    <s v="Less 100"/>
    <s v="female "/>
    <s v=" divorced/separated/married"/>
    <x v="2"/>
    <x v="1"/>
    <n v="12"/>
    <n v="2748"/>
    <n v="57"/>
    <s v="Medium"/>
    <s v="Medium-Term"/>
    <s v="Standart Client"/>
    <m/>
  </r>
  <r>
    <s v="Good"/>
    <x v="3"/>
    <s v="car (new)"/>
    <s v="Less 100"/>
    <s v="male "/>
    <s v=" single"/>
    <x v="2"/>
    <x v="0"/>
    <n v="10"/>
    <n v="1231"/>
    <n v="32"/>
    <s v="Low"/>
    <s v="Low-Term"/>
    <s v="Standart Client"/>
    <m/>
  </r>
  <r>
    <s v="Good"/>
    <x v="3"/>
    <s v="business"/>
    <s v="No information"/>
    <s v="male "/>
    <s v=" single"/>
    <x v="0"/>
    <x v="0"/>
    <n v="36"/>
    <n v="6304"/>
    <n v="36"/>
    <s v="Hight"/>
    <s v="Long-Term"/>
    <s v="Standart Client"/>
    <m/>
  </r>
  <r>
    <s v="Good"/>
    <x v="3"/>
    <s v="radio/television"/>
    <s v="Less 100"/>
    <s v="female "/>
    <s v=" divorced/separated/married"/>
    <x v="0"/>
    <x v="0"/>
    <n v="24"/>
    <n v="1533"/>
    <n v="38"/>
    <s v="Low"/>
    <s v="Medium-Term"/>
    <s v="Standart Client"/>
    <m/>
  </r>
  <r>
    <s v="Good"/>
    <x v="3"/>
    <s v="radio/television"/>
    <s v="No information"/>
    <s v="male "/>
    <s v=" single"/>
    <x v="0"/>
    <x v="0"/>
    <n v="24"/>
    <n v="999"/>
    <n v="25"/>
    <s v="Low"/>
    <s v="Medium-Term"/>
    <s v="Standart Client"/>
    <m/>
  </r>
  <r>
    <s v="Good"/>
    <x v="3"/>
    <s v="car (new)"/>
    <s v="No information"/>
    <s v="male "/>
    <s v=" single"/>
    <x v="0"/>
    <x v="0"/>
    <n v="18"/>
    <n v="2662"/>
    <n v="32"/>
    <s v="Medium"/>
    <s v="Medium-Term"/>
    <s v="Standart Client"/>
    <m/>
  </r>
  <r>
    <s v="Good"/>
    <x v="3"/>
    <s v="furniture/equipment"/>
    <s v="Up to 1000"/>
    <s v="female "/>
    <s v=" divorced/separated/married"/>
    <x v="0"/>
    <x v="2"/>
    <n v="12"/>
    <n v="1402"/>
    <n v="37"/>
    <s v="Low"/>
    <s v="Medium-Term"/>
    <s v="Standart Client"/>
    <m/>
  </r>
  <r>
    <s v="Good"/>
    <x v="0"/>
    <s v="car (new)"/>
    <s v="No information"/>
    <s v="male "/>
    <s v=" single"/>
    <x v="1"/>
    <x v="1"/>
    <n v="48"/>
    <n v="12169"/>
    <n v="36"/>
    <s v="Hight"/>
    <s v="Long-Term"/>
    <s v="VIP Client"/>
    <m/>
  </r>
  <r>
    <s v="Good"/>
    <x v="3"/>
    <s v="radio/television"/>
    <s v="Less 100"/>
    <s v="male "/>
    <s v=" single"/>
    <x v="0"/>
    <x v="0"/>
    <n v="9"/>
    <n v="2697"/>
    <n v="32"/>
    <s v="Medium"/>
    <s v="Low-Term"/>
    <s v="Standart Client"/>
    <m/>
  </r>
  <r>
    <s v="Good"/>
    <x v="3"/>
    <s v="radio/television"/>
    <s v="Less 100"/>
    <s v="female "/>
    <s v=" divorced/separated/married"/>
    <x v="0"/>
    <x v="0"/>
    <n v="18"/>
    <n v="2404"/>
    <n v="26"/>
    <s v="Medium"/>
    <s v="Medium-Term"/>
    <s v="Standart Client"/>
    <m/>
  </r>
  <r>
    <s v="Good"/>
    <x v="1"/>
    <s v="furniture/equipment"/>
    <s v="No information"/>
    <s v="male "/>
    <s v=" divorced/separated"/>
    <x v="2"/>
    <x v="0"/>
    <n v="12"/>
    <n v="1262"/>
    <n v="49"/>
    <s v="Low"/>
    <s v="Medium-Term"/>
    <s v="Standart Client"/>
    <m/>
  </r>
  <r>
    <s v="Good"/>
    <x v="3"/>
    <s v="radio/television"/>
    <s v="Up to 500"/>
    <s v="male "/>
    <s v=" single"/>
    <x v="1"/>
    <x v="2"/>
    <n v="24"/>
    <n v="1901"/>
    <n v="29"/>
    <s v="Low"/>
    <s v="Medium-Term"/>
    <s v="Standart Client"/>
    <m/>
  </r>
  <r>
    <s v="Good"/>
    <x v="3"/>
    <s v="car (used)"/>
    <s v="More 1000"/>
    <s v="male "/>
    <s v=" single"/>
    <x v="0"/>
    <x v="2"/>
    <n v="15"/>
    <n v="3368"/>
    <n v="23"/>
    <s v="Medium"/>
    <s v="Medium-Term"/>
    <s v="Standart Client"/>
    <m/>
  </r>
  <r>
    <s v="Good"/>
    <x v="3"/>
    <s v="furniture/equipment"/>
    <s v="Less 100"/>
    <s v="male "/>
    <s v=" single"/>
    <x v="0"/>
    <x v="0"/>
    <n v="12"/>
    <n v="1574"/>
    <n v="50"/>
    <s v="Low"/>
    <s v="Medium-Term"/>
    <s v="Standart Client"/>
    <m/>
  </r>
  <r>
    <s v="Good"/>
    <x v="2"/>
    <s v="radio/television"/>
    <s v="No information"/>
    <s v="male "/>
    <s v=" single"/>
    <x v="2"/>
    <x v="0"/>
    <n v="18"/>
    <n v="1445"/>
    <n v="49"/>
    <s v="Low"/>
    <s v="Medium-Term"/>
    <s v="Standart Client"/>
    <m/>
  </r>
  <r>
    <s v="Good"/>
    <x v="3"/>
    <s v="furniture/equipment"/>
    <s v="No information"/>
    <s v="male "/>
    <s v=" single"/>
    <x v="0"/>
    <x v="0"/>
    <n v="15"/>
    <n v="1520"/>
    <n v="63"/>
    <s v="Low"/>
    <s v="Medium-Term"/>
    <s v="Standart Client"/>
    <m/>
  </r>
  <r>
    <s v="Good"/>
    <x v="0"/>
    <s v="car (new)"/>
    <s v="Up to 500"/>
    <s v="male "/>
    <s v=" divorced/separated"/>
    <x v="0"/>
    <x v="0"/>
    <n v="24"/>
    <n v="3878"/>
    <n v="37"/>
    <s v="Medium"/>
    <s v="Medium-Term"/>
    <s v="Standart Client"/>
    <m/>
  </r>
  <r>
    <s v="Good"/>
    <x v="1"/>
    <s v="car (new)"/>
    <s v="Less 100"/>
    <s v="female "/>
    <s v=" divorced/separated/married"/>
    <x v="2"/>
    <x v="0"/>
    <n v="47"/>
    <n v="10722"/>
    <n v="35"/>
    <s v="Hight"/>
    <s v="Long-Term"/>
    <s v="VIP Client"/>
    <m/>
  </r>
  <r>
    <s v="Good"/>
    <x v="1"/>
    <s v="car (used)"/>
    <s v="Less 100"/>
    <s v="male "/>
    <s v=" single"/>
    <x v="0"/>
    <x v="0"/>
    <n v="48"/>
    <n v="4788"/>
    <n v="26"/>
    <s v="Medium"/>
    <s v="Long-Term"/>
    <s v="Standart Client"/>
    <m/>
  </r>
  <r>
    <s v="Good"/>
    <x v="0"/>
    <s v="others"/>
    <s v="Up to 500"/>
    <s v="male "/>
    <s v=" single"/>
    <x v="1"/>
    <x v="1"/>
    <n v="48"/>
    <n v="7582"/>
    <n v="31"/>
    <s v="Hight"/>
    <s v="Long-Term"/>
    <s v="VIP Client"/>
    <m/>
  </r>
  <r>
    <s v="Good"/>
    <x v="0"/>
    <s v="radio/television"/>
    <s v="Less 100"/>
    <s v="female "/>
    <s v=" divorced/separated/married"/>
    <x v="0"/>
    <x v="0"/>
    <n v="12"/>
    <n v="1092"/>
    <n v="49"/>
    <s v="Low"/>
    <s v="Medium-Term"/>
    <s v="Standart Client"/>
    <m/>
  </r>
  <r>
    <s v="Good"/>
    <x v="3"/>
    <s v="business"/>
    <s v="Less 100"/>
    <s v="male "/>
    <s v=" married/widowed"/>
    <x v="0"/>
    <x v="0"/>
    <n v="12"/>
    <n v="1076"/>
    <n v="26"/>
    <s v="Low"/>
    <s v="Medium-Term"/>
    <s v="Standart Client"/>
    <m/>
  </r>
  <r>
    <s v="Good"/>
    <x v="1"/>
    <s v="car (used)"/>
    <s v="Less 100"/>
    <s v="female "/>
    <s v=" divorced/separated/married"/>
    <x v="1"/>
    <x v="1"/>
    <n v="24"/>
    <n v="6419"/>
    <n v="44"/>
    <s v="Hight"/>
    <s v="Medium-Term"/>
    <s v="Standart Client"/>
    <m/>
  </r>
  <r>
    <s v="Good"/>
    <x v="2"/>
    <s v="car (used)"/>
    <s v="Less 100"/>
    <s v="male "/>
    <s v=" single"/>
    <x v="0"/>
    <x v="1"/>
    <n v="42"/>
    <n v="4796"/>
    <n v="56"/>
    <s v="Medium"/>
    <s v="Long-Term"/>
    <s v="Standart Client"/>
    <m/>
  </r>
  <r>
    <s v="Good"/>
    <x v="3"/>
    <s v="business"/>
    <s v="No information"/>
    <s v="male "/>
    <s v=" divorced/separated"/>
    <x v="1"/>
    <x v="0"/>
    <n v="48"/>
    <n v="7629"/>
    <n v="46"/>
    <s v="Hight"/>
    <s v="Long-Term"/>
    <s v="VIP Client"/>
    <m/>
  </r>
  <r>
    <s v="Good"/>
    <x v="3"/>
    <s v="car (used)"/>
    <s v="No information"/>
    <s v="female "/>
    <s v=" divorced/separated/married"/>
    <x v="0"/>
    <x v="2"/>
    <n v="12"/>
    <n v="4675"/>
    <n v="20"/>
    <s v="Medium"/>
    <s v="Medium-Term"/>
    <s v="Standart Client"/>
    <m/>
  </r>
  <r>
    <s v="Good"/>
    <x v="3"/>
    <s v="car (new)"/>
    <s v="No information"/>
    <s v="male "/>
    <s v=" single"/>
    <x v="2"/>
    <x v="0"/>
    <n v="10"/>
    <n v="1287"/>
    <n v="45"/>
    <s v="Low"/>
    <s v="Low-Term"/>
    <s v="Standart Client"/>
    <m/>
  </r>
  <r>
    <s v="Good"/>
    <x v="3"/>
    <s v="furniture/equipment"/>
    <s v="Less 100"/>
    <s v="male "/>
    <s v=" single"/>
    <x v="0"/>
    <x v="0"/>
    <n v="18"/>
    <n v="2515"/>
    <n v="43"/>
    <s v="Medium"/>
    <s v="Medium-Term"/>
    <s v="Standart Client"/>
    <m/>
  </r>
  <r>
    <s v="Good"/>
    <x v="0"/>
    <s v="furniture/equipment"/>
    <s v="More 1000"/>
    <s v="male "/>
    <s v=" single"/>
    <x v="0"/>
    <x v="0"/>
    <n v="21"/>
    <n v="2745"/>
    <n v="32"/>
    <s v="Medium"/>
    <s v="Medium-Term"/>
    <s v="Standart Client"/>
    <m/>
  </r>
  <r>
    <s v="Good"/>
    <x v="3"/>
    <s v="car (new)"/>
    <s v="Less 100"/>
    <s v="female "/>
    <s v=" divorced/separated/married"/>
    <x v="3"/>
    <x v="0"/>
    <n v="6"/>
    <n v="672"/>
    <n v="54"/>
    <s v="Low"/>
    <s v="Low-Term"/>
    <s v="Standart Client"/>
    <m/>
  </r>
  <r>
    <s v="Good"/>
    <x v="1"/>
    <s v="car (new)"/>
    <s v="Less 100"/>
    <s v="male "/>
    <s v=" single"/>
    <x v="0"/>
    <x v="0"/>
    <n v="10"/>
    <n v="1038"/>
    <n v="49"/>
    <s v="Low"/>
    <s v="Low-Term"/>
    <s v="Standart Client"/>
    <m/>
  </r>
  <r>
    <s v="Good"/>
    <x v="3"/>
    <s v="furniture/equipment"/>
    <s v="More 1000"/>
    <s v="male "/>
    <s v=" divorced/separated"/>
    <x v="0"/>
    <x v="0"/>
    <n v="6"/>
    <n v="1543"/>
    <n v="33"/>
    <s v="Low"/>
    <s v="Low-Term"/>
    <s v="Standart Client"/>
    <m/>
  </r>
  <r>
    <s v="Good"/>
    <x v="3"/>
    <s v="car (used)"/>
    <s v="No information"/>
    <s v="female "/>
    <s v=" divorced/separated/married"/>
    <x v="2"/>
    <x v="2"/>
    <n v="30"/>
    <n v="4811"/>
    <n v="24"/>
    <s v="Medium"/>
    <s v="Medium-Term"/>
    <s v="Standart Client"/>
    <m/>
  </r>
  <r>
    <s v="Good"/>
    <x v="0"/>
    <s v="car (new)"/>
    <s v="Less 100"/>
    <s v="male "/>
    <s v=" married/widowed"/>
    <x v="2"/>
    <x v="2"/>
    <n v="9"/>
    <n v="276"/>
    <n v="22"/>
    <s v="Low"/>
    <s v="Low-Term"/>
    <s v="Standart Client"/>
    <m/>
  </r>
  <r>
    <s v="Good"/>
    <x v="0"/>
    <s v="others"/>
    <s v="No information"/>
    <s v="male "/>
    <s v=" single"/>
    <x v="3"/>
    <x v="1"/>
    <n v="48"/>
    <n v="5381"/>
    <n v="40"/>
    <s v="Hight"/>
    <s v="Long-Term"/>
    <s v="Standart Client"/>
    <m/>
  </r>
  <r>
    <s v="Good"/>
    <x v="3"/>
    <s v="furniture/equipment"/>
    <s v="Up to 500"/>
    <s v="male "/>
    <s v=" single"/>
    <x v="0"/>
    <x v="0"/>
    <n v="24"/>
    <n v="5511"/>
    <n v="25"/>
    <s v="Hight"/>
    <s v="Medium-Term"/>
    <s v="Standart Client"/>
    <m/>
  </r>
  <r>
    <s v="Good"/>
    <x v="2"/>
    <s v="furniture/equipment"/>
    <s v="Less 100"/>
    <s v="female "/>
    <s v=" divorced/separated/married"/>
    <x v="0"/>
    <x v="0"/>
    <n v="24"/>
    <n v="3749"/>
    <n v="26"/>
    <s v="Medium"/>
    <s v="Medium-Term"/>
    <s v="Standart Client"/>
    <m/>
  </r>
  <r>
    <s v="Good"/>
    <x v="2"/>
    <s v="car (new)"/>
    <s v="No information"/>
    <s v="male "/>
    <s v=" single"/>
    <x v="2"/>
    <x v="0"/>
    <n v="4"/>
    <n v="1494"/>
    <n v="29"/>
    <s v="Low"/>
    <s v="Low-Term"/>
    <s v="Standart Client"/>
    <m/>
  </r>
  <r>
    <s v="Good"/>
    <x v="1"/>
    <s v="furniture/equipment"/>
    <s v="Less 100"/>
    <s v="male "/>
    <s v=" single"/>
    <x v="2"/>
    <x v="0"/>
    <n v="12"/>
    <n v="708"/>
    <n v="38"/>
    <s v="Low"/>
    <s v="Medium-Term"/>
    <s v="Standart Client"/>
    <m/>
  </r>
  <r>
    <s v="Good"/>
    <x v="0"/>
    <s v="furniture/equipment"/>
    <s v="No information"/>
    <s v="female "/>
    <s v=" divorced/separated/married"/>
    <x v="2"/>
    <x v="0"/>
    <n v="24"/>
    <n v="4351"/>
    <n v="48"/>
    <s v="Medium"/>
    <s v="Medium-Term"/>
    <s v="Standart Client"/>
    <m/>
  </r>
  <r>
    <s v="Good"/>
    <x v="3"/>
    <s v="education"/>
    <s v="Less 100"/>
    <s v="male "/>
    <s v=" single"/>
    <x v="0"/>
    <x v="0"/>
    <n v="12"/>
    <n v="701"/>
    <n v="32"/>
    <s v="Low"/>
    <s v="Medium-Term"/>
    <s v="Standart Client"/>
    <m/>
  </r>
  <r>
    <s v="Good"/>
    <x v="1"/>
    <s v="furniture/equipment"/>
    <s v="Less 100"/>
    <s v="female "/>
    <s v=" divorced/separated/married"/>
    <x v="2"/>
    <x v="0"/>
    <n v="15"/>
    <n v="3643"/>
    <n v="27"/>
    <s v="Medium"/>
    <s v="Medium-Term"/>
    <s v="Standart Client"/>
    <m/>
  </r>
  <r>
    <s v="Good"/>
    <x v="1"/>
    <s v="car (used)"/>
    <s v="Less 100"/>
    <s v="male "/>
    <s v=" single"/>
    <x v="1"/>
    <x v="1"/>
    <n v="24"/>
    <n v="2910"/>
    <n v="34"/>
    <s v="Medium"/>
    <s v="Medium-Term"/>
    <s v="Standart Client"/>
    <m/>
  </r>
  <r>
    <s v="Good"/>
    <x v="1"/>
    <s v="furniture/equipment"/>
    <s v="More 1000"/>
    <s v="male "/>
    <s v=" single"/>
    <x v="0"/>
    <x v="0"/>
    <n v="18"/>
    <n v="2659"/>
    <n v="28"/>
    <s v="Medium"/>
    <s v="Medium-Term"/>
    <s v="Standart Client"/>
    <m/>
  </r>
  <r>
    <s v="Good"/>
    <x v="3"/>
    <s v="car (new)"/>
    <s v="Less 100"/>
    <s v="female "/>
    <s v=" divorced/separated/married"/>
    <x v="0"/>
    <x v="0"/>
    <n v="18"/>
    <n v="1028"/>
    <n v="36"/>
    <s v="Low"/>
    <s v="Medium-Term"/>
    <s v="Standart Client"/>
    <m/>
  </r>
  <r>
    <s v="Good"/>
    <x v="1"/>
    <s v="car (new)"/>
    <s v="Less 100"/>
    <s v="male "/>
    <s v=" single"/>
    <x v="2"/>
    <x v="0"/>
    <n v="8"/>
    <n v="3398"/>
    <n v="39"/>
    <s v="Medium"/>
    <s v="Low-Term"/>
    <s v="Standart Client"/>
    <m/>
  </r>
  <r>
    <s v="Good"/>
    <x v="3"/>
    <s v="furniture/equipment"/>
    <s v="No information"/>
    <s v="male "/>
    <s v=" single"/>
    <x v="0"/>
    <x v="2"/>
    <n v="12"/>
    <n v="5801"/>
    <n v="49"/>
    <s v="Hight"/>
    <s v="Medium-Term"/>
    <s v="Standart Client"/>
    <m/>
  </r>
  <r>
    <s v="Good"/>
    <x v="3"/>
    <s v="car (new)"/>
    <s v="More 1000"/>
    <s v="female "/>
    <s v=" divorced/separated/married"/>
    <x v="0"/>
    <x v="0"/>
    <n v="24"/>
    <n v="1525"/>
    <n v="34"/>
    <s v="Low"/>
    <s v="Medium-Term"/>
    <s v="Standart Client"/>
    <m/>
  </r>
  <r>
    <s v="Good"/>
    <x v="2"/>
    <s v="radio/television"/>
    <s v="Less 100"/>
    <s v="male "/>
    <s v=" single"/>
    <x v="0"/>
    <x v="0"/>
    <n v="36"/>
    <n v="4473"/>
    <n v="31"/>
    <s v="Medium"/>
    <s v="Long-Term"/>
    <s v="Standart Client"/>
    <m/>
  </r>
  <r>
    <s v="Good"/>
    <x v="0"/>
    <s v="radio/television"/>
    <s v="Less 100"/>
    <s v="male "/>
    <s v=" single"/>
    <x v="0"/>
    <x v="0"/>
    <n v="6"/>
    <n v="1068"/>
    <n v="28"/>
    <s v="Low"/>
    <s v="Low-Term"/>
    <s v="Standart Client"/>
    <m/>
  </r>
  <r>
    <s v="Good"/>
    <x v="1"/>
    <s v="car (used)"/>
    <s v="Less 100"/>
    <s v="male "/>
    <s v=" single"/>
    <x v="1"/>
    <x v="1"/>
    <n v="24"/>
    <n v="6615"/>
    <n v="75"/>
    <s v="Hight"/>
    <s v="Medium-Term"/>
    <s v="Standart Client"/>
    <m/>
  </r>
  <r>
    <s v="Good"/>
    <x v="0"/>
    <s v="radio/television"/>
    <s v="Less 100"/>
    <s v="female "/>
    <s v=" divorced/separated/married"/>
    <x v="2"/>
    <x v="0"/>
    <n v="13"/>
    <n v="2101"/>
    <n v="23"/>
    <s v="Medium"/>
    <s v="Medium-Term"/>
    <s v="Standart Client"/>
    <m/>
  </r>
  <r>
    <s v="Good"/>
    <x v="1"/>
    <s v="furniture/equipment"/>
    <s v="Less 100"/>
    <s v="male "/>
    <s v=" single"/>
    <x v="0"/>
    <x v="0"/>
    <n v="24"/>
    <n v="4169"/>
    <n v="28"/>
    <s v="Medium"/>
    <s v="Medium-Term"/>
    <s v="Standart Client"/>
    <m/>
  </r>
  <r>
    <s v="Good"/>
    <x v="0"/>
    <s v="furniture/equipment"/>
    <s v="Less 100"/>
    <s v="male "/>
    <s v=" divorced/separated"/>
    <x v="2"/>
    <x v="0"/>
    <n v="10"/>
    <n v="1521"/>
    <n v="31"/>
    <s v="Low"/>
    <s v="Low-Term"/>
    <s v="Standart Client"/>
    <m/>
  </r>
  <r>
    <s v="Good"/>
    <x v="0"/>
    <s v="education"/>
    <s v="Less 100"/>
    <s v="female "/>
    <s v=" divorced/separated/married"/>
    <x v="0"/>
    <x v="1"/>
    <n v="24"/>
    <n v="5743"/>
    <n v="24"/>
    <s v="Hight"/>
    <s v="Medium-Term"/>
    <s v="Standart Client"/>
    <m/>
  </r>
  <r>
    <s v="Good"/>
    <x v="1"/>
    <s v="furniture/equipment"/>
    <s v="Less 100"/>
    <s v="female "/>
    <s v=" divorced/separated/married"/>
    <x v="2"/>
    <x v="2"/>
    <n v="21"/>
    <n v="3599"/>
    <n v="26"/>
    <s v="Medium"/>
    <s v="Medium-Term"/>
    <s v="Standart Client"/>
    <m/>
  </r>
  <r>
    <s v="Good"/>
    <x v="0"/>
    <s v="radio/television"/>
    <s v="Up to 1000"/>
    <s v="male "/>
    <s v=" married/widowed"/>
    <x v="0"/>
    <x v="2"/>
    <n v="18"/>
    <n v="3213"/>
    <n v="25"/>
    <s v="Medium"/>
    <s v="Medium-Term"/>
    <s v="Standart Client"/>
    <m/>
  </r>
  <r>
    <s v="Good"/>
    <x v="0"/>
    <s v="business"/>
    <s v="Less 100"/>
    <s v="male "/>
    <s v=" single"/>
    <x v="1"/>
    <x v="0"/>
    <n v="18"/>
    <n v="4439"/>
    <n v="33"/>
    <s v="Medium"/>
    <s v="Medium-Term"/>
    <s v="Standart Client"/>
    <m/>
  </r>
  <r>
    <s v="Good"/>
    <x v="2"/>
    <s v="car (new)"/>
    <s v="Less 100"/>
    <s v="male "/>
    <s v=" single"/>
    <x v="2"/>
    <x v="0"/>
    <n v="10"/>
    <n v="3949"/>
    <n v="37"/>
    <s v="Medium"/>
    <s v="Low-Term"/>
    <s v="Standart Client"/>
    <m/>
  </r>
  <r>
    <s v="Good"/>
    <x v="3"/>
    <s v="radio/television"/>
    <s v="Less 100"/>
    <s v="female "/>
    <s v=" divorced/separated/married"/>
    <x v="2"/>
    <x v="0"/>
    <n v="15"/>
    <n v="1459"/>
    <n v="43"/>
    <s v="Low"/>
    <s v="Medium-Term"/>
    <s v="Standart Client"/>
    <m/>
  </r>
  <r>
    <s v="Good"/>
    <x v="0"/>
    <s v="radio/television"/>
    <s v="Less 100"/>
    <s v="male "/>
    <s v=" single"/>
    <x v="0"/>
    <x v="0"/>
    <n v="13"/>
    <n v="882"/>
    <n v="23"/>
    <s v="Low"/>
    <s v="Medium-Term"/>
    <s v="Standart Client"/>
    <m/>
  </r>
  <r>
    <s v="Good"/>
    <x v="0"/>
    <s v="radio/television"/>
    <s v="Up to 1000"/>
    <s v="female "/>
    <s v=" divorced/separated/married"/>
    <x v="3"/>
    <x v="2"/>
    <n v="24"/>
    <n v="3758"/>
    <n v="23"/>
    <s v="Medium"/>
    <s v="Medium-Term"/>
    <s v="Standart Client"/>
    <m/>
  </r>
  <r>
    <s v="Good"/>
    <x v="3"/>
    <s v="business"/>
    <s v="Up to 500"/>
    <s v="male "/>
    <s v=" single"/>
    <x v="2"/>
    <x v="0"/>
    <n v="6"/>
    <n v="1743"/>
    <n v="34"/>
    <s v="Low"/>
    <s v="Low-Term"/>
    <s v="Standart Client"/>
    <m/>
  </r>
  <r>
    <s v="Good"/>
    <x v="3"/>
    <s v="domestic appliances"/>
    <s v="Less 100"/>
    <s v="female "/>
    <s v=" divorced/separated/married"/>
    <x v="0"/>
    <x v="2"/>
    <n v="9"/>
    <n v="1236"/>
    <n v="23"/>
    <s v="Low"/>
    <s v="Low-Term"/>
    <s v="Standart Client"/>
    <m/>
  </r>
  <r>
    <s v="Good"/>
    <x v="3"/>
    <s v="car (used)"/>
    <s v="No information"/>
    <s v="male "/>
    <s v=" single"/>
    <x v="1"/>
    <x v="0"/>
    <n v="18"/>
    <n v="3229"/>
    <n v="38"/>
    <s v="Medium"/>
    <s v="Medium-Term"/>
    <s v="Standart Client"/>
    <m/>
  </r>
  <r>
    <s v="Good"/>
    <x v="3"/>
    <s v="education"/>
    <s v="Up to 1000"/>
    <s v="male "/>
    <s v=" single"/>
    <x v="0"/>
    <x v="1"/>
    <n v="10"/>
    <n v="727"/>
    <n v="46"/>
    <s v="Low"/>
    <s v="Low-Term"/>
    <s v="Standart Client"/>
    <m/>
  </r>
  <r>
    <s v="Good"/>
    <x v="3"/>
    <s v="radio/television"/>
    <s v="No information"/>
    <s v="male "/>
    <s v=" single"/>
    <x v="0"/>
    <x v="0"/>
    <n v="12"/>
    <n v="2331"/>
    <n v="49"/>
    <s v="Medium"/>
    <s v="Medium-Term"/>
    <s v="Standart Client"/>
    <m/>
  </r>
  <r>
    <s v="Good"/>
    <x v="3"/>
    <s v="radio/television"/>
    <s v="Less 100"/>
    <s v="male "/>
    <s v=" married/widowed"/>
    <x v="0"/>
    <x v="0"/>
    <n v="12"/>
    <n v="776"/>
    <n v="28"/>
    <s v="Low"/>
    <s v="Medium-Term"/>
    <s v="Standart Client"/>
    <m/>
  </r>
  <r>
    <s v="Good"/>
    <x v="0"/>
    <s v="education"/>
    <s v="No information"/>
    <s v="male "/>
    <s v=" single"/>
    <x v="0"/>
    <x v="1"/>
    <n v="18"/>
    <n v="1239"/>
    <n v="61"/>
    <s v="Low"/>
    <s v="Medium-Term"/>
    <s v="Standart Client"/>
    <m/>
  </r>
  <r>
    <s v="Good"/>
    <x v="2"/>
    <s v="radio/television"/>
    <s v="No information"/>
    <s v="male "/>
    <s v=" single"/>
    <x v="1"/>
    <x v="0"/>
    <n v="12"/>
    <n v="3399"/>
    <n v="37"/>
    <s v="Medium"/>
    <s v="Medium-Term"/>
    <s v="Standart Client"/>
    <m/>
  </r>
  <r>
    <s v="Good"/>
    <x v="2"/>
    <s v="car (new)"/>
    <s v="Less 100"/>
    <s v="female "/>
    <s v=" divorced/separated/married"/>
    <x v="0"/>
    <x v="0"/>
    <n v="12"/>
    <n v="2247"/>
    <n v="36"/>
    <s v="Medium"/>
    <s v="Medium-Term"/>
    <s v="Standart Client"/>
    <m/>
  </r>
  <r>
    <s v="Good"/>
    <x v="3"/>
    <s v="furniture/equipment"/>
    <s v="Less 100"/>
    <s v="male "/>
    <s v=" married/widowed"/>
    <x v="0"/>
    <x v="2"/>
    <n v="6"/>
    <n v="1766"/>
    <n v="21"/>
    <s v="Low"/>
    <s v="Low-Term"/>
    <s v="Standart Client"/>
    <m/>
  </r>
  <r>
    <s v="Good"/>
    <x v="3"/>
    <s v="business"/>
    <s v="Less 100"/>
    <s v="male "/>
    <s v=" single"/>
    <x v="0"/>
    <x v="0"/>
    <n v="12"/>
    <n v="1542"/>
    <n v="36"/>
    <s v="Low"/>
    <s v="Medium-Term"/>
    <s v="Standart Client"/>
    <m/>
  </r>
  <r>
    <s v="Good"/>
    <x v="3"/>
    <s v="car (used)"/>
    <s v="Less 100"/>
    <s v="male "/>
    <s v=" single"/>
    <x v="0"/>
    <x v="0"/>
    <n v="18"/>
    <n v="3850"/>
    <n v="27"/>
    <s v="Medium"/>
    <s v="Medium-Term"/>
    <s v="Standart Client"/>
    <m/>
  </r>
  <r>
    <s v="Good"/>
    <x v="1"/>
    <s v="furniture/equipment"/>
    <s v="Less 100"/>
    <s v="female "/>
    <s v=" divorced/separated/married"/>
    <x v="0"/>
    <x v="2"/>
    <n v="18"/>
    <n v="3650"/>
    <n v="22"/>
    <s v="Medium"/>
    <s v="Medium-Term"/>
    <s v="Standart Client"/>
    <m/>
  </r>
  <r>
    <s v="Good"/>
    <x v="0"/>
    <s v="furniture/equipment"/>
    <s v="Less 100"/>
    <s v="female "/>
    <s v=" divorced/separated/married"/>
    <x v="0"/>
    <x v="2"/>
    <n v="18"/>
    <n v="3001"/>
    <n v="40"/>
    <s v="Medium"/>
    <s v="Medium-Term"/>
    <s v="Standart Client"/>
    <m/>
  </r>
  <r>
    <s v="Good"/>
    <x v="3"/>
    <s v="car (new)"/>
    <s v="No information"/>
    <s v="male "/>
    <s v=" single"/>
    <x v="0"/>
    <x v="0"/>
    <n v="36"/>
    <n v="3079"/>
    <n v="36"/>
    <s v="Medium"/>
    <s v="Long-Term"/>
    <s v="Standart Client"/>
    <m/>
  </r>
  <r>
    <s v="Good"/>
    <x v="3"/>
    <s v="radio/television"/>
    <s v="Less 100"/>
    <s v="male "/>
    <s v=" single"/>
    <x v="0"/>
    <x v="0"/>
    <n v="18"/>
    <n v="6070"/>
    <n v="33"/>
    <s v="Hight"/>
    <s v="Medium-Term"/>
    <s v="Standart Client"/>
    <m/>
  </r>
  <r>
    <s v="Good"/>
    <x v="3"/>
    <s v="furniture/equipment"/>
    <s v="Less 100"/>
    <s v="female "/>
    <s v=" divorced/separated/married"/>
    <x v="0"/>
    <x v="2"/>
    <n v="10"/>
    <n v="2146"/>
    <n v="23"/>
    <s v="Medium"/>
    <s v="Low-Term"/>
    <s v="Standart Client"/>
    <m/>
  </r>
  <r>
    <s v="Good"/>
    <x v="3"/>
    <s v="car (new)"/>
    <s v="No information"/>
    <s v="male "/>
    <s v=" single"/>
    <x v="1"/>
    <x v="1"/>
    <n v="60"/>
    <n v="13756"/>
    <n v="63"/>
    <s v="Hight"/>
    <s v="Long-Term"/>
    <s v="VIP Client"/>
    <m/>
  </r>
  <r>
    <s v="Good"/>
    <x v="3"/>
    <s v="radio/television"/>
    <s v="Less 100"/>
    <s v="male "/>
    <s v=" married/widowed"/>
    <x v="0"/>
    <x v="0"/>
    <n v="18"/>
    <n v="2320"/>
    <n v="34"/>
    <s v="Medium"/>
    <s v="Medium-Term"/>
    <s v="Standart Client"/>
    <m/>
  </r>
  <r>
    <s v="Good"/>
    <x v="3"/>
    <s v="radio/television"/>
    <s v="No information"/>
    <s v="male "/>
    <s v=" single"/>
    <x v="0"/>
    <x v="1"/>
    <n v="7"/>
    <n v="846"/>
    <n v="36"/>
    <s v="Low"/>
    <s v="Low-Term"/>
    <s v="Standart Client"/>
    <m/>
  </r>
  <r>
    <s v="Good"/>
    <x v="3"/>
    <s v="car (new)"/>
    <s v="Up to 500"/>
    <s v="female "/>
    <s v=" divorced/separated/married"/>
    <x v="2"/>
    <x v="0"/>
    <n v="6"/>
    <n v="362"/>
    <n v="52"/>
    <s v="Low"/>
    <s v="Low-Term"/>
    <s v="Standart Client"/>
    <m/>
  </r>
  <r>
    <s v="Good"/>
    <x v="1"/>
    <s v="furniture/equipment"/>
    <s v="No information"/>
    <s v="male "/>
    <s v=" single"/>
    <x v="0"/>
    <x v="0"/>
    <n v="20"/>
    <n v="2212"/>
    <n v="39"/>
    <s v="Medium"/>
    <s v="Medium-Term"/>
    <s v="Standart Client"/>
    <m/>
  </r>
  <r>
    <s v="Good"/>
    <x v="3"/>
    <s v="car (new)"/>
    <s v="No information"/>
    <s v="female "/>
    <s v=" divorced/separated/married"/>
    <x v="0"/>
    <x v="2"/>
    <n v="22"/>
    <n v="1283"/>
    <n v="25"/>
    <s v="Low"/>
    <s v="Medium-Term"/>
    <s v="Standart Client"/>
    <m/>
  </r>
  <r>
    <s v="Good"/>
    <x v="2"/>
    <s v="car (new)"/>
    <s v="Less 100"/>
    <s v="male "/>
    <s v=" single"/>
    <x v="0"/>
    <x v="0"/>
    <n v="12"/>
    <n v="1330"/>
    <n v="26"/>
    <s v="Low"/>
    <s v="Medium-Term"/>
    <s v="Standart Client"/>
    <m/>
  </r>
  <r>
    <s v="Good"/>
    <x v="3"/>
    <s v="business"/>
    <s v="Up to 500"/>
    <s v="male "/>
    <s v=" single"/>
    <x v="2"/>
    <x v="0"/>
    <n v="30"/>
    <n v="4272"/>
    <n v="26"/>
    <s v="Medium"/>
    <s v="Medium-Term"/>
    <s v="Standart Client"/>
    <m/>
  </r>
  <r>
    <s v="Good"/>
    <x v="3"/>
    <s v="radio/television"/>
    <s v="Less 100"/>
    <s v="female "/>
    <s v=" divorced/separated/married"/>
    <x v="0"/>
    <x v="0"/>
    <n v="18"/>
    <n v="2238"/>
    <n v="25"/>
    <s v="Medium"/>
    <s v="Medium-Term"/>
    <s v="Standart Client"/>
    <m/>
  </r>
  <r>
    <s v="Good"/>
    <x v="3"/>
    <s v="radio/television"/>
    <s v="No information"/>
    <s v="female "/>
    <s v=" divorced/separated/married"/>
    <x v="0"/>
    <x v="2"/>
    <n v="18"/>
    <n v="1126"/>
    <n v="21"/>
    <s v="Low"/>
    <s v="Medium-Term"/>
    <s v="Standart Client"/>
    <m/>
  </r>
  <r>
    <s v="Good"/>
    <x v="0"/>
    <s v="furniture/equipment"/>
    <s v="Less 100"/>
    <s v="male "/>
    <s v=" single"/>
    <x v="1"/>
    <x v="0"/>
    <n v="18"/>
    <n v="7374"/>
    <n v="40"/>
    <s v="Hight"/>
    <s v="Medium-Term"/>
    <s v="VIP Client"/>
    <m/>
  </r>
  <r>
    <s v="Good"/>
    <x v="0"/>
    <s v="business"/>
    <s v="Up to 1000"/>
    <s v="male "/>
    <s v=" single"/>
    <x v="0"/>
    <x v="0"/>
    <n v="15"/>
    <n v="2326"/>
    <n v="27"/>
    <s v="Medium"/>
    <s v="Medium-Term"/>
    <s v="Standart Client"/>
    <m/>
  </r>
  <r>
    <s v="Good"/>
    <x v="3"/>
    <s v="business"/>
    <s v="Less 100"/>
    <s v="female "/>
    <s v=" divorced/separated/married"/>
    <x v="0"/>
    <x v="0"/>
    <n v="9"/>
    <n v="1449"/>
    <n v="27"/>
    <s v="Low"/>
    <s v="Low-Term"/>
    <s v="Standart Client"/>
    <m/>
  </r>
  <r>
    <s v="Good"/>
    <x v="3"/>
    <s v="car (new)"/>
    <s v="Less 100"/>
    <s v="male "/>
    <s v=" married/widowed"/>
    <x v="1"/>
    <x v="0"/>
    <n v="18"/>
    <n v="1820"/>
    <n v="30"/>
    <s v="Low"/>
    <s v="Medium-Term"/>
    <s v="Standart Client"/>
    <m/>
  </r>
  <r>
    <s v="Good"/>
    <x v="0"/>
    <s v="furniture/equipment"/>
    <s v="More 1000"/>
    <s v="female "/>
    <s v=" divorced/separated/married"/>
    <x v="2"/>
    <x v="2"/>
    <n v="12"/>
    <n v="983"/>
    <n v="19"/>
    <s v="Low"/>
    <s v="Medium-Term"/>
    <s v="Standart Client"/>
    <m/>
  </r>
  <r>
    <s v="Good"/>
    <x v="1"/>
    <s v="car (new)"/>
    <s v="Less 100"/>
    <s v="male "/>
    <s v=" single"/>
    <x v="1"/>
    <x v="1"/>
    <n v="36"/>
    <n v="3249"/>
    <n v="39"/>
    <s v="Medium"/>
    <s v="Long-Term"/>
    <s v="Standart Client"/>
    <m/>
  </r>
  <r>
    <s v="Good"/>
    <x v="1"/>
    <s v="radio/television"/>
    <s v="Less 100"/>
    <s v="female "/>
    <s v=" divorced/separated/married"/>
    <x v="0"/>
    <x v="0"/>
    <n v="6"/>
    <n v="1957"/>
    <n v="31"/>
    <s v="Low"/>
    <s v="Low-Term"/>
    <s v="Standart Client"/>
    <m/>
  </r>
  <r>
    <s v="Good"/>
    <x v="3"/>
    <s v="furniture/equipment"/>
    <s v="Less 100"/>
    <s v="male "/>
    <s v=" single"/>
    <x v="1"/>
    <x v="0"/>
    <n v="9"/>
    <n v="2406"/>
    <n v="31"/>
    <s v="Medium"/>
    <s v="Low-Term"/>
    <s v="Standart Client"/>
    <m/>
  </r>
  <r>
    <s v="Good"/>
    <x v="0"/>
    <s v="education"/>
    <s v="Up to 500"/>
    <s v="male "/>
    <s v=" single"/>
    <x v="0"/>
    <x v="2"/>
    <n v="39"/>
    <n v="11760"/>
    <n v="32"/>
    <s v="Hight"/>
    <s v="Long-Term"/>
    <s v="VIP Client"/>
    <m/>
  </r>
  <r>
    <s v="Good"/>
    <x v="1"/>
    <s v="furniture/equipment"/>
    <s v="Less 100"/>
    <s v="female "/>
    <s v=" divorced/separated/married"/>
    <x v="1"/>
    <x v="1"/>
    <n v="12"/>
    <n v="2578"/>
    <n v="55"/>
    <s v="Medium"/>
    <s v="Medium-Term"/>
    <s v="Standart Client"/>
    <m/>
  </r>
  <r>
    <s v="Good"/>
    <x v="1"/>
    <s v="furniture/equipment"/>
    <s v="Less 100"/>
    <s v="male "/>
    <s v=" married/widowed"/>
    <x v="0"/>
    <x v="0"/>
    <n v="36"/>
    <n v="2348"/>
    <n v="46"/>
    <s v="Medium"/>
    <s v="Long-Term"/>
    <s v="Standart Client"/>
    <m/>
  </r>
  <r>
    <s v="Good"/>
    <x v="3"/>
    <s v="radio/television"/>
    <s v="More 1000"/>
    <s v="female "/>
    <s v=" divorced/separated/married"/>
    <x v="2"/>
    <x v="0"/>
    <n v="24"/>
    <n v="1516"/>
    <n v="43"/>
    <s v="Low"/>
    <s v="Medium-Term"/>
    <s v="Standart Client"/>
    <m/>
  </r>
  <r>
    <s v="Good"/>
    <x v="3"/>
    <s v="radio/television"/>
    <s v="Less 100"/>
    <s v="male "/>
    <s v=" married/widowed"/>
    <x v="0"/>
    <x v="0"/>
    <n v="18"/>
    <n v="1473"/>
    <n v="39"/>
    <s v="Low"/>
    <s v="Medium-Term"/>
    <s v="Standart Client"/>
    <m/>
  </r>
  <r>
    <s v="Good"/>
    <x v="0"/>
    <s v="business"/>
    <s v="No information"/>
    <s v="male "/>
    <s v=" married/widowed"/>
    <x v="0"/>
    <x v="0"/>
    <n v="18"/>
    <n v="1887"/>
    <n v="28"/>
    <s v="Low"/>
    <s v="Medium-Term"/>
    <s v="Standart Client"/>
    <m/>
  </r>
  <r>
    <s v="Good"/>
    <x v="3"/>
    <s v="car (new)"/>
    <s v="Less 100"/>
    <s v="male "/>
    <s v=" single"/>
    <x v="2"/>
    <x v="0"/>
    <n v="14"/>
    <n v="802"/>
    <n v="27"/>
    <s v="Low"/>
    <s v="Medium-Term"/>
    <s v="Standart Client"/>
    <m/>
  </r>
  <r>
    <s v="Good"/>
    <x v="0"/>
    <s v="car (new)"/>
    <s v="No information"/>
    <s v="male "/>
    <s v=" single"/>
    <x v="0"/>
    <x v="0"/>
    <n v="18"/>
    <n v="2899"/>
    <n v="43"/>
    <s v="Medium"/>
    <s v="Medium-Term"/>
    <s v="Standart Client"/>
    <m/>
  </r>
  <r>
    <s v="Good"/>
    <x v="3"/>
    <s v="car (used)"/>
    <s v="No information"/>
    <s v="male "/>
    <s v=" single"/>
    <x v="0"/>
    <x v="0"/>
    <n v="24"/>
    <n v="2197"/>
    <n v="43"/>
    <s v="Medium"/>
    <s v="Medium-Term"/>
    <s v="Standart Client"/>
    <m/>
  </r>
  <r>
    <s v="Good"/>
    <x v="1"/>
    <s v="radio/television"/>
    <s v="Less 100"/>
    <s v="male "/>
    <s v=" married/widowed"/>
    <x v="0"/>
    <x v="0"/>
    <n v="15"/>
    <n v="1053"/>
    <n v="27"/>
    <s v="Low"/>
    <s v="Medium-Term"/>
    <s v="Standart Client"/>
    <m/>
  </r>
  <r>
    <s v="Good"/>
    <x v="3"/>
    <s v="radio/television"/>
    <s v="Up to 1000"/>
    <s v="male "/>
    <s v=" divorced/separated"/>
    <x v="1"/>
    <x v="0"/>
    <n v="24"/>
    <n v="3235"/>
    <n v="26"/>
    <s v="Medium"/>
    <s v="Medium-Term"/>
    <s v="Standart Client"/>
    <m/>
  </r>
  <r>
    <s v="Good"/>
    <x v="0"/>
    <s v="radio/television"/>
    <s v="Less 100"/>
    <s v="female "/>
    <s v=" divorced/separated/married"/>
    <x v="0"/>
    <x v="0"/>
    <n v="24"/>
    <n v="1967"/>
    <n v="20"/>
    <s v="Low"/>
    <s v="Medium-Term"/>
    <s v="Standart Client"/>
    <m/>
  </r>
  <r>
    <s v="Good"/>
    <x v="3"/>
    <s v="car (used)"/>
    <s v="Less 100"/>
    <s v="male "/>
    <s v=" single"/>
    <x v="1"/>
    <x v="0"/>
    <n v="33"/>
    <n v="7253"/>
    <n v="35"/>
    <s v="Hight"/>
    <s v="Medium-Term"/>
    <s v="VIP Client"/>
    <m/>
  </r>
  <r>
    <s v="Good"/>
    <x v="3"/>
    <s v="car (new)"/>
    <s v="Up to 1000"/>
    <s v="male "/>
    <s v=" single"/>
    <x v="2"/>
    <x v="2"/>
    <n v="10"/>
    <n v="1597"/>
    <n v="40"/>
    <s v="Low"/>
    <s v="Low-Term"/>
    <s v="Standart Client"/>
    <m/>
  </r>
  <r>
    <s v="Good"/>
    <x v="3"/>
    <s v="car (used)"/>
    <s v="Less 100"/>
    <s v="male "/>
    <s v=" single"/>
    <x v="0"/>
    <x v="0"/>
    <n v="36"/>
    <n v="5842"/>
    <n v="35"/>
    <s v="Hight"/>
    <s v="Long-Term"/>
    <s v="Standart Client"/>
    <m/>
  </r>
  <r>
    <s v="Good"/>
    <x v="1"/>
    <s v="education"/>
    <s v="No information"/>
    <s v="female "/>
    <s v=" divorced/separated/married"/>
    <x v="0"/>
    <x v="2"/>
    <n v="18"/>
    <n v="8471"/>
    <n v="23"/>
    <s v="Hight"/>
    <s v="Medium-Term"/>
    <s v="VIP Client"/>
    <m/>
  </r>
  <r>
    <s v="Good"/>
    <x v="3"/>
    <s v="car (new)"/>
    <s v="Up to 1000"/>
    <s v="female "/>
    <s v=" divorced/separated/married"/>
    <x v="1"/>
    <x v="0"/>
    <n v="21"/>
    <n v="2782"/>
    <n v="31"/>
    <s v="Medium"/>
    <s v="Medium-Term"/>
    <s v="Standart Client"/>
    <m/>
  </r>
  <r>
    <s v="Good"/>
    <x v="3"/>
    <s v="car (new)"/>
    <s v="More 1000"/>
    <s v="female "/>
    <s v=" divorced/separated/married"/>
    <x v="0"/>
    <x v="2"/>
    <n v="15"/>
    <n v="3186"/>
    <n v="20"/>
    <s v="Medium"/>
    <s v="Medium-Term"/>
    <s v="Standart Client"/>
    <m/>
  </r>
  <r>
    <s v="Good"/>
    <x v="0"/>
    <s v="car (used)"/>
    <s v="No information"/>
    <s v="male "/>
    <s v=" single"/>
    <x v="0"/>
    <x v="0"/>
    <n v="12"/>
    <n v="2028"/>
    <n v="30"/>
    <s v="Medium"/>
    <s v="Medium-Term"/>
    <s v="Standart Client"/>
    <m/>
  </r>
  <r>
    <s v="Good"/>
    <x v="0"/>
    <s v="car (new)"/>
    <s v="Less 100"/>
    <s v="male "/>
    <s v=" single"/>
    <x v="2"/>
    <x v="0"/>
    <n v="12"/>
    <n v="958"/>
    <n v="47"/>
    <s v="Low"/>
    <s v="Medium-Term"/>
    <s v="Standart Client"/>
    <m/>
  </r>
  <r>
    <s v="Good"/>
    <x v="3"/>
    <s v="furniture/equipment"/>
    <s v="Up to 500"/>
    <s v="male "/>
    <s v=" single"/>
    <x v="1"/>
    <x v="0"/>
    <n v="21"/>
    <n v="1591"/>
    <n v="34"/>
    <s v="Low"/>
    <s v="Medium-Term"/>
    <s v="Standart Client"/>
    <m/>
  </r>
  <r>
    <s v="Good"/>
    <x v="0"/>
    <s v="car (used)"/>
    <s v="Less 100"/>
    <s v="male "/>
    <s v=" married/widowed"/>
    <x v="0"/>
    <x v="2"/>
    <n v="18"/>
    <n v="2779"/>
    <n v="21"/>
    <s v="Medium"/>
    <s v="Medium-Term"/>
    <s v="Standart Client"/>
    <m/>
  </r>
  <r>
    <s v="Good"/>
    <x v="3"/>
    <s v="radio/television"/>
    <s v="Less 100"/>
    <s v="male "/>
    <s v=" single"/>
    <x v="0"/>
    <x v="0"/>
    <n v="28"/>
    <n v="2743"/>
    <n v="29"/>
    <s v="Medium"/>
    <s v="Medium-Term"/>
    <s v="Standart Client"/>
    <m/>
  </r>
  <r>
    <s v="Good"/>
    <x v="3"/>
    <s v="radio/television"/>
    <s v="More 1000"/>
    <s v="male "/>
    <s v=" single"/>
    <x v="0"/>
    <x v="0"/>
    <n v="18"/>
    <n v="1149"/>
    <n v="46"/>
    <s v="Low"/>
    <s v="Medium-Term"/>
    <s v="Standart Client"/>
    <m/>
  </r>
  <r>
    <s v="Good"/>
    <x v="3"/>
    <s v="furniture/equipment"/>
    <s v="Less 100"/>
    <s v="male "/>
    <s v=" single"/>
    <x v="0"/>
    <x v="0"/>
    <n v="9"/>
    <n v="1313"/>
    <n v="20"/>
    <s v="Low"/>
    <s v="Low-Term"/>
    <s v="Standart Client"/>
    <m/>
  </r>
  <r>
    <s v="Good"/>
    <x v="3"/>
    <s v="business"/>
    <s v="Less 100"/>
    <s v="male "/>
    <s v=" single"/>
    <x v="2"/>
    <x v="0"/>
    <n v="5"/>
    <n v="3448"/>
    <n v="74"/>
    <s v="Medium"/>
    <s v="Low-Term"/>
    <s v="Standart Client"/>
    <m/>
  </r>
  <r>
    <s v="Good"/>
    <x v="1"/>
    <s v="furniture/equipment"/>
    <s v="Less 100"/>
    <s v="male "/>
    <s v=" single"/>
    <x v="1"/>
    <x v="1"/>
    <n v="6"/>
    <n v="1872"/>
    <n v="36"/>
    <s v="Low"/>
    <s v="Low-Term"/>
    <s v="Standart Client"/>
    <m/>
  </r>
  <r>
    <s v="Good"/>
    <x v="3"/>
    <s v="repairs"/>
    <s v="Less 100"/>
    <s v="male "/>
    <s v=" divorced/separated"/>
    <x v="0"/>
    <x v="0"/>
    <n v="24"/>
    <n v="2058"/>
    <n v="33"/>
    <s v="Medium"/>
    <s v="Medium-Term"/>
    <s v="Standart Client"/>
    <m/>
  </r>
  <r>
    <s v="Good"/>
    <x v="1"/>
    <s v="furniture/equipment"/>
    <s v="Less 100"/>
    <s v="male "/>
    <s v=" single"/>
    <x v="0"/>
    <x v="0"/>
    <n v="9"/>
    <n v="2136"/>
    <n v="25"/>
    <s v="Medium"/>
    <s v="Low-Term"/>
    <s v="Standart Client"/>
    <m/>
  </r>
  <r>
    <s v="Good"/>
    <x v="3"/>
    <s v="repairs"/>
    <s v="Up to 1000"/>
    <s v="male "/>
    <s v=" married/widowed"/>
    <x v="2"/>
    <x v="2"/>
    <n v="6"/>
    <n v="660"/>
    <n v="23"/>
    <s v="Low"/>
    <s v="Low-Term"/>
    <s v="Standart Client"/>
    <m/>
  </r>
  <r>
    <s v="Good"/>
    <x v="3"/>
    <s v="car (new)"/>
    <s v="More 1000"/>
    <s v="female "/>
    <s v=" divorced/separated/married"/>
    <x v="0"/>
    <x v="0"/>
    <n v="24"/>
    <n v="1287"/>
    <n v="37"/>
    <s v="Low"/>
    <s v="Medium-Term"/>
    <s v="Standart Client"/>
    <m/>
  </r>
  <r>
    <s v="Good"/>
    <x v="1"/>
    <s v="repairs"/>
    <s v="Less 100"/>
    <s v="male "/>
    <s v=" single"/>
    <x v="3"/>
    <x v="0"/>
    <n v="42"/>
    <n v="3394"/>
    <n v="65"/>
    <s v="Medium"/>
    <s v="Long-Term"/>
    <s v="Standart Client"/>
    <m/>
  </r>
  <r>
    <s v="Good"/>
    <x v="3"/>
    <s v="car (new)"/>
    <s v="Less 100"/>
    <s v="male "/>
    <s v=" single"/>
    <x v="1"/>
    <x v="0"/>
    <n v="12"/>
    <n v="1884"/>
    <n v="39"/>
    <s v="Low"/>
    <s v="Medium-Term"/>
    <s v="Standart Client"/>
    <m/>
  </r>
  <r>
    <s v="Good"/>
    <x v="1"/>
    <s v="furniture/equipment"/>
    <s v="Less 100"/>
    <s v="female "/>
    <s v=" divorced/separated/married"/>
    <x v="0"/>
    <x v="0"/>
    <n v="12"/>
    <n v="1620"/>
    <n v="30"/>
    <s v="Low"/>
    <s v="Medium-Term"/>
    <s v="Standart Client"/>
    <m/>
  </r>
  <r>
    <s v="Good"/>
    <x v="0"/>
    <s v="others"/>
    <s v="Less 100"/>
    <s v="male "/>
    <s v=" single"/>
    <x v="0"/>
    <x v="0"/>
    <n v="20"/>
    <n v="2629"/>
    <n v="29"/>
    <s v="Medium"/>
    <s v="Medium-Term"/>
    <s v="Standart Client"/>
    <m/>
  </r>
  <r>
    <s v="Good"/>
    <x v="3"/>
    <s v="education"/>
    <s v="No information"/>
    <s v="female "/>
    <s v=" divorced/separated/married"/>
    <x v="2"/>
    <x v="2"/>
    <n v="9"/>
    <n v="1244"/>
    <n v="41"/>
    <s v="Low"/>
    <s v="Low-Term"/>
    <s v="Standart Client"/>
    <m/>
  </r>
  <r>
    <s v="Good"/>
    <x v="0"/>
    <s v="radio/television"/>
    <s v="Less 100"/>
    <s v="male "/>
    <s v=" single"/>
    <x v="0"/>
    <x v="0"/>
    <n v="7"/>
    <n v="2576"/>
    <n v="35"/>
    <s v="Medium"/>
    <s v="Low-Term"/>
    <s v="Standart Client"/>
    <m/>
  </r>
  <r>
    <s v="Good"/>
    <x v="2"/>
    <s v="furniture/equipment"/>
    <s v="No information"/>
    <s v="female "/>
    <s v=" divorced/separated/married"/>
    <x v="1"/>
    <x v="0"/>
    <n v="12"/>
    <n v="1424"/>
    <n v="55"/>
    <s v="Low"/>
    <s v="Medium-Term"/>
    <s v="Standart Client"/>
    <m/>
  </r>
  <r>
    <s v="Good"/>
    <x v="3"/>
    <s v="car (used)"/>
    <s v="No information"/>
    <s v="male "/>
    <s v=" single"/>
    <x v="1"/>
    <x v="0"/>
    <n v="36"/>
    <n v="11054"/>
    <n v="30"/>
    <s v="Hight"/>
    <s v="Long-Term"/>
    <s v="VIP Client"/>
    <m/>
  </r>
  <r>
    <s v="Good"/>
    <x v="3"/>
    <s v="radio/television"/>
    <s v="Less 100"/>
    <s v="female "/>
    <s v=" divorced/separated/married"/>
    <x v="0"/>
    <x v="0"/>
    <n v="6"/>
    <n v="518"/>
    <n v="29"/>
    <s v="Low"/>
    <s v="Low-Term"/>
    <s v="Standart Client"/>
    <m/>
  </r>
  <r>
    <s v="Good"/>
    <x v="3"/>
    <s v="furniture/equipment"/>
    <s v="Less 100"/>
    <s v="male "/>
    <s v=" single"/>
    <x v="0"/>
    <x v="0"/>
    <n v="12"/>
    <n v="2759"/>
    <n v="34"/>
    <s v="Medium"/>
    <s v="Medium-Term"/>
    <s v="Standart Client"/>
    <m/>
  </r>
  <r>
    <s v="Good"/>
    <x v="3"/>
    <s v="car (used)"/>
    <s v="Less 100"/>
    <s v="male "/>
    <s v=" single"/>
    <x v="1"/>
    <x v="0"/>
    <n v="24"/>
    <n v="2670"/>
    <n v="35"/>
    <s v="Medium"/>
    <s v="Medium-Term"/>
    <s v="Standart Client"/>
    <m/>
  </r>
  <r>
    <s v="Good"/>
    <x v="3"/>
    <s v="car (used)"/>
    <s v="Less 100"/>
    <s v="female "/>
    <s v=" divorced/separated/married"/>
    <x v="1"/>
    <x v="0"/>
    <n v="24"/>
    <n v="2679"/>
    <n v="29"/>
    <s v="Medium"/>
    <s v="Medium-Term"/>
    <s v="Standart Client"/>
    <m/>
  </r>
  <r>
    <s v="Good"/>
    <x v="1"/>
    <s v="car (new)"/>
    <s v="Less 100"/>
    <s v="male "/>
    <s v=" single"/>
    <x v="0"/>
    <x v="2"/>
    <n v="11"/>
    <n v="3905"/>
    <n v="36"/>
    <s v="Medium"/>
    <s v="Low-Term"/>
    <s v="Standart Client"/>
    <m/>
  </r>
  <r>
    <s v="Good"/>
    <x v="1"/>
    <s v="domestic appliances"/>
    <s v="Less 100"/>
    <s v="female "/>
    <s v=" divorced/separated/married"/>
    <x v="0"/>
    <x v="0"/>
    <n v="6"/>
    <n v="343"/>
    <n v="27"/>
    <s v="Low"/>
    <s v="Low-Term"/>
    <s v="Standart Client"/>
    <m/>
  </r>
  <r>
    <s v="Good"/>
    <x v="3"/>
    <s v="radio/television"/>
    <s v="Less 100"/>
    <s v="male "/>
    <s v=" single"/>
    <x v="0"/>
    <x v="0"/>
    <n v="18"/>
    <n v="4594"/>
    <n v="32"/>
    <s v="Medium"/>
    <s v="Medium-Term"/>
    <s v="Standart Client"/>
    <m/>
  </r>
  <r>
    <s v="Good"/>
    <x v="1"/>
    <s v="furniture/equipment"/>
    <s v="Less 100"/>
    <s v="male "/>
    <s v=" single"/>
    <x v="0"/>
    <x v="0"/>
    <n v="36"/>
    <n v="3620"/>
    <n v="37"/>
    <s v="Medium"/>
    <s v="Long-Term"/>
    <s v="Standart Client"/>
    <m/>
  </r>
  <r>
    <s v="Good"/>
    <x v="1"/>
    <s v="car (new)"/>
    <s v="Less 100"/>
    <s v="male "/>
    <s v=" single"/>
    <x v="0"/>
    <x v="0"/>
    <n v="15"/>
    <n v="1721"/>
    <n v="36"/>
    <s v="Low"/>
    <s v="Medium-Term"/>
    <s v="Standart Client"/>
    <m/>
  </r>
  <r>
    <s v="Good"/>
    <x v="0"/>
    <s v="furniture/equipment"/>
    <s v="Less 100"/>
    <s v="female "/>
    <s v=" divorced/separated/married"/>
    <x v="1"/>
    <x v="2"/>
    <n v="12"/>
    <n v="3017"/>
    <n v="34"/>
    <s v="Medium"/>
    <s v="Medium-Term"/>
    <s v="Standart Client"/>
    <m/>
  </r>
  <r>
    <s v="Good"/>
    <x v="0"/>
    <s v="retraining"/>
    <s v="No information"/>
    <s v="male "/>
    <s v=" single"/>
    <x v="0"/>
    <x v="0"/>
    <n v="12"/>
    <n v="754"/>
    <n v="38"/>
    <s v="Low"/>
    <s v="Medium-Term"/>
    <s v="Standart Client"/>
    <m/>
  </r>
  <r>
    <s v="Good"/>
    <x v="3"/>
    <s v="business"/>
    <s v="Less 100"/>
    <s v="male "/>
    <s v=" single"/>
    <x v="0"/>
    <x v="0"/>
    <n v="18"/>
    <n v="1950"/>
    <n v="34"/>
    <s v="Low"/>
    <s v="Medium-Term"/>
    <s v="Standart Client"/>
    <m/>
  </r>
  <r>
    <s v="Good"/>
    <x v="1"/>
    <s v="car (used)"/>
    <s v="Less 100"/>
    <s v="male "/>
    <s v=" single"/>
    <x v="0"/>
    <x v="0"/>
    <n v="24"/>
    <n v="2924"/>
    <n v="63"/>
    <s v="Medium"/>
    <s v="Medium-Term"/>
    <s v="Standart Client"/>
    <m/>
  </r>
  <r>
    <s v="Good"/>
    <x v="3"/>
    <s v="radio/television"/>
    <s v="No information"/>
    <s v="male "/>
    <s v=" single"/>
    <x v="0"/>
    <x v="0"/>
    <n v="48"/>
    <n v="7238"/>
    <n v="32"/>
    <s v="Hight"/>
    <s v="Long-Term"/>
    <s v="VIP Client"/>
    <m/>
  </r>
  <r>
    <s v="Good"/>
    <x v="3"/>
    <s v="business"/>
    <s v="Less 100"/>
    <s v="female "/>
    <s v=" divorced/separated/married"/>
    <x v="0"/>
    <x v="0"/>
    <n v="33"/>
    <n v="2764"/>
    <n v="26"/>
    <s v="Medium"/>
    <s v="Medium-Term"/>
    <s v="Standart Client"/>
    <m/>
  </r>
  <r>
    <s v="Good"/>
    <x v="3"/>
    <s v="car (used)"/>
    <s v="Less 100"/>
    <s v="male "/>
    <s v=" single"/>
    <x v="2"/>
    <x v="0"/>
    <n v="24"/>
    <n v="4679"/>
    <n v="35"/>
    <s v="Medium"/>
    <s v="Medium-Term"/>
    <s v="Standart Client"/>
    <m/>
  </r>
  <r>
    <s v="Good"/>
    <x v="3"/>
    <s v="retraining"/>
    <s v="No information"/>
    <s v="male "/>
    <s v=" single"/>
    <x v="1"/>
    <x v="0"/>
    <n v="6"/>
    <n v="1238"/>
    <n v="36"/>
    <s v="Low"/>
    <s v="Low-Term"/>
    <s v="Standart Client"/>
    <m/>
  </r>
  <r>
    <s v="Good"/>
    <x v="3"/>
    <s v="car (used)"/>
    <s v="Up to 1000"/>
    <s v="male "/>
    <s v=" single"/>
    <x v="0"/>
    <x v="0"/>
    <n v="39"/>
    <n v="2569"/>
    <n v="24"/>
    <s v="Medium"/>
    <s v="Long-Term"/>
    <s v="Standart Client"/>
    <m/>
  </r>
  <r>
    <s v="Good"/>
    <x v="2"/>
    <s v="radio/television"/>
    <s v="Less 100"/>
    <s v="male "/>
    <s v=" single"/>
    <x v="0"/>
    <x v="0"/>
    <n v="24"/>
    <n v="5152"/>
    <n v="25"/>
    <s v="Hight"/>
    <s v="Medium-Term"/>
    <s v="Standart Client"/>
    <m/>
  </r>
  <r>
    <s v="Good"/>
    <x v="0"/>
    <s v="business"/>
    <s v="Up to 500"/>
    <s v="male "/>
    <s v=" single"/>
    <x v="2"/>
    <x v="0"/>
    <n v="12"/>
    <n v="1037"/>
    <n v="39"/>
    <s v="Low"/>
    <s v="Medium-Term"/>
    <s v="Standart Client"/>
    <m/>
  </r>
  <r>
    <s v="Good"/>
    <x v="1"/>
    <s v="furniture/equipment"/>
    <s v="Less 100"/>
    <s v="male "/>
    <s v=" single"/>
    <x v="0"/>
    <x v="0"/>
    <n v="15"/>
    <n v="1478"/>
    <n v="44"/>
    <s v="Low"/>
    <s v="Medium-Term"/>
    <s v="Standart Client"/>
    <m/>
  </r>
  <r>
    <s v="Good"/>
    <x v="0"/>
    <s v="radio/television"/>
    <s v="Less 100"/>
    <s v="female "/>
    <s v=" divorced/separated/married"/>
    <x v="2"/>
    <x v="0"/>
    <n v="12"/>
    <n v="3573"/>
    <n v="23"/>
    <s v="Medium"/>
    <s v="Medium-Term"/>
    <s v="Standart Client"/>
    <m/>
  </r>
  <r>
    <s v="Good"/>
    <x v="0"/>
    <s v="car (new)"/>
    <s v="Less 100"/>
    <s v="male "/>
    <s v=" single"/>
    <x v="0"/>
    <x v="0"/>
    <n v="24"/>
    <n v="1201"/>
    <n v="26"/>
    <s v="Low"/>
    <s v="Medium-Term"/>
    <s v="Standart Client"/>
    <m/>
  </r>
  <r>
    <s v="Good"/>
    <x v="1"/>
    <s v="furniture/equipment"/>
    <s v="More 1000"/>
    <s v="female "/>
    <s v=" divorced/separated/married"/>
    <x v="0"/>
    <x v="2"/>
    <n v="30"/>
    <n v="3622"/>
    <n v="57"/>
    <s v="Medium"/>
    <s v="Medium-Term"/>
    <s v="Standart Client"/>
    <m/>
  </r>
  <r>
    <s v="Good"/>
    <x v="3"/>
    <s v="furniture/equipment"/>
    <s v="More 1000"/>
    <s v="female "/>
    <s v=" divorced/separated/married"/>
    <x v="0"/>
    <x v="0"/>
    <n v="15"/>
    <n v="960"/>
    <n v="30"/>
    <s v="Low"/>
    <s v="Medium-Term"/>
    <s v="Standart Client"/>
    <m/>
  </r>
  <r>
    <s v="Good"/>
    <x v="3"/>
    <s v="car (new)"/>
    <s v="Up to 1000"/>
    <s v="male "/>
    <s v=" single"/>
    <x v="0"/>
    <x v="0"/>
    <n v="12"/>
    <n v="1163"/>
    <n v="44"/>
    <s v="Low"/>
    <s v="Medium-Term"/>
    <s v="Standart Client"/>
    <m/>
  </r>
  <r>
    <s v="Good"/>
    <x v="3"/>
    <s v="radio/television"/>
    <s v="Less 100"/>
    <s v="male "/>
    <s v=" single"/>
    <x v="0"/>
    <x v="0"/>
    <n v="12"/>
    <n v="3077"/>
    <n v="52"/>
    <s v="Medium"/>
    <s v="Medium-Term"/>
    <s v="Standart Client"/>
    <m/>
  </r>
  <r>
    <s v="Good"/>
    <x v="3"/>
    <s v="car (new)"/>
    <s v="Less 100"/>
    <s v="female "/>
    <s v=" divorced/separated/married"/>
    <x v="0"/>
    <x v="1"/>
    <n v="24"/>
    <n v="3757"/>
    <n v="62"/>
    <s v="Medium"/>
    <s v="Medium-Term"/>
    <s v="Standart Client"/>
    <m/>
  </r>
  <r>
    <s v="Good"/>
    <x v="3"/>
    <s v="car (new)"/>
    <s v="Up to 500"/>
    <s v="male "/>
    <s v=" single"/>
    <x v="2"/>
    <x v="2"/>
    <n v="10"/>
    <n v="1418"/>
    <n v="35"/>
    <s v="Low"/>
    <s v="Low-Term"/>
    <s v="Standart Client"/>
    <m/>
  </r>
  <r>
    <s v="Good"/>
    <x v="3"/>
    <s v="car (new)"/>
    <s v="Less 100"/>
    <s v="male "/>
    <s v=" single"/>
    <x v="0"/>
    <x v="2"/>
    <n v="6"/>
    <n v="3518"/>
    <n v="26"/>
    <s v="Medium"/>
    <s v="Low-Term"/>
    <s v="Standart Client"/>
    <m/>
  </r>
  <r>
    <s v="Good"/>
    <x v="3"/>
    <s v="radio/television"/>
    <s v="Less 100"/>
    <s v="male "/>
    <s v=" single"/>
    <x v="0"/>
    <x v="0"/>
    <n v="12"/>
    <n v="1934"/>
    <n v="26"/>
    <s v="Low"/>
    <s v="Medium-Term"/>
    <s v="Standart Client"/>
    <m/>
  </r>
  <r>
    <s v="Good"/>
    <x v="3"/>
    <s v="radio/television"/>
    <s v="Up to 500"/>
    <s v="female "/>
    <s v=" divorced/separated/married"/>
    <x v="0"/>
    <x v="0"/>
    <n v="6"/>
    <n v="1237"/>
    <n v="27"/>
    <s v="Low"/>
    <s v="Low-Term"/>
    <s v="Standart Client"/>
    <m/>
  </r>
  <r>
    <s v="Good"/>
    <x v="0"/>
    <s v="radio/television"/>
    <s v="No information"/>
    <s v="male "/>
    <s v=" single"/>
    <x v="0"/>
    <x v="0"/>
    <n v="6"/>
    <n v="368"/>
    <n v="38"/>
    <s v="Low"/>
    <s v="Low-Term"/>
    <s v="Standart Client"/>
    <m/>
  </r>
  <r>
    <s v="Good"/>
    <x v="1"/>
    <s v="car (new)"/>
    <s v="Less 100"/>
    <s v="male "/>
    <s v=" single"/>
    <x v="2"/>
    <x v="2"/>
    <n v="12"/>
    <n v="2122"/>
    <n v="39"/>
    <s v="Medium"/>
    <s v="Medium-Term"/>
    <s v="Standart Client"/>
    <m/>
  </r>
  <r>
    <s v="Good"/>
    <x v="3"/>
    <s v="furniture/equipment"/>
    <s v="Less 100"/>
    <s v="male "/>
    <s v=" single"/>
    <x v="0"/>
    <x v="0"/>
    <n v="24"/>
    <n v="1585"/>
    <n v="40"/>
    <s v="Low"/>
    <s v="Medium-Term"/>
    <s v="Standart Client"/>
    <m/>
  </r>
  <r>
    <s v="Good"/>
    <x v="0"/>
    <s v="radio/television"/>
    <s v="Less 100"/>
    <s v="male "/>
    <s v=" married/widowed"/>
    <x v="2"/>
    <x v="0"/>
    <n v="18"/>
    <n v="1301"/>
    <n v="32"/>
    <s v="Low"/>
    <s v="Medium-Term"/>
    <s v="Standart Client"/>
    <m/>
  </r>
  <r>
    <s v="Good"/>
    <x v="2"/>
    <s v="car (new)"/>
    <s v="Up to 500"/>
    <s v="male "/>
    <s v=" divorced/separated"/>
    <x v="0"/>
    <x v="0"/>
    <n v="6"/>
    <n v="1323"/>
    <n v="28"/>
    <s v="Low"/>
    <s v="Low-Term"/>
    <s v="Standart Client"/>
    <m/>
  </r>
  <r>
    <s v="Good"/>
    <x v="1"/>
    <s v="car (used)"/>
    <s v="Less 100"/>
    <s v="male "/>
    <s v=" single"/>
    <x v="0"/>
    <x v="1"/>
    <n v="36"/>
    <n v="5493"/>
    <n v="42"/>
    <s v="Hight"/>
    <s v="Long-Term"/>
    <s v="Standart Client"/>
    <m/>
  </r>
  <r>
    <s v="Good"/>
    <x v="2"/>
    <s v="radio/television"/>
    <s v="Up to 500"/>
    <s v="male "/>
    <s v=" divorced/separated"/>
    <x v="0"/>
    <x v="0"/>
    <n v="9"/>
    <n v="1126"/>
    <n v="49"/>
    <s v="Low"/>
    <s v="Low-Term"/>
    <s v="Standart Client"/>
    <m/>
  </r>
  <r>
    <s v="Good"/>
    <x v="2"/>
    <s v="car (used)"/>
    <s v="Up to 1000"/>
    <s v="male "/>
    <s v=" single"/>
    <x v="0"/>
    <x v="0"/>
    <n v="15"/>
    <n v="2360"/>
    <n v="36"/>
    <s v="Medium"/>
    <s v="Medium-Term"/>
    <s v="Standart Client"/>
    <m/>
  </r>
  <r>
    <s v="Good"/>
    <x v="3"/>
    <s v="radio/television"/>
    <s v="Less 100"/>
    <s v="male "/>
    <s v=" married/widowed"/>
    <x v="0"/>
    <x v="0"/>
    <n v="24"/>
    <n v="1413"/>
    <n v="28"/>
    <s v="Low"/>
    <s v="Medium-Term"/>
    <s v="Standart Client"/>
    <m/>
  </r>
  <r>
    <s v="Good"/>
    <x v="3"/>
    <s v="car (used)"/>
    <s v="Up to 500"/>
    <s v="male "/>
    <s v=" single"/>
    <x v="1"/>
    <x v="0"/>
    <n v="39"/>
    <n v="8588"/>
    <n v="45"/>
    <s v="Hight"/>
    <s v="Long-Term"/>
    <s v="VIP Client"/>
    <m/>
  </r>
  <r>
    <s v="Good"/>
    <x v="3"/>
    <s v="car (used)"/>
    <s v="Less 100"/>
    <s v="male "/>
    <s v=" single"/>
    <x v="1"/>
    <x v="1"/>
    <n v="36"/>
    <n v="4686"/>
    <n v="32"/>
    <s v="Medium"/>
    <s v="Long-Term"/>
    <s v="Standart Client"/>
    <m/>
  </r>
  <r>
    <s v="Good"/>
    <x v="2"/>
    <s v="business"/>
    <s v="Less 100"/>
    <s v="male "/>
    <s v=" single"/>
    <x v="0"/>
    <x v="2"/>
    <n v="15"/>
    <n v="2687"/>
    <n v="26"/>
    <s v="Medium"/>
    <s v="Medium-Term"/>
    <s v="Standart Client"/>
    <m/>
  </r>
  <r>
    <s v="Good"/>
    <x v="0"/>
    <s v="radio/television"/>
    <s v="Less 100"/>
    <s v="male "/>
    <s v=" married/widowed"/>
    <x v="0"/>
    <x v="2"/>
    <n v="12"/>
    <n v="585"/>
    <n v="20"/>
    <s v="Low"/>
    <s v="Medium-Term"/>
    <s v="Standart Client"/>
    <m/>
  </r>
  <r>
    <s v="Good"/>
    <x v="3"/>
    <s v="car (new)"/>
    <s v="No information"/>
    <s v="male "/>
    <s v=" single"/>
    <x v="0"/>
    <x v="0"/>
    <n v="24"/>
    <n v="2255"/>
    <n v="54"/>
    <s v="Medium"/>
    <s v="Medium-Term"/>
    <s v="Standart Client"/>
    <m/>
  </r>
  <r>
    <s v="Good"/>
    <x v="1"/>
    <s v="car (new)"/>
    <s v="Less 100"/>
    <s v="female "/>
    <s v=" divorced/separated/married"/>
    <x v="0"/>
    <x v="0"/>
    <n v="6"/>
    <n v="609"/>
    <n v="37"/>
    <s v="Low"/>
    <s v="Low-Term"/>
    <s v="Standart Client"/>
    <m/>
  </r>
  <r>
    <s v="Good"/>
    <x v="1"/>
    <s v="car (new)"/>
    <s v="Less 100"/>
    <s v="male "/>
    <s v=" single"/>
    <x v="2"/>
    <x v="0"/>
    <n v="6"/>
    <n v="1361"/>
    <n v="40"/>
    <s v="Low"/>
    <s v="Low-Term"/>
    <s v="Standart Client"/>
    <m/>
  </r>
  <r>
    <s v="Good"/>
    <x v="1"/>
    <s v="car (new)"/>
    <s v="Up to 500"/>
    <s v="male "/>
    <s v=" single"/>
    <x v="0"/>
    <x v="0"/>
    <n v="6"/>
    <n v="1203"/>
    <n v="43"/>
    <s v="Low"/>
    <s v="Low-Term"/>
    <s v="Standart Client"/>
    <m/>
  </r>
  <r>
    <s v="Good"/>
    <x v="3"/>
    <s v="radio/television"/>
    <s v="No information"/>
    <s v="male "/>
    <s v=" single"/>
    <x v="0"/>
    <x v="1"/>
    <n v="6"/>
    <n v="700"/>
    <n v="36"/>
    <s v="Low"/>
    <s v="Low-Term"/>
    <s v="Standart Client"/>
    <m/>
  </r>
  <r>
    <s v="Good"/>
    <x v="3"/>
    <s v="repairs"/>
    <s v="Less 100"/>
    <s v="male "/>
    <s v=" single"/>
    <x v="0"/>
    <x v="1"/>
    <n v="24"/>
    <n v="5507"/>
    <n v="44"/>
    <s v="Hight"/>
    <s v="Medium-Term"/>
    <s v="Standart Client"/>
    <m/>
  </r>
  <r>
    <s v="Good"/>
    <x v="3"/>
    <s v="car (used)"/>
    <s v="Up to 500"/>
    <s v="female "/>
    <s v=" divorced/separated/married"/>
    <x v="0"/>
    <x v="0"/>
    <n v="24"/>
    <n v="3488"/>
    <n v="23"/>
    <s v="Medium"/>
    <s v="Medium-Term"/>
    <s v="Standart Client"/>
    <m/>
  </r>
  <r>
    <s v="Good"/>
    <x v="0"/>
    <s v="radio/television"/>
    <s v="Less 100"/>
    <s v="female "/>
    <s v=" divorced/separated/married"/>
    <x v="2"/>
    <x v="0"/>
    <n v="18"/>
    <n v="1113"/>
    <n v="26"/>
    <s v="Low"/>
    <s v="Medium-Term"/>
    <s v="Standart Client"/>
    <m/>
  </r>
  <r>
    <s v="Good"/>
    <x v="0"/>
    <s v="car (used)"/>
    <s v="Less 100"/>
    <s v="male "/>
    <s v=" single"/>
    <x v="0"/>
    <x v="0"/>
    <n v="26"/>
    <n v="7966"/>
    <n v="30"/>
    <s v="Hight"/>
    <s v="Medium-Term"/>
    <s v="VIP Client"/>
    <m/>
  </r>
  <r>
    <s v="Good"/>
    <x v="3"/>
    <s v="education"/>
    <s v="Up to 500"/>
    <s v="female "/>
    <s v=" divorced/separated/married"/>
    <x v="0"/>
    <x v="0"/>
    <n v="15"/>
    <n v="1532"/>
    <n v="31"/>
    <s v="Low"/>
    <s v="Medium-Term"/>
    <s v="Standart Client"/>
    <m/>
  </r>
  <r>
    <s v="Good"/>
    <x v="3"/>
    <s v="radio/television"/>
    <s v="Less 100"/>
    <s v="male "/>
    <s v=" single"/>
    <x v="2"/>
    <x v="0"/>
    <n v="4"/>
    <n v="1503"/>
    <n v="42"/>
    <s v="Low"/>
    <s v="Low-Term"/>
    <s v="Standart Client"/>
    <m/>
  </r>
  <r>
    <s v="Good"/>
    <x v="1"/>
    <s v="car (new)"/>
    <s v="Less 100"/>
    <s v="male "/>
    <s v=" single"/>
    <x v="2"/>
    <x v="0"/>
    <n v="6"/>
    <n v="662"/>
    <n v="41"/>
    <s v="Low"/>
    <s v="Low-Term"/>
    <s v="Standart Client"/>
    <m/>
  </r>
  <r>
    <s v="Good"/>
    <x v="0"/>
    <s v="education"/>
    <s v="Less 100"/>
    <s v="male "/>
    <s v=" single"/>
    <x v="0"/>
    <x v="0"/>
    <n v="36"/>
    <n v="2273"/>
    <n v="32"/>
    <s v="Medium"/>
    <s v="Long-Term"/>
    <s v="Standart Client"/>
    <m/>
  </r>
  <r>
    <s v="Good"/>
    <x v="3"/>
    <s v="car (used)"/>
    <s v="Less 100"/>
    <s v="male "/>
    <s v=" married/widowed"/>
    <x v="0"/>
    <x v="2"/>
    <n v="12"/>
    <n v="1503"/>
    <n v="41"/>
    <s v="Low"/>
    <s v="Medium-Term"/>
    <s v="Standart Client"/>
    <m/>
  </r>
  <r>
    <s v="Good"/>
    <x v="3"/>
    <s v="radio/television"/>
    <s v="Up to 500"/>
    <s v="male "/>
    <s v=" married/widowed"/>
    <x v="0"/>
    <x v="0"/>
    <n v="24"/>
    <n v="1311"/>
    <n v="26"/>
    <s v="Low"/>
    <s v="Medium-Term"/>
    <s v="Standart Client"/>
    <m/>
  </r>
  <r>
    <s v="Good"/>
    <x v="3"/>
    <s v="radio/television"/>
    <s v="No information"/>
    <s v="male "/>
    <s v=" single"/>
    <x v="0"/>
    <x v="0"/>
    <n v="24"/>
    <n v="3105"/>
    <n v="25"/>
    <s v="Medium"/>
    <s v="Medium-Term"/>
    <s v="Standart Client"/>
    <m/>
  </r>
  <r>
    <s v="Good"/>
    <x v="1"/>
    <s v="car (new)"/>
    <s v="No information"/>
    <s v="female "/>
    <s v=" divorced/separated/married"/>
    <x v="1"/>
    <x v="0"/>
    <n v="6"/>
    <n v="1374"/>
    <n v="75"/>
    <s v="Low"/>
    <s v="Low-Term"/>
    <s v="Standart Client"/>
    <m/>
  </r>
  <r>
    <s v="Good"/>
    <x v="0"/>
    <s v="furniture/equipment"/>
    <s v="Less 100"/>
    <s v="female "/>
    <s v=" divorced/separated/married"/>
    <x v="0"/>
    <x v="0"/>
    <n v="18"/>
    <n v="3612"/>
    <n v="37"/>
    <s v="Medium"/>
    <s v="Medium-Term"/>
    <s v="Standart Client"/>
    <m/>
  </r>
  <r>
    <s v="Good"/>
    <x v="2"/>
    <s v="furniture/equipment"/>
    <s v="Less 100"/>
    <s v="female "/>
    <s v=" divorced/separated/married"/>
    <x v="2"/>
    <x v="0"/>
    <n v="18"/>
    <n v="3049"/>
    <n v="45"/>
    <s v="Medium"/>
    <s v="Medium-Term"/>
    <s v="Standart Client"/>
    <m/>
  </r>
  <r>
    <s v="Good"/>
    <x v="3"/>
    <s v="car (new)"/>
    <s v="Less 100"/>
    <s v="male "/>
    <s v=" single"/>
    <x v="0"/>
    <x v="1"/>
    <n v="24"/>
    <n v="2032"/>
    <n v="60"/>
    <s v="Medium"/>
    <s v="Medium-Term"/>
    <s v="Standart Client"/>
    <m/>
  </r>
  <r>
    <s v="Good"/>
    <x v="3"/>
    <s v="car (new)"/>
    <s v="Less 100"/>
    <s v="male "/>
    <s v=" single"/>
    <x v="2"/>
    <x v="0"/>
    <n v="12"/>
    <n v="1255"/>
    <n v="61"/>
    <s v="Low"/>
    <s v="Medium-Term"/>
    <s v="Standart Client"/>
    <m/>
  </r>
  <r>
    <s v="Good"/>
    <x v="3"/>
    <s v="car (new)"/>
    <s v="Less 100"/>
    <s v="female "/>
    <s v=" divorced/separated/married"/>
    <x v="0"/>
    <x v="0"/>
    <n v="24"/>
    <n v="2022"/>
    <n v="37"/>
    <s v="Medium"/>
    <s v="Medium-Term"/>
    <s v="Standart Client"/>
    <m/>
  </r>
  <r>
    <s v="Good"/>
    <x v="3"/>
    <s v="radio/television"/>
    <s v="Less 100"/>
    <s v="male "/>
    <s v=" single"/>
    <x v="0"/>
    <x v="0"/>
    <n v="24"/>
    <n v="1552"/>
    <n v="32"/>
    <s v="Low"/>
    <s v="Medium-Term"/>
    <s v="Standart Client"/>
    <m/>
  </r>
  <r>
    <s v="Good"/>
    <x v="3"/>
    <s v="car (used)"/>
    <s v="No information"/>
    <s v="male "/>
    <s v=" single"/>
    <x v="0"/>
    <x v="1"/>
    <n v="48"/>
    <n v="8858"/>
    <n v="35"/>
    <s v="Hight"/>
    <s v="Long-Term"/>
    <s v="VIP Client"/>
    <m/>
  </r>
  <r>
    <s v="Good"/>
    <x v="3"/>
    <s v="repairs"/>
    <s v="No information"/>
    <s v="female "/>
    <s v=" divorced/separated/married"/>
    <x v="0"/>
    <x v="0"/>
    <n v="12"/>
    <n v="996"/>
    <n v="23"/>
    <s v="Low"/>
    <s v="Medium-Term"/>
    <s v="Standart Client"/>
    <m/>
  </r>
  <r>
    <s v="Good"/>
    <x v="3"/>
    <s v="radio/television"/>
    <s v="Up to 1000"/>
    <s v="male "/>
    <s v=" single"/>
    <x v="2"/>
    <x v="0"/>
    <n v="6"/>
    <n v="1750"/>
    <n v="45"/>
    <s v="Low"/>
    <s v="Low-Term"/>
    <s v="Standart Client"/>
    <m/>
  </r>
  <r>
    <s v="Good"/>
    <x v="0"/>
    <s v="car (new)"/>
    <s v="Up to 500"/>
    <s v="male "/>
    <s v=" single"/>
    <x v="0"/>
    <x v="0"/>
    <n v="12"/>
    <n v="1995"/>
    <n v="27"/>
    <s v="Low"/>
    <s v="Medium-Term"/>
    <s v="Standart Client"/>
    <m/>
  </r>
  <r>
    <s v="Good"/>
    <x v="0"/>
    <s v="education"/>
    <s v="Less 100"/>
    <s v="female "/>
    <s v=" divorced/separated/married"/>
    <x v="1"/>
    <x v="0"/>
    <n v="9"/>
    <n v="1199"/>
    <n v="67"/>
    <s v="Low"/>
    <s v="Low-Term"/>
    <s v="Standart Client"/>
    <m/>
  </r>
  <r>
    <s v="Good"/>
    <x v="1"/>
    <s v="car (used)"/>
    <s v="No information"/>
    <s v="male "/>
    <s v=" single"/>
    <x v="0"/>
    <x v="1"/>
    <n v="24"/>
    <n v="2964"/>
    <n v="49"/>
    <s v="Medium"/>
    <s v="Medium-Term"/>
    <s v="Standart Client"/>
    <m/>
  </r>
  <r>
    <s v="Good"/>
    <x v="2"/>
    <s v="radio/television"/>
    <s v="Less 100"/>
    <s v="female "/>
    <s v=" divorced/separated/married"/>
    <x v="0"/>
    <x v="0"/>
    <n v="6"/>
    <n v="683"/>
    <n v="29"/>
    <s v="Low"/>
    <s v="Low-Term"/>
    <s v="Standart Client"/>
    <m/>
  </r>
  <r>
    <s v="Good"/>
    <x v="0"/>
    <s v="business"/>
    <s v="No information"/>
    <s v="male "/>
    <s v=" single"/>
    <x v="1"/>
    <x v="0"/>
    <n v="24"/>
    <n v="4712"/>
    <n v="37"/>
    <s v="Medium"/>
    <s v="Medium-Term"/>
    <s v="Standart Client"/>
    <m/>
  </r>
  <r>
    <s v="Good"/>
    <x v="0"/>
    <s v="radio/television"/>
    <s v="Up to 500"/>
    <s v="female "/>
    <s v=" divorced/separated/married"/>
    <x v="0"/>
    <x v="2"/>
    <n v="24"/>
    <n v="1553"/>
    <n v="23"/>
    <s v="Low"/>
    <s v="Medium-Term"/>
    <s v="Standart Client"/>
    <m/>
  </r>
  <r>
    <s v="Good"/>
    <x v="3"/>
    <s v="radio/television"/>
    <s v="More 1000"/>
    <s v="male "/>
    <s v=" single"/>
    <x v="0"/>
    <x v="0"/>
    <n v="24"/>
    <n v="2578"/>
    <n v="34"/>
    <s v="Medium"/>
    <s v="Medium-Term"/>
    <s v="Standart Client"/>
    <m/>
  </r>
  <r>
    <s v="Good"/>
    <x v="0"/>
    <s v="radio/television"/>
    <s v="No information"/>
    <s v="male "/>
    <s v=" single"/>
    <x v="0"/>
    <x v="0"/>
    <n v="48"/>
    <n v="3979"/>
    <n v="41"/>
    <s v="Medium"/>
    <s v="Long-Term"/>
    <s v="Standart Client"/>
    <m/>
  </r>
  <r>
    <s v="Good"/>
    <x v="3"/>
    <s v="radio/television"/>
    <s v="Less 100"/>
    <s v="male "/>
    <s v=" single"/>
    <x v="0"/>
    <x v="0"/>
    <n v="30"/>
    <n v="5954"/>
    <n v="38"/>
    <s v="Hight"/>
    <s v="Medium-Term"/>
    <s v="Standart Client"/>
    <m/>
  </r>
  <r>
    <s v="Good"/>
    <x v="3"/>
    <s v="car (used)"/>
    <s v="No information"/>
    <s v="female "/>
    <s v=" divorced/separated/married"/>
    <x v="1"/>
    <x v="2"/>
    <n v="24"/>
    <n v="5433"/>
    <n v="26"/>
    <s v="Hight"/>
    <s v="Medium-Term"/>
    <s v="Standart Client"/>
    <m/>
  </r>
  <r>
    <s v="Good"/>
    <x v="1"/>
    <s v="business"/>
    <s v="Less 100"/>
    <s v="female "/>
    <s v=" divorced/separated/married"/>
    <x v="2"/>
    <x v="0"/>
    <n v="15"/>
    <n v="806"/>
    <n v="22"/>
    <s v="Low"/>
    <s v="Medium-Term"/>
    <s v="Standart Client"/>
    <m/>
  </r>
  <r>
    <s v="Good"/>
    <x v="0"/>
    <s v="radio/television"/>
    <s v="Less 100"/>
    <s v="male "/>
    <s v=" single"/>
    <x v="2"/>
    <x v="0"/>
    <n v="9"/>
    <n v="1082"/>
    <n v="27"/>
    <s v="Low"/>
    <s v="Low-Term"/>
    <s v="Standart Client"/>
    <m/>
  </r>
  <r>
    <s v="Good"/>
    <x v="3"/>
    <s v="furniture/equipment"/>
    <s v="Less 100"/>
    <s v="female "/>
    <s v=" divorced/separated/married"/>
    <x v="0"/>
    <x v="0"/>
    <n v="15"/>
    <n v="2788"/>
    <n v="24"/>
    <s v="Medium"/>
    <s v="Medium-Term"/>
    <s v="Standart Client"/>
    <m/>
  </r>
  <r>
    <s v="Good"/>
    <x v="0"/>
    <s v="radio/television"/>
    <s v="Less 100"/>
    <s v="female "/>
    <s v=" divorced/separated/married"/>
    <x v="0"/>
    <x v="0"/>
    <n v="12"/>
    <n v="2930"/>
    <n v="27"/>
    <s v="Medium"/>
    <s v="Medium-Term"/>
    <s v="Standart Client"/>
    <m/>
  </r>
  <r>
    <s v="Good"/>
    <x v="3"/>
    <s v="education"/>
    <s v="No information"/>
    <s v="female "/>
    <s v=" divorced/separated/married"/>
    <x v="0"/>
    <x v="0"/>
    <n v="24"/>
    <n v="1927"/>
    <n v="33"/>
    <s v="Low"/>
    <s v="Medium-Term"/>
    <s v="Standart Client"/>
    <m/>
  </r>
  <r>
    <s v="Good"/>
    <x v="3"/>
    <s v="retraining"/>
    <s v="Less 100"/>
    <s v="male "/>
    <s v=" married/widowed"/>
    <x v="2"/>
    <x v="0"/>
    <n v="24"/>
    <n v="937"/>
    <n v="27"/>
    <s v="Low"/>
    <s v="Medium-Term"/>
    <s v="Standart Client"/>
    <m/>
  </r>
  <r>
    <s v="Good"/>
    <x v="0"/>
    <s v="car (new)"/>
    <s v="Less 100"/>
    <s v="male "/>
    <s v=" single"/>
    <x v="2"/>
    <x v="0"/>
    <n v="12"/>
    <n v="3124"/>
    <n v="49"/>
    <s v="Medium"/>
    <s v="Medium-Term"/>
    <s v="Standart Client"/>
    <m/>
  </r>
  <r>
    <s v="Good"/>
    <x v="3"/>
    <s v="furniture/equipment"/>
    <s v="Less 100"/>
    <s v="female "/>
    <s v=" divorced/separated/married"/>
    <x v="0"/>
    <x v="2"/>
    <n v="9"/>
    <n v="1388"/>
    <n v="26"/>
    <s v="Low"/>
    <s v="Low-Term"/>
    <s v="Standart Client"/>
    <m/>
  </r>
  <r>
    <s v="Good"/>
    <x v="3"/>
    <s v="car (new)"/>
    <s v="No information"/>
    <s v="female "/>
    <s v=" divorced/separated/married"/>
    <x v="1"/>
    <x v="1"/>
    <n v="12"/>
    <n v="2133"/>
    <n v="52"/>
    <s v="Medium"/>
    <s v="Medium-Term"/>
    <s v="Standart Client"/>
    <m/>
  </r>
  <r>
    <s v="Good"/>
    <x v="1"/>
    <s v="car (new)"/>
    <s v="Less 100"/>
    <s v="male "/>
    <s v=" single"/>
    <x v="0"/>
    <x v="2"/>
    <n v="9"/>
    <n v="2799"/>
    <n v="36"/>
    <s v="Medium"/>
    <s v="Low-Term"/>
    <s v="Standart Client"/>
    <m/>
  </r>
  <r>
    <s v="Good"/>
    <x v="1"/>
    <s v="furniture/equipment"/>
    <s v="Less 100"/>
    <s v="male "/>
    <s v=" single"/>
    <x v="2"/>
    <x v="0"/>
    <n v="12"/>
    <n v="1289"/>
    <n v="21"/>
    <s v="Low"/>
    <s v="Medium-Term"/>
    <s v="Standart Client"/>
    <m/>
  </r>
  <r>
    <s v="Good"/>
    <x v="1"/>
    <s v="radio/television"/>
    <s v="Less 100"/>
    <s v="female "/>
    <s v=" divorced/separated/married"/>
    <x v="2"/>
    <x v="0"/>
    <n v="12"/>
    <n v="385"/>
    <n v="58"/>
    <s v="Low"/>
    <s v="Medium-Term"/>
    <s v="Standart Client"/>
    <m/>
  </r>
  <r>
    <s v="Good"/>
    <x v="0"/>
    <s v="car (new)"/>
    <s v="No information"/>
    <s v="female "/>
    <s v=" divorced/separated/married"/>
    <x v="0"/>
    <x v="2"/>
    <n v="24"/>
    <n v="1965"/>
    <n v="42"/>
    <s v="Low"/>
    <s v="Medium-Term"/>
    <s v="Standart Client"/>
    <m/>
  </r>
  <r>
    <s v="Good"/>
    <x v="3"/>
    <s v="business"/>
    <s v="More 1000"/>
    <s v="female "/>
    <s v=" divorced/separated/married"/>
    <x v="2"/>
    <x v="0"/>
    <n v="21"/>
    <n v="1572"/>
    <n v="36"/>
    <s v="Low"/>
    <s v="Medium-Term"/>
    <s v="Standart Client"/>
    <m/>
  </r>
  <r>
    <s v="Good"/>
    <x v="3"/>
    <s v="business"/>
    <s v="Less 100"/>
    <s v="male "/>
    <s v=" single"/>
    <x v="0"/>
    <x v="1"/>
    <n v="24"/>
    <n v="3863"/>
    <n v="32"/>
    <s v="Medium"/>
    <s v="Medium-Term"/>
    <s v="Standart Client"/>
    <m/>
  </r>
  <r>
    <s v="Good"/>
    <x v="0"/>
    <s v="radio/television"/>
    <s v="Less 100"/>
    <s v="female "/>
    <s v=" divorced/separated/married"/>
    <x v="0"/>
    <x v="0"/>
    <n v="7"/>
    <n v="2329"/>
    <n v="45"/>
    <s v="Medium"/>
    <s v="Low-Term"/>
    <s v="Standart Client"/>
    <m/>
  </r>
  <r>
    <s v="Good"/>
    <x v="2"/>
    <s v="furniture/equipment"/>
    <s v="Less 100"/>
    <s v="female "/>
    <s v=" divorced/separated/married"/>
    <x v="0"/>
    <x v="0"/>
    <n v="10"/>
    <n v="1275"/>
    <n v="23"/>
    <s v="Low"/>
    <s v="Low-Term"/>
    <s v="Standart Client"/>
    <m/>
  </r>
  <r>
    <s v="Good"/>
    <x v="1"/>
    <s v="furniture/equipment"/>
    <s v="Up to 1000"/>
    <s v="male "/>
    <s v=" single"/>
    <x v="0"/>
    <x v="0"/>
    <n v="24"/>
    <n v="2828"/>
    <n v="22"/>
    <s v="Medium"/>
    <s v="Medium-Term"/>
    <s v="Standart Client"/>
    <m/>
  </r>
  <r>
    <s v="Good"/>
    <x v="3"/>
    <s v="business"/>
    <s v="Less 100"/>
    <s v="male "/>
    <s v=" single"/>
    <x v="1"/>
    <x v="0"/>
    <n v="24"/>
    <n v="4526"/>
    <n v="74"/>
    <s v="Medium"/>
    <s v="Medium-Term"/>
    <s v="Standart Client"/>
    <m/>
  </r>
  <r>
    <s v="Good"/>
    <x v="3"/>
    <s v="radio/television"/>
    <s v="Less 100"/>
    <s v="male "/>
    <s v=" single"/>
    <x v="0"/>
    <x v="0"/>
    <n v="18"/>
    <n v="2051"/>
    <n v="33"/>
    <s v="Medium"/>
    <s v="Medium-Term"/>
    <s v="Standart Client"/>
    <m/>
  </r>
  <r>
    <s v="Good"/>
    <x v="3"/>
    <s v="car (used)"/>
    <s v="No information"/>
    <s v="male "/>
    <s v=" single"/>
    <x v="0"/>
    <x v="1"/>
    <n v="15"/>
    <n v="1300"/>
    <n v="45"/>
    <s v="Low"/>
    <s v="Medium-Term"/>
    <s v="Standart Client"/>
    <m/>
  </r>
  <r>
    <s v="Good"/>
    <x v="1"/>
    <s v="radio/television"/>
    <s v="More 1000"/>
    <s v="female "/>
    <s v=" divorced/separated/married"/>
    <x v="0"/>
    <x v="0"/>
    <n v="21"/>
    <n v="3357"/>
    <n v="29"/>
    <s v="Medium"/>
    <s v="Medium-Term"/>
    <s v="Standart Client"/>
    <m/>
  </r>
  <r>
    <s v="Good"/>
    <x v="1"/>
    <s v="car (used)"/>
    <s v="Less 100"/>
    <s v="female "/>
    <s v=" divorced/separated/married"/>
    <x v="0"/>
    <x v="2"/>
    <n v="24"/>
    <n v="3632"/>
    <n v="22"/>
    <s v="Medium"/>
    <s v="Medium-Term"/>
    <s v="Standart Client"/>
    <m/>
  </r>
  <r>
    <s v="Good"/>
    <x v="0"/>
    <s v="business"/>
    <s v="No information"/>
    <s v="male "/>
    <s v=" single"/>
    <x v="1"/>
    <x v="0"/>
    <n v="48"/>
    <n v="12204"/>
    <n v="48"/>
    <s v="Hight"/>
    <s v="Long-Term"/>
    <s v="VIP Client"/>
    <m/>
  </r>
  <r>
    <s v="Good"/>
    <x v="0"/>
    <s v="radio/television"/>
    <s v="No information"/>
    <s v="male "/>
    <s v=" single"/>
    <x v="1"/>
    <x v="1"/>
    <n v="60"/>
    <n v="9157"/>
    <n v="27"/>
    <s v="Hight"/>
    <s v="Long-Term"/>
    <s v="VIP Client"/>
    <m/>
  </r>
  <r>
    <s v="Good"/>
    <x v="1"/>
    <s v="car (new)"/>
    <s v="Less 100"/>
    <s v="male "/>
    <s v=" single"/>
    <x v="0"/>
    <x v="2"/>
    <n v="6"/>
    <n v="3676"/>
    <n v="37"/>
    <s v="Medium"/>
    <s v="Low-Term"/>
    <s v="Standart Client"/>
    <m/>
  </r>
  <r>
    <s v="Good"/>
    <x v="3"/>
    <s v="car (new)"/>
    <s v="Less 100"/>
    <s v="male "/>
    <s v=" divorced/separated"/>
    <x v="2"/>
    <x v="0"/>
    <n v="12"/>
    <n v="640"/>
    <n v="49"/>
    <s v="Low"/>
    <s v="Medium-Term"/>
    <s v="Standart Client"/>
    <m/>
  </r>
  <r>
    <s v="Good"/>
    <x v="0"/>
    <s v="business"/>
    <s v="Less 100"/>
    <s v="male "/>
    <s v=" single"/>
    <x v="0"/>
    <x v="0"/>
    <n v="21"/>
    <n v="3652"/>
    <n v="27"/>
    <s v="Medium"/>
    <s v="Medium-Term"/>
    <s v="Standart Client"/>
    <m/>
  </r>
  <r>
    <s v="Good"/>
    <x v="1"/>
    <s v="furniture/equipment"/>
    <s v="Less 100"/>
    <s v="female "/>
    <s v=" divorced/separated/married"/>
    <x v="0"/>
    <x v="2"/>
    <n v="12"/>
    <n v="1858"/>
    <n v="22"/>
    <s v="Low"/>
    <s v="Medium-Term"/>
    <s v="Standart Client"/>
    <m/>
  </r>
  <r>
    <s v="Good"/>
    <x v="3"/>
    <s v="radio/television"/>
    <s v="No information"/>
    <s v="male "/>
    <s v=" single"/>
    <x v="0"/>
    <x v="0"/>
    <n v="15"/>
    <n v="1979"/>
    <n v="35"/>
    <s v="Low"/>
    <s v="Medium-Term"/>
    <s v="Standart Client"/>
    <m/>
  </r>
  <r>
    <s v="Good"/>
    <x v="2"/>
    <s v="furniture/equipment"/>
    <s v="Less 100"/>
    <s v="male "/>
    <s v=" single"/>
    <x v="0"/>
    <x v="0"/>
    <n v="6"/>
    <n v="2116"/>
    <n v="41"/>
    <s v="Medium"/>
    <s v="Low-Term"/>
    <s v="Standart Client"/>
    <m/>
  </r>
  <r>
    <s v="Good"/>
    <x v="3"/>
    <s v="furniture/equipment"/>
    <s v="Up to 1000"/>
    <s v="male "/>
    <s v=" single"/>
    <x v="0"/>
    <x v="0"/>
    <n v="42"/>
    <n v="4042"/>
    <n v="36"/>
    <s v="Medium"/>
    <s v="Long-Term"/>
    <s v="Standart Client"/>
    <m/>
  </r>
  <r>
    <s v="Good"/>
    <x v="3"/>
    <s v="education"/>
    <s v="No information"/>
    <s v="male "/>
    <s v=" single"/>
    <x v="2"/>
    <x v="0"/>
    <n v="9"/>
    <n v="3832"/>
    <n v="64"/>
    <s v="Medium"/>
    <s v="Low-Term"/>
    <s v="Standart Client"/>
    <m/>
  </r>
  <r>
    <s v="Good"/>
    <x v="1"/>
    <s v="radio/television"/>
    <s v="Less 100"/>
    <s v="female "/>
    <s v=" divorced/separated/married"/>
    <x v="0"/>
    <x v="0"/>
    <n v="24"/>
    <n v="3660"/>
    <n v="28"/>
    <s v="Medium"/>
    <s v="Medium-Term"/>
    <s v="Standart Client"/>
    <m/>
  </r>
  <r>
    <s v="Good"/>
    <x v="0"/>
    <s v="radio/television"/>
    <s v="No information"/>
    <s v="male "/>
    <s v=" single"/>
    <x v="0"/>
    <x v="0"/>
    <n v="15"/>
    <n v="1444"/>
    <n v="23"/>
    <s v="Low"/>
    <s v="Medium-Term"/>
    <s v="Standart Client"/>
    <m/>
  </r>
  <r>
    <s v="Good"/>
    <x v="3"/>
    <s v="education"/>
    <s v="Less 100"/>
    <s v="male "/>
    <s v=" single"/>
    <x v="0"/>
    <x v="0"/>
    <n v="12"/>
    <n v="1393"/>
    <n v="47"/>
    <s v="Low"/>
    <s v="Medium-Term"/>
    <s v="Standart Client"/>
    <m/>
  </r>
  <r>
    <s v="Good"/>
    <x v="3"/>
    <s v="radio/television"/>
    <s v="Up to 1000"/>
    <s v="female "/>
    <s v=" divorced/separated/married"/>
    <x v="0"/>
    <x v="0"/>
    <n v="24"/>
    <n v="1376"/>
    <n v="28"/>
    <s v="Low"/>
    <s v="Medium-Term"/>
    <s v="Standart Client"/>
    <m/>
  </r>
  <r>
    <s v="Good"/>
    <x v="3"/>
    <s v="radio/television"/>
    <s v="Less 100"/>
    <s v="male "/>
    <s v=" single"/>
    <x v="0"/>
    <x v="0"/>
    <n v="60"/>
    <n v="15653"/>
    <n v="21"/>
    <s v="Hight"/>
    <s v="Long-Term"/>
    <s v="VIP Client"/>
    <m/>
  </r>
  <r>
    <s v="Good"/>
    <x v="3"/>
    <s v="radio/television"/>
    <s v="Less 100"/>
    <s v="female "/>
    <s v=" divorced/separated/married"/>
    <x v="0"/>
    <x v="0"/>
    <n v="12"/>
    <n v="1493"/>
    <n v="34"/>
    <s v="Low"/>
    <s v="Medium-Term"/>
    <s v="Standart Client"/>
    <m/>
  </r>
  <r>
    <s v="Good"/>
    <x v="0"/>
    <s v="repairs"/>
    <s v="Less 100"/>
    <s v="male "/>
    <s v=" single"/>
    <x v="2"/>
    <x v="0"/>
    <n v="15"/>
    <n v="1308"/>
    <n v="38"/>
    <s v="Low"/>
    <s v="Medium-Term"/>
    <s v="Standart Client"/>
    <m/>
  </r>
  <r>
    <s v="Good"/>
    <x v="3"/>
    <s v="radio/television"/>
    <s v="Less 100"/>
    <s v="male "/>
    <s v=" married/widowed"/>
    <x v="0"/>
    <x v="0"/>
    <n v="24"/>
    <n v="1851"/>
    <n v="33"/>
    <s v="Low"/>
    <s v="Medium-Term"/>
    <s v="Standart Client"/>
    <m/>
  </r>
  <r>
    <s v="Good"/>
    <x v="1"/>
    <s v="radio/television"/>
    <s v="Less 100"/>
    <s v="male "/>
    <s v=" married/widowed"/>
    <x v="1"/>
    <x v="0"/>
    <n v="18"/>
    <n v="1880"/>
    <n v="32"/>
    <s v="Low"/>
    <s v="Medium-Term"/>
    <s v="Standart Client"/>
    <m/>
  </r>
  <r>
    <s v="Good"/>
    <x v="1"/>
    <s v="furniture/equipment"/>
    <s v="Less 100"/>
    <s v="male "/>
    <s v=" divorced/separated"/>
    <x v="0"/>
    <x v="0"/>
    <n v="30"/>
    <n v="4583"/>
    <n v="32"/>
    <s v="Medium"/>
    <s v="Medium-Term"/>
    <s v="Standart Client"/>
    <m/>
  </r>
  <r>
    <s v="Good"/>
    <x v="1"/>
    <s v="education"/>
    <s v="Less 100"/>
    <s v="male "/>
    <s v=" single"/>
    <x v="1"/>
    <x v="1"/>
    <n v="48"/>
    <n v="7476"/>
    <n v="50"/>
    <s v="Hight"/>
    <s v="Long-Term"/>
    <s v="VIP Client"/>
    <m/>
  </r>
  <r>
    <s v="Good"/>
    <x v="3"/>
    <s v="car (used)"/>
    <s v="Less 100"/>
    <s v="male "/>
    <s v=" single"/>
    <x v="0"/>
    <x v="0"/>
    <n v="24"/>
    <n v="2346"/>
    <n v="35"/>
    <s v="Medium"/>
    <s v="Medium-Term"/>
    <s v="Standart Client"/>
    <m/>
  </r>
  <r>
    <s v="Good"/>
    <x v="1"/>
    <s v="car (new)"/>
    <s v="Less 100"/>
    <s v="male "/>
    <s v=" single"/>
    <x v="0"/>
    <x v="1"/>
    <n v="14"/>
    <n v="3973"/>
    <n v="22"/>
    <s v="Medium"/>
    <s v="Medium-Term"/>
    <s v="Standart Client"/>
    <m/>
  </r>
  <r>
    <s v="Good"/>
    <x v="3"/>
    <s v="radio/television"/>
    <s v="No information"/>
    <s v="male "/>
    <s v=" single"/>
    <x v="0"/>
    <x v="0"/>
    <n v="48"/>
    <n v="10222"/>
    <n v="37"/>
    <s v="Hight"/>
    <s v="Long-Term"/>
    <s v="VIP Client"/>
    <m/>
  </r>
  <r>
    <s v="Good"/>
    <x v="0"/>
    <s v="business"/>
    <s v="Less 100"/>
    <s v="female "/>
    <s v=" divorced/separated/married"/>
    <x v="0"/>
    <x v="0"/>
    <n v="30"/>
    <n v="4221"/>
    <n v="28"/>
    <s v="Medium"/>
    <s v="Medium-Term"/>
    <s v="Standart Client"/>
    <m/>
  </r>
  <r>
    <s v="Good"/>
    <x v="0"/>
    <s v="furniture/equipment"/>
    <s v="Less 100"/>
    <s v="male "/>
    <s v=" single"/>
    <x v="0"/>
    <x v="0"/>
    <n v="18"/>
    <n v="6361"/>
    <n v="41"/>
    <s v="Hight"/>
    <s v="Medium-Term"/>
    <s v="Standart Client"/>
    <m/>
  </r>
  <r>
    <s v="Good"/>
    <x v="2"/>
    <s v="radio/television"/>
    <s v="Less 100"/>
    <s v="male "/>
    <s v=" married/widowed"/>
    <x v="0"/>
    <x v="2"/>
    <n v="12"/>
    <n v="1297"/>
    <n v="23"/>
    <s v="Low"/>
    <s v="Medium-Term"/>
    <s v="Standart Client"/>
    <m/>
  </r>
  <r>
    <s v="Good"/>
    <x v="3"/>
    <s v="furniture/equipment"/>
    <s v="Less 100"/>
    <s v="male "/>
    <s v=" single"/>
    <x v="0"/>
    <x v="0"/>
    <n v="21"/>
    <n v="2241"/>
    <n v="50"/>
    <s v="Medium"/>
    <s v="Medium-Term"/>
    <s v="Standart Client"/>
    <m/>
  </r>
  <r>
    <s v="Good"/>
    <x v="0"/>
    <s v="furniture/equipment"/>
    <s v="Less 100"/>
    <s v="male "/>
    <s v=" single"/>
    <x v="1"/>
    <x v="0"/>
    <n v="6"/>
    <n v="1050"/>
    <n v="35"/>
    <s v="Low"/>
    <s v="Low-Term"/>
    <s v="Standart Client"/>
    <m/>
  </r>
  <r>
    <s v="Good"/>
    <x v="2"/>
    <s v="education"/>
    <s v="Less 100"/>
    <s v="female "/>
    <s v=" divorced/separated/married"/>
    <x v="2"/>
    <x v="0"/>
    <n v="6"/>
    <n v="1047"/>
    <n v="50"/>
    <s v="Low"/>
    <s v="Low-Term"/>
    <s v="Standart Client"/>
    <m/>
  </r>
  <r>
    <s v="Good"/>
    <x v="3"/>
    <s v="others"/>
    <s v="Less 100"/>
    <s v="male "/>
    <s v=" single"/>
    <x v="1"/>
    <x v="0"/>
    <n v="24"/>
    <n v="6314"/>
    <n v="27"/>
    <s v="Hight"/>
    <s v="Medium-Term"/>
    <s v="Standart Client"/>
    <m/>
  </r>
  <r>
    <s v="Good"/>
    <x v="0"/>
    <s v="furniture/equipment"/>
    <s v="More 1000"/>
    <s v="male "/>
    <s v=" single"/>
    <x v="0"/>
    <x v="0"/>
    <n v="30"/>
    <n v="3496"/>
    <n v="34"/>
    <s v="Medium"/>
    <s v="Medium-Term"/>
    <s v="Standart Client"/>
    <m/>
  </r>
  <r>
    <s v="Good"/>
    <x v="3"/>
    <s v="business"/>
    <s v="Less 100"/>
    <s v="female "/>
    <s v=" divorced/separated/married"/>
    <x v="0"/>
    <x v="0"/>
    <n v="48"/>
    <n v="3609"/>
    <n v="27"/>
    <s v="Medium"/>
    <s v="Long-Term"/>
    <s v="Standart Client"/>
    <m/>
  </r>
  <r>
    <s v="Good"/>
    <x v="2"/>
    <s v="radio/television"/>
    <s v="Less 100"/>
    <s v="male "/>
    <s v=" single"/>
    <x v="0"/>
    <x v="0"/>
    <n v="30"/>
    <n v="3017"/>
    <n v="47"/>
    <s v="Medium"/>
    <s v="Medium-Term"/>
    <s v="Standart Client"/>
    <m/>
  </r>
  <r>
    <s v="Good"/>
    <x v="3"/>
    <s v="business"/>
    <s v="Up to 500"/>
    <s v="male "/>
    <s v=" single"/>
    <x v="2"/>
    <x v="0"/>
    <n v="24"/>
    <n v="4139"/>
    <n v="27"/>
    <s v="Medium"/>
    <s v="Medium-Term"/>
    <s v="Standart Client"/>
    <m/>
  </r>
  <r>
    <s v="Good"/>
    <x v="3"/>
    <s v="business"/>
    <s v="Up to 500"/>
    <s v="male "/>
    <s v=" single"/>
    <x v="0"/>
    <x v="0"/>
    <n v="36"/>
    <n v="5742"/>
    <n v="31"/>
    <s v="Hight"/>
    <s v="Long-Term"/>
    <s v="Standart Client"/>
    <m/>
  </r>
  <r>
    <s v="Good"/>
    <x v="3"/>
    <s v="car (new)"/>
    <s v="Less 100"/>
    <s v="male "/>
    <s v=" single"/>
    <x v="1"/>
    <x v="0"/>
    <n v="60"/>
    <n v="10366"/>
    <n v="42"/>
    <s v="Hight"/>
    <s v="Long-Term"/>
    <s v="VIP Client"/>
    <m/>
  </r>
  <r>
    <s v="Good"/>
    <x v="3"/>
    <s v="car (new)"/>
    <s v="Up to 1000"/>
    <s v="male "/>
    <s v=" married/widowed"/>
    <x v="0"/>
    <x v="0"/>
    <n v="6"/>
    <n v="2080"/>
    <n v="24"/>
    <s v="Medium"/>
    <s v="Low-Term"/>
    <s v="Standart Client"/>
    <m/>
  </r>
  <r>
    <s v="Good"/>
    <x v="3"/>
    <s v="radio/television"/>
    <s v="Less 100"/>
    <s v="female "/>
    <s v=" divorced/separated/married"/>
    <x v="1"/>
    <x v="2"/>
    <n v="30"/>
    <n v="4530"/>
    <n v="26"/>
    <s v="Medium"/>
    <s v="Medium-Term"/>
    <s v="Standart Client"/>
    <m/>
  </r>
  <r>
    <s v="Good"/>
    <x v="3"/>
    <s v="furniture/equipment"/>
    <s v="Less 100"/>
    <s v="male "/>
    <s v=" single"/>
    <x v="0"/>
    <x v="0"/>
    <n v="24"/>
    <n v="5150"/>
    <n v="33"/>
    <s v="Hight"/>
    <s v="Medium-Term"/>
    <s v="Standart Client"/>
    <m/>
  </r>
  <r>
    <s v="Good"/>
    <x v="1"/>
    <s v="radio/television"/>
    <s v="Less 100"/>
    <s v="male "/>
    <s v=" single"/>
    <x v="2"/>
    <x v="2"/>
    <n v="24"/>
    <n v="2384"/>
    <n v="64"/>
    <s v="Medium"/>
    <s v="Medium-Term"/>
    <s v="Standart Client"/>
    <m/>
  </r>
  <r>
    <s v="Good"/>
    <x v="3"/>
    <s v="radio/television"/>
    <s v="Less 100"/>
    <s v="female "/>
    <s v=" divorced/separated/married"/>
    <x v="0"/>
    <x v="0"/>
    <n v="18"/>
    <n v="1453"/>
    <n v="26"/>
    <s v="Low"/>
    <s v="Medium-Term"/>
    <s v="Standart Client"/>
    <m/>
  </r>
  <r>
    <s v="Good"/>
    <x v="3"/>
    <s v="education"/>
    <s v="Less 100"/>
    <s v="female "/>
    <s v=" divorced/separated/married"/>
    <x v="0"/>
    <x v="0"/>
    <n v="6"/>
    <n v="1538"/>
    <n v="56"/>
    <s v="Low"/>
    <s v="Low-Term"/>
    <s v="Standart Client"/>
    <m/>
  </r>
  <r>
    <s v="Good"/>
    <x v="3"/>
    <s v="radio/television"/>
    <s v="No information"/>
    <s v="male "/>
    <s v=" single"/>
    <x v="0"/>
    <x v="1"/>
    <n v="12"/>
    <n v="2279"/>
    <n v="37"/>
    <s v="Medium"/>
    <s v="Medium-Term"/>
    <s v="Standart Client"/>
    <m/>
  </r>
  <r>
    <s v="Good"/>
    <x v="3"/>
    <s v="radio/television"/>
    <s v="Less 100"/>
    <s v="male "/>
    <s v=" married/widowed"/>
    <x v="0"/>
    <x v="0"/>
    <n v="15"/>
    <n v="1478"/>
    <n v="33"/>
    <s v="Low"/>
    <s v="Medium-Term"/>
    <s v="Standart Client"/>
    <m/>
  </r>
  <r>
    <s v="Good"/>
    <x v="3"/>
    <s v="radio/television"/>
    <s v="Less 100"/>
    <s v="male "/>
    <s v=" married/widowed"/>
    <x v="0"/>
    <x v="1"/>
    <n v="24"/>
    <n v="5103"/>
    <n v="47"/>
    <s v="Hight"/>
    <s v="Medium-Term"/>
    <s v="Standart Client"/>
    <m/>
  </r>
  <r>
    <s v="Good"/>
    <x v="0"/>
    <s v="business"/>
    <s v="Up to 500"/>
    <s v="male "/>
    <s v=" single"/>
    <x v="2"/>
    <x v="0"/>
    <n v="36"/>
    <n v="9857"/>
    <n v="31"/>
    <s v="Hight"/>
    <s v="Long-Term"/>
    <s v="VIP Client"/>
    <m/>
  </r>
  <r>
    <s v="Good"/>
    <x v="3"/>
    <s v="car (new)"/>
    <s v="No information"/>
    <s v="male "/>
    <s v=" single"/>
    <x v="0"/>
    <x v="1"/>
    <n v="60"/>
    <n v="6527"/>
    <n v="34"/>
    <s v="Hight"/>
    <s v="Long-Term"/>
    <s v="Standart Client"/>
    <m/>
  </r>
  <r>
    <s v="Good"/>
    <x v="2"/>
    <s v="radio/television"/>
    <s v="No information"/>
    <s v="male "/>
    <s v=" single"/>
    <x v="0"/>
    <x v="0"/>
    <n v="10"/>
    <n v="1347"/>
    <n v="27"/>
    <s v="Low"/>
    <s v="Low-Term"/>
    <s v="Standart Client"/>
    <m/>
  </r>
  <r>
    <s v="Good"/>
    <x v="0"/>
    <s v="car (new)"/>
    <s v="Up to 500"/>
    <s v="male "/>
    <s v=" single"/>
    <x v="0"/>
    <x v="1"/>
    <n v="36"/>
    <n v="2862"/>
    <n v="30"/>
    <s v="Medium"/>
    <s v="Long-Term"/>
    <s v="Standart Client"/>
    <m/>
  </r>
  <r>
    <s v="Good"/>
    <x v="3"/>
    <s v="radio/television"/>
    <s v="Up to 500"/>
    <s v="male "/>
    <s v=" single"/>
    <x v="0"/>
    <x v="0"/>
    <n v="9"/>
    <n v="2753"/>
    <n v="35"/>
    <s v="Medium"/>
    <s v="Low-Term"/>
    <s v="Standart Client"/>
    <m/>
  </r>
  <r>
    <s v="Good"/>
    <x v="1"/>
    <s v="car (new)"/>
    <s v="More 1000"/>
    <s v="male "/>
    <s v=" single"/>
    <x v="0"/>
    <x v="0"/>
    <n v="12"/>
    <n v="3651"/>
    <n v="31"/>
    <s v="Medium"/>
    <s v="Medium-Term"/>
    <s v="Standart Client"/>
    <m/>
  </r>
  <r>
    <s v="Good"/>
    <x v="1"/>
    <s v="furniture/equipment"/>
    <s v="Less 100"/>
    <s v="male "/>
    <s v=" divorced/separated"/>
    <x v="0"/>
    <x v="0"/>
    <n v="15"/>
    <n v="975"/>
    <n v="25"/>
    <s v="Low"/>
    <s v="Medium-Term"/>
    <s v="Standart Client"/>
    <m/>
  </r>
  <r>
    <s v="Good"/>
    <x v="0"/>
    <s v="repairs"/>
    <s v="Up to 500"/>
    <s v="female "/>
    <s v=" divorced/separated/married"/>
    <x v="2"/>
    <x v="0"/>
    <n v="15"/>
    <n v="2631"/>
    <n v="25"/>
    <s v="Medium"/>
    <s v="Medium-Term"/>
    <s v="Standart Client"/>
    <m/>
  </r>
  <r>
    <s v="Good"/>
    <x v="0"/>
    <s v="radio/television"/>
    <s v="Up to 500"/>
    <s v="male "/>
    <s v=" single"/>
    <x v="0"/>
    <x v="0"/>
    <n v="24"/>
    <n v="2896"/>
    <n v="29"/>
    <s v="Medium"/>
    <s v="Medium-Term"/>
    <s v="Standart Client"/>
    <m/>
  </r>
  <r>
    <s v="Good"/>
    <x v="1"/>
    <s v="car (new)"/>
    <s v="No information"/>
    <s v="male "/>
    <s v=" single"/>
    <x v="2"/>
    <x v="0"/>
    <n v="6"/>
    <n v="4716"/>
    <n v="44"/>
    <s v="Medium"/>
    <s v="Low-Term"/>
    <s v="Standart Client"/>
    <m/>
  </r>
  <r>
    <s v="Good"/>
    <x v="3"/>
    <s v="radio/television"/>
    <s v="Less 100"/>
    <s v="male "/>
    <s v=" single"/>
    <x v="0"/>
    <x v="0"/>
    <n v="24"/>
    <n v="2284"/>
    <n v="28"/>
    <s v="Medium"/>
    <s v="Medium-Term"/>
    <s v="Standart Client"/>
    <m/>
  </r>
  <r>
    <s v="Good"/>
    <x v="3"/>
    <s v="car (used)"/>
    <s v="Up to 1000"/>
    <s v="male "/>
    <s v=" single"/>
    <x v="0"/>
    <x v="2"/>
    <n v="6"/>
    <n v="1236"/>
    <n v="50"/>
    <s v="Low"/>
    <s v="Low-Term"/>
    <s v="Standart Client"/>
    <m/>
  </r>
  <r>
    <s v="Good"/>
    <x v="0"/>
    <s v="radio/television"/>
    <s v="Less 100"/>
    <s v="male "/>
    <s v=" single"/>
    <x v="0"/>
    <x v="0"/>
    <n v="12"/>
    <n v="1103"/>
    <n v="29"/>
    <s v="Low"/>
    <s v="Medium-Term"/>
    <s v="Standart Client"/>
    <m/>
  </r>
  <r>
    <s v="Good"/>
    <x v="3"/>
    <s v="car (new)"/>
    <s v="Less 100"/>
    <s v="female "/>
    <s v=" divorced/separated/married"/>
    <x v="3"/>
    <x v="0"/>
    <n v="12"/>
    <n v="926"/>
    <n v="38"/>
    <s v="Low"/>
    <s v="Medium-Term"/>
    <s v="Standart Client"/>
    <m/>
  </r>
  <r>
    <s v="Good"/>
    <x v="3"/>
    <s v="radio/television"/>
    <s v="Less 100"/>
    <s v="male "/>
    <s v=" single"/>
    <x v="0"/>
    <x v="0"/>
    <n v="18"/>
    <n v="1800"/>
    <n v="24"/>
    <s v="Low"/>
    <s v="Medium-Term"/>
    <s v="Standart Client"/>
    <m/>
  </r>
  <r>
    <s v="Good"/>
    <x v="2"/>
    <s v="education"/>
    <s v="Less 100"/>
    <s v="male "/>
    <s v=" single"/>
    <x v="1"/>
    <x v="2"/>
    <n v="15"/>
    <n v="1905"/>
    <n v="40"/>
    <s v="Low"/>
    <s v="Medium-Term"/>
    <s v="Standart Client"/>
    <m/>
  </r>
  <r>
    <s v="Good"/>
    <x v="2"/>
    <s v="radio/television"/>
    <s v="Up to 500"/>
    <s v="female "/>
    <s v=" divorced/separated/married"/>
    <x v="0"/>
    <x v="1"/>
    <n v="24"/>
    <n v="1377"/>
    <n v="47"/>
    <s v="Low"/>
    <s v="Medium-Term"/>
    <s v="Standart Client"/>
    <m/>
  </r>
  <r>
    <s v="Good"/>
    <x v="0"/>
    <s v="business"/>
    <s v="Up to 500"/>
    <s v="male "/>
    <s v=" single"/>
    <x v="0"/>
    <x v="0"/>
    <n v="30"/>
    <n v="2503"/>
    <n v="41"/>
    <s v="Medium"/>
    <s v="Medium-Term"/>
    <s v="Standart Client"/>
    <m/>
  </r>
  <r>
    <s v="Good"/>
    <x v="0"/>
    <s v="business"/>
    <s v="Less 100"/>
    <s v="female "/>
    <s v=" divorced/separated/married"/>
    <x v="0"/>
    <x v="0"/>
    <n v="27"/>
    <n v="2528"/>
    <n v="32"/>
    <s v="Medium"/>
    <s v="Medium-Term"/>
    <s v="Standart Client"/>
    <m/>
  </r>
  <r>
    <s v="Good"/>
    <x v="3"/>
    <s v="car (new)"/>
    <s v="Up to 1000"/>
    <s v="female "/>
    <s v=" divorced/separated/married"/>
    <x v="0"/>
    <x v="1"/>
    <n v="15"/>
    <n v="5324"/>
    <n v="35"/>
    <s v="Hight"/>
    <s v="Medium-Term"/>
    <s v="Standart Client"/>
    <m/>
  </r>
  <r>
    <s v="Good"/>
    <x v="0"/>
    <s v="radio/television"/>
    <s v="Less 100"/>
    <s v="female "/>
    <s v=" divorced/separated/married"/>
    <x v="0"/>
    <x v="0"/>
    <n v="9"/>
    <n v="1206"/>
    <n v="25"/>
    <s v="Low"/>
    <s v="Low-Term"/>
    <s v="Standart Client"/>
    <m/>
  </r>
  <r>
    <s v="Good"/>
    <x v="0"/>
    <s v="radio/television"/>
    <s v="Less 100"/>
    <s v="male "/>
    <s v=" single"/>
    <x v="2"/>
    <x v="0"/>
    <n v="9"/>
    <n v="2118"/>
    <n v="37"/>
    <s v="Medium"/>
    <s v="Low-Term"/>
    <s v="Standart Client"/>
    <m/>
  </r>
  <r>
    <s v="Good"/>
    <x v="3"/>
    <s v="radio/television"/>
    <s v="Up to 1000"/>
    <s v="male "/>
    <s v=" single"/>
    <x v="1"/>
    <x v="0"/>
    <n v="18"/>
    <n v="629"/>
    <n v="32"/>
    <s v="Low"/>
    <s v="Medium-Term"/>
    <s v="Standart Client"/>
    <m/>
  </r>
  <r>
    <s v="Good"/>
    <x v="3"/>
    <s v="car (used)"/>
    <s v="No information"/>
    <s v="male "/>
    <s v=" single"/>
    <x v="1"/>
    <x v="0"/>
    <n v="21"/>
    <n v="2476"/>
    <n v="46"/>
    <s v="Medium"/>
    <s v="Medium-Term"/>
    <s v="Standart Client"/>
    <m/>
  </r>
  <r>
    <s v="Good"/>
    <x v="1"/>
    <s v="radio/television"/>
    <s v="Less 100"/>
    <s v="male "/>
    <s v=" single"/>
    <x v="2"/>
    <x v="0"/>
    <n v="9"/>
    <n v="1138"/>
    <n v="25"/>
    <s v="Low"/>
    <s v="Low-Term"/>
    <s v="Standart Client"/>
    <m/>
  </r>
  <r>
    <s v="Good"/>
    <x v="3"/>
    <s v="car (used)"/>
    <s v="No information"/>
    <s v="male "/>
    <s v=" single"/>
    <x v="0"/>
    <x v="0"/>
    <n v="30"/>
    <n v="7596"/>
    <n v="63"/>
    <s v="Hight"/>
    <s v="Medium-Term"/>
    <s v="VIP Client"/>
    <m/>
  </r>
  <r>
    <s v="Good"/>
    <x v="3"/>
    <s v="radio/television"/>
    <s v="No information"/>
    <s v="male "/>
    <s v=" single"/>
    <x v="0"/>
    <x v="0"/>
    <n v="30"/>
    <n v="3077"/>
    <n v="40"/>
    <s v="Medium"/>
    <s v="Medium-Term"/>
    <s v="Standart Client"/>
    <m/>
  </r>
  <r>
    <s v="Good"/>
    <x v="3"/>
    <s v="radio/television"/>
    <s v="Less 100"/>
    <s v="male "/>
    <s v=" single"/>
    <x v="1"/>
    <x v="1"/>
    <n v="18"/>
    <n v="1505"/>
    <n v="32"/>
    <s v="Low"/>
    <s v="Medium-Term"/>
    <s v="Standart Client"/>
    <m/>
  </r>
  <r>
    <s v="Good"/>
    <x v="2"/>
    <s v="radio/television"/>
    <s v="No information"/>
    <s v="male "/>
    <s v=" single"/>
    <x v="0"/>
    <x v="0"/>
    <n v="24"/>
    <n v="3148"/>
    <n v="31"/>
    <s v="Medium"/>
    <s v="Medium-Term"/>
    <s v="Standart Client"/>
    <m/>
  </r>
  <r>
    <s v="Good"/>
    <x v="0"/>
    <s v="car (used)"/>
    <s v="Up to 500"/>
    <s v="male "/>
    <s v=" married/widowed"/>
    <x v="0"/>
    <x v="0"/>
    <n v="20"/>
    <n v="6148"/>
    <n v="31"/>
    <s v="Hight"/>
    <s v="Medium-Term"/>
    <s v="Standart Client"/>
    <m/>
  </r>
  <r>
    <s v="Good"/>
    <x v="0"/>
    <s v="radio/television"/>
    <s v="Up to 1000"/>
    <s v="female "/>
    <s v=" divorced/separated/married"/>
    <x v="2"/>
    <x v="0"/>
    <n v="9"/>
    <n v="790"/>
    <n v="66"/>
    <s v="Low"/>
    <s v="Low-Term"/>
    <s v="Standart Client"/>
    <m/>
  </r>
  <r>
    <s v="Good"/>
    <x v="3"/>
    <s v="car (new)"/>
    <s v="More 1000"/>
    <s v="female "/>
    <s v=" divorced/separated/married"/>
    <x v="2"/>
    <x v="0"/>
    <n v="6"/>
    <n v="250"/>
    <n v="41"/>
    <s v="Low"/>
    <s v="Low-Term"/>
    <s v="Standart Client"/>
    <m/>
  </r>
  <r>
    <s v="Good"/>
    <x v="3"/>
    <s v="radio/television"/>
    <s v="Up to 1000"/>
    <s v="male "/>
    <s v=" married/widowed"/>
    <x v="2"/>
    <x v="0"/>
    <n v="15"/>
    <n v="1316"/>
    <n v="47"/>
    <s v="Low"/>
    <s v="Medium-Term"/>
    <s v="Standart Client"/>
    <m/>
  </r>
  <r>
    <s v="Good"/>
    <x v="2"/>
    <s v="business"/>
    <s v="More 1000"/>
    <s v="male "/>
    <s v=" divorced/separated"/>
    <x v="0"/>
    <x v="0"/>
    <n v="24"/>
    <n v="1275"/>
    <n v="36"/>
    <s v="Low"/>
    <s v="Medium-Term"/>
    <s v="Standart Client"/>
    <m/>
  </r>
  <r>
    <s v="Good"/>
    <x v="0"/>
    <s v="radio/television"/>
    <s v="Less 100"/>
    <s v="male "/>
    <s v=" single"/>
    <x v="0"/>
    <x v="0"/>
    <n v="24"/>
    <n v="6403"/>
    <n v="33"/>
    <s v="Hight"/>
    <s v="Medium-Term"/>
    <s v="Standart Client"/>
    <m/>
  </r>
  <r>
    <s v="Good"/>
    <x v="0"/>
    <s v="radio/television"/>
    <s v="Less 100"/>
    <s v="female "/>
    <s v=" divorced/separated/married"/>
    <x v="2"/>
    <x v="0"/>
    <n v="8"/>
    <n v="760"/>
    <n v="44"/>
    <s v="Low"/>
    <s v="Low-Term"/>
    <s v="Standart Client"/>
    <m/>
  </r>
  <r>
    <s v="Good"/>
    <x v="3"/>
    <s v="car (used)"/>
    <s v="More 1000"/>
    <s v="female "/>
    <s v=" divorced/separated/married"/>
    <x v="0"/>
    <x v="2"/>
    <n v="24"/>
    <n v="2603"/>
    <n v="28"/>
    <s v="Medium"/>
    <s v="Medium-Term"/>
    <s v="Standart Client"/>
    <m/>
  </r>
  <r>
    <s v="Good"/>
    <x v="3"/>
    <s v="car (new)"/>
    <s v="Less 100"/>
    <s v="female "/>
    <s v=" divorced/separated/married"/>
    <x v="0"/>
    <x v="0"/>
    <n v="4"/>
    <n v="3380"/>
    <n v="37"/>
    <s v="Medium"/>
    <s v="Low-Term"/>
    <s v="Standart Client"/>
    <m/>
  </r>
  <r>
    <s v="Good"/>
    <x v="0"/>
    <s v="domestic appliances"/>
    <s v="No information"/>
    <s v="female "/>
    <s v=" divorced/separated/married"/>
    <x v="3"/>
    <x v="0"/>
    <n v="36"/>
    <n v="3990"/>
    <n v="29"/>
    <s v="Medium"/>
    <s v="Long-Term"/>
    <s v="Standart Client"/>
    <m/>
  </r>
  <r>
    <s v="Good"/>
    <x v="1"/>
    <s v="car (new)"/>
    <s v="Up to 500"/>
    <s v="male "/>
    <s v=" single"/>
    <x v="2"/>
    <x v="0"/>
    <n v="18"/>
    <n v="4380"/>
    <n v="35"/>
    <s v="Medium"/>
    <s v="Medium-Term"/>
    <s v="Standart Client"/>
    <m/>
  </r>
  <r>
    <s v="Good"/>
    <x v="3"/>
    <s v="car (new)"/>
    <s v="Less 100"/>
    <s v="male "/>
    <s v=" single"/>
    <x v="1"/>
    <x v="0"/>
    <n v="6"/>
    <n v="6761"/>
    <n v="45"/>
    <s v="Hight"/>
    <s v="Low-Term"/>
    <s v="Standart Client"/>
    <m/>
  </r>
  <r>
    <s v="Good"/>
    <x v="1"/>
    <s v="car (new)"/>
    <s v="Up to 500"/>
    <s v="male "/>
    <s v=" single"/>
    <x v="0"/>
    <x v="0"/>
    <n v="24"/>
    <n v="2325"/>
    <n v="32"/>
    <s v="Medium"/>
    <s v="Medium-Term"/>
    <s v="Standart Client"/>
    <m/>
  </r>
  <r>
    <s v="Good"/>
    <x v="0"/>
    <s v="radio/television"/>
    <s v="Less 100"/>
    <s v="male "/>
    <s v=" single"/>
    <x v="2"/>
    <x v="0"/>
    <n v="10"/>
    <n v="1048"/>
    <n v="23"/>
    <s v="Low"/>
    <s v="Low-Term"/>
    <s v="Standart Client"/>
    <m/>
  </r>
  <r>
    <s v="Good"/>
    <x v="3"/>
    <s v="radio/television"/>
    <s v="No information"/>
    <s v="male "/>
    <s v=" single"/>
    <x v="0"/>
    <x v="0"/>
    <n v="21"/>
    <n v="3160"/>
    <n v="41"/>
    <s v="Medium"/>
    <s v="Medium-Term"/>
    <s v="Standart Client"/>
    <m/>
  </r>
  <r>
    <s v="Good"/>
    <x v="1"/>
    <s v="furniture/equipment"/>
    <s v="Up to 1000"/>
    <s v="male "/>
    <s v=" single"/>
    <x v="0"/>
    <x v="0"/>
    <n v="24"/>
    <n v="2483"/>
    <n v="22"/>
    <s v="Medium"/>
    <s v="Medium-Term"/>
    <s v="Standart Client"/>
    <m/>
  </r>
  <r>
    <s v="Good"/>
    <x v="1"/>
    <s v="furniture/equipment"/>
    <s v="No information"/>
    <s v="male "/>
    <s v=" single"/>
    <x v="1"/>
    <x v="0"/>
    <n v="39"/>
    <n v="14179"/>
    <n v="30"/>
    <s v="Hight"/>
    <s v="Long-Term"/>
    <s v="VIP Client"/>
    <m/>
  </r>
  <r>
    <s v="Good"/>
    <x v="1"/>
    <s v="business"/>
    <s v="Less 100"/>
    <s v="male "/>
    <s v=" single"/>
    <x v="2"/>
    <x v="0"/>
    <n v="13"/>
    <n v="1797"/>
    <n v="28"/>
    <s v="Low"/>
    <s v="Medium-Term"/>
    <s v="Standart Client"/>
    <m/>
  </r>
  <r>
    <s v="Good"/>
    <x v="1"/>
    <s v="car (new)"/>
    <s v="Less 100"/>
    <s v="female "/>
    <s v=" divorced/separated/married"/>
    <x v="0"/>
    <x v="2"/>
    <n v="15"/>
    <n v="2511"/>
    <n v="23"/>
    <s v="Medium"/>
    <s v="Medium-Term"/>
    <s v="Standart Client"/>
    <m/>
  </r>
  <r>
    <s v="Good"/>
    <x v="3"/>
    <s v="car (used)"/>
    <s v="No information"/>
    <s v="male "/>
    <s v=" single"/>
    <x v="0"/>
    <x v="0"/>
    <n v="21"/>
    <n v="5248"/>
    <n v="26"/>
    <s v="Hight"/>
    <s v="Medium-Term"/>
    <s v="Standart Client"/>
    <m/>
  </r>
  <r>
    <s v="Good"/>
    <x v="3"/>
    <s v="car (used)"/>
    <s v="Less 100"/>
    <s v="male "/>
    <s v=" single"/>
    <x v="0"/>
    <x v="0"/>
    <n v="15"/>
    <n v="3029"/>
    <n v="33"/>
    <s v="Medium"/>
    <s v="Medium-Term"/>
    <s v="Standart Client"/>
    <m/>
  </r>
  <r>
    <s v="Good"/>
    <x v="1"/>
    <s v="furniture/equipment"/>
    <s v="Less 100"/>
    <s v="female "/>
    <s v=" divorced/separated/married"/>
    <x v="0"/>
    <x v="0"/>
    <n v="6"/>
    <n v="428"/>
    <n v="49"/>
    <s v="Low"/>
    <s v="Low-Term"/>
    <s v="Standart Client"/>
    <m/>
  </r>
  <r>
    <s v="Good"/>
    <x v="0"/>
    <s v="business"/>
    <s v="Up to 500"/>
    <s v="female "/>
    <s v=" divorced/separated/married"/>
    <x v="2"/>
    <x v="2"/>
    <n v="12"/>
    <n v="841"/>
    <n v="23"/>
    <s v="Low"/>
    <s v="Medium-Term"/>
    <s v="Standart Client"/>
    <m/>
  </r>
  <r>
    <s v="Good"/>
    <x v="3"/>
    <s v="radio/television"/>
    <s v="Less 100"/>
    <s v="female "/>
    <s v=" divorced/separated/married"/>
    <x v="0"/>
    <x v="0"/>
    <n v="30"/>
    <n v="5771"/>
    <n v="25"/>
    <s v="Hight"/>
    <s v="Medium-Term"/>
    <s v="Standart Client"/>
    <m/>
  </r>
  <r>
    <s v="Good"/>
    <x v="2"/>
    <s v="car (new)"/>
    <s v="Less 100"/>
    <s v="male "/>
    <s v=" single"/>
    <x v="3"/>
    <x v="0"/>
    <n v="6"/>
    <n v="1299"/>
    <n v="74"/>
    <s v="Low"/>
    <s v="Low-Term"/>
    <s v="Standart Client"/>
    <m/>
  </r>
  <r>
    <s v="Good"/>
    <x v="3"/>
    <s v="car (new)"/>
    <s v="Less 100"/>
    <s v="male "/>
    <s v=" single"/>
    <x v="0"/>
    <x v="0"/>
    <n v="24"/>
    <n v="1393"/>
    <n v="31"/>
    <s v="Low"/>
    <s v="Medium-Term"/>
    <s v="Standart Client"/>
    <m/>
  </r>
  <r>
    <s v="Good"/>
    <x v="3"/>
    <s v="car (new)"/>
    <s v="No information"/>
    <s v="female "/>
    <s v=" divorced/separated/married"/>
    <x v="0"/>
    <x v="0"/>
    <n v="15"/>
    <n v="5045"/>
    <n v="59"/>
    <s v="Hight"/>
    <s v="Medium-Term"/>
    <s v="Standart Client"/>
    <m/>
  </r>
  <r>
    <s v="Good"/>
    <x v="1"/>
    <s v="radio/television"/>
    <s v="Less 100"/>
    <s v="male "/>
    <s v=" single"/>
    <x v="2"/>
    <x v="0"/>
    <n v="12"/>
    <n v="2214"/>
    <n v="24"/>
    <s v="Medium"/>
    <s v="Medium-Term"/>
    <s v="Standart Client"/>
    <m/>
  </r>
  <r>
    <s v="Good"/>
    <x v="3"/>
    <s v="car (new)"/>
    <s v="Up to 500"/>
    <s v="male "/>
    <s v=" married/widowed"/>
    <x v="0"/>
    <x v="0"/>
    <n v="24"/>
    <n v="2463"/>
    <n v="27"/>
    <s v="Medium"/>
    <s v="Medium-Term"/>
    <s v="Standart Client"/>
    <m/>
  </r>
  <r>
    <s v="Good"/>
    <x v="0"/>
    <s v="radio/television"/>
    <s v="Less 100"/>
    <s v="male "/>
    <s v=" married/widowed"/>
    <x v="2"/>
    <x v="0"/>
    <n v="12"/>
    <n v="1155"/>
    <n v="40"/>
    <s v="Low"/>
    <s v="Medium-Term"/>
    <s v="Standart Client"/>
    <m/>
  </r>
  <r>
    <s v="Good"/>
    <x v="3"/>
    <s v="car (used)"/>
    <s v="No information"/>
    <s v="female "/>
    <s v=" divorced/separated/married"/>
    <x v="0"/>
    <x v="2"/>
    <n v="10"/>
    <n v="2901"/>
    <n v="31"/>
    <s v="Medium"/>
    <s v="Low-Term"/>
    <s v="Standart Client"/>
    <m/>
  </r>
  <r>
    <s v="Good"/>
    <x v="0"/>
    <s v="furniture/equipment"/>
    <s v="Less 100"/>
    <s v="male "/>
    <s v=" single"/>
    <x v="0"/>
    <x v="2"/>
    <n v="12"/>
    <n v="3617"/>
    <n v="28"/>
    <s v="Medium"/>
    <s v="Medium-Term"/>
    <s v="Standart Client"/>
    <m/>
  </r>
  <r>
    <s v="Good"/>
    <x v="3"/>
    <s v="radio/television"/>
    <s v="Less 100"/>
    <s v="male "/>
    <s v=" single"/>
    <x v="2"/>
    <x v="0"/>
    <n v="12"/>
    <n v="1655"/>
    <n v="63"/>
    <s v="Low"/>
    <s v="Medium-Term"/>
    <s v="Standart Client"/>
    <m/>
  </r>
  <r>
    <s v="Good"/>
    <x v="1"/>
    <s v="car (used)"/>
    <s v="No information"/>
    <s v="female "/>
    <s v=" divorced/separated/married"/>
    <x v="0"/>
    <x v="2"/>
    <n v="24"/>
    <n v="2812"/>
    <n v="26"/>
    <s v="Medium"/>
    <s v="Medium-Term"/>
    <s v="Standart Client"/>
    <m/>
  </r>
  <r>
    <s v="Good"/>
    <x v="3"/>
    <s v="car (used)"/>
    <s v="Less 100"/>
    <s v="male "/>
    <s v=" single"/>
    <x v="1"/>
    <x v="0"/>
    <n v="21"/>
    <n v="3275"/>
    <n v="36"/>
    <s v="Medium"/>
    <s v="Medium-Term"/>
    <s v="Standart Client"/>
    <m/>
  </r>
  <r>
    <s v="Good"/>
    <x v="3"/>
    <s v="radio/television"/>
    <s v="Up to 500"/>
    <s v="male "/>
    <s v=" single"/>
    <x v="0"/>
    <x v="0"/>
    <n v="24"/>
    <n v="2223"/>
    <n v="52"/>
    <s v="Medium"/>
    <s v="Medium-Term"/>
    <s v="Standart Client"/>
    <m/>
  </r>
  <r>
    <s v="Good"/>
    <x v="2"/>
    <s v="car (new)"/>
    <s v="Up to 1000"/>
    <s v="male "/>
    <s v=" single"/>
    <x v="3"/>
    <x v="1"/>
    <n v="12"/>
    <n v="1480"/>
    <n v="66"/>
    <s v="Low"/>
    <s v="Medium-Term"/>
    <s v="Standart Client"/>
    <m/>
  </r>
  <r>
    <s v="Good"/>
    <x v="3"/>
    <s v="car (new)"/>
    <s v="Less 100"/>
    <s v="male "/>
    <s v=" single"/>
    <x v="0"/>
    <x v="0"/>
    <n v="36"/>
    <n v="3535"/>
    <n v="37"/>
    <s v="Medium"/>
    <s v="Long-Term"/>
    <s v="Standart Client"/>
    <m/>
  </r>
  <r>
    <s v="Good"/>
    <x v="1"/>
    <s v="radio/television"/>
    <s v="Less 100"/>
    <s v="female "/>
    <s v=" divorced/separated/married"/>
    <x v="0"/>
    <x v="0"/>
    <n v="18"/>
    <n v="3509"/>
    <n v="25"/>
    <s v="Medium"/>
    <s v="Medium-Term"/>
    <s v="Standart Client"/>
    <m/>
  </r>
  <r>
    <s v="Good"/>
    <x v="3"/>
    <s v="car (used)"/>
    <s v="More 1000"/>
    <s v="male "/>
    <s v=" single"/>
    <x v="1"/>
    <x v="0"/>
    <n v="36"/>
    <n v="5711"/>
    <n v="38"/>
    <s v="Hight"/>
    <s v="Long-Term"/>
    <s v="Standart Client"/>
    <m/>
  </r>
  <r>
    <s v="Good"/>
    <x v="0"/>
    <s v="repairs"/>
    <s v="Less 100"/>
    <s v="female "/>
    <s v=" divorced/separated/married"/>
    <x v="0"/>
    <x v="0"/>
    <n v="18"/>
    <n v="3872"/>
    <n v="67"/>
    <s v="Medium"/>
    <s v="Medium-Term"/>
    <s v="Standart Client"/>
    <m/>
  </r>
  <r>
    <s v="Good"/>
    <x v="3"/>
    <s v="car (new)"/>
    <s v="More 1000"/>
    <s v="male "/>
    <s v=" single"/>
    <x v="0"/>
    <x v="0"/>
    <n v="24"/>
    <n v="1940"/>
    <n v="60"/>
    <s v="Low"/>
    <s v="Medium-Term"/>
    <s v="Standart Client"/>
    <m/>
  </r>
  <r>
    <s v="Good"/>
    <x v="0"/>
    <s v="retraining"/>
    <s v="Less 100"/>
    <s v="male "/>
    <s v=" single"/>
    <x v="2"/>
    <x v="0"/>
    <n v="12"/>
    <n v="1410"/>
    <n v="31"/>
    <s v="Low"/>
    <s v="Medium-Term"/>
    <s v="Standart Client"/>
    <m/>
  </r>
  <r>
    <s v="Good"/>
    <x v="0"/>
    <s v="car (used)"/>
    <s v="No information"/>
    <s v="male "/>
    <s v=" divorced/separated"/>
    <x v="1"/>
    <x v="0"/>
    <n v="20"/>
    <n v="6468"/>
    <n v="60"/>
    <s v="Hight"/>
    <s v="Medium-Term"/>
    <s v="Standart Client"/>
    <m/>
  </r>
  <r>
    <s v="Good"/>
    <x v="0"/>
    <s v="business"/>
    <s v="More 1000"/>
    <s v="male "/>
    <s v=" single"/>
    <x v="2"/>
    <x v="0"/>
    <n v="18"/>
    <n v="1941"/>
    <n v="35"/>
    <s v="Low"/>
    <s v="Medium-Term"/>
    <s v="Standart Client"/>
    <m/>
  </r>
  <r>
    <s v="Good"/>
    <x v="3"/>
    <s v="radio/television"/>
    <s v="Up to 1000"/>
    <s v="male "/>
    <s v=" single"/>
    <x v="0"/>
    <x v="0"/>
    <n v="22"/>
    <n v="2675"/>
    <n v="40"/>
    <s v="Medium"/>
    <s v="Medium-Term"/>
    <s v="Standart Client"/>
    <m/>
  </r>
  <r>
    <s v="Good"/>
    <x v="3"/>
    <s v="car (used)"/>
    <s v="No information"/>
    <s v="male "/>
    <s v=" single"/>
    <x v="0"/>
    <x v="0"/>
    <n v="48"/>
    <n v="2751"/>
    <n v="38"/>
    <s v="Medium"/>
    <s v="Long-Term"/>
    <s v="Standart Client"/>
    <m/>
  </r>
  <r>
    <s v="Good"/>
    <x v="3"/>
    <s v="car (used)"/>
    <s v="No information"/>
    <s v="male "/>
    <s v=" single"/>
    <x v="1"/>
    <x v="0"/>
    <n v="24"/>
    <n v="6313"/>
    <n v="41"/>
    <s v="Hight"/>
    <s v="Medium-Term"/>
    <s v="Standart Client"/>
    <m/>
  </r>
  <r>
    <s v="Good"/>
    <x v="3"/>
    <s v="furniture/equipment"/>
    <s v="No information"/>
    <s v="male "/>
    <s v=" married/widowed"/>
    <x v="0"/>
    <x v="0"/>
    <n v="6"/>
    <n v="1221"/>
    <n v="27"/>
    <s v="Low"/>
    <s v="Low-Term"/>
    <s v="Standart Client"/>
    <m/>
  </r>
  <r>
    <s v="Good"/>
    <x v="2"/>
    <s v="furniture/equipment"/>
    <s v="Less 100"/>
    <s v="male "/>
    <s v=" divorced/separated"/>
    <x v="0"/>
    <x v="1"/>
    <n v="24"/>
    <n v="2892"/>
    <n v="51"/>
    <s v="Medium"/>
    <s v="Medium-Term"/>
    <s v="Standart Client"/>
    <m/>
  </r>
  <r>
    <s v="Good"/>
    <x v="3"/>
    <s v="furniture/equipment"/>
    <s v="Up to 1000"/>
    <s v="male "/>
    <s v=" single"/>
    <x v="0"/>
    <x v="2"/>
    <n v="24"/>
    <n v="3062"/>
    <n v="32"/>
    <s v="Medium"/>
    <s v="Medium-Term"/>
    <s v="Standart Client"/>
    <m/>
  </r>
  <r>
    <s v="Good"/>
    <x v="3"/>
    <s v="furniture/equipment"/>
    <s v="Up to 500"/>
    <s v="female "/>
    <s v=" divorced/separated/married"/>
    <x v="0"/>
    <x v="2"/>
    <n v="9"/>
    <n v="2301"/>
    <n v="22"/>
    <s v="Medium"/>
    <s v="Low-Term"/>
    <s v="Standart Client"/>
    <m/>
  </r>
  <r>
    <s v="Good"/>
    <x v="3"/>
    <s v="furniture/equipment"/>
    <s v="Less 100"/>
    <s v="female "/>
    <s v=" divorced/separated/married"/>
    <x v="2"/>
    <x v="2"/>
    <n v="12"/>
    <n v="1258"/>
    <n v="22"/>
    <s v="Low"/>
    <s v="Medium-Term"/>
    <s v="Standart Client"/>
    <m/>
  </r>
  <r>
    <s v="Good"/>
    <x v="3"/>
    <s v="car (new)"/>
    <s v="No information"/>
    <s v="male "/>
    <s v=" married/widowed"/>
    <x v="0"/>
    <x v="0"/>
    <n v="24"/>
    <n v="717"/>
    <n v="54"/>
    <s v="Low"/>
    <s v="Medium-Term"/>
    <s v="Standart Client"/>
    <m/>
  </r>
  <r>
    <s v="Good"/>
    <x v="0"/>
    <s v="car (new)"/>
    <s v="No information"/>
    <s v="male "/>
    <s v=" single"/>
    <x v="3"/>
    <x v="0"/>
    <n v="9"/>
    <n v="1549"/>
    <n v="35"/>
    <s v="Low"/>
    <s v="Low-Term"/>
    <s v="Standart Client"/>
    <m/>
  </r>
  <r>
    <s v="Good"/>
    <x v="3"/>
    <s v="education"/>
    <s v="Less 100"/>
    <s v="male "/>
    <s v=" single"/>
    <x v="0"/>
    <x v="1"/>
    <n v="24"/>
    <n v="1597"/>
    <n v="54"/>
    <s v="Low"/>
    <s v="Medium-Term"/>
    <s v="Standart Client"/>
    <m/>
  </r>
  <r>
    <s v="Good"/>
    <x v="0"/>
    <s v="radio/television"/>
    <s v="Less 100"/>
    <s v="female "/>
    <s v=" divorced/separated/married"/>
    <x v="2"/>
    <x v="2"/>
    <n v="18"/>
    <n v="1795"/>
    <n v="48"/>
    <s v="Low"/>
    <s v="Medium-Term"/>
    <s v="Standart Client"/>
    <m/>
  </r>
  <r>
    <s v="Good"/>
    <x v="1"/>
    <s v="furniture/equipment"/>
    <s v="Less 100"/>
    <s v="female "/>
    <s v=" divorced/separated/married"/>
    <x v="0"/>
    <x v="0"/>
    <n v="20"/>
    <n v="4272"/>
    <n v="24"/>
    <s v="Medium"/>
    <s v="Medium-Term"/>
    <s v="Standart Client"/>
    <m/>
  </r>
  <r>
    <s v="Good"/>
    <x v="3"/>
    <s v="radio/television"/>
    <s v="No information"/>
    <s v="male "/>
    <s v=" single"/>
    <x v="0"/>
    <x v="0"/>
    <n v="12"/>
    <n v="976"/>
    <n v="35"/>
    <s v="Low"/>
    <s v="Medium-Term"/>
    <s v="Standart Client"/>
    <m/>
  </r>
  <r>
    <s v="Good"/>
    <x v="0"/>
    <s v="car (new)"/>
    <s v="No information"/>
    <s v="female "/>
    <s v=" divorced/separated/married"/>
    <x v="3"/>
    <x v="2"/>
    <n v="12"/>
    <n v="7472"/>
    <n v="24"/>
    <s v="Hight"/>
    <s v="Medium-Term"/>
    <s v="VIP Client"/>
    <m/>
  </r>
  <r>
    <s v="Good"/>
    <x v="0"/>
    <s v="radio/television"/>
    <s v="Less 100"/>
    <s v="male "/>
    <s v=" married/widowed"/>
    <x v="2"/>
    <x v="0"/>
    <n v="6"/>
    <n v="590"/>
    <n v="26"/>
    <s v="Low"/>
    <s v="Low-Term"/>
    <s v="Standart Client"/>
    <m/>
  </r>
  <r>
    <s v="Good"/>
    <x v="3"/>
    <s v="radio/television"/>
    <s v="No information"/>
    <s v="male "/>
    <s v=" single"/>
    <x v="0"/>
    <x v="0"/>
    <n v="12"/>
    <n v="930"/>
    <n v="65"/>
    <s v="Low"/>
    <s v="Medium-Term"/>
    <s v="Standart Client"/>
    <m/>
  </r>
  <r>
    <s v="Good"/>
    <x v="0"/>
    <s v="car (used)"/>
    <s v="Less 100"/>
    <s v="male "/>
    <s v=" single"/>
    <x v="1"/>
    <x v="1"/>
    <n v="42"/>
    <n v="9283"/>
    <n v="55"/>
    <s v="Hight"/>
    <s v="Long-Term"/>
    <s v="VIP Client"/>
    <m/>
  </r>
  <r>
    <s v="Good"/>
    <x v="0"/>
    <s v="business"/>
    <s v="Less 100"/>
    <s v="male "/>
    <s v=" married/widowed"/>
    <x v="0"/>
    <x v="0"/>
    <n v="8"/>
    <n v="907"/>
    <n v="26"/>
    <s v="Low"/>
    <s v="Low-Term"/>
    <s v="Standart Client"/>
    <m/>
  </r>
  <r>
    <s v="Good"/>
    <x v="0"/>
    <s v="radio/television"/>
    <s v="Less 100"/>
    <s v="male "/>
    <s v=" married/widowed"/>
    <x v="2"/>
    <x v="0"/>
    <n v="6"/>
    <n v="484"/>
    <n v="28"/>
    <s v="Low"/>
    <s v="Low-Term"/>
    <s v="Standart Client"/>
    <m/>
  </r>
  <r>
    <s v="Good"/>
    <x v="0"/>
    <s v="car (new)"/>
    <s v="Less 100"/>
    <s v="female "/>
    <s v=" divorced/separated/married"/>
    <x v="0"/>
    <x v="2"/>
    <n v="36"/>
    <n v="7432"/>
    <n v="54"/>
    <s v="Hight"/>
    <s v="Long-Term"/>
    <s v="VIP Client"/>
    <m/>
  </r>
  <r>
    <s v="Good"/>
    <x v="3"/>
    <s v="domestic appliances"/>
    <s v="Up to 1000"/>
    <s v="male "/>
    <s v=" divorced/separated"/>
    <x v="0"/>
    <x v="0"/>
    <n v="6"/>
    <n v="1338"/>
    <n v="62"/>
    <s v="Low"/>
    <s v="Low-Term"/>
    <s v="Standart Client"/>
    <m/>
  </r>
  <r>
    <s v="Good"/>
    <x v="3"/>
    <s v="radio/television"/>
    <s v="Less 100"/>
    <s v="female "/>
    <s v=" divorced/separated/married"/>
    <x v="0"/>
    <x v="2"/>
    <n v="6"/>
    <n v="1554"/>
    <n v="24"/>
    <s v="Low"/>
    <s v="Low-Term"/>
    <s v="Standart Client"/>
    <m/>
  </r>
  <r>
    <s v="Good"/>
    <x v="1"/>
    <s v="others"/>
    <s v="Less 100"/>
    <s v="male "/>
    <s v=" divorced/separated"/>
    <x v="1"/>
    <x v="0"/>
    <n v="36"/>
    <n v="15857"/>
    <n v="43"/>
    <s v="Hight"/>
    <s v="Long-Term"/>
    <s v="VIP Client"/>
    <m/>
  </r>
  <r>
    <s v="Good"/>
    <x v="3"/>
    <s v="car (new)"/>
    <s v="Less 100"/>
    <s v="male "/>
    <s v=" married/widowed"/>
    <x v="0"/>
    <x v="0"/>
    <n v="12"/>
    <n v="1101"/>
    <n v="27"/>
    <s v="Low"/>
    <s v="Medium-Term"/>
    <s v="Standart Client"/>
    <m/>
  </r>
  <r>
    <s v="Good"/>
    <x v="2"/>
    <s v="radio/television"/>
    <s v="Less 100"/>
    <s v="male "/>
    <s v=" married/widowed"/>
    <x v="0"/>
    <x v="0"/>
    <n v="12"/>
    <n v="3016"/>
    <n v="24"/>
    <s v="Medium"/>
    <s v="Medium-Term"/>
    <s v="Standart Client"/>
    <m/>
  </r>
  <r>
    <s v="Good"/>
    <x v="1"/>
    <s v="car (new)"/>
    <s v="Less 100"/>
    <s v="male "/>
    <s v=" single"/>
    <x v="2"/>
    <x v="0"/>
    <n v="8"/>
    <n v="731"/>
    <n v="47"/>
    <s v="Low"/>
    <s v="Low-Term"/>
    <s v="Standart Client"/>
    <m/>
  </r>
  <r>
    <s v="Good"/>
    <x v="3"/>
    <s v="furniture/equipment"/>
    <s v="Less 100"/>
    <s v="male "/>
    <s v=" divorced/separated"/>
    <x v="1"/>
    <x v="0"/>
    <n v="18"/>
    <n v="3780"/>
    <n v="35"/>
    <s v="Medium"/>
    <s v="Medium-Term"/>
    <s v="Standart Client"/>
    <m/>
  </r>
  <r>
    <s v="Good"/>
    <x v="1"/>
    <s v="car (new)"/>
    <s v="Less 100"/>
    <s v="male "/>
    <s v=" married/widowed"/>
    <x v="0"/>
    <x v="0"/>
    <n v="21"/>
    <n v="1602"/>
    <n v="30"/>
    <s v="Low"/>
    <s v="Medium-Term"/>
    <s v="Standart Client"/>
    <m/>
  </r>
  <r>
    <s v="Good"/>
    <x v="0"/>
    <s v="business"/>
    <s v="No information"/>
    <s v="male "/>
    <s v=" single"/>
    <x v="0"/>
    <x v="1"/>
    <n v="48"/>
    <n v="6681"/>
    <n v="38"/>
    <s v="Hight"/>
    <s v="Long-Term"/>
    <s v="Standart Client"/>
    <m/>
  </r>
  <r>
    <s v="Good"/>
    <x v="3"/>
    <s v="business"/>
    <s v="Up to 1000"/>
    <s v="male "/>
    <s v=" single"/>
    <x v="0"/>
    <x v="0"/>
    <n v="24"/>
    <n v="2375"/>
    <n v="44"/>
    <s v="Medium"/>
    <s v="Medium-Term"/>
    <s v="Standart Client"/>
    <m/>
  </r>
  <r>
    <s v="Good"/>
    <x v="0"/>
    <s v="radio/television"/>
    <s v="No information"/>
    <s v="female "/>
    <s v=" divorced/separated/married"/>
    <x v="0"/>
    <x v="0"/>
    <n v="24"/>
    <n v="5084"/>
    <n v="42"/>
    <s v="Hight"/>
    <s v="Medium-Term"/>
    <s v="Standart Client"/>
    <m/>
  </r>
  <r>
    <s v="Good"/>
    <x v="3"/>
    <s v="radio/television"/>
    <s v="No information"/>
    <s v="female "/>
    <s v=" divorced/separated/married"/>
    <x v="0"/>
    <x v="0"/>
    <n v="12"/>
    <n v="886"/>
    <n v="21"/>
    <s v="Low"/>
    <s v="Medium-Term"/>
    <s v="Standart Client"/>
    <m/>
  </r>
  <r>
    <s v="Good"/>
    <x v="3"/>
    <s v="furniture/equipment"/>
    <s v="Less 100"/>
    <s v="female "/>
    <s v=" divorced/separated/married"/>
    <x v="2"/>
    <x v="2"/>
    <n v="4"/>
    <n v="601"/>
    <n v="23"/>
    <s v="Low"/>
    <s v="Low-Term"/>
    <s v="Standart Client"/>
    <m/>
  </r>
  <r>
    <s v="Good"/>
    <x v="1"/>
    <s v="car (used)"/>
    <s v="Less 100"/>
    <s v="male "/>
    <s v=" single"/>
    <x v="0"/>
    <x v="0"/>
    <n v="24"/>
    <n v="2957"/>
    <n v="63"/>
    <s v="Medium"/>
    <s v="Medium-Term"/>
    <s v="Standart Client"/>
    <m/>
  </r>
  <r>
    <s v="Good"/>
    <x v="3"/>
    <s v="radio/television"/>
    <s v="Less 100"/>
    <s v="male "/>
    <s v=" married/widowed"/>
    <x v="0"/>
    <x v="0"/>
    <n v="24"/>
    <n v="2611"/>
    <n v="46"/>
    <s v="Medium"/>
    <s v="Medium-Term"/>
    <s v="Standart Client"/>
    <m/>
  </r>
  <r>
    <s v="Good"/>
    <x v="3"/>
    <s v="car (used)"/>
    <s v="Less 100"/>
    <s v="male "/>
    <s v=" single"/>
    <x v="2"/>
    <x v="0"/>
    <n v="21"/>
    <n v="2993"/>
    <n v="28"/>
    <s v="Medium"/>
    <s v="Medium-Term"/>
    <s v="Standart Client"/>
    <m/>
  </r>
  <r>
    <s v="Good"/>
    <x v="3"/>
    <s v="business"/>
    <s v="Less 100"/>
    <s v="male "/>
    <s v=" single"/>
    <x v="0"/>
    <x v="0"/>
    <n v="24"/>
    <n v="1559"/>
    <n v="50"/>
    <s v="Low"/>
    <s v="Medium-Term"/>
    <s v="Standart Client"/>
    <m/>
  </r>
  <r>
    <s v="Good"/>
    <x v="3"/>
    <s v="furniture/equipment"/>
    <s v="Less 100"/>
    <s v="male "/>
    <s v=" single"/>
    <x v="0"/>
    <x v="0"/>
    <n v="18"/>
    <n v="3422"/>
    <n v="47"/>
    <s v="Medium"/>
    <s v="Medium-Term"/>
    <s v="Standart Client"/>
    <m/>
  </r>
  <r>
    <s v="Good"/>
    <x v="0"/>
    <s v="furniture/equipment"/>
    <s v="No information"/>
    <s v="male "/>
    <s v=" single"/>
    <x v="0"/>
    <x v="0"/>
    <n v="21"/>
    <n v="3976"/>
    <n v="35"/>
    <s v="Medium"/>
    <s v="Medium-Term"/>
    <s v="Standart Client"/>
    <m/>
  </r>
  <r>
    <s v="Good"/>
    <x v="3"/>
    <s v="car (new)"/>
    <s v="Less 100"/>
    <s v="male "/>
    <s v=" married/widowed"/>
    <x v="0"/>
    <x v="0"/>
    <n v="24"/>
    <n v="1249"/>
    <n v="28"/>
    <s v="Low"/>
    <s v="Medium-Term"/>
    <s v="Standart Client"/>
    <m/>
  </r>
  <r>
    <s v="Good"/>
    <x v="1"/>
    <s v="radio/television"/>
    <s v="Less 100"/>
    <s v="male "/>
    <s v=" single"/>
    <x v="0"/>
    <x v="0"/>
    <n v="9"/>
    <n v="1364"/>
    <n v="59"/>
    <s v="Low"/>
    <s v="Low-Term"/>
    <s v="Standart Client"/>
    <m/>
  </r>
  <r>
    <s v="Good"/>
    <x v="3"/>
    <s v="car (used)"/>
    <s v="No information"/>
    <s v="male "/>
    <s v=" single"/>
    <x v="0"/>
    <x v="0"/>
    <n v="24"/>
    <n v="4042"/>
    <n v="43"/>
    <s v="Medium"/>
    <s v="Medium-Term"/>
    <s v="Standart Client"/>
    <m/>
  </r>
  <r>
    <s v="Good"/>
    <x v="3"/>
    <s v="radio/television"/>
    <s v="Less 100"/>
    <s v="male "/>
    <s v=" single"/>
    <x v="0"/>
    <x v="1"/>
    <n v="15"/>
    <n v="1471"/>
    <n v="35"/>
    <s v="Low"/>
    <s v="Medium-Term"/>
    <s v="Standart Client"/>
    <m/>
  </r>
  <r>
    <s v="Good"/>
    <x v="3"/>
    <s v="car (new)"/>
    <s v="Less 100"/>
    <s v="male "/>
    <s v=" single"/>
    <x v="0"/>
    <x v="0"/>
    <n v="36"/>
    <n v="10875"/>
    <n v="45"/>
    <s v="Hight"/>
    <s v="Long-Term"/>
    <s v="VIP Client"/>
    <m/>
  </r>
  <r>
    <s v="Good"/>
    <x v="3"/>
    <s v="car (new)"/>
    <s v="Up to 500"/>
    <s v="male "/>
    <s v=" married/widowed"/>
    <x v="0"/>
    <x v="0"/>
    <n v="24"/>
    <n v="1474"/>
    <n v="33"/>
    <s v="Low"/>
    <s v="Medium-Term"/>
    <s v="Standart Client"/>
    <m/>
  </r>
  <r>
    <s v="Good"/>
    <x v="3"/>
    <s v="retraining"/>
    <s v="No information"/>
    <s v="female "/>
    <s v=" divorced/separated/married"/>
    <x v="0"/>
    <x v="0"/>
    <n v="10"/>
    <n v="894"/>
    <n v="40"/>
    <s v="Low"/>
    <s v="Low-Term"/>
    <s v="Standart Client"/>
    <m/>
  </r>
  <r>
    <s v="Good"/>
    <x v="3"/>
    <s v="furniture/equipment"/>
    <s v="Less 100"/>
    <s v="male "/>
    <s v=" single"/>
    <x v="0"/>
    <x v="1"/>
    <n v="15"/>
    <n v="3343"/>
    <n v="28"/>
    <s v="Medium"/>
    <s v="Medium-Term"/>
    <s v="Standart Client"/>
    <m/>
  </r>
  <r>
    <s v="Good"/>
    <x v="3"/>
    <s v="car (new)"/>
    <s v="Up to 500"/>
    <s v="male "/>
    <s v=" single"/>
    <x v="0"/>
    <x v="2"/>
    <n v="9"/>
    <n v="3577"/>
    <n v="26"/>
    <s v="Medium"/>
    <s v="Low-Term"/>
    <s v="Standart Client"/>
    <m/>
  </r>
  <r>
    <s v="Good"/>
    <x v="3"/>
    <s v="car (used)"/>
    <s v="More 1000"/>
    <s v="male "/>
    <s v=" single"/>
    <x v="0"/>
    <x v="0"/>
    <n v="24"/>
    <n v="5804"/>
    <n v="27"/>
    <s v="Hight"/>
    <s v="Medium-Term"/>
    <s v="Standart Client"/>
    <m/>
  </r>
  <r>
    <s v="Good"/>
    <x v="3"/>
    <s v="furniture/equipment"/>
    <s v="More 1000"/>
    <s v="male "/>
    <s v=" single"/>
    <x v="2"/>
    <x v="0"/>
    <n v="27"/>
    <n v="4526"/>
    <n v="32"/>
    <s v="Medium"/>
    <s v="Medium-Term"/>
    <s v="Standart Client"/>
    <m/>
  </r>
  <r>
    <s v="Good"/>
    <x v="3"/>
    <s v="furniture/equipment"/>
    <s v="Up to 1000"/>
    <s v="female "/>
    <s v=" divorced/separated/married"/>
    <x v="0"/>
    <x v="2"/>
    <n v="15"/>
    <n v="2221"/>
    <n v="20"/>
    <s v="Medium"/>
    <s v="Medium-Term"/>
    <s v="Standart Client"/>
    <m/>
  </r>
  <r>
    <s v="Good"/>
    <x v="1"/>
    <s v="radio/television"/>
    <s v="Less 100"/>
    <s v="female "/>
    <s v=" divorced/separated/married"/>
    <x v="0"/>
    <x v="0"/>
    <n v="18"/>
    <n v="2389"/>
    <n v="27"/>
    <s v="Medium"/>
    <s v="Medium-Term"/>
    <s v="Standart Client"/>
    <m/>
  </r>
  <r>
    <s v="Good"/>
    <x v="3"/>
    <s v="furniture/equipment"/>
    <s v="Less 100"/>
    <s v="male "/>
    <s v=" single"/>
    <x v="0"/>
    <x v="0"/>
    <n v="12"/>
    <n v="3331"/>
    <n v="42"/>
    <s v="Medium"/>
    <s v="Medium-Term"/>
    <s v="Standart Client"/>
    <m/>
  </r>
  <r>
    <s v="Good"/>
    <x v="3"/>
    <s v="business"/>
    <s v="No information"/>
    <s v="male "/>
    <s v=" single"/>
    <x v="0"/>
    <x v="0"/>
    <n v="36"/>
    <n v="7409"/>
    <n v="37"/>
    <s v="Hight"/>
    <s v="Long-Term"/>
    <s v="VIP Client"/>
    <m/>
  </r>
  <r>
    <s v="Good"/>
    <x v="1"/>
    <s v="furniture/equipment"/>
    <s v="Less 100"/>
    <s v="female "/>
    <s v=" divorced/separated/married"/>
    <x v="0"/>
    <x v="2"/>
    <n v="12"/>
    <n v="652"/>
    <n v="24"/>
    <s v="Low"/>
    <s v="Medium-Term"/>
    <s v="Standart Client"/>
    <m/>
  </r>
  <r>
    <s v="Good"/>
    <x v="3"/>
    <s v="furniture/equipment"/>
    <s v="Up to 1000"/>
    <s v="female "/>
    <s v=" divorced/separated/married"/>
    <x v="0"/>
    <x v="0"/>
    <n v="36"/>
    <n v="7678"/>
    <n v="40"/>
    <s v="Hight"/>
    <s v="Long-Term"/>
    <s v="VIP Client"/>
    <m/>
  </r>
  <r>
    <s v="Good"/>
    <x v="2"/>
    <s v="car (new)"/>
    <s v="Less 100"/>
    <s v="male "/>
    <s v=" single"/>
    <x v="0"/>
    <x v="0"/>
    <n v="6"/>
    <n v="1343"/>
    <n v="46"/>
    <s v="Low"/>
    <s v="Low-Term"/>
    <s v="Standart Client"/>
    <m/>
  </r>
  <r>
    <s v="Good"/>
    <x v="1"/>
    <s v="business"/>
    <s v="Up to 500"/>
    <s v="male "/>
    <s v=" single"/>
    <x v="0"/>
    <x v="0"/>
    <n v="24"/>
    <n v="1382"/>
    <n v="26"/>
    <s v="Low"/>
    <s v="Medium-Term"/>
    <s v="Standart Client"/>
    <m/>
  </r>
  <r>
    <s v="Good"/>
    <x v="3"/>
    <s v="domestic appliances"/>
    <s v="No information"/>
    <s v="female "/>
    <s v=" divorced/separated/married"/>
    <x v="0"/>
    <x v="0"/>
    <n v="15"/>
    <n v="874"/>
    <n v="24"/>
    <s v="Low"/>
    <s v="Medium-Term"/>
    <s v="Standart Client"/>
    <m/>
  </r>
  <r>
    <s v="Good"/>
    <x v="1"/>
    <s v="furniture/equipment"/>
    <s v="Less 100"/>
    <s v="male "/>
    <s v=" single"/>
    <x v="2"/>
    <x v="0"/>
    <n v="12"/>
    <n v="3590"/>
    <n v="29"/>
    <s v="Medium"/>
    <s v="Medium-Term"/>
    <s v="Standart Client"/>
    <m/>
  </r>
  <r>
    <s v="Good"/>
    <x v="0"/>
    <s v="car (new)"/>
    <s v="More 1000"/>
    <s v="female "/>
    <s v=" divorced/separated/married"/>
    <x v="0"/>
    <x v="0"/>
    <n v="11"/>
    <n v="1322"/>
    <n v="40"/>
    <s v="Low"/>
    <s v="Low-Term"/>
    <s v="Standart Client"/>
    <m/>
  </r>
  <r>
    <s v="Good"/>
    <x v="1"/>
    <s v="radio/television"/>
    <s v="Less 100"/>
    <s v="male "/>
    <s v=" single"/>
    <x v="1"/>
    <x v="1"/>
    <n v="18"/>
    <n v="1940"/>
    <n v="36"/>
    <s v="Low"/>
    <s v="Medium-Term"/>
    <s v="Standart Client"/>
    <m/>
  </r>
  <r>
    <s v="Good"/>
    <x v="3"/>
    <s v="radio/television"/>
    <s v="Less 100"/>
    <s v="male "/>
    <s v=" single"/>
    <x v="0"/>
    <x v="0"/>
    <n v="36"/>
    <n v="3595"/>
    <n v="28"/>
    <s v="Medium"/>
    <s v="Long-Term"/>
    <s v="Standart Client"/>
    <m/>
  </r>
  <r>
    <s v="Good"/>
    <x v="3"/>
    <s v="radio/television"/>
    <s v="No information"/>
    <s v="male "/>
    <s v=" single"/>
    <x v="0"/>
    <x v="0"/>
    <n v="30"/>
    <n v="6742"/>
    <n v="36"/>
    <s v="Hight"/>
    <s v="Medium-Term"/>
    <s v="Standart Client"/>
    <m/>
  </r>
  <r>
    <s v="Good"/>
    <x v="3"/>
    <s v="car (used)"/>
    <s v="Less 100"/>
    <s v="male "/>
    <s v=" single"/>
    <x v="1"/>
    <x v="0"/>
    <n v="24"/>
    <n v="7814"/>
    <n v="38"/>
    <s v="Hight"/>
    <s v="Medium-Term"/>
    <s v="VIP Client"/>
    <m/>
  </r>
  <r>
    <s v="Good"/>
    <x v="3"/>
    <s v="car (used)"/>
    <s v="No information"/>
    <s v="male "/>
    <s v=" divorced/separated"/>
    <x v="0"/>
    <x v="1"/>
    <n v="24"/>
    <n v="9277"/>
    <n v="48"/>
    <s v="Hight"/>
    <s v="Medium-Term"/>
    <s v="VIP Client"/>
    <m/>
  </r>
  <r>
    <s v="Good"/>
    <x v="0"/>
    <s v="car (new)"/>
    <s v="No information"/>
    <s v="male "/>
    <s v=" single"/>
    <x v="0"/>
    <x v="0"/>
    <n v="30"/>
    <n v="2181"/>
    <n v="36"/>
    <s v="Medium"/>
    <s v="Medium-Term"/>
    <s v="Standart Client"/>
    <m/>
  </r>
  <r>
    <s v="Good"/>
    <x v="3"/>
    <s v="radio/television"/>
    <s v="Less 100"/>
    <s v="female "/>
    <s v=" divorced/separated/married"/>
    <x v="3"/>
    <x v="0"/>
    <n v="18"/>
    <n v="1098"/>
    <n v="65"/>
    <s v="Low"/>
    <s v="Medium-Term"/>
    <s v="Standart Client"/>
    <m/>
  </r>
  <r>
    <s v="Good"/>
    <x v="0"/>
    <s v="business"/>
    <s v="No information"/>
    <s v="male "/>
    <s v=" single"/>
    <x v="0"/>
    <x v="0"/>
    <n v="24"/>
    <n v="2825"/>
    <n v="34"/>
    <s v="Medium"/>
    <s v="Medium-Term"/>
    <s v="Standart Client"/>
    <m/>
  </r>
  <r>
    <s v="Good"/>
    <x v="3"/>
    <s v="car (new)"/>
    <s v="Less 100"/>
    <s v="male "/>
    <s v=" single"/>
    <x v="1"/>
    <x v="0"/>
    <n v="36"/>
    <n v="6614"/>
    <n v="34"/>
    <s v="Hight"/>
    <s v="Long-Term"/>
    <s v="Standart Client"/>
    <m/>
  </r>
  <r>
    <s v="Good"/>
    <x v="3"/>
    <s v="car (used)"/>
    <s v="No information"/>
    <s v="male "/>
    <s v=" single"/>
    <x v="0"/>
    <x v="2"/>
    <n v="28"/>
    <n v="7824"/>
    <n v="40"/>
    <s v="Hight"/>
    <s v="Medium-Term"/>
    <s v="VIP Client"/>
    <m/>
  </r>
  <r>
    <s v="Good"/>
    <x v="1"/>
    <s v="business"/>
    <s v="Less 100"/>
    <s v="male "/>
    <s v=" single"/>
    <x v="1"/>
    <x v="0"/>
    <n v="27"/>
    <n v="2442"/>
    <n v="43"/>
    <s v="Medium"/>
    <s v="Medium-Term"/>
    <s v="Standart Client"/>
    <m/>
  </r>
  <r>
    <s v="Good"/>
    <x v="3"/>
    <s v="radio/television"/>
    <s v="Less 100"/>
    <s v="male "/>
    <s v=" single"/>
    <x v="0"/>
    <x v="0"/>
    <n v="15"/>
    <n v="1829"/>
    <n v="46"/>
    <s v="Low"/>
    <s v="Medium-Term"/>
    <s v="Standart Client"/>
    <m/>
  </r>
  <r>
    <s v="Good"/>
    <x v="1"/>
    <s v="car (new)"/>
    <s v="Less 100"/>
    <s v="male "/>
    <s v=" single"/>
    <x v="2"/>
    <x v="0"/>
    <n v="12"/>
    <n v="2171"/>
    <n v="38"/>
    <s v="Medium"/>
    <s v="Medium-Term"/>
    <s v="Standart Client"/>
    <m/>
  </r>
  <r>
    <s v="Good"/>
    <x v="0"/>
    <s v="car (used)"/>
    <s v="Less 100"/>
    <s v="male "/>
    <s v=" single"/>
    <x v="0"/>
    <x v="0"/>
    <n v="36"/>
    <n v="5800"/>
    <n v="34"/>
    <s v="Hight"/>
    <s v="Long-Term"/>
    <s v="Standart Client"/>
    <m/>
  </r>
  <r>
    <s v="Good"/>
    <x v="3"/>
    <s v="radio/television"/>
    <s v="No information"/>
    <s v="male "/>
    <s v=" single"/>
    <x v="0"/>
    <x v="0"/>
    <n v="18"/>
    <n v="1169"/>
    <n v="29"/>
    <s v="Low"/>
    <s v="Medium-Term"/>
    <s v="Standart Client"/>
    <m/>
  </r>
  <r>
    <s v="Good"/>
    <x v="3"/>
    <s v="car (used)"/>
    <s v="No information"/>
    <s v="male "/>
    <s v=" single"/>
    <x v="1"/>
    <x v="0"/>
    <n v="36"/>
    <n v="8947"/>
    <n v="31"/>
    <s v="Hight"/>
    <s v="Long-Term"/>
    <s v="VIP Client"/>
    <m/>
  </r>
  <r>
    <s v="Good"/>
    <x v="1"/>
    <s v="radio/television"/>
    <s v="Less 100"/>
    <s v="female "/>
    <s v=" divorced/separated/married"/>
    <x v="1"/>
    <x v="2"/>
    <n v="21"/>
    <n v="2606"/>
    <n v="28"/>
    <s v="Medium"/>
    <s v="Medium-Term"/>
    <s v="Standart Client"/>
    <m/>
  </r>
  <r>
    <s v="Good"/>
    <x v="3"/>
    <s v="furniture/equipment"/>
    <s v="More 1000"/>
    <s v="female "/>
    <s v=" divorced/separated/married"/>
    <x v="0"/>
    <x v="0"/>
    <n v="12"/>
    <n v="1592"/>
    <n v="35"/>
    <s v="Low"/>
    <s v="Medium-Term"/>
    <s v="Standart Client"/>
    <m/>
  </r>
  <r>
    <s v="Good"/>
    <x v="3"/>
    <s v="furniture/equipment"/>
    <s v="No information"/>
    <s v="female "/>
    <s v=" divorced/separated/married"/>
    <x v="2"/>
    <x v="2"/>
    <n v="15"/>
    <n v="2186"/>
    <n v="33"/>
    <s v="Medium"/>
    <s v="Medium-Term"/>
    <s v="Standart Client"/>
    <m/>
  </r>
  <r>
    <s v="Good"/>
    <x v="3"/>
    <s v="car (new)"/>
    <s v="No information"/>
    <s v="male "/>
    <s v=" divorced/separated"/>
    <x v="0"/>
    <x v="0"/>
    <n v="20"/>
    <n v="3485"/>
    <n v="44"/>
    <s v="Medium"/>
    <s v="Medium-Term"/>
    <s v="Standart Client"/>
    <m/>
  </r>
  <r>
    <s v="Good"/>
    <x v="3"/>
    <s v="car (used)"/>
    <s v="No information"/>
    <s v="male "/>
    <s v=" single"/>
    <x v="0"/>
    <x v="1"/>
    <n v="36"/>
    <n v="10477"/>
    <n v="42"/>
    <s v="Hight"/>
    <s v="Long-Term"/>
    <s v="VIP Client"/>
    <m/>
  </r>
  <r>
    <s v="Good"/>
    <x v="3"/>
    <s v="radio/television"/>
    <s v="No information"/>
    <s v="male "/>
    <s v=" married/widowed"/>
    <x v="0"/>
    <x v="2"/>
    <n v="15"/>
    <n v="1386"/>
    <n v="40"/>
    <s v="Low"/>
    <s v="Medium-Term"/>
    <s v="Standart Client"/>
    <m/>
  </r>
  <r>
    <s v="Good"/>
    <x v="3"/>
    <s v="radio/television"/>
    <s v="Less 100"/>
    <s v="male "/>
    <s v=" single"/>
    <x v="1"/>
    <x v="0"/>
    <n v="24"/>
    <n v="1278"/>
    <n v="36"/>
    <s v="Low"/>
    <s v="Medium-Term"/>
    <s v="Standart Client"/>
    <m/>
  </r>
  <r>
    <s v="Good"/>
    <x v="1"/>
    <s v="radio/television"/>
    <s v="Less 100"/>
    <s v="male "/>
    <s v=" single"/>
    <x v="1"/>
    <x v="2"/>
    <n v="12"/>
    <n v="1107"/>
    <n v="20"/>
    <s v="Low"/>
    <s v="Medium-Term"/>
    <s v="Standart Client"/>
    <m/>
  </r>
  <r>
    <s v="Good"/>
    <x v="1"/>
    <s v="car (new)"/>
    <s v="No information"/>
    <s v="male "/>
    <s v=" single"/>
    <x v="2"/>
    <x v="0"/>
    <n v="21"/>
    <n v="3763"/>
    <n v="24"/>
    <s v="Medium"/>
    <s v="Medium-Term"/>
    <s v="Standart Client"/>
    <m/>
  </r>
  <r>
    <s v="Good"/>
    <x v="0"/>
    <s v="education"/>
    <s v="No information"/>
    <s v="male "/>
    <s v=" married/widowed"/>
    <x v="0"/>
    <x v="0"/>
    <n v="36"/>
    <n v="3711"/>
    <n v="27"/>
    <s v="Medium"/>
    <s v="Long-Term"/>
    <s v="Standart Client"/>
    <m/>
  </r>
  <r>
    <s v="Good"/>
    <x v="3"/>
    <s v="car (used)"/>
    <s v="Less 100"/>
    <s v="female "/>
    <s v=" divorced/separated/married"/>
    <x v="2"/>
    <x v="0"/>
    <n v="15"/>
    <n v="3594"/>
    <n v="46"/>
    <s v="Medium"/>
    <s v="Medium-Term"/>
    <s v="Standart Client"/>
    <m/>
  </r>
  <r>
    <s v="Good"/>
    <x v="0"/>
    <s v="car (new)"/>
    <s v="No information"/>
    <s v="female "/>
    <s v=" divorced/separated/married"/>
    <x v="2"/>
    <x v="0"/>
    <n v="9"/>
    <n v="3195"/>
    <n v="33"/>
    <s v="Medium"/>
    <s v="Low-Term"/>
    <s v="Standart Client"/>
    <m/>
  </r>
  <r>
    <s v="Good"/>
    <x v="3"/>
    <s v="radio/television"/>
    <s v="Less 100"/>
    <s v="female "/>
    <s v=" divorced/separated/married"/>
    <x v="0"/>
    <x v="0"/>
    <n v="36"/>
    <n v="4454"/>
    <n v="34"/>
    <s v="Medium"/>
    <s v="Long-Term"/>
    <s v="Standart Client"/>
    <m/>
  </r>
  <r>
    <s v="Good"/>
    <x v="0"/>
    <s v="radio/television"/>
    <s v="No information"/>
    <s v="female "/>
    <s v=" divorced/separated/married"/>
    <x v="0"/>
    <x v="0"/>
    <n v="30"/>
    <n v="2991"/>
    <n v="25"/>
    <s v="Medium"/>
    <s v="Medium-Term"/>
    <s v="Standart Client"/>
    <m/>
  </r>
  <r>
    <s v="Good"/>
    <x v="3"/>
    <s v="business"/>
    <s v="More 1000"/>
    <s v="male "/>
    <s v=" divorced/separated"/>
    <x v="0"/>
    <x v="0"/>
    <n v="11"/>
    <n v="2142"/>
    <n v="28"/>
    <s v="Medium"/>
    <s v="Low-Term"/>
    <s v="Standart Client"/>
    <m/>
  </r>
  <r>
    <s v="Good"/>
    <x v="3"/>
    <s v="car (used)"/>
    <s v="Up to 500"/>
    <s v="male "/>
    <s v=" single"/>
    <x v="0"/>
    <x v="0"/>
    <n v="10"/>
    <n v="2848"/>
    <n v="32"/>
    <s v="Medium"/>
    <s v="Low-Term"/>
    <s v="Standart Client"/>
    <m/>
  </r>
  <r>
    <s v="Good"/>
    <x v="3"/>
    <s v="furniture/equipment"/>
    <s v="Less 100"/>
    <s v="female "/>
    <s v=" divorced/separated/married"/>
    <x v="0"/>
    <x v="0"/>
    <n v="18"/>
    <n v="1817"/>
    <n v="28"/>
    <s v="Low"/>
    <s v="Medium-Term"/>
    <s v="Standart Client"/>
    <m/>
  </r>
  <r>
    <s v="Good"/>
    <x v="3"/>
    <s v="radio/television"/>
    <s v="Up to 1000"/>
    <s v="male "/>
    <s v=" single"/>
    <x v="1"/>
    <x v="0"/>
    <n v="48"/>
    <n v="12749"/>
    <n v="37"/>
    <s v="Hight"/>
    <s v="Long-Term"/>
    <s v="VIP Client"/>
    <m/>
  </r>
  <r>
    <s v="Good"/>
    <x v="0"/>
    <s v="car (new)"/>
    <s v="Less 100"/>
    <s v="male "/>
    <s v=" single"/>
    <x v="0"/>
    <x v="2"/>
    <n v="12"/>
    <n v="2002"/>
    <n v="30"/>
    <s v="Medium"/>
    <s v="Medium-Term"/>
    <s v="Standart Client"/>
    <m/>
  </r>
  <r>
    <s v="Good"/>
    <x v="1"/>
    <s v="furniture/equipment"/>
    <s v="Less 100"/>
    <s v="female "/>
    <s v=" divorced/separated/married"/>
    <x v="0"/>
    <x v="2"/>
    <n v="18"/>
    <n v="1049"/>
    <n v="21"/>
    <s v="Low"/>
    <s v="Medium-Term"/>
    <s v="Standart Client"/>
    <m/>
  </r>
  <r>
    <s v="Good"/>
    <x v="3"/>
    <s v="radio/television"/>
    <s v="No information"/>
    <s v="male "/>
    <s v=" single"/>
    <x v="0"/>
    <x v="0"/>
    <n v="30"/>
    <n v="1867"/>
    <n v="58"/>
    <s v="Low"/>
    <s v="Medium-Term"/>
    <s v="Standart Client"/>
    <m/>
  </r>
  <r>
    <s v="Good"/>
    <x v="1"/>
    <s v="car (new)"/>
    <s v="Less 100"/>
    <s v="male "/>
    <s v=" single"/>
    <x v="2"/>
    <x v="0"/>
    <n v="12"/>
    <n v="1344"/>
    <n v="43"/>
    <s v="Low"/>
    <s v="Medium-Term"/>
    <s v="Standart Client"/>
    <m/>
  </r>
  <r>
    <s v="Good"/>
    <x v="1"/>
    <s v="furniture/equipment"/>
    <s v="Less 100"/>
    <s v="male "/>
    <s v=" single"/>
    <x v="2"/>
    <x v="0"/>
    <n v="24"/>
    <n v="1747"/>
    <n v="24"/>
    <s v="Low"/>
    <s v="Medium-Term"/>
    <s v="Standart Client"/>
    <m/>
  </r>
  <r>
    <s v="Good"/>
    <x v="3"/>
    <s v="car (new)"/>
    <s v="Less 100"/>
    <s v="male "/>
    <s v=" single"/>
    <x v="0"/>
    <x v="0"/>
    <n v="9"/>
    <n v="1224"/>
    <n v="30"/>
    <s v="Low"/>
    <s v="Low-Term"/>
    <s v="Standart Client"/>
    <m/>
  </r>
  <r>
    <s v="Good"/>
    <x v="3"/>
    <s v="radio/television"/>
    <s v="Up to 1000"/>
    <s v="male "/>
    <s v=" single"/>
    <x v="0"/>
    <x v="0"/>
    <n v="12"/>
    <n v="522"/>
    <n v="42"/>
    <s v="Low"/>
    <s v="Medium-Term"/>
    <s v="Standart Client"/>
    <m/>
  </r>
  <r>
    <s v="Good"/>
    <x v="1"/>
    <s v="radio/television"/>
    <s v="Less 100"/>
    <s v="female "/>
    <s v=" divorced/separated/married"/>
    <x v="0"/>
    <x v="0"/>
    <n v="12"/>
    <n v="1498"/>
    <n v="23"/>
    <s v="Low"/>
    <s v="Medium-Term"/>
    <s v="Standart Client"/>
    <m/>
  </r>
  <r>
    <s v="Good"/>
    <x v="0"/>
    <s v="radio/television"/>
    <s v="Less 100"/>
    <s v="male "/>
    <s v=" married/widowed"/>
    <x v="1"/>
    <x v="2"/>
    <n v="6"/>
    <n v="2063"/>
    <n v="30"/>
    <s v="Medium"/>
    <s v="Low-Term"/>
    <s v="Standart Client"/>
    <m/>
  </r>
  <r>
    <s v="Good"/>
    <x v="3"/>
    <s v="car (used)"/>
    <s v="No information"/>
    <s v="male "/>
    <s v=" single"/>
    <x v="1"/>
    <x v="0"/>
    <n v="24"/>
    <n v="6842"/>
    <n v="46"/>
    <s v="Hight"/>
    <s v="Medium-Term"/>
    <s v="Standart Client"/>
    <m/>
  </r>
  <r>
    <s v="Good"/>
    <x v="3"/>
    <s v="car (new)"/>
    <s v="No information"/>
    <s v="male "/>
    <s v=" single"/>
    <x v="1"/>
    <x v="0"/>
    <n v="12"/>
    <n v="3527"/>
    <n v="45"/>
    <s v="Medium"/>
    <s v="Medium-Term"/>
    <s v="Standart Client"/>
    <m/>
  </r>
  <r>
    <s v="Good"/>
    <x v="3"/>
    <s v="car (new)"/>
    <s v="Less 100"/>
    <s v="male "/>
    <s v=" single"/>
    <x v="2"/>
    <x v="0"/>
    <n v="10"/>
    <n v="1546"/>
    <n v="31"/>
    <s v="Low"/>
    <s v="Low-Term"/>
    <s v="Standart Client"/>
    <m/>
  </r>
  <r>
    <s v="Good"/>
    <x v="3"/>
    <s v="furniture/equipment"/>
    <s v="No information"/>
    <s v="male "/>
    <s v=" single"/>
    <x v="0"/>
    <x v="0"/>
    <n v="24"/>
    <n v="929"/>
    <n v="31"/>
    <s v="Low"/>
    <s v="Medium-Term"/>
    <s v="Standart Client"/>
    <m/>
  </r>
  <r>
    <s v="Good"/>
    <x v="3"/>
    <s v="car (new)"/>
    <s v="Less 100"/>
    <s v="male "/>
    <s v=" single"/>
    <x v="2"/>
    <x v="0"/>
    <n v="4"/>
    <n v="1455"/>
    <n v="42"/>
    <s v="Low"/>
    <s v="Low-Term"/>
    <s v="Standart Client"/>
    <m/>
  </r>
  <r>
    <s v="Good"/>
    <x v="1"/>
    <s v="furniture/equipment"/>
    <s v="Less 100"/>
    <s v="female "/>
    <s v=" divorced/separated/married"/>
    <x v="0"/>
    <x v="2"/>
    <n v="15"/>
    <n v="1845"/>
    <n v="46"/>
    <s v="Low"/>
    <s v="Medium-Term"/>
    <s v="Standart Client"/>
    <m/>
  </r>
  <r>
    <s v="Good"/>
    <x v="0"/>
    <s v="car (new)"/>
    <s v="Up to 1000"/>
    <s v="female "/>
    <s v=" divorced/separated/married"/>
    <x v="0"/>
    <x v="0"/>
    <n v="48"/>
    <n v="8358"/>
    <n v="30"/>
    <s v="Hight"/>
    <s v="Long-Term"/>
    <s v="VIP Client"/>
    <m/>
  </r>
  <r>
    <s v="Good"/>
    <x v="3"/>
    <s v="car (new)"/>
    <s v="No information"/>
    <s v="male "/>
    <s v=" single"/>
    <x v="1"/>
    <x v="0"/>
    <n v="12"/>
    <n v="2859"/>
    <n v="38"/>
    <s v="Medium"/>
    <s v="Medium-Term"/>
    <s v="Standart Client"/>
    <m/>
  </r>
  <r>
    <s v="Good"/>
    <x v="0"/>
    <s v="business"/>
    <s v="Less 100"/>
    <s v="male "/>
    <s v=" married/widowed"/>
    <x v="3"/>
    <x v="0"/>
    <n v="18"/>
    <n v="3590"/>
    <n v="40"/>
    <s v="Medium"/>
    <s v="Medium-Term"/>
    <s v="Standart Client"/>
    <m/>
  </r>
  <r>
    <s v="Good"/>
    <x v="1"/>
    <s v="car (new)"/>
    <s v="Less 100"/>
    <s v="female "/>
    <s v=" divorced/separated/married"/>
    <x v="0"/>
    <x v="0"/>
    <n v="12"/>
    <n v="1893"/>
    <n v="29"/>
    <s v="Low"/>
    <s v="Medium-Term"/>
    <s v="Standart Client"/>
    <m/>
  </r>
  <r>
    <s v="Good"/>
    <x v="1"/>
    <s v="radio/television"/>
    <s v="More 1000"/>
    <s v="female "/>
    <s v=" divorced/separated/married"/>
    <x v="1"/>
    <x v="2"/>
    <n v="24"/>
    <n v="1231"/>
    <n v="57"/>
    <s v="Low"/>
    <s v="Medium-Term"/>
    <s v="Standart Client"/>
    <m/>
  </r>
  <r>
    <s v="Good"/>
    <x v="2"/>
    <s v="radio/television"/>
    <s v="No information"/>
    <s v="male "/>
    <s v=" single"/>
    <x v="2"/>
    <x v="0"/>
    <n v="30"/>
    <n v="3656"/>
    <n v="49"/>
    <s v="Medium"/>
    <s v="Medium-Term"/>
    <s v="Standart Client"/>
    <m/>
  </r>
  <r>
    <s v="Good"/>
    <x v="0"/>
    <s v="radio/television"/>
    <s v="Less 100"/>
    <s v="male "/>
    <s v=" single"/>
    <x v="2"/>
    <x v="0"/>
    <n v="9"/>
    <n v="1154"/>
    <n v="37"/>
    <s v="Low"/>
    <s v="Low-Term"/>
    <s v="Standart Client"/>
    <m/>
  </r>
  <r>
    <s v="Good"/>
    <x v="0"/>
    <s v="furniture/equipment"/>
    <s v="Up to 500"/>
    <s v="male "/>
    <s v=" single"/>
    <x v="0"/>
    <x v="1"/>
    <n v="24"/>
    <n v="3069"/>
    <n v="30"/>
    <s v="Medium"/>
    <s v="Medium-Term"/>
    <s v="Standart Client"/>
    <m/>
  </r>
  <r>
    <s v="Good"/>
    <x v="3"/>
    <s v="radio/television"/>
    <s v="Less 100"/>
    <s v="male "/>
    <s v=" married/widowed"/>
    <x v="0"/>
    <x v="2"/>
    <n v="6"/>
    <n v="1740"/>
    <n v="30"/>
    <s v="Low"/>
    <s v="Low-Term"/>
    <s v="Standart Client"/>
    <m/>
  </r>
  <r>
    <s v="Good"/>
    <x v="0"/>
    <s v="car (new)"/>
    <s v="Less 100"/>
    <s v="male "/>
    <s v=" divorced/separated"/>
    <x v="0"/>
    <x v="0"/>
    <n v="21"/>
    <n v="2353"/>
    <n v="47"/>
    <s v="Medium"/>
    <s v="Medium-Term"/>
    <s v="Standart Client"/>
    <m/>
  </r>
  <r>
    <s v="Good"/>
    <x v="3"/>
    <s v="car (new)"/>
    <s v="No information"/>
    <s v="male "/>
    <s v=" single"/>
    <x v="0"/>
    <x v="0"/>
    <n v="15"/>
    <n v="3556"/>
    <n v="29"/>
    <s v="Medium"/>
    <s v="Medium-Term"/>
    <s v="Standart Client"/>
    <m/>
  </r>
  <r>
    <s v="Good"/>
    <x v="0"/>
    <s v="repairs"/>
    <s v="Less 100"/>
    <s v="male "/>
    <s v=" married/widowed"/>
    <x v="2"/>
    <x v="0"/>
    <n v="6"/>
    <n v="454"/>
    <n v="22"/>
    <s v="Low"/>
    <s v="Low-Term"/>
    <s v="Standart Client"/>
    <m/>
  </r>
  <r>
    <s v="Good"/>
    <x v="0"/>
    <s v="radio/television"/>
    <s v="No information"/>
    <s v="female "/>
    <s v=" divorced/separated/married"/>
    <x v="0"/>
    <x v="0"/>
    <n v="30"/>
    <n v="1715"/>
    <n v="26"/>
    <s v="Low"/>
    <s v="Medium-Term"/>
    <s v="Standart Client"/>
    <m/>
  </r>
  <r>
    <s v="Good"/>
    <x v="3"/>
    <s v="radio/television"/>
    <s v="Less 100"/>
    <s v="female "/>
    <s v=" divorced/separated/married"/>
    <x v="1"/>
    <x v="2"/>
    <n v="15"/>
    <n v="3568"/>
    <n v="54"/>
    <s v="Medium"/>
    <s v="Medium-Term"/>
    <s v="Standart Client"/>
    <m/>
  </r>
  <r>
    <s v="Good"/>
    <x v="3"/>
    <s v="radio/television"/>
    <s v="No information"/>
    <s v="male "/>
    <s v=" married/widowed"/>
    <x v="0"/>
    <x v="2"/>
    <n v="42"/>
    <n v="7166"/>
    <n v="29"/>
    <s v="Hight"/>
    <s v="Long-Term"/>
    <s v="VIP Client"/>
    <m/>
  </r>
  <r>
    <s v="Good"/>
    <x v="1"/>
    <s v="car (new)"/>
    <s v="Less 100"/>
    <s v="male "/>
    <s v=" single"/>
    <x v="2"/>
    <x v="0"/>
    <n v="11"/>
    <n v="3939"/>
    <n v="40"/>
    <s v="Medium"/>
    <s v="Low-Term"/>
    <s v="Standart Client"/>
    <m/>
  </r>
  <r>
    <s v="Good"/>
    <x v="0"/>
    <s v="repairs"/>
    <s v="Up to 500"/>
    <s v="male "/>
    <s v=" single"/>
    <x v="0"/>
    <x v="0"/>
    <n v="15"/>
    <n v="1514"/>
    <n v="22"/>
    <s v="Low"/>
    <s v="Medium-Term"/>
    <s v="Standart Client"/>
    <m/>
  </r>
  <r>
    <s v="Good"/>
    <x v="3"/>
    <s v="car (new)"/>
    <s v="Less 100"/>
    <s v="male "/>
    <s v=" single"/>
    <x v="2"/>
    <x v="0"/>
    <n v="24"/>
    <n v="7393"/>
    <n v="43"/>
    <s v="Hight"/>
    <s v="Medium-Term"/>
    <s v="VIP Client"/>
    <m/>
  </r>
  <r>
    <s v="Good"/>
    <x v="3"/>
    <s v="radio/television"/>
    <s v="Less 100"/>
    <s v="female "/>
    <s v=" divorced/separated/married"/>
    <x v="0"/>
    <x v="0"/>
    <n v="30"/>
    <n v="2831"/>
    <n v="33"/>
    <s v="Medium"/>
    <s v="Medium-Term"/>
    <s v="Standart Client"/>
    <m/>
  </r>
  <r>
    <s v="Good"/>
    <x v="2"/>
    <s v="radio/television"/>
    <s v="Up to 1000"/>
    <s v="female "/>
    <s v=" divorced/separated/married"/>
    <x v="2"/>
    <x v="0"/>
    <n v="24"/>
    <n v="1258"/>
    <n v="57"/>
    <s v="Low"/>
    <s v="Medium-Term"/>
    <s v="Standart Client"/>
    <m/>
  </r>
  <r>
    <s v="Good"/>
    <x v="0"/>
    <s v="radio/television"/>
    <s v="Less 100"/>
    <s v="female "/>
    <s v=" divorced/separated/married"/>
    <x v="0"/>
    <x v="0"/>
    <n v="6"/>
    <n v="753"/>
    <n v="64"/>
    <s v="Low"/>
    <s v="Low-Term"/>
    <s v="Standart Client"/>
    <m/>
  </r>
  <r>
    <s v="Good"/>
    <x v="0"/>
    <s v="business"/>
    <s v="No information"/>
    <s v="male "/>
    <s v=" single"/>
    <x v="0"/>
    <x v="0"/>
    <n v="18"/>
    <n v="2427"/>
    <n v="42"/>
    <s v="Medium"/>
    <s v="Medium-Term"/>
    <s v="Standart Client"/>
    <m/>
  </r>
  <r>
    <s v="Good"/>
    <x v="2"/>
    <s v="car (new)"/>
    <s v="Up to 500"/>
    <s v="female "/>
    <s v=" divorced/separated/married"/>
    <x v="1"/>
    <x v="0"/>
    <n v="21"/>
    <n v="2923"/>
    <n v="28"/>
    <s v="Medium"/>
    <s v="Medium-Term"/>
    <s v="Standart Client"/>
    <m/>
  </r>
  <r>
    <s v="Good"/>
    <x v="3"/>
    <s v="furniture/equipment"/>
    <s v="Less 100"/>
    <s v="male "/>
    <s v=" single"/>
    <x v="2"/>
    <x v="0"/>
    <n v="24"/>
    <n v="2028"/>
    <n v="30"/>
    <s v="Medium"/>
    <s v="Medium-Term"/>
    <s v="Standart Client"/>
    <m/>
  </r>
  <r>
    <s v="Good"/>
    <x v="1"/>
    <s v="furniture/equipment"/>
    <s v="Less 100"/>
    <s v="female "/>
    <s v=" divorced/separated/married"/>
    <x v="0"/>
    <x v="2"/>
    <n v="15"/>
    <n v="1433"/>
    <n v="25"/>
    <s v="Low"/>
    <s v="Medium-Term"/>
    <s v="Standart Client"/>
    <m/>
  </r>
  <r>
    <s v="Good"/>
    <x v="2"/>
    <s v="business"/>
    <s v="Less 100"/>
    <s v="male "/>
    <s v=" divorced/separated"/>
    <x v="0"/>
    <x v="0"/>
    <n v="42"/>
    <n v="6289"/>
    <n v="33"/>
    <s v="Hight"/>
    <s v="Long-Term"/>
    <s v="Standart Client"/>
    <m/>
  </r>
  <r>
    <s v="Good"/>
    <x v="3"/>
    <s v="radio/television"/>
    <s v="Up to 500"/>
    <s v="female "/>
    <s v=" divorced/separated/married"/>
    <x v="0"/>
    <x v="0"/>
    <n v="13"/>
    <n v="1409"/>
    <n v="64"/>
    <s v="Low"/>
    <s v="Medium-Term"/>
    <s v="Standart Client"/>
    <m/>
  </r>
  <r>
    <s v="Good"/>
    <x v="1"/>
    <s v="car (used)"/>
    <s v="Less 100"/>
    <s v="male "/>
    <s v=" single"/>
    <x v="1"/>
    <x v="1"/>
    <n v="24"/>
    <n v="6579"/>
    <n v="29"/>
    <s v="Hight"/>
    <s v="Medium-Term"/>
    <s v="Standart Client"/>
    <m/>
  </r>
  <r>
    <s v="Good"/>
    <x v="0"/>
    <s v="radio/television"/>
    <s v="Less 100"/>
    <s v="male "/>
    <s v=" single"/>
    <x v="2"/>
    <x v="0"/>
    <n v="24"/>
    <n v="1743"/>
    <n v="48"/>
    <s v="Low"/>
    <s v="Medium-Term"/>
    <s v="Standart Client"/>
    <m/>
  </r>
  <r>
    <s v="Good"/>
    <x v="3"/>
    <s v="education"/>
    <s v="No information"/>
    <s v="male "/>
    <s v=" single"/>
    <x v="2"/>
    <x v="0"/>
    <n v="12"/>
    <n v="3565"/>
    <n v="37"/>
    <s v="Medium"/>
    <s v="Medium-Term"/>
    <s v="Standart Client"/>
    <m/>
  </r>
  <r>
    <s v="Good"/>
    <x v="3"/>
    <s v="radio/television"/>
    <s v="Up to 500"/>
    <s v="male "/>
    <s v=" single"/>
    <x v="2"/>
    <x v="0"/>
    <n v="15"/>
    <n v="1569"/>
    <n v="34"/>
    <s v="Low"/>
    <s v="Medium-Term"/>
    <s v="Standart Client"/>
    <m/>
  </r>
  <r>
    <s v="Good"/>
    <x v="1"/>
    <s v="radio/television"/>
    <s v="No information"/>
    <s v="male "/>
    <s v=" married/widowed"/>
    <x v="2"/>
    <x v="2"/>
    <n v="18"/>
    <n v="1936"/>
    <n v="23"/>
    <s v="Low"/>
    <s v="Medium-Term"/>
    <s v="Standart Client"/>
    <m/>
  </r>
  <r>
    <s v="Good"/>
    <x v="1"/>
    <s v="furniture/equipment"/>
    <s v="Less 100"/>
    <s v="male "/>
    <s v=" single"/>
    <x v="1"/>
    <x v="0"/>
    <n v="36"/>
    <n v="3959"/>
    <n v="30"/>
    <s v="Medium"/>
    <s v="Long-Term"/>
    <s v="Standart Client"/>
    <m/>
  </r>
  <r>
    <s v="Good"/>
    <x v="3"/>
    <s v="car (new)"/>
    <s v="No information"/>
    <s v="male "/>
    <s v=" single"/>
    <x v="0"/>
    <x v="0"/>
    <n v="12"/>
    <n v="2390"/>
    <n v="50"/>
    <s v="Medium"/>
    <s v="Medium-Term"/>
    <s v="Standart Client"/>
    <m/>
  </r>
  <r>
    <s v="Good"/>
    <x v="3"/>
    <s v="furniture/equipment"/>
    <s v="Less 100"/>
    <s v="female "/>
    <s v=" divorced/separated/married"/>
    <x v="2"/>
    <x v="0"/>
    <n v="12"/>
    <n v="1736"/>
    <n v="31"/>
    <s v="Low"/>
    <s v="Medium-Term"/>
    <s v="Standart Client"/>
    <m/>
  </r>
  <r>
    <s v="Good"/>
    <x v="1"/>
    <s v="car (used)"/>
    <s v="Less 100"/>
    <s v="male "/>
    <s v=" divorced/separated"/>
    <x v="1"/>
    <x v="0"/>
    <n v="30"/>
    <n v="3857"/>
    <n v="40"/>
    <s v="Medium"/>
    <s v="Medium-Term"/>
    <s v="Standart Client"/>
    <m/>
  </r>
  <r>
    <s v="Good"/>
    <x v="3"/>
    <s v="radio/television"/>
    <s v="Less 100"/>
    <s v="male "/>
    <s v=" single"/>
    <x v="0"/>
    <x v="0"/>
    <n v="12"/>
    <n v="804"/>
    <n v="38"/>
    <s v="Low"/>
    <s v="Medium-Term"/>
    <s v="Standart Client"/>
    <m/>
  </r>
  <r>
    <s v="Good"/>
    <x v="0"/>
    <s v="car (used)"/>
    <s v="Up to 500"/>
    <s v="male "/>
    <s v=" single"/>
    <x v="0"/>
    <x v="0"/>
    <n v="45"/>
    <n v="4576"/>
    <n v="27"/>
    <s v="Medium"/>
    <s v="Long-Term"/>
    <s v="Standart Client"/>
    <m/>
  </r>
  <r>
    <m/>
    <x v="4"/>
    <m/>
    <m/>
    <m/>
    <m/>
    <x v="4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4081A-67B2-4861-9B65-9C6728A32745}" name="Зведена таблиця1" cacheId="0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1" rowHeaderCaption="Purpose">
  <location ref="A3:B14" firstHeaderRow="1" firstDataRow="1" firstDataCol="1" rowPageCount="1" colPageCount="1"/>
  <pivotFields count="12">
    <pivotField showAll="0"/>
    <pivotField showAll="0"/>
    <pivotField axis="axisRow" showAll="0">
      <items count="11">
        <item x="5"/>
        <item x="3"/>
        <item x="4"/>
        <item x="6"/>
        <item x="1"/>
        <item x="2"/>
        <item x="8"/>
        <item x="0"/>
        <item x="7"/>
        <item x="9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item="1" hier="-1"/>
  </pageFields>
  <dataFields count="1">
    <dataField name="AVG Loan Amount " fld="9" subtotal="average" baseField="2" baseItem="0" numFmtId="164"/>
  </dataFields>
  <formats count="2">
    <format dxfId="1">
      <pivotArea field="2" type="button" dataOnly="0" labelOnly="1" outline="0" axis="axisRow" fieldPosition="0"/>
    </format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E4FBA-A996-4087-BEDE-DFDB1E2C610F}" name="Зведена таблиця7" cacheId="1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G3:J30" firstHeaderRow="0" firstDataRow="1" firstDataCol="1" rowPageCount="1" colPageCount="1"/>
  <pivotFields count="14">
    <pivotField showAll="0"/>
    <pivotField showAll="0"/>
    <pivotField axis="axisRow" showAll="0">
      <items count="12">
        <item x="5"/>
        <item x="3"/>
        <item x="4"/>
        <item x="6"/>
        <item x="1"/>
        <item x="2"/>
        <item x="8"/>
        <item x="0"/>
        <item x="7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Page"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5">
        <item x="1"/>
        <item x="0"/>
        <item x="2"/>
        <item h="1" x="3"/>
        <item t="default"/>
      </items>
    </pivotField>
  </pivotFields>
  <rowFields count="2">
    <field x="13"/>
    <field x="2"/>
  </rowFields>
  <rowItems count="27"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item="0" hier="-1"/>
  </pageFields>
  <dataFields count="3">
    <dataField name="AVG Amount" fld="9" subtotal="average" baseField="2" baseItem="6"/>
    <dataField name="AVG Duration" fld="8" subtotal="average" baseField="2" baseItem="6" numFmtId="1"/>
    <dataField name="AVG Age" fld="10" subtotal="average" baseField="2" baseItem="6" numFmtId="1"/>
  </dataFields>
  <formats count="3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3DDD5-2028-4F38-B958-FBB542697194}" name="Зведена таблиця3" cacheId="2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rowHeaderCaption="Status Name">
  <location ref="D4:E9" firstHeaderRow="1" firstDataRow="1" firstDataCol="1" rowPageCount="2" colPageCount="1"/>
  <pivotFields count="16">
    <pivotField showAll="0"/>
    <pivotField axis="axisRow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axis="axisPage" showAll="0">
      <items count="6">
        <item x="1"/>
        <item x="0"/>
        <item x="3"/>
        <item x="2"/>
        <item x="4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6" item="3" hier="-1"/>
    <pageField fld="7" item="2" hier="-1"/>
  </pageFields>
  <dataFields count="1">
    <dataField name="SUM Defolt%" fld="1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08ED0D-44A1-4D85-89BA-9CF478E60605}" autoFormatId="16" applyNumberFormats="0" applyBorderFormats="0" applyFontFormats="0" applyPatternFormats="0" applyAlignmentFormats="0" applyWidthHeightFormats="0">
  <queryTableRefresh nextId="23">
    <queryTableFields count="21">
      <queryTableField id="1" name="Status" tableColumnId="1"/>
      <queryTableField id="2" name="Duration" tableColumnId="2"/>
      <queryTableField id="3" name="CreditHistory" tableColumnId="3"/>
      <queryTableField id="4" name="Purpose" tableColumnId="4"/>
      <queryTableField id="5" name="Amount" tableColumnId="5"/>
      <queryTableField id="6" name="Savings" tableColumnId="6"/>
      <queryTableField id="7" name="Employment" tableColumnId="7"/>
      <queryTableField id="8" name="InstallmentRate" tableColumnId="8"/>
      <queryTableField id="9" name="PersonalStatus" tableColumnId="9"/>
      <queryTableField id="10" name="OtherDebtors" tableColumnId="10"/>
      <queryTableField id="11" name="ResidenceTime" tableColumnId="11"/>
      <queryTableField id="12" name="Property" tableColumnId="12"/>
      <queryTableField id="13" name="Age" tableColumnId="13"/>
      <queryTableField id="14" name="OtherInstallmentPlans" tableColumnId="14"/>
      <queryTableField id="15" name="Housing" tableColumnId="15"/>
      <queryTableField id="16" name="ExistingCredits" tableColumnId="16"/>
      <queryTableField id="17" name="Job" tableColumnId="17"/>
      <queryTableField id="18" name="Dependents" tableColumnId="18"/>
      <queryTableField id="19" name="Telephone" tableColumnId="19"/>
      <queryTableField id="20" name="ForeignWorker" tableColumnId="20"/>
      <queryTableField id="21" name="CreditRisk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A73737-EE4D-4222-843B-692AE39CCB9F}" autoFormatId="16" applyNumberFormats="0" applyBorderFormats="0" applyFontFormats="0" applyPatternFormats="0" applyAlignmentFormats="0" applyWidthHeightFormats="0">
  <queryTableRefresh nextId="28" unboundColumnsRight="6">
    <queryTableFields count="27">
      <queryTableField id="1" name="Status" tableColumnId="1"/>
      <queryTableField id="2" name="Duration" tableColumnId="2"/>
      <queryTableField id="3" name="CreditHistory" tableColumnId="3"/>
      <queryTableField id="4" name="Purpose" tableColumnId="4"/>
      <queryTableField id="5" name="Amount" tableColumnId="5"/>
      <queryTableField id="6" name="Savings" tableColumnId="6"/>
      <queryTableField id="7" name="Employment" tableColumnId="7"/>
      <queryTableField id="8" name="InstallmentRate" tableColumnId="8"/>
      <queryTableField id="9" name="PersonalStatus" tableColumnId="9"/>
      <queryTableField id="10" name="OtherDebtors" tableColumnId="10"/>
      <queryTableField id="11" name="ResidenceTime" tableColumnId="11"/>
      <queryTableField id="12" name="Property" tableColumnId="12"/>
      <queryTableField id="13" name="Age" tableColumnId="13"/>
      <queryTableField id="14" name="OtherInstallmentPlans" tableColumnId="14"/>
      <queryTableField id="15" name="Housing" tableColumnId="15"/>
      <queryTableField id="16" name="ExistingCredits" tableColumnId="16"/>
      <queryTableField id="17" name="Job" tableColumnId="17"/>
      <queryTableField id="18" name="Dependents" tableColumnId="18"/>
      <queryTableField id="19" name="Telephone" tableColumnId="19"/>
      <queryTableField id="20" name="ForeignWorker" tableColumnId="20"/>
      <queryTableField id="21" name="CreditRisk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A759B-ADC9-461C-AFD2-91BA38D34BB0}" name="german_credit_cleaned" displayName="german_credit_cleaned" ref="A1:U1001" tableType="queryTable" totalsRowShown="0">
  <autoFilter ref="A1:U1001" xr:uid="{50FA759B-ADC9-461C-AFD2-91BA38D34BB0}"/>
  <tableColumns count="21">
    <tableColumn id="1" xr3:uid="{7E6F9F5E-DF7F-49CA-95FC-D26549D4CBE2}" uniqueName="1" name="Status" queryTableFieldId="1" dataDxfId="41"/>
    <tableColumn id="2" xr3:uid="{2D011E0D-F781-4220-8D10-E66C41BB38CD}" uniqueName="2" name="Duration" queryTableFieldId="2"/>
    <tableColumn id="3" xr3:uid="{77548B96-8807-4CF6-9C05-CF7FAA20C1FE}" uniqueName="3" name="CreditHistory" queryTableFieldId="3" dataDxfId="40"/>
    <tableColumn id="4" xr3:uid="{3D070AC4-CB88-4AB9-AE72-28B2BDE6945F}" uniqueName="4" name="Purpose" queryTableFieldId="4" dataDxfId="39"/>
    <tableColumn id="5" xr3:uid="{384D82AC-217B-4CF6-B983-2CC2D6BBA500}" uniqueName="5" name="Amount" queryTableFieldId="5"/>
    <tableColumn id="6" xr3:uid="{59D38045-C4EE-4DD3-A1CA-92DCB8F7DBA8}" uniqueName="6" name="Savings" queryTableFieldId="6" dataDxfId="38"/>
    <tableColumn id="7" xr3:uid="{811D2A54-E5AF-489C-85BB-697E982D48DE}" uniqueName="7" name="Employment" queryTableFieldId="7" dataDxfId="37"/>
    <tableColumn id="8" xr3:uid="{3046DF97-4E24-4593-80FB-183F6FBFC7BA}" uniqueName="8" name="InstallmentRate" queryTableFieldId="8"/>
    <tableColumn id="9" xr3:uid="{BE07A71E-8155-4760-8DE9-4161ABDBF4B0}" uniqueName="9" name="PersonalStatus" queryTableFieldId="9" dataDxfId="36"/>
    <tableColumn id="10" xr3:uid="{64B205AE-575E-4F25-B2DB-3570839AA1CA}" uniqueName="10" name="OtherDebtors" queryTableFieldId="10" dataDxfId="35"/>
    <tableColumn id="11" xr3:uid="{2D90BC5D-6CCE-4A56-8F4F-F1EA08857E57}" uniqueName="11" name="ResidenceTime" queryTableFieldId="11"/>
    <tableColumn id="12" xr3:uid="{D47AB1C8-D26B-48EF-AB3A-C637A14112CE}" uniqueName="12" name="Property" queryTableFieldId="12" dataDxfId="34"/>
    <tableColumn id="13" xr3:uid="{BC574D5F-71D8-47A9-8F11-73E4A6A91853}" uniqueName="13" name="Age" queryTableFieldId="13"/>
    <tableColumn id="14" xr3:uid="{E0D74C3C-3835-40BC-BCC6-6C9AD756B9D0}" uniqueName="14" name="OtherInstallmentPlans" queryTableFieldId="14" dataDxfId="33"/>
    <tableColumn id="15" xr3:uid="{5A95CA7D-CC8B-4FA7-985C-183BFEBB446D}" uniqueName="15" name="Housing" queryTableFieldId="15" dataDxfId="32"/>
    <tableColumn id="16" xr3:uid="{F3CA37AC-263A-4B92-A0CA-2161A098BF82}" uniqueName="16" name="ExistingCredits" queryTableFieldId="16"/>
    <tableColumn id="17" xr3:uid="{6F614065-A486-4F09-AA4C-5E2AADFB5663}" uniqueName="17" name="Job" queryTableFieldId="17" dataDxfId="31"/>
    <tableColumn id="18" xr3:uid="{63A6DA34-A6AE-4F38-A01C-3C1D15485C73}" uniqueName="18" name="Dependents" queryTableFieldId="18"/>
    <tableColumn id="19" xr3:uid="{E1B3BB79-9E48-41F7-880B-7379677BEBEC}" uniqueName="19" name="Telephone" queryTableFieldId="19" dataDxfId="30"/>
    <tableColumn id="20" xr3:uid="{525D3CA5-57FB-4708-8736-0F4F4ABA2422}" uniqueName="20" name="ForeignWorker" queryTableFieldId="20" dataDxfId="29"/>
    <tableColumn id="21" xr3:uid="{79D0BA73-1825-4789-85E8-190C0856CFF0}" uniqueName="21" name="CreditRisk" queryTableFieldId="21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4A7D8-8B17-46DA-BC81-06069E62F262}" name="german_credit_cleaned3" displayName="german_credit_cleaned3" ref="A1:AA1001" tableType="queryTable" totalsRowShown="0">
  <autoFilter ref="A1:AA1001" xr:uid="{D144A7D8-8B17-46DA-BC81-06069E62F262}"/>
  <tableColumns count="27">
    <tableColumn id="1" xr3:uid="{848855D5-8E0F-4F24-AE4B-AFCBE98270BF}" uniqueName="1" name="Status" queryTableFieldId="1" dataDxfId="27"/>
    <tableColumn id="2" xr3:uid="{115FCFB4-CE6C-4CB0-B94D-48AB3BACE732}" uniqueName="2" name="Duration" queryTableFieldId="2"/>
    <tableColumn id="3" xr3:uid="{67076274-A8AB-4737-BC50-3088B2733010}" uniqueName="3" name="CreditHistory" queryTableFieldId="3" dataDxfId="26"/>
    <tableColumn id="4" xr3:uid="{6D6E9FF5-7DF8-4A79-B329-5F6540E8E65A}" uniqueName="4" name="Purpose" queryTableFieldId="4" dataDxfId="25"/>
    <tableColumn id="5" xr3:uid="{FF2D53F3-CE6E-43B1-9894-6D78258F5F48}" uniqueName="5" name="Amount" queryTableFieldId="5"/>
    <tableColumn id="6" xr3:uid="{E83F578A-9E99-44E5-973D-A8D056506793}" uniqueName="6" name="Savings" queryTableFieldId="6" dataDxfId="24"/>
    <tableColumn id="7" xr3:uid="{7EF20779-0491-4277-B422-9612C1EF8617}" uniqueName="7" name="Employment" queryTableFieldId="7" dataDxfId="23"/>
    <tableColumn id="8" xr3:uid="{DDEB1DAC-E2A1-4E9D-AF95-8F82754FEB77}" uniqueName="8" name="InstallmentRate" queryTableFieldId="8"/>
    <tableColumn id="9" xr3:uid="{5F4E1613-CFAC-48F7-9206-F809EC1EE490}" uniqueName="9" name="PersonalStatus" queryTableFieldId="9" dataDxfId="22"/>
    <tableColumn id="10" xr3:uid="{00A897A8-5390-4AE1-9D06-2E74795ACB2B}" uniqueName="10" name="OtherDebtors" queryTableFieldId="10" dataDxfId="21"/>
    <tableColumn id="11" xr3:uid="{A925A55E-9F4A-4A62-8C72-C2DF9749DCEC}" uniqueName="11" name="ResidenceTime" queryTableFieldId="11"/>
    <tableColumn id="12" xr3:uid="{504D90AF-BC9A-4B71-8510-1C74B611C378}" uniqueName="12" name="Property" queryTableFieldId="12" dataDxfId="20"/>
    <tableColumn id="13" xr3:uid="{CC1D29DF-ECB0-4ACD-8D92-73C8780BB99A}" uniqueName="13" name="Age" queryTableFieldId="13"/>
    <tableColumn id="14" xr3:uid="{0D771134-53E1-4CCB-B1E9-4F3AE4B2E286}" uniqueName="14" name="OtherInstallmentPlans" queryTableFieldId="14" dataDxfId="19"/>
    <tableColumn id="15" xr3:uid="{5C92D22F-651C-41E0-A75B-B81F9CF1A6F2}" uniqueName="15" name="Housing" queryTableFieldId="15" dataDxfId="18"/>
    <tableColumn id="16" xr3:uid="{756C8339-EAD0-4703-B49B-DEC63D9EAA1B}" uniqueName="16" name="ExistingCredits" queryTableFieldId="16"/>
    <tableColumn id="17" xr3:uid="{245F7E57-E4A0-4692-BDBC-07AD082E5928}" uniqueName="17" name="Job" queryTableFieldId="17" dataDxfId="17"/>
    <tableColumn id="18" xr3:uid="{7A13087C-450C-4FA5-83CE-E3E605D438E6}" uniqueName="18" name="Dependents" queryTableFieldId="18"/>
    <tableColumn id="19" xr3:uid="{8D326467-E332-4350-AC5D-DD222B11BE33}" uniqueName="19" name="Telephone" queryTableFieldId="19" dataDxfId="16"/>
    <tableColumn id="20" xr3:uid="{07670241-D62E-42A2-AABD-54765C698E47}" uniqueName="20" name="ForeignWorker" queryTableFieldId="20" dataDxfId="15"/>
    <tableColumn id="21" xr3:uid="{8777F274-79BF-472A-B58C-C46B3084DBCE}" uniqueName="21" name="CreditRisk" queryTableFieldId="21" dataDxfId="14"/>
    <tableColumn id="22" xr3:uid="{1D61D9A2-4A35-4C07-B059-EAE8EAD5C33A}" uniqueName="22" name="StatusName" queryTableFieldId="22" dataDxfId="13">
      <calculatedColumnFormula>_xlfn.XLOOKUP(A2,Dictonary!$A$2:$A$5,Dictonary!$B$2:$B$5)</calculatedColumnFormula>
    </tableColumn>
    <tableColumn id="23" xr3:uid="{FFAFA1EA-0C75-4490-BAEC-4FD9FB4D8B76}" uniqueName="23" name="PurposeName" queryTableFieldId="23" dataDxfId="12">
      <calculatedColumnFormula>_xlfn.XLOOKUP(D2,Dictonary!$D$2:$D$12,Dictonary!$E$2:$E$12)</calculatedColumnFormula>
    </tableColumn>
    <tableColumn id="24" xr3:uid="{E983705C-F08C-47DA-858F-90C053AF4F60}" uniqueName="24" name="SavingsName" queryTableFieldId="24" dataDxfId="11">
      <calculatedColumnFormula>_xlfn.XLOOKUP(F2,Dictonary!$G$2:$G$6,Dictonary!$H$2:$H$6)</calculatedColumnFormula>
    </tableColumn>
    <tableColumn id="25" xr3:uid="{3C26D96B-FA03-49A6-A235-6D8BC8D4CB3A}" uniqueName="25" name="PersonalSatusName" queryTableFieldId="25" dataDxfId="10">
      <calculatedColumnFormula>_xlfn.XLOOKUP(I2,Dictonary!$J$2:$J$6,Dictonary!$K$2:$K$6)</calculatedColumnFormula>
    </tableColumn>
    <tableColumn id="26" xr3:uid="{0693A507-8683-4879-9A48-CDB1DEA6A8AF}" uniqueName="26" name="JobName" queryTableFieldId="26" dataDxfId="9">
      <calculatedColumnFormula>_xlfn.XLOOKUP(Q2,Dictonary!$M$2:$M$5,Dictonary!$N$2:$N$5)</calculatedColumnFormula>
    </tableColumn>
    <tableColumn id="27" xr3:uid="{2B9E981F-1C5B-408C-8231-DF419BD16A6A}" uniqueName="27" name="HousingName" queryTableFieldId="27" dataDxfId="8">
      <calculatedColumnFormula>_xlfn.XLOOKUP(O2,Dictonary!$P$2:$P$4,Dictonary!$Q$2:$Q$4)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5689A1-76EE-4106-B9E5-712C5AA4E312}" name="Таблиця3" displayName="Таблиця3" ref="A1:O1001" totalsRowShown="0">
  <autoFilter ref="A1:O1001" xr:uid="{675689A1-76EE-4106-B9E5-712C5AA4E312}"/>
  <sortState xmlns:xlrd2="http://schemas.microsoft.com/office/spreadsheetml/2017/richdata2" ref="A2:N1001">
    <sortCondition ref="A1:A1001"/>
  </sortState>
  <tableColumns count="15">
    <tableColumn id="1" xr3:uid="{E601A2F1-1907-4F83-8428-0BCFA3F07FA6}" name="CreditRisk"/>
    <tableColumn id="2" xr3:uid="{946BD8BB-6C50-471B-B76D-214941058F3E}" name="StatusName"/>
    <tableColumn id="3" xr3:uid="{A493E9DE-D559-4869-942A-BB0F44C0DC91}" name="PurposeName"/>
    <tableColumn id="4" xr3:uid="{698D6B73-E98C-4FDA-8879-774FC84BA8D2}" name="SavingsName"/>
    <tableColumn id="5" xr3:uid="{806CD026-8FF7-46DF-9FC6-2F8344EC9CAB}" name="PersonalSatusName"/>
    <tableColumn id="11" xr3:uid="{D7F200FB-22F1-4F0D-8597-B0630DCC6BF4}" name="FamilyStatus"/>
    <tableColumn id="6" xr3:uid="{7B17CC4C-11F8-41C7-AB47-1787664ED506}" name="JobName"/>
    <tableColumn id="7" xr3:uid="{7859C379-0F75-429C-99C0-96A1208BC6D1}" name="HousingName"/>
    <tableColumn id="8" xr3:uid="{A95302CF-BBA6-49A6-9F12-AEEBA6975079}" name="Duration"/>
    <tableColumn id="9" xr3:uid="{F3E20975-0744-447A-B9B4-F5B8773830A3}" name="Amount" dataDxfId="5"/>
    <tableColumn id="10" xr3:uid="{0F7962EB-14BF-42B2-BB94-956C276B74D1}" name="Age"/>
    <tableColumn id="12" xr3:uid="{EB19E17F-1B2C-488C-AACC-D8644AE6EA16}" name="AmountCategory">
      <calculatedColumnFormula array="1">_xlfn.IFS(J2&gt;5000,"Hight",J2&gt;2000,"Medium",TRUE,"Low")</calculatedColumnFormula>
    </tableColumn>
    <tableColumn id="13" xr3:uid="{D2033BA9-6991-4DA7-8A71-8D5A4D15B0E6}" name="TermType">
      <calculatedColumnFormula array="1">_xlfn.IFS(I2&lt;12,"Low-Term",I2&gt;=36,"Long-Term",TRUE,"Medium-Term")</calculatedColumnFormula>
    </tableColumn>
    <tableColumn id="14" xr3:uid="{41115273-4188-4A33-A400-B16A13B38B00}" name="ClientPriority">
      <calculatedColumnFormula array="1">_xlfn.IFS(A2="Bad", "Review Required", AND(A2="Good",J2&gt;7000),"VIP Client", AND(A2="Good", J2&lt;=7000),"Standart Client")</calculatedColumnFormula>
    </tableColumn>
    <tableColumn id="15" xr3:uid="{00F0B359-6D1B-4676-B199-4AE82C4DB3C4}" name="AmountDefo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E293-ED1F-45BC-BA07-D9A5F5A4B57F}">
  <dimension ref="A1:U1001"/>
  <sheetViews>
    <sheetView workbookViewId="0">
      <selection activeCell="W10" sqref="W10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109375" bestFit="1" customWidth="1"/>
    <col min="4" max="5" width="10.109375" bestFit="1" customWidth="1"/>
    <col min="6" max="6" width="9.5546875" bestFit="1" customWidth="1"/>
    <col min="7" max="7" width="14" bestFit="1" customWidth="1"/>
    <col min="8" max="8" width="16.5546875" bestFit="1" customWidth="1"/>
    <col min="9" max="9" width="15.77734375" bestFit="1" customWidth="1"/>
    <col min="10" max="10" width="14.5546875" bestFit="1" customWidth="1"/>
    <col min="11" max="11" width="15.88671875" bestFit="1" customWidth="1"/>
    <col min="12" max="12" width="10.5546875" bestFit="1" customWidth="1"/>
    <col min="13" max="13" width="6.44140625" bestFit="1" customWidth="1"/>
    <col min="14" max="14" width="22.109375" bestFit="1" customWidth="1"/>
    <col min="15" max="15" width="10" bestFit="1" customWidth="1"/>
    <col min="16" max="16" width="15.44140625" bestFit="1" customWidth="1"/>
    <col min="17" max="17" width="6.109375" bestFit="1" customWidth="1"/>
    <col min="18" max="18" width="13.33203125" bestFit="1" customWidth="1"/>
    <col min="19" max="19" width="12.109375" bestFit="1" customWidth="1"/>
    <col min="20" max="20" width="15.77734375" bestFit="1" customWidth="1"/>
    <col min="21" max="21" width="11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>
        <v>6</v>
      </c>
      <c r="C2" s="1" t="s">
        <v>22</v>
      </c>
      <c r="D2" s="1" t="s">
        <v>23</v>
      </c>
      <c r="E2">
        <v>1169</v>
      </c>
      <c r="F2" s="1" t="s">
        <v>24</v>
      </c>
      <c r="G2" s="1" t="s">
        <v>25</v>
      </c>
      <c r="H2">
        <v>4</v>
      </c>
      <c r="I2" s="1" t="s">
        <v>26</v>
      </c>
      <c r="J2" s="1" t="s">
        <v>27</v>
      </c>
      <c r="K2">
        <v>4</v>
      </c>
      <c r="L2" s="1" t="s">
        <v>28</v>
      </c>
      <c r="M2">
        <v>67</v>
      </c>
      <c r="N2" s="1" t="s">
        <v>29</v>
      </c>
      <c r="O2" s="1" t="s">
        <v>30</v>
      </c>
      <c r="P2">
        <v>2</v>
      </c>
      <c r="Q2" s="1" t="s">
        <v>31</v>
      </c>
      <c r="R2">
        <v>1</v>
      </c>
      <c r="S2" s="1" t="s">
        <v>32</v>
      </c>
      <c r="T2" s="1" t="s">
        <v>33</v>
      </c>
      <c r="U2" s="1" t="s">
        <v>34</v>
      </c>
    </row>
    <row r="3" spans="1:21" x14ac:dyDescent="0.3">
      <c r="A3" s="1" t="s">
        <v>35</v>
      </c>
      <c r="B3">
        <v>48</v>
      </c>
      <c r="C3" s="1" t="s">
        <v>36</v>
      </c>
      <c r="D3" s="1" t="s">
        <v>23</v>
      </c>
      <c r="E3">
        <v>5951</v>
      </c>
      <c r="F3" s="1" t="s">
        <v>37</v>
      </c>
      <c r="G3" s="1" t="s">
        <v>38</v>
      </c>
      <c r="H3">
        <v>2</v>
      </c>
      <c r="I3" s="1" t="s">
        <v>39</v>
      </c>
      <c r="J3" s="1" t="s">
        <v>27</v>
      </c>
      <c r="K3">
        <v>2</v>
      </c>
      <c r="L3" s="1" t="s">
        <v>28</v>
      </c>
      <c r="M3">
        <v>22</v>
      </c>
      <c r="N3" s="1" t="s">
        <v>29</v>
      </c>
      <c r="O3" s="1" t="s">
        <v>30</v>
      </c>
      <c r="P3">
        <v>1</v>
      </c>
      <c r="Q3" s="1" t="s">
        <v>31</v>
      </c>
      <c r="R3">
        <v>1</v>
      </c>
      <c r="S3" s="1" t="s">
        <v>40</v>
      </c>
      <c r="T3" s="1" t="s">
        <v>33</v>
      </c>
      <c r="U3" s="1" t="s">
        <v>41</v>
      </c>
    </row>
    <row r="4" spans="1:21" x14ac:dyDescent="0.3">
      <c r="A4" s="1" t="s">
        <v>42</v>
      </c>
      <c r="B4">
        <v>12</v>
      </c>
      <c r="C4" s="1" t="s">
        <v>22</v>
      </c>
      <c r="D4" s="1" t="s">
        <v>43</v>
      </c>
      <c r="E4">
        <v>2096</v>
      </c>
      <c r="F4" s="1" t="s">
        <v>37</v>
      </c>
      <c r="G4" s="1" t="s">
        <v>44</v>
      </c>
      <c r="H4">
        <v>2</v>
      </c>
      <c r="I4" s="1" t="s">
        <v>26</v>
      </c>
      <c r="J4" s="1" t="s">
        <v>27</v>
      </c>
      <c r="K4">
        <v>3</v>
      </c>
      <c r="L4" s="1" t="s">
        <v>28</v>
      </c>
      <c r="M4">
        <v>49</v>
      </c>
      <c r="N4" s="1" t="s">
        <v>29</v>
      </c>
      <c r="O4" s="1" t="s">
        <v>30</v>
      </c>
      <c r="P4">
        <v>1</v>
      </c>
      <c r="Q4" s="1" t="s">
        <v>45</v>
      </c>
      <c r="R4">
        <v>2</v>
      </c>
      <c r="S4" s="1" t="s">
        <v>40</v>
      </c>
      <c r="T4" s="1" t="s">
        <v>33</v>
      </c>
      <c r="U4" s="1" t="s">
        <v>34</v>
      </c>
    </row>
    <row r="5" spans="1:21" x14ac:dyDescent="0.3">
      <c r="A5" s="1" t="s">
        <v>21</v>
      </c>
      <c r="B5">
        <v>42</v>
      </c>
      <c r="C5" s="1" t="s">
        <v>36</v>
      </c>
      <c r="D5" s="1" t="s">
        <v>46</v>
      </c>
      <c r="E5">
        <v>7882</v>
      </c>
      <c r="F5" s="1" t="s">
        <v>37</v>
      </c>
      <c r="G5" s="1" t="s">
        <v>44</v>
      </c>
      <c r="H5">
        <v>2</v>
      </c>
      <c r="I5" s="1" t="s">
        <v>26</v>
      </c>
      <c r="J5" s="1" t="s">
        <v>47</v>
      </c>
      <c r="K5">
        <v>4</v>
      </c>
      <c r="L5" s="1" t="s">
        <v>48</v>
      </c>
      <c r="M5">
        <v>45</v>
      </c>
      <c r="N5" s="1" t="s">
        <v>29</v>
      </c>
      <c r="O5" s="1" t="s">
        <v>49</v>
      </c>
      <c r="P5">
        <v>1</v>
      </c>
      <c r="Q5" s="1" t="s">
        <v>31</v>
      </c>
      <c r="R5">
        <v>2</v>
      </c>
      <c r="S5" s="1" t="s">
        <v>40</v>
      </c>
      <c r="T5" s="1" t="s">
        <v>33</v>
      </c>
      <c r="U5" s="1" t="s">
        <v>34</v>
      </c>
    </row>
    <row r="6" spans="1:21" x14ac:dyDescent="0.3">
      <c r="A6" s="1" t="s">
        <v>21</v>
      </c>
      <c r="B6">
        <v>24</v>
      </c>
      <c r="C6" s="1" t="s">
        <v>50</v>
      </c>
      <c r="D6" s="1" t="s">
        <v>51</v>
      </c>
      <c r="E6">
        <v>4870</v>
      </c>
      <c r="F6" s="1" t="s">
        <v>37</v>
      </c>
      <c r="G6" s="1" t="s">
        <v>38</v>
      </c>
      <c r="H6">
        <v>3</v>
      </c>
      <c r="I6" s="1" t="s">
        <v>26</v>
      </c>
      <c r="J6" s="1" t="s">
        <v>27</v>
      </c>
      <c r="K6">
        <v>4</v>
      </c>
      <c r="L6" s="1" t="s">
        <v>52</v>
      </c>
      <c r="M6">
        <v>53</v>
      </c>
      <c r="N6" s="1" t="s">
        <v>29</v>
      </c>
      <c r="O6" s="1" t="s">
        <v>49</v>
      </c>
      <c r="P6">
        <v>2</v>
      </c>
      <c r="Q6" s="1" t="s">
        <v>31</v>
      </c>
      <c r="R6">
        <v>2</v>
      </c>
      <c r="S6" s="1" t="s">
        <v>40</v>
      </c>
      <c r="T6" s="1" t="s">
        <v>33</v>
      </c>
      <c r="U6" s="1" t="s">
        <v>41</v>
      </c>
    </row>
    <row r="7" spans="1:21" x14ac:dyDescent="0.3">
      <c r="A7" s="1" t="s">
        <v>42</v>
      </c>
      <c r="B7">
        <v>36</v>
      </c>
      <c r="C7" s="1" t="s">
        <v>36</v>
      </c>
      <c r="D7" s="1" t="s">
        <v>43</v>
      </c>
      <c r="E7">
        <v>9055</v>
      </c>
      <c r="F7" s="1" t="s">
        <v>24</v>
      </c>
      <c r="G7" s="1" t="s">
        <v>38</v>
      </c>
      <c r="H7">
        <v>2</v>
      </c>
      <c r="I7" s="1" t="s">
        <v>26</v>
      </c>
      <c r="J7" s="1" t="s">
        <v>27</v>
      </c>
      <c r="K7">
        <v>4</v>
      </c>
      <c r="L7" s="1" t="s">
        <v>52</v>
      </c>
      <c r="M7">
        <v>35</v>
      </c>
      <c r="N7" s="1" t="s">
        <v>29</v>
      </c>
      <c r="O7" s="1" t="s">
        <v>49</v>
      </c>
      <c r="P7">
        <v>1</v>
      </c>
      <c r="Q7" s="1" t="s">
        <v>45</v>
      </c>
      <c r="R7">
        <v>2</v>
      </c>
      <c r="S7" s="1" t="s">
        <v>32</v>
      </c>
      <c r="T7" s="1" t="s">
        <v>33</v>
      </c>
      <c r="U7" s="1" t="s">
        <v>34</v>
      </c>
    </row>
    <row r="8" spans="1:21" x14ac:dyDescent="0.3">
      <c r="A8" s="1" t="s">
        <v>42</v>
      </c>
      <c r="B8">
        <v>24</v>
      </c>
      <c r="C8" s="1" t="s">
        <v>36</v>
      </c>
      <c r="D8" s="1" t="s">
        <v>46</v>
      </c>
      <c r="E8">
        <v>2835</v>
      </c>
      <c r="F8" s="1" t="s">
        <v>53</v>
      </c>
      <c r="G8" s="1" t="s">
        <v>25</v>
      </c>
      <c r="H8">
        <v>3</v>
      </c>
      <c r="I8" s="1" t="s">
        <v>26</v>
      </c>
      <c r="J8" s="1" t="s">
        <v>27</v>
      </c>
      <c r="K8">
        <v>4</v>
      </c>
      <c r="L8" s="1" t="s">
        <v>48</v>
      </c>
      <c r="M8">
        <v>53</v>
      </c>
      <c r="N8" s="1" t="s">
        <v>29</v>
      </c>
      <c r="O8" s="1" t="s">
        <v>30</v>
      </c>
      <c r="P8">
        <v>1</v>
      </c>
      <c r="Q8" s="1" t="s">
        <v>31</v>
      </c>
      <c r="R8">
        <v>1</v>
      </c>
      <c r="S8" s="1" t="s">
        <v>40</v>
      </c>
      <c r="T8" s="1" t="s">
        <v>33</v>
      </c>
      <c r="U8" s="1" t="s">
        <v>34</v>
      </c>
    </row>
    <row r="9" spans="1:21" x14ac:dyDescent="0.3">
      <c r="A9" s="1" t="s">
        <v>35</v>
      </c>
      <c r="B9">
        <v>36</v>
      </c>
      <c r="C9" s="1" t="s">
        <v>36</v>
      </c>
      <c r="D9" s="1" t="s">
        <v>54</v>
      </c>
      <c r="E9">
        <v>6948</v>
      </c>
      <c r="F9" s="1" t="s">
        <v>37</v>
      </c>
      <c r="G9" s="1" t="s">
        <v>38</v>
      </c>
      <c r="H9">
        <v>2</v>
      </c>
      <c r="I9" s="1" t="s">
        <v>26</v>
      </c>
      <c r="J9" s="1" t="s">
        <v>27</v>
      </c>
      <c r="K9">
        <v>2</v>
      </c>
      <c r="L9" s="1" t="s">
        <v>55</v>
      </c>
      <c r="M9">
        <v>35</v>
      </c>
      <c r="N9" s="1" t="s">
        <v>29</v>
      </c>
      <c r="O9" s="1" t="s">
        <v>56</v>
      </c>
      <c r="P9">
        <v>1</v>
      </c>
      <c r="Q9" s="1" t="s">
        <v>57</v>
      </c>
      <c r="R9">
        <v>1</v>
      </c>
      <c r="S9" s="1" t="s">
        <v>32</v>
      </c>
      <c r="T9" s="1" t="s">
        <v>33</v>
      </c>
      <c r="U9" s="1" t="s">
        <v>34</v>
      </c>
    </row>
    <row r="10" spans="1:21" x14ac:dyDescent="0.3">
      <c r="A10" s="1" t="s">
        <v>42</v>
      </c>
      <c r="B10">
        <v>12</v>
      </c>
      <c r="C10" s="1" t="s">
        <v>36</v>
      </c>
      <c r="D10" s="1" t="s">
        <v>23</v>
      </c>
      <c r="E10">
        <v>3059</v>
      </c>
      <c r="F10" s="1" t="s">
        <v>58</v>
      </c>
      <c r="G10" s="1" t="s">
        <v>44</v>
      </c>
      <c r="H10">
        <v>2</v>
      </c>
      <c r="I10" s="1" t="s">
        <v>59</v>
      </c>
      <c r="J10" s="1" t="s">
        <v>27</v>
      </c>
      <c r="K10">
        <v>4</v>
      </c>
      <c r="L10" s="1" t="s">
        <v>28</v>
      </c>
      <c r="M10">
        <v>61</v>
      </c>
      <c r="N10" s="1" t="s">
        <v>29</v>
      </c>
      <c r="O10" s="1" t="s">
        <v>30</v>
      </c>
      <c r="P10">
        <v>1</v>
      </c>
      <c r="Q10" s="1" t="s">
        <v>45</v>
      </c>
      <c r="R10">
        <v>1</v>
      </c>
      <c r="S10" s="1" t="s">
        <v>40</v>
      </c>
      <c r="T10" s="1" t="s">
        <v>33</v>
      </c>
      <c r="U10" s="1" t="s">
        <v>34</v>
      </c>
    </row>
    <row r="11" spans="1:21" x14ac:dyDescent="0.3">
      <c r="A11" s="1" t="s">
        <v>35</v>
      </c>
      <c r="B11">
        <v>30</v>
      </c>
      <c r="C11" s="1" t="s">
        <v>22</v>
      </c>
      <c r="D11" s="1" t="s">
        <v>51</v>
      </c>
      <c r="E11">
        <v>5234</v>
      </c>
      <c r="F11" s="1" t="s">
        <v>37</v>
      </c>
      <c r="G11" s="1" t="s">
        <v>60</v>
      </c>
      <c r="H11">
        <v>4</v>
      </c>
      <c r="I11" s="1" t="s">
        <v>61</v>
      </c>
      <c r="J11" s="1" t="s">
        <v>27</v>
      </c>
      <c r="K11">
        <v>2</v>
      </c>
      <c r="L11" s="1" t="s">
        <v>55</v>
      </c>
      <c r="M11">
        <v>28</v>
      </c>
      <c r="N11" s="1" t="s">
        <v>29</v>
      </c>
      <c r="O11" s="1" t="s">
        <v>30</v>
      </c>
      <c r="P11">
        <v>2</v>
      </c>
      <c r="Q11" s="1" t="s">
        <v>57</v>
      </c>
      <c r="R11">
        <v>1</v>
      </c>
      <c r="S11" s="1" t="s">
        <v>40</v>
      </c>
      <c r="T11" s="1" t="s">
        <v>33</v>
      </c>
      <c r="U11" s="1" t="s">
        <v>41</v>
      </c>
    </row>
    <row r="12" spans="1:21" x14ac:dyDescent="0.3">
      <c r="A12" s="1" t="s">
        <v>35</v>
      </c>
      <c r="B12">
        <v>12</v>
      </c>
      <c r="C12" s="1" t="s">
        <v>36</v>
      </c>
      <c r="D12" s="1" t="s">
        <v>51</v>
      </c>
      <c r="E12">
        <v>1295</v>
      </c>
      <c r="F12" s="1" t="s">
        <v>37</v>
      </c>
      <c r="G12" s="1" t="s">
        <v>62</v>
      </c>
      <c r="H12">
        <v>3</v>
      </c>
      <c r="I12" s="1" t="s">
        <v>39</v>
      </c>
      <c r="J12" s="1" t="s">
        <v>27</v>
      </c>
      <c r="K12">
        <v>1</v>
      </c>
      <c r="L12" s="1" t="s">
        <v>55</v>
      </c>
      <c r="M12">
        <v>25</v>
      </c>
      <c r="N12" s="1" t="s">
        <v>29</v>
      </c>
      <c r="O12" s="1" t="s">
        <v>56</v>
      </c>
      <c r="P12">
        <v>1</v>
      </c>
      <c r="Q12" s="1" t="s">
        <v>31</v>
      </c>
      <c r="R12">
        <v>1</v>
      </c>
      <c r="S12" s="1" t="s">
        <v>40</v>
      </c>
      <c r="T12" s="1" t="s">
        <v>33</v>
      </c>
      <c r="U12" s="1" t="s">
        <v>41</v>
      </c>
    </row>
    <row r="13" spans="1:21" x14ac:dyDescent="0.3">
      <c r="A13" s="1" t="s">
        <v>21</v>
      </c>
      <c r="B13">
        <v>48</v>
      </c>
      <c r="C13" s="1" t="s">
        <v>36</v>
      </c>
      <c r="D13" s="1" t="s">
        <v>63</v>
      </c>
      <c r="E13">
        <v>4308</v>
      </c>
      <c r="F13" s="1" t="s">
        <v>37</v>
      </c>
      <c r="G13" s="1" t="s">
        <v>62</v>
      </c>
      <c r="H13">
        <v>3</v>
      </c>
      <c r="I13" s="1" t="s">
        <v>39</v>
      </c>
      <c r="J13" s="1" t="s">
        <v>27</v>
      </c>
      <c r="K13">
        <v>4</v>
      </c>
      <c r="L13" s="1" t="s">
        <v>48</v>
      </c>
      <c r="M13">
        <v>24</v>
      </c>
      <c r="N13" s="1" t="s">
        <v>29</v>
      </c>
      <c r="O13" s="1" t="s">
        <v>56</v>
      </c>
      <c r="P13">
        <v>1</v>
      </c>
      <c r="Q13" s="1" t="s">
        <v>31</v>
      </c>
      <c r="R13">
        <v>1</v>
      </c>
      <c r="S13" s="1" t="s">
        <v>40</v>
      </c>
      <c r="T13" s="1" t="s">
        <v>33</v>
      </c>
      <c r="U13" s="1" t="s">
        <v>41</v>
      </c>
    </row>
    <row r="14" spans="1:21" x14ac:dyDescent="0.3">
      <c r="A14" s="1" t="s">
        <v>35</v>
      </c>
      <c r="B14">
        <v>12</v>
      </c>
      <c r="C14" s="1" t="s">
        <v>36</v>
      </c>
      <c r="D14" s="1" t="s">
        <v>23</v>
      </c>
      <c r="E14">
        <v>1567</v>
      </c>
      <c r="F14" s="1" t="s">
        <v>37</v>
      </c>
      <c r="G14" s="1" t="s">
        <v>38</v>
      </c>
      <c r="H14">
        <v>1</v>
      </c>
      <c r="I14" s="1" t="s">
        <v>39</v>
      </c>
      <c r="J14" s="1" t="s">
        <v>27</v>
      </c>
      <c r="K14">
        <v>1</v>
      </c>
      <c r="L14" s="1" t="s">
        <v>55</v>
      </c>
      <c r="M14">
        <v>22</v>
      </c>
      <c r="N14" s="1" t="s">
        <v>29</v>
      </c>
      <c r="O14" s="1" t="s">
        <v>30</v>
      </c>
      <c r="P14">
        <v>1</v>
      </c>
      <c r="Q14" s="1" t="s">
        <v>31</v>
      </c>
      <c r="R14">
        <v>1</v>
      </c>
      <c r="S14" s="1" t="s">
        <v>32</v>
      </c>
      <c r="T14" s="1" t="s">
        <v>33</v>
      </c>
      <c r="U14" s="1" t="s">
        <v>34</v>
      </c>
    </row>
    <row r="15" spans="1:21" x14ac:dyDescent="0.3">
      <c r="A15" s="1" t="s">
        <v>21</v>
      </c>
      <c r="B15">
        <v>24</v>
      </c>
      <c r="C15" s="1" t="s">
        <v>22</v>
      </c>
      <c r="D15" s="1" t="s">
        <v>51</v>
      </c>
      <c r="E15">
        <v>1199</v>
      </c>
      <c r="F15" s="1" t="s">
        <v>37</v>
      </c>
      <c r="G15" s="1" t="s">
        <v>25</v>
      </c>
      <c r="H15">
        <v>4</v>
      </c>
      <c r="I15" s="1" t="s">
        <v>26</v>
      </c>
      <c r="J15" s="1" t="s">
        <v>27</v>
      </c>
      <c r="K15">
        <v>4</v>
      </c>
      <c r="L15" s="1" t="s">
        <v>55</v>
      </c>
      <c r="M15">
        <v>60</v>
      </c>
      <c r="N15" s="1" t="s">
        <v>29</v>
      </c>
      <c r="O15" s="1" t="s">
        <v>30</v>
      </c>
      <c r="P15">
        <v>2</v>
      </c>
      <c r="Q15" s="1" t="s">
        <v>45</v>
      </c>
      <c r="R15">
        <v>1</v>
      </c>
      <c r="S15" s="1" t="s">
        <v>40</v>
      </c>
      <c r="T15" s="1" t="s">
        <v>33</v>
      </c>
      <c r="U15" s="1" t="s">
        <v>41</v>
      </c>
    </row>
    <row r="16" spans="1:21" x14ac:dyDescent="0.3">
      <c r="A16" s="1" t="s">
        <v>21</v>
      </c>
      <c r="B16">
        <v>15</v>
      </c>
      <c r="C16" s="1" t="s">
        <v>36</v>
      </c>
      <c r="D16" s="1" t="s">
        <v>51</v>
      </c>
      <c r="E16">
        <v>1403</v>
      </c>
      <c r="F16" s="1" t="s">
        <v>37</v>
      </c>
      <c r="G16" s="1" t="s">
        <v>38</v>
      </c>
      <c r="H16">
        <v>2</v>
      </c>
      <c r="I16" s="1" t="s">
        <v>39</v>
      </c>
      <c r="J16" s="1" t="s">
        <v>27</v>
      </c>
      <c r="K16">
        <v>4</v>
      </c>
      <c r="L16" s="1" t="s">
        <v>55</v>
      </c>
      <c r="M16">
        <v>28</v>
      </c>
      <c r="N16" s="1" t="s">
        <v>29</v>
      </c>
      <c r="O16" s="1" t="s">
        <v>56</v>
      </c>
      <c r="P16">
        <v>1</v>
      </c>
      <c r="Q16" s="1" t="s">
        <v>31</v>
      </c>
      <c r="R16">
        <v>1</v>
      </c>
      <c r="S16" s="1" t="s">
        <v>40</v>
      </c>
      <c r="T16" s="1" t="s">
        <v>33</v>
      </c>
      <c r="U16" s="1" t="s">
        <v>34</v>
      </c>
    </row>
    <row r="17" spans="1:21" x14ac:dyDescent="0.3">
      <c r="A17" s="1" t="s">
        <v>21</v>
      </c>
      <c r="B17">
        <v>24</v>
      </c>
      <c r="C17" s="1" t="s">
        <v>36</v>
      </c>
      <c r="D17" s="1" t="s">
        <v>23</v>
      </c>
      <c r="E17">
        <v>1282</v>
      </c>
      <c r="F17" s="1" t="s">
        <v>64</v>
      </c>
      <c r="G17" s="1" t="s">
        <v>38</v>
      </c>
      <c r="H17">
        <v>4</v>
      </c>
      <c r="I17" s="1" t="s">
        <v>39</v>
      </c>
      <c r="J17" s="1" t="s">
        <v>27</v>
      </c>
      <c r="K17">
        <v>2</v>
      </c>
      <c r="L17" s="1" t="s">
        <v>55</v>
      </c>
      <c r="M17">
        <v>32</v>
      </c>
      <c r="N17" s="1" t="s">
        <v>29</v>
      </c>
      <c r="O17" s="1" t="s">
        <v>30</v>
      </c>
      <c r="P17">
        <v>1</v>
      </c>
      <c r="Q17" s="1" t="s">
        <v>45</v>
      </c>
      <c r="R17">
        <v>1</v>
      </c>
      <c r="S17" s="1" t="s">
        <v>40</v>
      </c>
      <c r="T17" s="1" t="s">
        <v>33</v>
      </c>
      <c r="U17" s="1" t="s">
        <v>41</v>
      </c>
    </row>
    <row r="18" spans="1:21" x14ac:dyDescent="0.3">
      <c r="A18" s="1" t="s">
        <v>42</v>
      </c>
      <c r="B18">
        <v>24</v>
      </c>
      <c r="C18" s="1" t="s">
        <v>22</v>
      </c>
      <c r="D18" s="1" t="s">
        <v>23</v>
      </c>
      <c r="E18">
        <v>2424</v>
      </c>
      <c r="F18" s="1" t="s">
        <v>24</v>
      </c>
      <c r="G18" s="1" t="s">
        <v>25</v>
      </c>
      <c r="H18">
        <v>4</v>
      </c>
      <c r="I18" s="1" t="s">
        <v>26</v>
      </c>
      <c r="J18" s="1" t="s">
        <v>27</v>
      </c>
      <c r="K18">
        <v>4</v>
      </c>
      <c r="L18" s="1" t="s">
        <v>48</v>
      </c>
      <c r="M18">
        <v>53</v>
      </c>
      <c r="N18" s="1" t="s">
        <v>29</v>
      </c>
      <c r="O18" s="1" t="s">
        <v>30</v>
      </c>
      <c r="P18">
        <v>2</v>
      </c>
      <c r="Q18" s="1" t="s">
        <v>31</v>
      </c>
      <c r="R18">
        <v>1</v>
      </c>
      <c r="S18" s="1" t="s">
        <v>40</v>
      </c>
      <c r="T18" s="1" t="s">
        <v>33</v>
      </c>
      <c r="U18" s="1" t="s">
        <v>34</v>
      </c>
    </row>
    <row r="19" spans="1:21" x14ac:dyDescent="0.3">
      <c r="A19" s="1" t="s">
        <v>21</v>
      </c>
      <c r="B19">
        <v>30</v>
      </c>
      <c r="C19" s="1" t="s">
        <v>65</v>
      </c>
      <c r="D19" s="1" t="s">
        <v>63</v>
      </c>
      <c r="E19">
        <v>8072</v>
      </c>
      <c r="F19" s="1" t="s">
        <v>24</v>
      </c>
      <c r="G19" s="1" t="s">
        <v>62</v>
      </c>
      <c r="H19">
        <v>2</v>
      </c>
      <c r="I19" s="1" t="s">
        <v>26</v>
      </c>
      <c r="J19" s="1" t="s">
        <v>27</v>
      </c>
      <c r="K19">
        <v>3</v>
      </c>
      <c r="L19" s="1" t="s">
        <v>55</v>
      </c>
      <c r="M19">
        <v>25</v>
      </c>
      <c r="N19" s="1" t="s">
        <v>66</v>
      </c>
      <c r="O19" s="1" t="s">
        <v>30</v>
      </c>
      <c r="P19">
        <v>3</v>
      </c>
      <c r="Q19" s="1" t="s">
        <v>31</v>
      </c>
      <c r="R19">
        <v>1</v>
      </c>
      <c r="S19" s="1" t="s">
        <v>40</v>
      </c>
      <c r="T19" s="1" t="s">
        <v>33</v>
      </c>
      <c r="U19" s="1" t="s">
        <v>34</v>
      </c>
    </row>
    <row r="20" spans="1:21" x14ac:dyDescent="0.3">
      <c r="A20" s="1" t="s">
        <v>35</v>
      </c>
      <c r="B20">
        <v>24</v>
      </c>
      <c r="C20" s="1" t="s">
        <v>36</v>
      </c>
      <c r="D20" s="1" t="s">
        <v>54</v>
      </c>
      <c r="E20">
        <v>12579</v>
      </c>
      <c r="F20" s="1" t="s">
        <v>37</v>
      </c>
      <c r="G20" s="1" t="s">
        <v>25</v>
      </c>
      <c r="H20">
        <v>4</v>
      </c>
      <c r="I20" s="1" t="s">
        <v>39</v>
      </c>
      <c r="J20" s="1" t="s">
        <v>27</v>
      </c>
      <c r="K20">
        <v>2</v>
      </c>
      <c r="L20" s="1" t="s">
        <v>52</v>
      </c>
      <c r="M20">
        <v>44</v>
      </c>
      <c r="N20" s="1" t="s">
        <v>29</v>
      </c>
      <c r="O20" s="1" t="s">
        <v>49</v>
      </c>
      <c r="P20">
        <v>1</v>
      </c>
      <c r="Q20" s="1" t="s">
        <v>57</v>
      </c>
      <c r="R20">
        <v>1</v>
      </c>
      <c r="S20" s="1" t="s">
        <v>32</v>
      </c>
      <c r="T20" s="1" t="s">
        <v>33</v>
      </c>
      <c r="U20" s="1" t="s">
        <v>41</v>
      </c>
    </row>
    <row r="21" spans="1:21" x14ac:dyDescent="0.3">
      <c r="A21" s="1" t="s">
        <v>42</v>
      </c>
      <c r="B21">
        <v>24</v>
      </c>
      <c r="C21" s="1" t="s">
        <v>36</v>
      </c>
      <c r="D21" s="1" t="s">
        <v>23</v>
      </c>
      <c r="E21">
        <v>3430</v>
      </c>
      <c r="F21" s="1" t="s">
        <v>53</v>
      </c>
      <c r="G21" s="1" t="s">
        <v>25</v>
      </c>
      <c r="H21">
        <v>3</v>
      </c>
      <c r="I21" s="1" t="s">
        <v>26</v>
      </c>
      <c r="J21" s="1" t="s">
        <v>27</v>
      </c>
      <c r="K21">
        <v>2</v>
      </c>
      <c r="L21" s="1" t="s">
        <v>55</v>
      </c>
      <c r="M21">
        <v>31</v>
      </c>
      <c r="N21" s="1" t="s">
        <v>29</v>
      </c>
      <c r="O21" s="1" t="s">
        <v>30</v>
      </c>
      <c r="P21">
        <v>1</v>
      </c>
      <c r="Q21" s="1" t="s">
        <v>31</v>
      </c>
      <c r="R21">
        <v>2</v>
      </c>
      <c r="S21" s="1" t="s">
        <v>32</v>
      </c>
      <c r="T21" s="1" t="s">
        <v>33</v>
      </c>
      <c r="U21" s="1" t="s">
        <v>34</v>
      </c>
    </row>
    <row r="22" spans="1:21" x14ac:dyDescent="0.3">
      <c r="A22" s="1" t="s">
        <v>42</v>
      </c>
      <c r="B22">
        <v>9</v>
      </c>
      <c r="C22" s="1" t="s">
        <v>22</v>
      </c>
      <c r="D22" s="1" t="s">
        <v>51</v>
      </c>
      <c r="E22">
        <v>2134</v>
      </c>
      <c r="F22" s="1" t="s">
        <v>37</v>
      </c>
      <c r="G22" s="1" t="s">
        <v>38</v>
      </c>
      <c r="H22">
        <v>4</v>
      </c>
      <c r="I22" s="1" t="s">
        <v>26</v>
      </c>
      <c r="J22" s="1" t="s">
        <v>27</v>
      </c>
      <c r="K22">
        <v>4</v>
      </c>
      <c r="L22" s="1" t="s">
        <v>55</v>
      </c>
      <c r="M22">
        <v>48</v>
      </c>
      <c r="N22" s="1" t="s">
        <v>29</v>
      </c>
      <c r="O22" s="1" t="s">
        <v>30</v>
      </c>
      <c r="P22">
        <v>3</v>
      </c>
      <c r="Q22" s="1" t="s">
        <v>31</v>
      </c>
      <c r="R22">
        <v>1</v>
      </c>
      <c r="S22" s="1" t="s">
        <v>32</v>
      </c>
      <c r="T22" s="1" t="s">
        <v>33</v>
      </c>
      <c r="U22" s="1" t="s">
        <v>34</v>
      </c>
    </row>
    <row r="23" spans="1:21" x14ac:dyDescent="0.3">
      <c r="A23" s="1" t="s">
        <v>21</v>
      </c>
      <c r="B23">
        <v>6</v>
      </c>
      <c r="C23" s="1" t="s">
        <v>36</v>
      </c>
      <c r="D23" s="1" t="s">
        <v>23</v>
      </c>
      <c r="E23">
        <v>2647</v>
      </c>
      <c r="F23" s="1" t="s">
        <v>53</v>
      </c>
      <c r="G23" s="1" t="s">
        <v>38</v>
      </c>
      <c r="H23">
        <v>2</v>
      </c>
      <c r="I23" s="1" t="s">
        <v>26</v>
      </c>
      <c r="J23" s="1" t="s">
        <v>27</v>
      </c>
      <c r="K23">
        <v>3</v>
      </c>
      <c r="L23" s="1" t="s">
        <v>28</v>
      </c>
      <c r="M23">
        <v>44</v>
      </c>
      <c r="N23" s="1" t="s">
        <v>29</v>
      </c>
      <c r="O23" s="1" t="s">
        <v>56</v>
      </c>
      <c r="P23">
        <v>1</v>
      </c>
      <c r="Q23" s="1" t="s">
        <v>31</v>
      </c>
      <c r="R23">
        <v>2</v>
      </c>
      <c r="S23" s="1" t="s">
        <v>40</v>
      </c>
      <c r="T23" s="1" t="s">
        <v>33</v>
      </c>
      <c r="U23" s="1" t="s">
        <v>34</v>
      </c>
    </row>
    <row r="24" spans="1:21" x14ac:dyDescent="0.3">
      <c r="A24" s="1" t="s">
        <v>21</v>
      </c>
      <c r="B24">
        <v>10</v>
      </c>
      <c r="C24" s="1" t="s">
        <v>22</v>
      </c>
      <c r="D24" s="1" t="s">
        <v>51</v>
      </c>
      <c r="E24">
        <v>2241</v>
      </c>
      <c r="F24" s="1" t="s">
        <v>37</v>
      </c>
      <c r="G24" s="1" t="s">
        <v>62</v>
      </c>
      <c r="H24">
        <v>1</v>
      </c>
      <c r="I24" s="1" t="s">
        <v>26</v>
      </c>
      <c r="J24" s="1" t="s">
        <v>27</v>
      </c>
      <c r="K24">
        <v>3</v>
      </c>
      <c r="L24" s="1" t="s">
        <v>28</v>
      </c>
      <c r="M24">
        <v>48</v>
      </c>
      <c r="N24" s="1" t="s">
        <v>29</v>
      </c>
      <c r="O24" s="1" t="s">
        <v>56</v>
      </c>
      <c r="P24">
        <v>2</v>
      </c>
      <c r="Q24" s="1" t="s">
        <v>45</v>
      </c>
      <c r="R24">
        <v>2</v>
      </c>
      <c r="S24" s="1" t="s">
        <v>40</v>
      </c>
      <c r="T24" s="1" t="s">
        <v>67</v>
      </c>
      <c r="U24" s="1" t="s">
        <v>34</v>
      </c>
    </row>
    <row r="25" spans="1:21" x14ac:dyDescent="0.3">
      <c r="A25" s="1" t="s">
        <v>35</v>
      </c>
      <c r="B25">
        <v>12</v>
      </c>
      <c r="C25" s="1" t="s">
        <v>22</v>
      </c>
      <c r="D25" s="1" t="s">
        <v>54</v>
      </c>
      <c r="E25">
        <v>1804</v>
      </c>
      <c r="F25" s="1" t="s">
        <v>64</v>
      </c>
      <c r="G25" s="1" t="s">
        <v>62</v>
      </c>
      <c r="H25">
        <v>3</v>
      </c>
      <c r="I25" s="1" t="s">
        <v>26</v>
      </c>
      <c r="J25" s="1" t="s">
        <v>27</v>
      </c>
      <c r="K25">
        <v>4</v>
      </c>
      <c r="L25" s="1" t="s">
        <v>48</v>
      </c>
      <c r="M25">
        <v>44</v>
      </c>
      <c r="N25" s="1" t="s">
        <v>29</v>
      </c>
      <c r="O25" s="1" t="s">
        <v>30</v>
      </c>
      <c r="P25">
        <v>1</v>
      </c>
      <c r="Q25" s="1" t="s">
        <v>31</v>
      </c>
      <c r="R25">
        <v>1</v>
      </c>
      <c r="S25" s="1" t="s">
        <v>40</v>
      </c>
      <c r="T25" s="1" t="s">
        <v>33</v>
      </c>
      <c r="U25" s="1" t="s">
        <v>34</v>
      </c>
    </row>
    <row r="26" spans="1:21" x14ac:dyDescent="0.3">
      <c r="A26" s="1" t="s">
        <v>42</v>
      </c>
      <c r="B26">
        <v>10</v>
      </c>
      <c r="C26" s="1" t="s">
        <v>22</v>
      </c>
      <c r="D26" s="1" t="s">
        <v>46</v>
      </c>
      <c r="E26">
        <v>2069</v>
      </c>
      <c r="F26" s="1" t="s">
        <v>24</v>
      </c>
      <c r="G26" s="1" t="s">
        <v>38</v>
      </c>
      <c r="H26">
        <v>2</v>
      </c>
      <c r="I26" s="1" t="s">
        <v>61</v>
      </c>
      <c r="J26" s="1" t="s">
        <v>27</v>
      </c>
      <c r="K26">
        <v>1</v>
      </c>
      <c r="L26" s="1" t="s">
        <v>55</v>
      </c>
      <c r="M26">
        <v>26</v>
      </c>
      <c r="N26" s="1" t="s">
        <v>29</v>
      </c>
      <c r="O26" s="1" t="s">
        <v>30</v>
      </c>
      <c r="P26">
        <v>2</v>
      </c>
      <c r="Q26" s="1" t="s">
        <v>31</v>
      </c>
      <c r="R26">
        <v>1</v>
      </c>
      <c r="S26" s="1" t="s">
        <v>40</v>
      </c>
      <c r="T26" s="1" t="s">
        <v>67</v>
      </c>
      <c r="U26" s="1" t="s">
        <v>34</v>
      </c>
    </row>
    <row r="27" spans="1:21" x14ac:dyDescent="0.3">
      <c r="A27" s="1" t="s">
        <v>21</v>
      </c>
      <c r="B27">
        <v>6</v>
      </c>
      <c r="C27" s="1" t="s">
        <v>36</v>
      </c>
      <c r="D27" s="1" t="s">
        <v>46</v>
      </c>
      <c r="E27">
        <v>1374</v>
      </c>
      <c r="F27" s="1" t="s">
        <v>37</v>
      </c>
      <c r="G27" s="1" t="s">
        <v>38</v>
      </c>
      <c r="H27">
        <v>1</v>
      </c>
      <c r="I27" s="1" t="s">
        <v>26</v>
      </c>
      <c r="J27" s="1" t="s">
        <v>27</v>
      </c>
      <c r="K27">
        <v>2</v>
      </c>
      <c r="L27" s="1" t="s">
        <v>28</v>
      </c>
      <c r="M27">
        <v>36</v>
      </c>
      <c r="N27" s="1" t="s">
        <v>66</v>
      </c>
      <c r="O27" s="1" t="s">
        <v>30</v>
      </c>
      <c r="P27">
        <v>1</v>
      </c>
      <c r="Q27" s="1" t="s">
        <v>45</v>
      </c>
      <c r="R27">
        <v>1</v>
      </c>
      <c r="S27" s="1" t="s">
        <v>32</v>
      </c>
      <c r="T27" s="1" t="s">
        <v>33</v>
      </c>
      <c r="U27" s="1" t="s">
        <v>34</v>
      </c>
    </row>
    <row r="28" spans="1:21" x14ac:dyDescent="0.3">
      <c r="A28" s="1" t="s">
        <v>42</v>
      </c>
      <c r="B28">
        <v>6</v>
      </c>
      <c r="C28" s="1" t="s">
        <v>65</v>
      </c>
      <c r="D28" s="1" t="s">
        <v>23</v>
      </c>
      <c r="E28">
        <v>426</v>
      </c>
      <c r="F28" s="1" t="s">
        <v>37</v>
      </c>
      <c r="G28" s="1" t="s">
        <v>25</v>
      </c>
      <c r="H28">
        <v>4</v>
      </c>
      <c r="I28" s="1" t="s">
        <v>61</v>
      </c>
      <c r="J28" s="1" t="s">
        <v>27</v>
      </c>
      <c r="K28">
        <v>4</v>
      </c>
      <c r="L28" s="1" t="s">
        <v>55</v>
      </c>
      <c r="M28">
        <v>39</v>
      </c>
      <c r="N28" s="1" t="s">
        <v>29</v>
      </c>
      <c r="O28" s="1" t="s">
        <v>30</v>
      </c>
      <c r="P28">
        <v>1</v>
      </c>
      <c r="Q28" s="1" t="s">
        <v>45</v>
      </c>
      <c r="R28">
        <v>1</v>
      </c>
      <c r="S28" s="1" t="s">
        <v>40</v>
      </c>
      <c r="T28" s="1" t="s">
        <v>33</v>
      </c>
      <c r="U28" s="1" t="s">
        <v>34</v>
      </c>
    </row>
    <row r="29" spans="1:21" x14ac:dyDescent="0.3">
      <c r="A29" s="1" t="s">
        <v>68</v>
      </c>
      <c r="B29">
        <v>12</v>
      </c>
      <c r="C29" s="1" t="s">
        <v>69</v>
      </c>
      <c r="D29" s="1" t="s">
        <v>23</v>
      </c>
      <c r="E29">
        <v>409</v>
      </c>
      <c r="F29" s="1" t="s">
        <v>58</v>
      </c>
      <c r="G29" s="1" t="s">
        <v>38</v>
      </c>
      <c r="H29">
        <v>3</v>
      </c>
      <c r="I29" s="1" t="s">
        <v>39</v>
      </c>
      <c r="J29" s="1" t="s">
        <v>27</v>
      </c>
      <c r="K29">
        <v>3</v>
      </c>
      <c r="L29" s="1" t="s">
        <v>28</v>
      </c>
      <c r="M29">
        <v>42</v>
      </c>
      <c r="N29" s="1" t="s">
        <v>29</v>
      </c>
      <c r="O29" s="1" t="s">
        <v>56</v>
      </c>
      <c r="P29">
        <v>2</v>
      </c>
      <c r="Q29" s="1" t="s">
        <v>31</v>
      </c>
      <c r="R29">
        <v>1</v>
      </c>
      <c r="S29" s="1" t="s">
        <v>40</v>
      </c>
      <c r="T29" s="1" t="s">
        <v>33</v>
      </c>
      <c r="U29" s="1" t="s">
        <v>34</v>
      </c>
    </row>
    <row r="30" spans="1:21" x14ac:dyDescent="0.3">
      <c r="A30" s="1" t="s">
        <v>35</v>
      </c>
      <c r="B30">
        <v>7</v>
      </c>
      <c r="C30" s="1" t="s">
        <v>36</v>
      </c>
      <c r="D30" s="1" t="s">
        <v>23</v>
      </c>
      <c r="E30">
        <v>2415</v>
      </c>
      <c r="F30" s="1" t="s">
        <v>37</v>
      </c>
      <c r="G30" s="1" t="s">
        <v>38</v>
      </c>
      <c r="H30">
        <v>3</v>
      </c>
      <c r="I30" s="1" t="s">
        <v>26</v>
      </c>
      <c r="J30" s="1" t="s">
        <v>47</v>
      </c>
      <c r="K30">
        <v>2</v>
      </c>
      <c r="L30" s="1" t="s">
        <v>28</v>
      </c>
      <c r="M30">
        <v>34</v>
      </c>
      <c r="N30" s="1" t="s">
        <v>29</v>
      </c>
      <c r="O30" s="1" t="s">
        <v>30</v>
      </c>
      <c r="P30">
        <v>1</v>
      </c>
      <c r="Q30" s="1" t="s">
        <v>31</v>
      </c>
      <c r="R30">
        <v>1</v>
      </c>
      <c r="S30" s="1" t="s">
        <v>40</v>
      </c>
      <c r="T30" s="1" t="s">
        <v>33</v>
      </c>
      <c r="U30" s="1" t="s">
        <v>34</v>
      </c>
    </row>
    <row r="31" spans="1:21" x14ac:dyDescent="0.3">
      <c r="A31" s="1" t="s">
        <v>21</v>
      </c>
      <c r="B31">
        <v>60</v>
      </c>
      <c r="C31" s="1" t="s">
        <v>50</v>
      </c>
      <c r="D31" s="1" t="s">
        <v>63</v>
      </c>
      <c r="E31">
        <v>6836</v>
      </c>
      <c r="F31" s="1" t="s">
        <v>37</v>
      </c>
      <c r="G31" s="1" t="s">
        <v>25</v>
      </c>
      <c r="H31">
        <v>3</v>
      </c>
      <c r="I31" s="1" t="s">
        <v>26</v>
      </c>
      <c r="J31" s="1" t="s">
        <v>27</v>
      </c>
      <c r="K31">
        <v>4</v>
      </c>
      <c r="L31" s="1" t="s">
        <v>52</v>
      </c>
      <c r="M31">
        <v>63</v>
      </c>
      <c r="N31" s="1" t="s">
        <v>29</v>
      </c>
      <c r="O31" s="1" t="s">
        <v>30</v>
      </c>
      <c r="P31">
        <v>2</v>
      </c>
      <c r="Q31" s="1" t="s">
        <v>31</v>
      </c>
      <c r="R31">
        <v>1</v>
      </c>
      <c r="S31" s="1" t="s">
        <v>32</v>
      </c>
      <c r="T31" s="1" t="s">
        <v>33</v>
      </c>
      <c r="U31" s="1" t="s">
        <v>41</v>
      </c>
    </row>
    <row r="32" spans="1:21" x14ac:dyDescent="0.3">
      <c r="A32" s="1" t="s">
        <v>35</v>
      </c>
      <c r="B32">
        <v>18</v>
      </c>
      <c r="C32" s="1" t="s">
        <v>36</v>
      </c>
      <c r="D32" s="1" t="s">
        <v>63</v>
      </c>
      <c r="E32">
        <v>1913</v>
      </c>
      <c r="F32" s="1" t="s">
        <v>58</v>
      </c>
      <c r="G32" s="1" t="s">
        <v>62</v>
      </c>
      <c r="H32">
        <v>3</v>
      </c>
      <c r="I32" s="1" t="s">
        <v>61</v>
      </c>
      <c r="J32" s="1" t="s">
        <v>27</v>
      </c>
      <c r="K32">
        <v>3</v>
      </c>
      <c r="L32" s="1" t="s">
        <v>28</v>
      </c>
      <c r="M32">
        <v>36</v>
      </c>
      <c r="N32" s="1" t="s">
        <v>66</v>
      </c>
      <c r="O32" s="1" t="s">
        <v>30</v>
      </c>
      <c r="P32">
        <v>1</v>
      </c>
      <c r="Q32" s="1" t="s">
        <v>31</v>
      </c>
      <c r="R32">
        <v>1</v>
      </c>
      <c r="S32" s="1" t="s">
        <v>32</v>
      </c>
      <c r="T32" s="1" t="s">
        <v>33</v>
      </c>
      <c r="U32" s="1" t="s">
        <v>34</v>
      </c>
    </row>
    <row r="33" spans="1:21" x14ac:dyDescent="0.3">
      <c r="A33" s="1" t="s">
        <v>21</v>
      </c>
      <c r="B33">
        <v>24</v>
      </c>
      <c r="C33" s="1" t="s">
        <v>36</v>
      </c>
      <c r="D33" s="1" t="s">
        <v>46</v>
      </c>
      <c r="E33">
        <v>4020</v>
      </c>
      <c r="F33" s="1" t="s">
        <v>37</v>
      </c>
      <c r="G33" s="1" t="s">
        <v>38</v>
      </c>
      <c r="H33">
        <v>2</v>
      </c>
      <c r="I33" s="1" t="s">
        <v>26</v>
      </c>
      <c r="J33" s="1" t="s">
        <v>27</v>
      </c>
      <c r="K33">
        <v>2</v>
      </c>
      <c r="L33" s="1" t="s">
        <v>55</v>
      </c>
      <c r="M33">
        <v>27</v>
      </c>
      <c r="N33" s="1" t="s">
        <v>70</v>
      </c>
      <c r="O33" s="1" t="s">
        <v>30</v>
      </c>
      <c r="P33">
        <v>1</v>
      </c>
      <c r="Q33" s="1" t="s">
        <v>31</v>
      </c>
      <c r="R33">
        <v>1</v>
      </c>
      <c r="S33" s="1" t="s">
        <v>40</v>
      </c>
      <c r="T33" s="1" t="s">
        <v>33</v>
      </c>
      <c r="U33" s="1" t="s">
        <v>34</v>
      </c>
    </row>
    <row r="34" spans="1:21" x14ac:dyDescent="0.3">
      <c r="A34" s="1" t="s">
        <v>35</v>
      </c>
      <c r="B34">
        <v>18</v>
      </c>
      <c r="C34" s="1" t="s">
        <v>36</v>
      </c>
      <c r="D34" s="1" t="s">
        <v>51</v>
      </c>
      <c r="E34">
        <v>5866</v>
      </c>
      <c r="F34" s="1" t="s">
        <v>64</v>
      </c>
      <c r="G34" s="1" t="s">
        <v>38</v>
      </c>
      <c r="H34">
        <v>2</v>
      </c>
      <c r="I34" s="1" t="s">
        <v>26</v>
      </c>
      <c r="J34" s="1" t="s">
        <v>27</v>
      </c>
      <c r="K34">
        <v>2</v>
      </c>
      <c r="L34" s="1" t="s">
        <v>55</v>
      </c>
      <c r="M34">
        <v>30</v>
      </c>
      <c r="N34" s="1" t="s">
        <v>29</v>
      </c>
      <c r="O34" s="1" t="s">
        <v>30</v>
      </c>
      <c r="P34">
        <v>2</v>
      </c>
      <c r="Q34" s="1" t="s">
        <v>31</v>
      </c>
      <c r="R34">
        <v>1</v>
      </c>
      <c r="S34" s="1" t="s">
        <v>32</v>
      </c>
      <c r="T34" s="1" t="s">
        <v>33</v>
      </c>
      <c r="U34" s="1" t="s">
        <v>34</v>
      </c>
    </row>
    <row r="35" spans="1:21" x14ac:dyDescent="0.3">
      <c r="A35" s="1" t="s">
        <v>42</v>
      </c>
      <c r="B35">
        <v>12</v>
      </c>
      <c r="C35" s="1" t="s">
        <v>22</v>
      </c>
      <c r="D35" s="1" t="s">
        <v>63</v>
      </c>
      <c r="E35">
        <v>1264</v>
      </c>
      <c r="F35" s="1" t="s">
        <v>24</v>
      </c>
      <c r="G35" s="1" t="s">
        <v>25</v>
      </c>
      <c r="H35">
        <v>4</v>
      </c>
      <c r="I35" s="1" t="s">
        <v>26</v>
      </c>
      <c r="J35" s="1" t="s">
        <v>27</v>
      </c>
      <c r="K35">
        <v>4</v>
      </c>
      <c r="L35" s="1" t="s">
        <v>52</v>
      </c>
      <c r="M35">
        <v>57</v>
      </c>
      <c r="N35" s="1" t="s">
        <v>29</v>
      </c>
      <c r="O35" s="1" t="s">
        <v>56</v>
      </c>
      <c r="P35">
        <v>1</v>
      </c>
      <c r="Q35" s="1" t="s">
        <v>45</v>
      </c>
      <c r="R35">
        <v>1</v>
      </c>
      <c r="S35" s="1" t="s">
        <v>40</v>
      </c>
      <c r="T35" s="1" t="s">
        <v>33</v>
      </c>
      <c r="U35" s="1" t="s">
        <v>34</v>
      </c>
    </row>
    <row r="36" spans="1:21" x14ac:dyDescent="0.3">
      <c r="A36" s="1" t="s">
        <v>68</v>
      </c>
      <c r="B36">
        <v>12</v>
      </c>
      <c r="C36" s="1" t="s">
        <v>36</v>
      </c>
      <c r="D36" s="1" t="s">
        <v>46</v>
      </c>
      <c r="E36">
        <v>1474</v>
      </c>
      <c r="F36" s="1" t="s">
        <v>37</v>
      </c>
      <c r="G36" s="1" t="s">
        <v>62</v>
      </c>
      <c r="H36">
        <v>4</v>
      </c>
      <c r="I36" s="1" t="s">
        <v>39</v>
      </c>
      <c r="J36" s="1" t="s">
        <v>27</v>
      </c>
      <c r="K36">
        <v>1</v>
      </c>
      <c r="L36" s="1" t="s">
        <v>48</v>
      </c>
      <c r="M36">
        <v>33</v>
      </c>
      <c r="N36" s="1" t="s">
        <v>66</v>
      </c>
      <c r="O36" s="1" t="s">
        <v>30</v>
      </c>
      <c r="P36">
        <v>1</v>
      </c>
      <c r="Q36" s="1" t="s">
        <v>57</v>
      </c>
      <c r="R36">
        <v>1</v>
      </c>
      <c r="S36" s="1" t="s">
        <v>32</v>
      </c>
      <c r="T36" s="1" t="s">
        <v>33</v>
      </c>
      <c r="U36" s="1" t="s">
        <v>34</v>
      </c>
    </row>
    <row r="37" spans="1:21" x14ac:dyDescent="0.3">
      <c r="A37" s="1" t="s">
        <v>35</v>
      </c>
      <c r="B37">
        <v>45</v>
      </c>
      <c r="C37" s="1" t="s">
        <v>22</v>
      </c>
      <c r="D37" s="1" t="s">
        <v>23</v>
      </c>
      <c r="E37">
        <v>4746</v>
      </c>
      <c r="F37" s="1" t="s">
        <v>37</v>
      </c>
      <c r="G37" s="1" t="s">
        <v>62</v>
      </c>
      <c r="H37">
        <v>4</v>
      </c>
      <c r="I37" s="1" t="s">
        <v>26</v>
      </c>
      <c r="J37" s="1" t="s">
        <v>27</v>
      </c>
      <c r="K37">
        <v>2</v>
      </c>
      <c r="L37" s="1" t="s">
        <v>48</v>
      </c>
      <c r="M37">
        <v>25</v>
      </c>
      <c r="N37" s="1" t="s">
        <v>29</v>
      </c>
      <c r="O37" s="1" t="s">
        <v>30</v>
      </c>
      <c r="P37">
        <v>2</v>
      </c>
      <c r="Q37" s="1" t="s">
        <v>45</v>
      </c>
      <c r="R37">
        <v>1</v>
      </c>
      <c r="S37" s="1" t="s">
        <v>40</v>
      </c>
      <c r="T37" s="1" t="s">
        <v>33</v>
      </c>
      <c r="U37" s="1" t="s">
        <v>41</v>
      </c>
    </row>
    <row r="38" spans="1:21" x14ac:dyDescent="0.3">
      <c r="A38" s="1" t="s">
        <v>42</v>
      </c>
      <c r="B38">
        <v>48</v>
      </c>
      <c r="C38" s="1" t="s">
        <v>22</v>
      </c>
      <c r="D38" s="1" t="s">
        <v>43</v>
      </c>
      <c r="E38">
        <v>6110</v>
      </c>
      <c r="F38" s="1" t="s">
        <v>37</v>
      </c>
      <c r="G38" s="1" t="s">
        <v>38</v>
      </c>
      <c r="H38">
        <v>1</v>
      </c>
      <c r="I38" s="1" t="s">
        <v>26</v>
      </c>
      <c r="J38" s="1" t="s">
        <v>27</v>
      </c>
      <c r="K38">
        <v>3</v>
      </c>
      <c r="L38" s="1" t="s">
        <v>52</v>
      </c>
      <c r="M38">
        <v>31</v>
      </c>
      <c r="N38" s="1" t="s">
        <v>66</v>
      </c>
      <c r="O38" s="1" t="s">
        <v>49</v>
      </c>
      <c r="P38">
        <v>1</v>
      </c>
      <c r="Q38" s="1" t="s">
        <v>31</v>
      </c>
      <c r="R38">
        <v>1</v>
      </c>
      <c r="S38" s="1" t="s">
        <v>32</v>
      </c>
      <c r="T38" s="1" t="s">
        <v>33</v>
      </c>
      <c r="U38" s="1" t="s">
        <v>34</v>
      </c>
    </row>
    <row r="39" spans="1:21" x14ac:dyDescent="0.3">
      <c r="A39" s="1" t="s">
        <v>68</v>
      </c>
      <c r="B39">
        <v>18</v>
      </c>
      <c r="C39" s="1" t="s">
        <v>36</v>
      </c>
      <c r="D39" s="1" t="s">
        <v>23</v>
      </c>
      <c r="E39">
        <v>2100</v>
      </c>
      <c r="F39" s="1" t="s">
        <v>37</v>
      </c>
      <c r="G39" s="1" t="s">
        <v>38</v>
      </c>
      <c r="H39">
        <v>4</v>
      </c>
      <c r="I39" s="1" t="s">
        <v>26</v>
      </c>
      <c r="J39" s="1" t="s">
        <v>71</v>
      </c>
      <c r="K39">
        <v>2</v>
      </c>
      <c r="L39" s="1" t="s">
        <v>28</v>
      </c>
      <c r="M39">
        <v>37</v>
      </c>
      <c r="N39" s="1" t="s">
        <v>70</v>
      </c>
      <c r="O39" s="1" t="s">
        <v>30</v>
      </c>
      <c r="P39">
        <v>1</v>
      </c>
      <c r="Q39" s="1" t="s">
        <v>31</v>
      </c>
      <c r="R39">
        <v>1</v>
      </c>
      <c r="S39" s="1" t="s">
        <v>40</v>
      </c>
      <c r="T39" s="1" t="s">
        <v>33</v>
      </c>
      <c r="U39" s="1" t="s">
        <v>41</v>
      </c>
    </row>
    <row r="40" spans="1:21" x14ac:dyDescent="0.3">
      <c r="A40" s="1" t="s">
        <v>68</v>
      </c>
      <c r="B40">
        <v>10</v>
      </c>
      <c r="C40" s="1" t="s">
        <v>36</v>
      </c>
      <c r="D40" s="1" t="s">
        <v>72</v>
      </c>
      <c r="E40">
        <v>1225</v>
      </c>
      <c r="F40" s="1" t="s">
        <v>37</v>
      </c>
      <c r="G40" s="1" t="s">
        <v>38</v>
      </c>
      <c r="H40">
        <v>2</v>
      </c>
      <c r="I40" s="1" t="s">
        <v>26</v>
      </c>
      <c r="J40" s="1" t="s">
        <v>27</v>
      </c>
      <c r="K40">
        <v>2</v>
      </c>
      <c r="L40" s="1" t="s">
        <v>55</v>
      </c>
      <c r="M40">
        <v>37</v>
      </c>
      <c r="N40" s="1" t="s">
        <v>29</v>
      </c>
      <c r="O40" s="1" t="s">
        <v>30</v>
      </c>
      <c r="P40">
        <v>1</v>
      </c>
      <c r="Q40" s="1" t="s">
        <v>31</v>
      </c>
      <c r="R40">
        <v>1</v>
      </c>
      <c r="S40" s="1" t="s">
        <v>32</v>
      </c>
      <c r="T40" s="1" t="s">
        <v>33</v>
      </c>
      <c r="U40" s="1" t="s">
        <v>34</v>
      </c>
    </row>
    <row r="41" spans="1:21" x14ac:dyDescent="0.3">
      <c r="A41" s="1" t="s">
        <v>35</v>
      </c>
      <c r="B41">
        <v>9</v>
      </c>
      <c r="C41" s="1" t="s">
        <v>36</v>
      </c>
      <c r="D41" s="1" t="s">
        <v>23</v>
      </c>
      <c r="E41">
        <v>458</v>
      </c>
      <c r="F41" s="1" t="s">
        <v>37</v>
      </c>
      <c r="G41" s="1" t="s">
        <v>38</v>
      </c>
      <c r="H41">
        <v>4</v>
      </c>
      <c r="I41" s="1" t="s">
        <v>26</v>
      </c>
      <c r="J41" s="1" t="s">
        <v>27</v>
      </c>
      <c r="K41">
        <v>3</v>
      </c>
      <c r="L41" s="1" t="s">
        <v>28</v>
      </c>
      <c r="M41">
        <v>24</v>
      </c>
      <c r="N41" s="1" t="s">
        <v>29</v>
      </c>
      <c r="O41" s="1" t="s">
        <v>30</v>
      </c>
      <c r="P41">
        <v>1</v>
      </c>
      <c r="Q41" s="1" t="s">
        <v>31</v>
      </c>
      <c r="R41">
        <v>1</v>
      </c>
      <c r="S41" s="1" t="s">
        <v>40</v>
      </c>
      <c r="T41" s="1" t="s">
        <v>33</v>
      </c>
      <c r="U41" s="1" t="s">
        <v>34</v>
      </c>
    </row>
    <row r="42" spans="1:21" x14ac:dyDescent="0.3">
      <c r="A42" s="1" t="s">
        <v>42</v>
      </c>
      <c r="B42">
        <v>30</v>
      </c>
      <c r="C42" s="1" t="s">
        <v>36</v>
      </c>
      <c r="D42" s="1" t="s">
        <v>23</v>
      </c>
      <c r="E42">
        <v>2333</v>
      </c>
      <c r="F42" s="1" t="s">
        <v>53</v>
      </c>
      <c r="G42" s="1" t="s">
        <v>25</v>
      </c>
      <c r="H42">
        <v>4</v>
      </c>
      <c r="I42" s="1" t="s">
        <v>26</v>
      </c>
      <c r="J42" s="1" t="s">
        <v>27</v>
      </c>
      <c r="K42">
        <v>2</v>
      </c>
      <c r="L42" s="1" t="s">
        <v>55</v>
      </c>
      <c r="M42">
        <v>30</v>
      </c>
      <c r="N42" s="1" t="s">
        <v>66</v>
      </c>
      <c r="O42" s="1" t="s">
        <v>30</v>
      </c>
      <c r="P42">
        <v>1</v>
      </c>
      <c r="Q42" s="1" t="s">
        <v>57</v>
      </c>
      <c r="R42">
        <v>1</v>
      </c>
      <c r="S42" s="1" t="s">
        <v>40</v>
      </c>
      <c r="T42" s="1" t="s">
        <v>33</v>
      </c>
      <c r="U42" s="1" t="s">
        <v>34</v>
      </c>
    </row>
    <row r="43" spans="1:21" x14ac:dyDescent="0.3">
      <c r="A43" s="1" t="s">
        <v>35</v>
      </c>
      <c r="B43">
        <v>12</v>
      </c>
      <c r="C43" s="1" t="s">
        <v>36</v>
      </c>
      <c r="D43" s="1" t="s">
        <v>23</v>
      </c>
      <c r="E43">
        <v>1158</v>
      </c>
      <c r="F43" s="1" t="s">
        <v>53</v>
      </c>
      <c r="G43" s="1" t="s">
        <v>38</v>
      </c>
      <c r="H43">
        <v>3</v>
      </c>
      <c r="I43" s="1" t="s">
        <v>59</v>
      </c>
      <c r="J43" s="1" t="s">
        <v>27</v>
      </c>
      <c r="K43">
        <v>1</v>
      </c>
      <c r="L43" s="1" t="s">
        <v>55</v>
      </c>
      <c r="M43">
        <v>26</v>
      </c>
      <c r="N43" s="1" t="s">
        <v>29</v>
      </c>
      <c r="O43" s="1" t="s">
        <v>30</v>
      </c>
      <c r="P43">
        <v>1</v>
      </c>
      <c r="Q43" s="1" t="s">
        <v>31</v>
      </c>
      <c r="R43">
        <v>1</v>
      </c>
      <c r="S43" s="1" t="s">
        <v>32</v>
      </c>
      <c r="T43" s="1" t="s">
        <v>33</v>
      </c>
      <c r="U43" s="1" t="s">
        <v>34</v>
      </c>
    </row>
    <row r="44" spans="1:21" x14ac:dyDescent="0.3">
      <c r="A44" s="1" t="s">
        <v>35</v>
      </c>
      <c r="B44">
        <v>18</v>
      </c>
      <c r="C44" s="1" t="s">
        <v>50</v>
      </c>
      <c r="D44" s="1" t="s">
        <v>73</v>
      </c>
      <c r="E44">
        <v>6204</v>
      </c>
      <c r="F44" s="1" t="s">
        <v>37</v>
      </c>
      <c r="G44" s="1" t="s">
        <v>38</v>
      </c>
      <c r="H44">
        <v>2</v>
      </c>
      <c r="I44" s="1" t="s">
        <v>26</v>
      </c>
      <c r="J44" s="1" t="s">
        <v>27</v>
      </c>
      <c r="K44">
        <v>4</v>
      </c>
      <c r="L44" s="1" t="s">
        <v>28</v>
      </c>
      <c r="M44">
        <v>44</v>
      </c>
      <c r="N44" s="1" t="s">
        <v>29</v>
      </c>
      <c r="O44" s="1" t="s">
        <v>30</v>
      </c>
      <c r="P44">
        <v>1</v>
      </c>
      <c r="Q44" s="1" t="s">
        <v>45</v>
      </c>
      <c r="R44">
        <v>2</v>
      </c>
      <c r="S44" s="1" t="s">
        <v>32</v>
      </c>
      <c r="T44" s="1" t="s">
        <v>33</v>
      </c>
      <c r="U44" s="1" t="s">
        <v>34</v>
      </c>
    </row>
    <row r="45" spans="1:21" x14ac:dyDescent="0.3">
      <c r="A45" s="1" t="s">
        <v>21</v>
      </c>
      <c r="B45">
        <v>30</v>
      </c>
      <c r="C45" s="1" t="s">
        <v>22</v>
      </c>
      <c r="D45" s="1" t="s">
        <v>54</v>
      </c>
      <c r="E45">
        <v>6187</v>
      </c>
      <c r="F45" s="1" t="s">
        <v>64</v>
      </c>
      <c r="G45" s="1" t="s">
        <v>44</v>
      </c>
      <c r="H45">
        <v>1</v>
      </c>
      <c r="I45" s="1" t="s">
        <v>61</v>
      </c>
      <c r="J45" s="1" t="s">
        <v>27</v>
      </c>
      <c r="K45">
        <v>4</v>
      </c>
      <c r="L45" s="1" t="s">
        <v>55</v>
      </c>
      <c r="M45">
        <v>24</v>
      </c>
      <c r="N45" s="1" t="s">
        <v>29</v>
      </c>
      <c r="O45" s="1" t="s">
        <v>56</v>
      </c>
      <c r="P45">
        <v>2</v>
      </c>
      <c r="Q45" s="1" t="s">
        <v>31</v>
      </c>
      <c r="R45">
        <v>1</v>
      </c>
      <c r="S45" s="1" t="s">
        <v>40</v>
      </c>
      <c r="T45" s="1" t="s">
        <v>33</v>
      </c>
      <c r="U45" s="1" t="s">
        <v>34</v>
      </c>
    </row>
    <row r="46" spans="1:21" x14ac:dyDescent="0.3">
      <c r="A46" s="1" t="s">
        <v>21</v>
      </c>
      <c r="B46">
        <v>48</v>
      </c>
      <c r="C46" s="1" t="s">
        <v>22</v>
      </c>
      <c r="D46" s="1" t="s">
        <v>54</v>
      </c>
      <c r="E46">
        <v>6143</v>
      </c>
      <c r="F46" s="1" t="s">
        <v>37</v>
      </c>
      <c r="G46" s="1" t="s">
        <v>25</v>
      </c>
      <c r="H46">
        <v>4</v>
      </c>
      <c r="I46" s="1" t="s">
        <v>39</v>
      </c>
      <c r="J46" s="1" t="s">
        <v>27</v>
      </c>
      <c r="K46">
        <v>4</v>
      </c>
      <c r="L46" s="1" t="s">
        <v>52</v>
      </c>
      <c r="M46">
        <v>58</v>
      </c>
      <c r="N46" s="1" t="s">
        <v>70</v>
      </c>
      <c r="O46" s="1" t="s">
        <v>49</v>
      </c>
      <c r="P46">
        <v>2</v>
      </c>
      <c r="Q46" s="1" t="s">
        <v>45</v>
      </c>
      <c r="R46">
        <v>1</v>
      </c>
      <c r="S46" s="1" t="s">
        <v>40</v>
      </c>
      <c r="T46" s="1" t="s">
        <v>33</v>
      </c>
      <c r="U46" s="1" t="s">
        <v>41</v>
      </c>
    </row>
    <row r="47" spans="1:21" x14ac:dyDescent="0.3">
      <c r="A47" s="1" t="s">
        <v>42</v>
      </c>
      <c r="B47">
        <v>11</v>
      </c>
      <c r="C47" s="1" t="s">
        <v>22</v>
      </c>
      <c r="D47" s="1" t="s">
        <v>51</v>
      </c>
      <c r="E47">
        <v>1393</v>
      </c>
      <c r="F47" s="1" t="s">
        <v>37</v>
      </c>
      <c r="G47" s="1" t="s">
        <v>62</v>
      </c>
      <c r="H47">
        <v>4</v>
      </c>
      <c r="I47" s="1" t="s">
        <v>39</v>
      </c>
      <c r="J47" s="1" t="s">
        <v>27</v>
      </c>
      <c r="K47">
        <v>4</v>
      </c>
      <c r="L47" s="1" t="s">
        <v>55</v>
      </c>
      <c r="M47">
        <v>35</v>
      </c>
      <c r="N47" s="1" t="s">
        <v>29</v>
      </c>
      <c r="O47" s="1" t="s">
        <v>30</v>
      </c>
      <c r="P47">
        <v>2</v>
      </c>
      <c r="Q47" s="1" t="s">
        <v>57</v>
      </c>
      <c r="R47">
        <v>1</v>
      </c>
      <c r="S47" s="1" t="s">
        <v>40</v>
      </c>
      <c r="T47" s="1" t="s">
        <v>33</v>
      </c>
      <c r="U47" s="1" t="s">
        <v>34</v>
      </c>
    </row>
    <row r="48" spans="1:21" x14ac:dyDescent="0.3">
      <c r="A48" s="1" t="s">
        <v>42</v>
      </c>
      <c r="B48">
        <v>36</v>
      </c>
      <c r="C48" s="1" t="s">
        <v>36</v>
      </c>
      <c r="D48" s="1" t="s">
        <v>23</v>
      </c>
      <c r="E48">
        <v>2299</v>
      </c>
      <c r="F48" s="1" t="s">
        <v>53</v>
      </c>
      <c r="G48" s="1" t="s">
        <v>25</v>
      </c>
      <c r="H48">
        <v>4</v>
      </c>
      <c r="I48" s="1" t="s">
        <v>26</v>
      </c>
      <c r="J48" s="1" t="s">
        <v>27</v>
      </c>
      <c r="K48">
        <v>4</v>
      </c>
      <c r="L48" s="1" t="s">
        <v>55</v>
      </c>
      <c r="M48">
        <v>39</v>
      </c>
      <c r="N48" s="1" t="s">
        <v>29</v>
      </c>
      <c r="O48" s="1" t="s">
        <v>30</v>
      </c>
      <c r="P48">
        <v>1</v>
      </c>
      <c r="Q48" s="1" t="s">
        <v>31</v>
      </c>
      <c r="R48">
        <v>1</v>
      </c>
      <c r="S48" s="1" t="s">
        <v>40</v>
      </c>
      <c r="T48" s="1" t="s">
        <v>33</v>
      </c>
      <c r="U48" s="1" t="s">
        <v>34</v>
      </c>
    </row>
    <row r="49" spans="1:21" x14ac:dyDescent="0.3">
      <c r="A49" s="1" t="s">
        <v>21</v>
      </c>
      <c r="B49">
        <v>6</v>
      </c>
      <c r="C49" s="1" t="s">
        <v>36</v>
      </c>
      <c r="D49" s="1" t="s">
        <v>54</v>
      </c>
      <c r="E49">
        <v>1352</v>
      </c>
      <c r="F49" s="1" t="s">
        <v>53</v>
      </c>
      <c r="G49" s="1" t="s">
        <v>60</v>
      </c>
      <c r="H49">
        <v>1</v>
      </c>
      <c r="I49" s="1" t="s">
        <v>39</v>
      </c>
      <c r="J49" s="1" t="s">
        <v>27</v>
      </c>
      <c r="K49">
        <v>2</v>
      </c>
      <c r="L49" s="1" t="s">
        <v>48</v>
      </c>
      <c r="M49">
        <v>23</v>
      </c>
      <c r="N49" s="1" t="s">
        <v>29</v>
      </c>
      <c r="O49" s="1" t="s">
        <v>56</v>
      </c>
      <c r="P49">
        <v>1</v>
      </c>
      <c r="Q49" s="1" t="s">
        <v>74</v>
      </c>
      <c r="R49">
        <v>1</v>
      </c>
      <c r="S49" s="1" t="s">
        <v>32</v>
      </c>
      <c r="T49" s="1" t="s">
        <v>33</v>
      </c>
      <c r="U49" s="1" t="s">
        <v>34</v>
      </c>
    </row>
    <row r="50" spans="1:21" x14ac:dyDescent="0.3">
      <c r="A50" s="1" t="s">
        <v>42</v>
      </c>
      <c r="B50">
        <v>11</v>
      </c>
      <c r="C50" s="1" t="s">
        <v>22</v>
      </c>
      <c r="D50" s="1" t="s">
        <v>51</v>
      </c>
      <c r="E50">
        <v>7228</v>
      </c>
      <c r="F50" s="1" t="s">
        <v>37</v>
      </c>
      <c r="G50" s="1" t="s">
        <v>38</v>
      </c>
      <c r="H50">
        <v>1</v>
      </c>
      <c r="I50" s="1" t="s">
        <v>26</v>
      </c>
      <c r="J50" s="1" t="s">
        <v>27</v>
      </c>
      <c r="K50">
        <v>4</v>
      </c>
      <c r="L50" s="1" t="s">
        <v>48</v>
      </c>
      <c r="M50">
        <v>39</v>
      </c>
      <c r="N50" s="1" t="s">
        <v>29</v>
      </c>
      <c r="O50" s="1" t="s">
        <v>30</v>
      </c>
      <c r="P50">
        <v>2</v>
      </c>
      <c r="Q50" s="1" t="s">
        <v>45</v>
      </c>
      <c r="R50">
        <v>1</v>
      </c>
      <c r="S50" s="1" t="s">
        <v>40</v>
      </c>
      <c r="T50" s="1" t="s">
        <v>33</v>
      </c>
      <c r="U50" s="1" t="s">
        <v>34</v>
      </c>
    </row>
    <row r="51" spans="1:21" x14ac:dyDescent="0.3">
      <c r="A51" s="1" t="s">
        <v>42</v>
      </c>
      <c r="B51">
        <v>12</v>
      </c>
      <c r="C51" s="1" t="s">
        <v>36</v>
      </c>
      <c r="D51" s="1" t="s">
        <v>23</v>
      </c>
      <c r="E51">
        <v>2073</v>
      </c>
      <c r="F51" s="1" t="s">
        <v>64</v>
      </c>
      <c r="G51" s="1" t="s">
        <v>38</v>
      </c>
      <c r="H51">
        <v>4</v>
      </c>
      <c r="I51" s="1" t="s">
        <v>39</v>
      </c>
      <c r="J51" s="1" t="s">
        <v>71</v>
      </c>
      <c r="K51">
        <v>2</v>
      </c>
      <c r="L51" s="1" t="s">
        <v>28</v>
      </c>
      <c r="M51">
        <v>28</v>
      </c>
      <c r="N51" s="1" t="s">
        <v>29</v>
      </c>
      <c r="O51" s="1" t="s">
        <v>30</v>
      </c>
      <c r="P51">
        <v>1</v>
      </c>
      <c r="Q51" s="1" t="s">
        <v>31</v>
      </c>
      <c r="R51">
        <v>1</v>
      </c>
      <c r="S51" s="1" t="s">
        <v>40</v>
      </c>
      <c r="T51" s="1" t="s">
        <v>33</v>
      </c>
      <c r="U51" s="1" t="s">
        <v>34</v>
      </c>
    </row>
    <row r="52" spans="1:21" x14ac:dyDescent="0.3">
      <c r="A52" s="1" t="s">
        <v>35</v>
      </c>
      <c r="B52">
        <v>24</v>
      </c>
      <c r="C52" s="1" t="s">
        <v>50</v>
      </c>
      <c r="D52" s="1" t="s">
        <v>46</v>
      </c>
      <c r="E52">
        <v>2333</v>
      </c>
      <c r="F52" s="1" t="s">
        <v>24</v>
      </c>
      <c r="G52" s="1" t="s">
        <v>62</v>
      </c>
      <c r="H52">
        <v>4</v>
      </c>
      <c r="I52" s="1" t="s">
        <v>26</v>
      </c>
      <c r="J52" s="1" t="s">
        <v>27</v>
      </c>
      <c r="K52">
        <v>2</v>
      </c>
      <c r="L52" s="1" t="s">
        <v>48</v>
      </c>
      <c r="M52">
        <v>29</v>
      </c>
      <c r="N52" s="1" t="s">
        <v>66</v>
      </c>
      <c r="O52" s="1" t="s">
        <v>30</v>
      </c>
      <c r="P52">
        <v>1</v>
      </c>
      <c r="Q52" s="1" t="s">
        <v>45</v>
      </c>
      <c r="R52">
        <v>1</v>
      </c>
      <c r="S52" s="1" t="s">
        <v>40</v>
      </c>
      <c r="T52" s="1" t="s">
        <v>33</v>
      </c>
      <c r="U52" s="1" t="s">
        <v>34</v>
      </c>
    </row>
    <row r="53" spans="1:21" x14ac:dyDescent="0.3">
      <c r="A53" s="1" t="s">
        <v>35</v>
      </c>
      <c r="B53">
        <v>27</v>
      </c>
      <c r="C53" s="1" t="s">
        <v>50</v>
      </c>
      <c r="D53" s="1" t="s">
        <v>54</v>
      </c>
      <c r="E53">
        <v>5965</v>
      </c>
      <c r="F53" s="1" t="s">
        <v>37</v>
      </c>
      <c r="G53" s="1" t="s">
        <v>25</v>
      </c>
      <c r="H53">
        <v>1</v>
      </c>
      <c r="I53" s="1" t="s">
        <v>26</v>
      </c>
      <c r="J53" s="1" t="s">
        <v>27</v>
      </c>
      <c r="K53">
        <v>2</v>
      </c>
      <c r="L53" s="1" t="s">
        <v>55</v>
      </c>
      <c r="M53">
        <v>30</v>
      </c>
      <c r="N53" s="1" t="s">
        <v>29</v>
      </c>
      <c r="O53" s="1" t="s">
        <v>30</v>
      </c>
      <c r="P53">
        <v>2</v>
      </c>
      <c r="Q53" s="1" t="s">
        <v>57</v>
      </c>
      <c r="R53">
        <v>1</v>
      </c>
      <c r="S53" s="1" t="s">
        <v>32</v>
      </c>
      <c r="T53" s="1" t="s">
        <v>33</v>
      </c>
      <c r="U53" s="1" t="s">
        <v>34</v>
      </c>
    </row>
    <row r="54" spans="1:21" x14ac:dyDescent="0.3">
      <c r="A54" s="1" t="s">
        <v>42</v>
      </c>
      <c r="B54">
        <v>12</v>
      </c>
      <c r="C54" s="1" t="s">
        <v>36</v>
      </c>
      <c r="D54" s="1" t="s">
        <v>23</v>
      </c>
      <c r="E54">
        <v>1262</v>
      </c>
      <c r="F54" s="1" t="s">
        <v>37</v>
      </c>
      <c r="G54" s="1" t="s">
        <v>38</v>
      </c>
      <c r="H54">
        <v>3</v>
      </c>
      <c r="I54" s="1" t="s">
        <v>26</v>
      </c>
      <c r="J54" s="1" t="s">
        <v>27</v>
      </c>
      <c r="K54">
        <v>2</v>
      </c>
      <c r="L54" s="1" t="s">
        <v>55</v>
      </c>
      <c r="M54">
        <v>25</v>
      </c>
      <c r="N54" s="1" t="s">
        <v>29</v>
      </c>
      <c r="O54" s="1" t="s">
        <v>30</v>
      </c>
      <c r="P54">
        <v>1</v>
      </c>
      <c r="Q54" s="1" t="s">
        <v>31</v>
      </c>
      <c r="R54">
        <v>1</v>
      </c>
      <c r="S54" s="1" t="s">
        <v>40</v>
      </c>
      <c r="T54" s="1" t="s">
        <v>33</v>
      </c>
      <c r="U54" s="1" t="s">
        <v>34</v>
      </c>
    </row>
    <row r="55" spans="1:21" x14ac:dyDescent="0.3">
      <c r="A55" s="1" t="s">
        <v>42</v>
      </c>
      <c r="B55">
        <v>18</v>
      </c>
      <c r="C55" s="1" t="s">
        <v>36</v>
      </c>
      <c r="D55" s="1" t="s">
        <v>54</v>
      </c>
      <c r="E55">
        <v>3378</v>
      </c>
      <c r="F55" s="1" t="s">
        <v>24</v>
      </c>
      <c r="G55" s="1" t="s">
        <v>38</v>
      </c>
      <c r="H55">
        <v>2</v>
      </c>
      <c r="I55" s="1" t="s">
        <v>26</v>
      </c>
      <c r="J55" s="1" t="s">
        <v>27</v>
      </c>
      <c r="K55">
        <v>1</v>
      </c>
      <c r="L55" s="1" t="s">
        <v>48</v>
      </c>
      <c r="M55">
        <v>31</v>
      </c>
      <c r="N55" s="1" t="s">
        <v>29</v>
      </c>
      <c r="O55" s="1" t="s">
        <v>30</v>
      </c>
      <c r="P55">
        <v>1</v>
      </c>
      <c r="Q55" s="1" t="s">
        <v>31</v>
      </c>
      <c r="R55">
        <v>1</v>
      </c>
      <c r="S55" s="1" t="s">
        <v>32</v>
      </c>
      <c r="T55" s="1" t="s">
        <v>33</v>
      </c>
      <c r="U55" s="1" t="s">
        <v>34</v>
      </c>
    </row>
    <row r="56" spans="1:21" x14ac:dyDescent="0.3">
      <c r="A56" s="1" t="s">
        <v>35</v>
      </c>
      <c r="B56">
        <v>36</v>
      </c>
      <c r="C56" s="1" t="s">
        <v>50</v>
      </c>
      <c r="D56" s="1" t="s">
        <v>51</v>
      </c>
      <c r="E56">
        <v>2225</v>
      </c>
      <c r="F56" s="1" t="s">
        <v>37</v>
      </c>
      <c r="G56" s="1" t="s">
        <v>25</v>
      </c>
      <c r="H56">
        <v>4</v>
      </c>
      <c r="I56" s="1" t="s">
        <v>26</v>
      </c>
      <c r="J56" s="1" t="s">
        <v>27</v>
      </c>
      <c r="K56">
        <v>4</v>
      </c>
      <c r="L56" s="1" t="s">
        <v>52</v>
      </c>
      <c r="M56">
        <v>57</v>
      </c>
      <c r="N56" s="1" t="s">
        <v>66</v>
      </c>
      <c r="O56" s="1" t="s">
        <v>49</v>
      </c>
      <c r="P56">
        <v>2</v>
      </c>
      <c r="Q56" s="1" t="s">
        <v>31</v>
      </c>
      <c r="R56">
        <v>1</v>
      </c>
      <c r="S56" s="1" t="s">
        <v>32</v>
      </c>
      <c r="T56" s="1" t="s">
        <v>33</v>
      </c>
      <c r="U56" s="1" t="s">
        <v>41</v>
      </c>
    </row>
    <row r="57" spans="1:21" x14ac:dyDescent="0.3">
      <c r="A57" s="1" t="s">
        <v>42</v>
      </c>
      <c r="B57">
        <v>6</v>
      </c>
      <c r="C57" s="1" t="s">
        <v>69</v>
      </c>
      <c r="D57" s="1" t="s">
        <v>51</v>
      </c>
      <c r="E57">
        <v>783</v>
      </c>
      <c r="F57" s="1" t="s">
        <v>24</v>
      </c>
      <c r="G57" s="1" t="s">
        <v>38</v>
      </c>
      <c r="H57">
        <v>1</v>
      </c>
      <c r="I57" s="1" t="s">
        <v>26</v>
      </c>
      <c r="J57" s="1" t="s">
        <v>47</v>
      </c>
      <c r="K57">
        <v>2</v>
      </c>
      <c r="L57" s="1" t="s">
        <v>28</v>
      </c>
      <c r="M57">
        <v>26</v>
      </c>
      <c r="N57" s="1" t="s">
        <v>70</v>
      </c>
      <c r="O57" s="1" t="s">
        <v>30</v>
      </c>
      <c r="P57">
        <v>1</v>
      </c>
      <c r="Q57" s="1" t="s">
        <v>45</v>
      </c>
      <c r="R57">
        <v>2</v>
      </c>
      <c r="S57" s="1" t="s">
        <v>40</v>
      </c>
      <c r="T57" s="1" t="s">
        <v>33</v>
      </c>
      <c r="U57" s="1" t="s">
        <v>34</v>
      </c>
    </row>
    <row r="58" spans="1:21" x14ac:dyDescent="0.3">
      <c r="A58" s="1" t="s">
        <v>35</v>
      </c>
      <c r="B58">
        <v>12</v>
      </c>
      <c r="C58" s="1" t="s">
        <v>36</v>
      </c>
      <c r="D58" s="1" t="s">
        <v>23</v>
      </c>
      <c r="E58">
        <v>6468</v>
      </c>
      <c r="F58" s="1" t="s">
        <v>24</v>
      </c>
      <c r="G58" s="1" t="s">
        <v>60</v>
      </c>
      <c r="H58">
        <v>2</v>
      </c>
      <c r="I58" s="1" t="s">
        <v>26</v>
      </c>
      <c r="J58" s="1" t="s">
        <v>27</v>
      </c>
      <c r="K58">
        <v>1</v>
      </c>
      <c r="L58" s="1" t="s">
        <v>52</v>
      </c>
      <c r="M58">
        <v>52</v>
      </c>
      <c r="N58" s="1" t="s">
        <v>29</v>
      </c>
      <c r="O58" s="1" t="s">
        <v>30</v>
      </c>
      <c r="P58">
        <v>1</v>
      </c>
      <c r="Q58" s="1" t="s">
        <v>57</v>
      </c>
      <c r="R58">
        <v>1</v>
      </c>
      <c r="S58" s="1" t="s">
        <v>32</v>
      </c>
      <c r="T58" s="1" t="s">
        <v>33</v>
      </c>
      <c r="U58" s="1" t="s">
        <v>41</v>
      </c>
    </row>
    <row r="59" spans="1:21" x14ac:dyDescent="0.3">
      <c r="A59" s="1" t="s">
        <v>42</v>
      </c>
      <c r="B59">
        <v>36</v>
      </c>
      <c r="C59" s="1" t="s">
        <v>22</v>
      </c>
      <c r="D59" s="1" t="s">
        <v>23</v>
      </c>
      <c r="E59">
        <v>9566</v>
      </c>
      <c r="F59" s="1" t="s">
        <v>37</v>
      </c>
      <c r="G59" s="1" t="s">
        <v>38</v>
      </c>
      <c r="H59">
        <v>2</v>
      </c>
      <c r="I59" s="1" t="s">
        <v>39</v>
      </c>
      <c r="J59" s="1" t="s">
        <v>27</v>
      </c>
      <c r="K59">
        <v>2</v>
      </c>
      <c r="L59" s="1" t="s">
        <v>55</v>
      </c>
      <c r="M59">
        <v>31</v>
      </c>
      <c r="N59" s="1" t="s">
        <v>70</v>
      </c>
      <c r="O59" s="1" t="s">
        <v>30</v>
      </c>
      <c r="P59">
        <v>2</v>
      </c>
      <c r="Q59" s="1" t="s">
        <v>31</v>
      </c>
      <c r="R59">
        <v>1</v>
      </c>
      <c r="S59" s="1" t="s">
        <v>40</v>
      </c>
      <c r="T59" s="1" t="s">
        <v>33</v>
      </c>
      <c r="U59" s="1" t="s">
        <v>34</v>
      </c>
    </row>
    <row r="60" spans="1:21" x14ac:dyDescent="0.3">
      <c r="A60" s="1" t="s">
        <v>68</v>
      </c>
      <c r="B60">
        <v>18</v>
      </c>
      <c r="C60" s="1" t="s">
        <v>36</v>
      </c>
      <c r="D60" s="1" t="s">
        <v>51</v>
      </c>
      <c r="E60">
        <v>1961</v>
      </c>
      <c r="F60" s="1" t="s">
        <v>37</v>
      </c>
      <c r="G60" s="1" t="s">
        <v>25</v>
      </c>
      <c r="H60">
        <v>3</v>
      </c>
      <c r="I60" s="1" t="s">
        <v>39</v>
      </c>
      <c r="J60" s="1" t="s">
        <v>27</v>
      </c>
      <c r="K60">
        <v>2</v>
      </c>
      <c r="L60" s="1" t="s">
        <v>55</v>
      </c>
      <c r="M60">
        <v>23</v>
      </c>
      <c r="N60" s="1" t="s">
        <v>29</v>
      </c>
      <c r="O60" s="1" t="s">
        <v>30</v>
      </c>
      <c r="P60">
        <v>1</v>
      </c>
      <c r="Q60" s="1" t="s">
        <v>57</v>
      </c>
      <c r="R60">
        <v>1</v>
      </c>
      <c r="S60" s="1" t="s">
        <v>40</v>
      </c>
      <c r="T60" s="1" t="s">
        <v>33</v>
      </c>
      <c r="U60" s="1" t="s">
        <v>34</v>
      </c>
    </row>
    <row r="61" spans="1:21" x14ac:dyDescent="0.3">
      <c r="A61" s="1" t="s">
        <v>21</v>
      </c>
      <c r="B61">
        <v>36</v>
      </c>
      <c r="C61" s="1" t="s">
        <v>22</v>
      </c>
      <c r="D61" s="1" t="s">
        <v>46</v>
      </c>
      <c r="E61">
        <v>6229</v>
      </c>
      <c r="F61" s="1" t="s">
        <v>37</v>
      </c>
      <c r="G61" s="1" t="s">
        <v>62</v>
      </c>
      <c r="H61">
        <v>4</v>
      </c>
      <c r="I61" s="1" t="s">
        <v>39</v>
      </c>
      <c r="J61" s="1" t="s">
        <v>71</v>
      </c>
      <c r="K61">
        <v>4</v>
      </c>
      <c r="L61" s="1" t="s">
        <v>52</v>
      </c>
      <c r="M61">
        <v>23</v>
      </c>
      <c r="N61" s="1" t="s">
        <v>29</v>
      </c>
      <c r="O61" s="1" t="s">
        <v>56</v>
      </c>
      <c r="P61">
        <v>2</v>
      </c>
      <c r="Q61" s="1" t="s">
        <v>45</v>
      </c>
      <c r="R61">
        <v>1</v>
      </c>
      <c r="S61" s="1" t="s">
        <v>32</v>
      </c>
      <c r="T61" s="1" t="s">
        <v>33</v>
      </c>
      <c r="U61" s="1" t="s">
        <v>41</v>
      </c>
    </row>
    <row r="62" spans="1:21" x14ac:dyDescent="0.3">
      <c r="A62" s="1" t="s">
        <v>35</v>
      </c>
      <c r="B62">
        <v>9</v>
      </c>
      <c r="C62" s="1" t="s">
        <v>36</v>
      </c>
      <c r="D62" s="1" t="s">
        <v>63</v>
      </c>
      <c r="E62">
        <v>1391</v>
      </c>
      <c r="F62" s="1" t="s">
        <v>37</v>
      </c>
      <c r="G62" s="1" t="s">
        <v>38</v>
      </c>
      <c r="H62">
        <v>2</v>
      </c>
      <c r="I62" s="1" t="s">
        <v>61</v>
      </c>
      <c r="J62" s="1" t="s">
        <v>27</v>
      </c>
      <c r="K62">
        <v>1</v>
      </c>
      <c r="L62" s="1" t="s">
        <v>28</v>
      </c>
      <c r="M62">
        <v>27</v>
      </c>
      <c r="N62" s="1" t="s">
        <v>66</v>
      </c>
      <c r="O62" s="1" t="s">
        <v>30</v>
      </c>
      <c r="P62">
        <v>1</v>
      </c>
      <c r="Q62" s="1" t="s">
        <v>31</v>
      </c>
      <c r="R62">
        <v>1</v>
      </c>
      <c r="S62" s="1" t="s">
        <v>32</v>
      </c>
      <c r="T62" s="1" t="s">
        <v>33</v>
      </c>
      <c r="U62" s="1" t="s">
        <v>34</v>
      </c>
    </row>
    <row r="63" spans="1:21" x14ac:dyDescent="0.3">
      <c r="A63" s="1" t="s">
        <v>35</v>
      </c>
      <c r="B63">
        <v>15</v>
      </c>
      <c r="C63" s="1" t="s">
        <v>22</v>
      </c>
      <c r="D63" s="1" t="s">
        <v>23</v>
      </c>
      <c r="E63">
        <v>1537</v>
      </c>
      <c r="F63" s="1" t="s">
        <v>24</v>
      </c>
      <c r="G63" s="1" t="s">
        <v>25</v>
      </c>
      <c r="H63">
        <v>4</v>
      </c>
      <c r="I63" s="1" t="s">
        <v>26</v>
      </c>
      <c r="J63" s="1" t="s">
        <v>47</v>
      </c>
      <c r="K63">
        <v>4</v>
      </c>
      <c r="L63" s="1" t="s">
        <v>28</v>
      </c>
      <c r="M63">
        <v>50</v>
      </c>
      <c r="N63" s="1" t="s">
        <v>29</v>
      </c>
      <c r="O63" s="1" t="s">
        <v>30</v>
      </c>
      <c r="P63">
        <v>2</v>
      </c>
      <c r="Q63" s="1" t="s">
        <v>31</v>
      </c>
      <c r="R63">
        <v>1</v>
      </c>
      <c r="S63" s="1" t="s">
        <v>32</v>
      </c>
      <c r="T63" s="1" t="s">
        <v>33</v>
      </c>
      <c r="U63" s="1" t="s">
        <v>34</v>
      </c>
    </row>
    <row r="64" spans="1:21" x14ac:dyDescent="0.3">
      <c r="A64" s="1" t="s">
        <v>35</v>
      </c>
      <c r="B64">
        <v>36</v>
      </c>
      <c r="C64" s="1" t="s">
        <v>65</v>
      </c>
      <c r="D64" s="1" t="s">
        <v>63</v>
      </c>
      <c r="E64">
        <v>1953</v>
      </c>
      <c r="F64" s="1" t="s">
        <v>37</v>
      </c>
      <c r="G64" s="1" t="s">
        <v>25</v>
      </c>
      <c r="H64">
        <v>4</v>
      </c>
      <c r="I64" s="1" t="s">
        <v>26</v>
      </c>
      <c r="J64" s="1" t="s">
        <v>27</v>
      </c>
      <c r="K64">
        <v>4</v>
      </c>
      <c r="L64" s="1" t="s">
        <v>52</v>
      </c>
      <c r="M64">
        <v>61</v>
      </c>
      <c r="N64" s="1" t="s">
        <v>29</v>
      </c>
      <c r="O64" s="1" t="s">
        <v>49</v>
      </c>
      <c r="P64">
        <v>1</v>
      </c>
      <c r="Q64" s="1" t="s">
        <v>57</v>
      </c>
      <c r="R64">
        <v>1</v>
      </c>
      <c r="S64" s="1" t="s">
        <v>32</v>
      </c>
      <c r="T64" s="1" t="s">
        <v>33</v>
      </c>
      <c r="U64" s="1" t="s">
        <v>41</v>
      </c>
    </row>
    <row r="65" spans="1:21" x14ac:dyDescent="0.3">
      <c r="A65" s="1" t="s">
        <v>35</v>
      </c>
      <c r="B65">
        <v>48</v>
      </c>
      <c r="C65" s="1" t="s">
        <v>65</v>
      </c>
      <c r="D65" s="1" t="s">
        <v>63</v>
      </c>
      <c r="E65">
        <v>14421</v>
      </c>
      <c r="F65" s="1" t="s">
        <v>37</v>
      </c>
      <c r="G65" s="1" t="s">
        <v>38</v>
      </c>
      <c r="H65">
        <v>2</v>
      </c>
      <c r="I65" s="1" t="s">
        <v>26</v>
      </c>
      <c r="J65" s="1" t="s">
        <v>27</v>
      </c>
      <c r="K65">
        <v>2</v>
      </c>
      <c r="L65" s="1" t="s">
        <v>55</v>
      </c>
      <c r="M65">
        <v>25</v>
      </c>
      <c r="N65" s="1" t="s">
        <v>29</v>
      </c>
      <c r="O65" s="1" t="s">
        <v>30</v>
      </c>
      <c r="P65">
        <v>1</v>
      </c>
      <c r="Q65" s="1" t="s">
        <v>31</v>
      </c>
      <c r="R65">
        <v>1</v>
      </c>
      <c r="S65" s="1" t="s">
        <v>32</v>
      </c>
      <c r="T65" s="1" t="s">
        <v>33</v>
      </c>
      <c r="U65" s="1" t="s">
        <v>41</v>
      </c>
    </row>
    <row r="66" spans="1:21" x14ac:dyDescent="0.3">
      <c r="A66" s="1" t="s">
        <v>42</v>
      </c>
      <c r="B66">
        <v>24</v>
      </c>
      <c r="C66" s="1" t="s">
        <v>36</v>
      </c>
      <c r="D66" s="1" t="s">
        <v>23</v>
      </c>
      <c r="E66">
        <v>3181</v>
      </c>
      <c r="F66" s="1" t="s">
        <v>37</v>
      </c>
      <c r="G66" s="1" t="s">
        <v>62</v>
      </c>
      <c r="H66">
        <v>4</v>
      </c>
      <c r="I66" s="1" t="s">
        <v>39</v>
      </c>
      <c r="J66" s="1" t="s">
        <v>27</v>
      </c>
      <c r="K66">
        <v>4</v>
      </c>
      <c r="L66" s="1" t="s">
        <v>48</v>
      </c>
      <c r="M66">
        <v>26</v>
      </c>
      <c r="N66" s="1" t="s">
        <v>29</v>
      </c>
      <c r="O66" s="1" t="s">
        <v>30</v>
      </c>
      <c r="P66">
        <v>1</v>
      </c>
      <c r="Q66" s="1" t="s">
        <v>31</v>
      </c>
      <c r="R66">
        <v>1</v>
      </c>
      <c r="S66" s="1" t="s">
        <v>32</v>
      </c>
      <c r="T66" s="1" t="s">
        <v>33</v>
      </c>
      <c r="U66" s="1" t="s">
        <v>34</v>
      </c>
    </row>
    <row r="67" spans="1:21" x14ac:dyDescent="0.3">
      <c r="A67" s="1" t="s">
        <v>42</v>
      </c>
      <c r="B67">
        <v>27</v>
      </c>
      <c r="C67" s="1" t="s">
        <v>36</v>
      </c>
      <c r="D67" s="1" t="s">
        <v>73</v>
      </c>
      <c r="E67">
        <v>5190</v>
      </c>
      <c r="F67" s="1" t="s">
        <v>24</v>
      </c>
      <c r="G67" s="1" t="s">
        <v>25</v>
      </c>
      <c r="H67">
        <v>4</v>
      </c>
      <c r="I67" s="1" t="s">
        <v>26</v>
      </c>
      <c r="J67" s="1" t="s">
        <v>27</v>
      </c>
      <c r="K67">
        <v>4</v>
      </c>
      <c r="L67" s="1" t="s">
        <v>48</v>
      </c>
      <c r="M67">
        <v>48</v>
      </c>
      <c r="N67" s="1" t="s">
        <v>29</v>
      </c>
      <c r="O67" s="1" t="s">
        <v>30</v>
      </c>
      <c r="P67">
        <v>4</v>
      </c>
      <c r="Q67" s="1" t="s">
        <v>31</v>
      </c>
      <c r="R67">
        <v>2</v>
      </c>
      <c r="S67" s="1" t="s">
        <v>32</v>
      </c>
      <c r="T67" s="1" t="s">
        <v>33</v>
      </c>
      <c r="U67" s="1" t="s">
        <v>34</v>
      </c>
    </row>
    <row r="68" spans="1:21" x14ac:dyDescent="0.3">
      <c r="A68" s="1" t="s">
        <v>42</v>
      </c>
      <c r="B68">
        <v>12</v>
      </c>
      <c r="C68" s="1" t="s">
        <v>36</v>
      </c>
      <c r="D68" s="1" t="s">
        <v>23</v>
      </c>
      <c r="E68">
        <v>2171</v>
      </c>
      <c r="F68" s="1" t="s">
        <v>37</v>
      </c>
      <c r="G68" s="1" t="s">
        <v>62</v>
      </c>
      <c r="H68">
        <v>2</v>
      </c>
      <c r="I68" s="1" t="s">
        <v>39</v>
      </c>
      <c r="J68" s="1" t="s">
        <v>27</v>
      </c>
      <c r="K68">
        <v>2</v>
      </c>
      <c r="L68" s="1" t="s">
        <v>55</v>
      </c>
      <c r="M68">
        <v>29</v>
      </c>
      <c r="N68" s="1" t="s">
        <v>66</v>
      </c>
      <c r="O68" s="1" t="s">
        <v>30</v>
      </c>
      <c r="P68">
        <v>1</v>
      </c>
      <c r="Q68" s="1" t="s">
        <v>31</v>
      </c>
      <c r="R68">
        <v>1</v>
      </c>
      <c r="S68" s="1" t="s">
        <v>40</v>
      </c>
      <c r="T68" s="1" t="s">
        <v>33</v>
      </c>
      <c r="U68" s="1" t="s">
        <v>34</v>
      </c>
    </row>
    <row r="69" spans="1:21" x14ac:dyDescent="0.3">
      <c r="A69" s="1" t="s">
        <v>35</v>
      </c>
      <c r="B69">
        <v>12</v>
      </c>
      <c r="C69" s="1" t="s">
        <v>36</v>
      </c>
      <c r="D69" s="1" t="s">
        <v>51</v>
      </c>
      <c r="E69">
        <v>1007</v>
      </c>
      <c r="F69" s="1" t="s">
        <v>58</v>
      </c>
      <c r="G69" s="1" t="s">
        <v>38</v>
      </c>
      <c r="H69">
        <v>4</v>
      </c>
      <c r="I69" s="1" t="s">
        <v>61</v>
      </c>
      <c r="J69" s="1" t="s">
        <v>27</v>
      </c>
      <c r="K69">
        <v>1</v>
      </c>
      <c r="L69" s="1" t="s">
        <v>28</v>
      </c>
      <c r="M69">
        <v>22</v>
      </c>
      <c r="N69" s="1" t="s">
        <v>29</v>
      </c>
      <c r="O69" s="1" t="s">
        <v>30</v>
      </c>
      <c r="P69">
        <v>1</v>
      </c>
      <c r="Q69" s="1" t="s">
        <v>31</v>
      </c>
      <c r="R69">
        <v>1</v>
      </c>
      <c r="S69" s="1" t="s">
        <v>40</v>
      </c>
      <c r="T69" s="1" t="s">
        <v>33</v>
      </c>
      <c r="U69" s="1" t="s">
        <v>34</v>
      </c>
    </row>
    <row r="70" spans="1:21" x14ac:dyDescent="0.3">
      <c r="A70" s="1" t="s">
        <v>42</v>
      </c>
      <c r="B70">
        <v>36</v>
      </c>
      <c r="C70" s="1" t="s">
        <v>36</v>
      </c>
      <c r="D70" s="1" t="s">
        <v>43</v>
      </c>
      <c r="E70">
        <v>1819</v>
      </c>
      <c r="F70" s="1" t="s">
        <v>37</v>
      </c>
      <c r="G70" s="1" t="s">
        <v>38</v>
      </c>
      <c r="H70">
        <v>4</v>
      </c>
      <c r="I70" s="1" t="s">
        <v>26</v>
      </c>
      <c r="J70" s="1" t="s">
        <v>27</v>
      </c>
      <c r="K70">
        <v>4</v>
      </c>
      <c r="L70" s="1" t="s">
        <v>52</v>
      </c>
      <c r="M70">
        <v>37</v>
      </c>
      <c r="N70" s="1" t="s">
        <v>70</v>
      </c>
      <c r="O70" s="1" t="s">
        <v>49</v>
      </c>
      <c r="P70">
        <v>1</v>
      </c>
      <c r="Q70" s="1" t="s">
        <v>31</v>
      </c>
      <c r="R70">
        <v>1</v>
      </c>
      <c r="S70" s="1" t="s">
        <v>32</v>
      </c>
      <c r="T70" s="1" t="s">
        <v>33</v>
      </c>
      <c r="U70" s="1" t="s">
        <v>41</v>
      </c>
    </row>
    <row r="71" spans="1:21" x14ac:dyDescent="0.3">
      <c r="A71" s="1" t="s">
        <v>42</v>
      </c>
      <c r="B71">
        <v>36</v>
      </c>
      <c r="C71" s="1" t="s">
        <v>36</v>
      </c>
      <c r="D71" s="1" t="s">
        <v>23</v>
      </c>
      <c r="E71">
        <v>2394</v>
      </c>
      <c r="F71" s="1" t="s">
        <v>24</v>
      </c>
      <c r="G71" s="1" t="s">
        <v>38</v>
      </c>
      <c r="H71">
        <v>4</v>
      </c>
      <c r="I71" s="1" t="s">
        <v>39</v>
      </c>
      <c r="J71" s="1" t="s">
        <v>27</v>
      </c>
      <c r="K71">
        <v>4</v>
      </c>
      <c r="L71" s="1" t="s">
        <v>55</v>
      </c>
      <c r="M71">
        <v>25</v>
      </c>
      <c r="N71" s="1" t="s">
        <v>29</v>
      </c>
      <c r="O71" s="1" t="s">
        <v>30</v>
      </c>
      <c r="P71">
        <v>1</v>
      </c>
      <c r="Q71" s="1" t="s">
        <v>31</v>
      </c>
      <c r="R71">
        <v>1</v>
      </c>
      <c r="S71" s="1" t="s">
        <v>40</v>
      </c>
      <c r="T71" s="1" t="s">
        <v>33</v>
      </c>
      <c r="U71" s="1" t="s">
        <v>34</v>
      </c>
    </row>
    <row r="72" spans="1:21" x14ac:dyDescent="0.3">
      <c r="A72" s="1" t="s">
        <v>42</v>
      </c>
      <c r="B72">
        <v>36</v>
      </c>
      <c r="C72" s="1" t="s">
        <v>36</v>
      </c>
      <c r="D72" s="1" t="s">
        <v>54</v>
      </c>
      <c r="E72">
        <v>8133</v>
      </c>
      <c r="F72" s="1" t="s">
        <v>37</v>
      </c>
      <c r="G72" s="1" t="s">
        <v>38</v>
      </c>
      <c r="H72">
        <v>1</v>
      </c>
      <c r="I72" s="1" t="s">
        <v>39</v>
      </c>
      <c r="J72" s="1" t="s">
        <v>27</v>
      </c>
      <c r="K72">
        <v>2</v>
      </c>
      <c r="L72" s="1" t="s">
        <v>48</v>
      </c>
      <c r="M72">
        <v>30</v>
      </c>
      <c r="N72" s="1" t="s">
        <v>66</v>
      </c>
      <c r="O72" s="1" t="s">
        <v>30</v>
      </c>
      <c r="P72">
        <v>1</v>
      </c>
      <c r="Q72" s="1" t="s">
        <v>31</v>
      </c>
      <c r="R72">
        <v>1</v>
      </c>
      <c r="S72" s="1" t="s">
        <v>40</v>
      </c>
      <c r="T72" s="1" t="s">
        <v>33</v>
      </c>
      <c r="U72" s="1" t="s">
        <v>34</v>
      </c>
    </row>
    <row r="73" spans="1:21" x14ac:dyDescent="0.3">
      <c r="A73" s="1" t="s">
        <v>42</v>
      </c>
      <c r="B73">
        <v>7</v>
      </c>
      <c r="C73" s="1" t="s">
        <v>22</v>
      </c>
      <c r="D73" s="1" t="s">
        <v>23</v>
      </c>
      <c r="E73">
        <v>730</v>
      </c>
      <c r="F73" s="1" t="s">
        <v>24</v>
      </c>
      <c r="G73" s="1" t="s">
        <v>25</v>
      </c>
      <c r="H73">
        <v>4</v>
      </c>
      <c r="I73" s="1" t="s">
        <v>26</v>
      </c>
      <c r="J73" s="1" t="s">
        <v>27</v>
      </c>
      <c r="K73">
        <v>2</v>
      </c>
      <c r="L73" s="1" t="s">
        <v>48</v>
      </c>
      <c r="M73">
        <v>46</v>
      </c>
      <c r="N73" s="1" t="s">
        <v>29</v>
      </c>
      <c r="O73" s="1" t="s">
        <v>56</v>
      </c>
      <c r="P73">
        <v>2</v>
      </c>
      <c r="Q73" s="1" t="s">
        <v>45</v>
      </c>
      <c r="R73">
        <v>1</v>
      </c>
      <c r="S73" s="1" t="s">
        <v>32</v>
      </c>
      <c r="T73" s="1" t="s">
        <v>33</v>
      </c>
      <c r="U73" s="1" t="s">
        <v>34</v>
      </c>
    </row>
    <row r="74" spans="1:21" x14ac:dyDescent="0.3">
      <c r="A74" s="1" t="s">
        <v>21</v>
      </c>
      <c r="B74">
        <v>8</v>
      </c>
      <c r="C74" s="1" t="s">
        <v>22</v>
      </c>
      <c r="D74" s="1" t="s">
        <v>75</v>
      </c>
      <c r="E74">
        <v>1164</v>
      </c>
      <c r="F74" s="1" t="s">
        <v>37</v>
      </c>
      <c r="G74" s="1" t="s">
        <v>25</v>
      </c>
      <c r="H74">
        <v>3</v>
      </c>
      <c r="I74" s="1" t="s">
        <v>26</v>
      </c>
      <c r="J74" s="1" t="s">
        <v>27</v>
      </c>
      <c r="K74">
        <v>4</v>
      </c>
      <c r="L74" s="1" t="s">
        <v>52</v>
      </c>
      <c r="M74">
        <v>51</v>
      </c>
      <c r="N74" s="1" t="s">
        <v>66</v>
      </c>
      <c r="O74" s="1" t="s">
        <v>49</v>
      </c>
      <c r="P74">
        <v>2</v>
      </c>
      <c r="Q74" s="1" t="s">
        <v>57</v>
      </c>
      <c r="R74">
        <v>2</v>
      </c>
      <c r="S74" s="1" t="s">
        <v>32</v>
      </c>
      <c r="T74" s="1" t="s">
        <v>33</v>
      </c>
      <c r="U74" s="1" t="s">
        <v>34</v>
      </c>
    </row>
    <row r="75" spans="1:21" x14ac:dyDescent="0.3">
      <c r="A75" s="1" t="s">
        <v>35</v>
      </c>
      <c r="B75">
        <v>42</v>
      </c>
      <c r="C75" s="1" t="s">
        <v>22</v>
      </c>
      <c r="D75" s="1" t="s">
        <v>63</v>
      </c>
      <c r="E75">
        <v>5954</v>
      </c>
      <c r="F75" s="1" t="s">
        <v>37</v>
      </c>
      <c r="G75" s="1" t="s">
        <v>44</v>
      </c>
      <c r="H75">
        <v>2</v>
      </c>
      <c r="I75" s="1" t="s">
        <v>39</v>
      </c>
      <c r="J75" s="1" t="s">
        <v>27</v>
      </c>
      <c r="K75">
        <v>1</v>
      </c>
      <c r="L75" s="1" t="s">
        <v>28</v>
      </c>
      <c r="M75">
        <v>41</v>
      </c>
      <c r="N75" s="1" t="s">
        <v>66</v>
      </c>
      <c r="O75" s="1" t="s">
        <v>30</v>
      </c>
      <c r="P75">
        <v>2</v>
      </c>
      <c r="Q75" s="1" t="s">
        <v>45</v>
      </c>
      <c r="R75">
        <v>1</v>
      </c>
      <c r="S75" s="1" t="s">
        <v>40</v>
      </c>
      <c r="T75" s="1" t="s">
        <v>33</v>
      </c>
      <c r="U75" s="1" t="s">
        <v>34</v>
      </c>
    </row>
    <row r="76" spans="1:21" x14ac:dyDescent="0.3">
      <c r="A76" s="1" t="s">
        <v>21</v>
      </c>
      <c r="B76">
        <v>36</v>
      </c>
      <c r="C76" s="1" t="s">
        <v>36</v>
      </c>
      <c r="D76" s="1" t="s">
        <v>43</v>
      </c>
      <c r="E76">
        <v>1977</v>
      </c>
      <c r="F76" s="1" t="s">
        <v>24</v>
      </c>
      <c r="G76" s="1" t="s">
        <v>25</v>
      </c>
      <c r="H76">
        <v>4</v>
      </c>
      <c r="I76" s="1" t="s">
        <v>26</v>
      </c>
      <c r="J76" s="1" t="s">
        <v>27</v>
      </c>
      <c r="K76">
        <v>4</v>
      </c>
      <c r="L76" s="1" t="s">
        <v>52</v>
      </c>
      <c r="M76">
        <v>40</v>
      </c>
      <c r="N76" s="1" t="s">
        <v>29</v>
      </c>
      <c r="O76" s="1" t="s">
        <v>30</v>
      </c>
      <c r="P76">
        <v>1</v>
      </c>
      <c r="Q76" s="1" t="s">
        <v>57</v>
      </c>
      <c r="R76">
        <v>1</v>
      </c>
      <c r="S76" s="1" t="s">
        <v>32</v>
      </c>
      <c r="T76" s="1" t="s">
        <v>33</v>
      </c>
      <c r="U76" s="1" t="s">
        <v>41</v>
      </c>
    </row>
    <row r="77" spans="1:21" x14ac:dyDescent="0.3">
      <c r="A77" s="1" t="s">
        <v>21</v>
      </c>
      <c r="B77">
        <v>12</v>
      </c>
      <c r="C77" s="1" t="s">
        <v>22</v>
      </c>
      <c r="D77" s="1" t="s">
        <v>54</v>
      </c>
      <c r="E77">
        <v>1526</v>
      </c>
      <c r="F77" s="1" t="s">
        <v>37</v>
      </c>
      <c r="G77" s="1" t="s">
        <v>25</v>
      </c>
      <c r="H77">
        <v>4</v>
      </c>
      <c r="I77" s="1" t="s">
        <v>26</v>
      </c>
      <c r="J77" s="1" t="s">
        <v>27</v>
      </c>
      <c r="K77">
        <v>4</v>
      </c>
      <c r="L77" s="1" t="s">
        <v>52</v>
      </c>
      <c r="M77">
        <v>66</v>
      </c>
      <c r="N77" s="1" t="s">
        <v>29</v>
      </c>
      <c r="O77" s="1" t="s">
        <v>49</v>
      </c>
      <c r="P77">
        <v>2</v>
      </c>
      <c r="Q77" s="1" t="s">
        <v>57</v>
      </c>
      <c r="R77">
        <v>1</v>
      </c>
      <c r="S77" s="1" t="s">
        <v>40</v>
      </c>
      <c r="T77" s="1" t="s">
        <v>33</v>
      </c>
      <c r="U77" s="1" t="s">
        <v>34</v>
      </c>
    </row>
    <row r="78" spans="1:21" x14ac:dyDescent="0.3">
      <c r="A78" s="1" t="s">
        <v>21</v>
      </c>
      <c r="B78">
        <v>42</v>
      </c>
      <c r="C78" s="1" t="s">
        <v>36</v>
      </c>
      <c r="D78" s="1" t="s">
        <v>23</v>
      </c>
      <c r="E78">
        <v>3965</v>
      </c>
      <c r="F78" s="1" t="s">
        <v>37</v>
      </c>
      <c r="G78" s="1" t="s">
        <v>62</v>
      </c>
      <c r="H78">
        <v>4</v>
      </c>
      <c r="I78" s="1" t="s">
        <v>26</v>
      </c>
      <c r="J78" s="1" t="s">
        <v>27</v>
      </c>
      <c r="K78">
        <v>3</v>
      </c>
      <c r="L78" s="1" t="s">
        <v>55</v>
      </c>
      <c r="M78">
        <v>34</v>
      </c>
      <c r="N78" s="1" t="s">
        <v>29</v>
      </c>
      <c r="O78" s="1" t="s">
        <v>30</v>
      </c>
      <c r="P78">
        <v>1</v>
      </c>
      <c r="Q78" s="1" t="s">
        <v>31</v>
      </c>
      <c r="R78">
        <v>1</v>
      </c>
      <c r="S78" s="1" t="s">
        <v>40</v>
      </c>
      <c r="T78" s="1" t="s">
        <v>33</v>
      </c>
      <c r="U78" s="1" t="s">
        <v>41</v>
      </c>
    </row>
    <row r="79" spans="1:21" x14ac:dyDescent="0.3">
      <c r="A79" s="1" t="s">
        <v>35</v>
      </c>
      <c r="B79">
        <v>11</v>
      </c>
      <c r="C79" s="1" t="s">
        <v>50</v>
      </c>
      <c r="D79" s="1" t="s">
        <v>23</v>
      </c>
      <c r="E79">
        <v>4771</v>
      </c>
      <c r="F79" s="1" t="s">
        <v>37</v>
      </c>
      <c r="G79" s="1" t="s">
        <v>44</v>
      </c>
      <c r="H79">
        <v>2</v>
      </c>
      <c r="I79" s="1" t="s">
        <v>26</v>
      </c>
      <c r="J79" s="1" t="s">
        <v>27</v>
      </c>
      <c r="K79">
        <v>4</v>
      </c>
      <c r="L79" s="1" t="s">
        <v>48</v>
      </c>
      <c r="M79">
        <v>51</v>
      </c>
      <c r="N79" s="1" t="s">
        <v>29</v>
      </c>
      <c r="O79" s="1" t="s">
        <v>30</v>
      </c>
      <c r="P79">
        <v>1</v>
      </c>
      <c r="Q79" s="1" t="s">
        <v>31</v>
      </c>
      <c r="R79">
        <v>1</v>
      </c>
      <c r="S79" s="1" t="s">
        <v>40</v>
      </c>
      <c r="T79" s="1" t="s">
        <v>33</v>
      </c>
      <c r="U79" s="1" t="s">
        <v>34</v>
      </c>
    </row>
    <row r="80" spans="1:21" x14ac:dyDescent="0.3">
      <c r="A80" s="1" t="s">
        <v>42</v>
      </c>
      <c r="B80">
        <v>54</v>
      </c>
      <c r="C80" s="1" t="s">
        <v>65</v>
      </c>
      <c r="D80" s="1" t="s">
        <v>54</v>
      </c>
      <c r="E80">
        <v>9436</v>
      </c>
      <c r="F80" s="1" t="s">
        <v>24</v>
      </c>
      <c r="G80" s="1" t="s">
        <v>38</v>
      </c>
      <c r="H80">
        <v>2</v>
      </c>
      <c r="I80" s="1" t="s">
        <v>26</v>
      </c>
      <c r="J80" s="1" t="s">
        <v>27</v>
      </c>
      <c r="K80">
        <v>2</v>
      </c>
      <c r="L80" s="1" t="s">
        <v>48</v>
      </c>
      <c r="M80">
        <v>39</v>
      </c>
      <c r="N80" s="1" t="s">
        <v>29</v>
      </c>
      <c r="O80" s="1" t="s">
        <v>30</v>
      </c>
      <c r="P80">
        <v>1</v>
      </c>
      <c r="Q80" s="1" t="s">
        <v>45</v>
      </c>
      <c r="R80">
        <v>2</v>
      </c>
      <c r="S80" s="1" t="s">
        <v>40</v>
      </c>
      <c r="T80" s="1" t="s">
        <v>33</v>
      </c>
      <c r="U80" s="1" t="s">
        <v>34</v>
      </c>
    </row>
    <row r="81" spans="1:21" x14ac:dyDescent="0.3">
      <c r="A81" s="1" t="s">
        <v>35</v>
      </c>
      <c r="B81">
        <v>30</v>
      </c>
      <c r="C81" s="1" t="s">
        <v>36</v>
      </c>
      <c r="D81" s="1" t="s">
        <v>46</v>
      </c>
      <c r="E81">
        <v>3832</v>
      </c>
      <c r="F81" s="1" t="s">
        <v>37</v>
      </c>
      <c r="G81" s="1" t="s">
        <v>62</v>
      </c>
      <c r="H81">
        <v>2</v>
      </c>
      <c r="I81" s="1" t="s">
        <v>61</v>
      </c>
      <c r="J81" s="1" t="s">
        <v>27</v>
      </c>
      <c r="K81">
        <v>1</v>
      </c>
      <c r="L81" s="1" t="s">
        <v>48</v>
      </c>
      <c r="M81">
        <v>22</v>
      </c>
      <c r="N81" s="1" t="s">
        <v>29</v>
      </c>
      <c r="O81" s="1" t="s">
        <v>30</v>
      </c>
      <c r="P81">
        <v>1</v>
      </c>
      <c r="Q81" s="1" t="s">
        <v>31</v>
      </c>
      <c r="R81">
        <v>1</v>
      </c>
      <c r="S81" s="1" t="s">
        <v>40</v>
      </c>
      <c r="T81" s="1" t="s">
        <v>33</v>
      </c>
      <c r="U81" s="1" t="s">
        <v>34</v>
      </c>
    </row>
    <row r="82" spans="1:21" x14ac:dyDescent="0.3">
      <c r="A82" s="1" t="s">
        <v>42</v>
      </c>
      <c r="B82">
        <v>24</v>
      </c>
      <c r="C82" s="1" t="s">
        <v>36</v>
      </c>
      <c r="D82" s="1" t="s">
        <v>23</v>
      </c>
      <c r="E82">
        <v>5943</v>
      </c>
      <c r="F82" s="1" t="s">
        <v>24</v>
      </c>
      <c r="G82" s="1" t="s">
        <v>62</v>
      </c>
      <c r="H82">
        <v>1</v>
      </c>
      <c r="I82" s="1" t="s">
        <v>39</v>
      </c>
      <c r="J82" s="1" t="s">
        <v>27</v>
      </c>
      <c r="K82">
        <v>1</v>
      </c>
      <c r="L82" s="1" t="s">
        <v>55</v>
      </c>
      <c r="M82">
        <v>44</v>
      </c>
      <c r="N82" s="1" t="s">
        <v>29</v>
      </c>
      <c r="O82" s="1" t="s">
        <v>30</v>
      </c>
      <c r="P82">
        <v>2</v>
      </c>
      <c r="Q82" s="1" t="s">
        <v>31</v>
      </c>
      <c r="R82">
        <v>1</v>
      </c>
      <c r="S82" s="1" t="s">
        <v>32</v>
      </c>
      <c r="T82" s="1" t="s">
        <v>33</v>
      </c>
      <c r="U82" s="1" t="s">
        <v>41</v>
      </c>
    </row>
    <row r="83" spans="1:21" x14ac:dyDescent="0.3">
      <c r="A83" s="1" t="s">
        <v>42</v>
      </c>
      <c r="B83">
        <v>15</v>
      </c>
      <c r="C83" s="1" t="s">
        <v>36</v>
      </c>
      <c r="D83" s="1" t="s">
        <v>23</v>
      </c>
      <c r="E83">
        <v>1213</v>
      </c>
      <c r="F83" s="1" t="s">
        <v>53</v>
      </c>
      <c r="G83" s="1" t="s">
        <v>25</v>
      </c>
      <c r="H83">
        <v>4</v>
      </c>
      <c r="I83" s="1" t="s">
        <v>26</v>
      </c>
      <c r="J83" s="1" t="s">
        <v>27</v>
      </c>
      <c r="K83">
        <v>3</v>
      </c>
      <c r="L83" s="1" t="s">
        <v>48</v>
      </c>
      <c r="M83">
        <v>47</v>
      </c>
      <c r="N83" s="1" t="s">
        <v>70</v>
      </c>
      <c r="O83" s="1" t="s">
        <v>30</v>
      </c>
      <c r="P83">
        <v>1</v>
      </c>
      <c r="Q83" s="1" t="s">
        <v>31</v>
      </c>
      <c r="R83">
        <v>1</v>
      </c>
      <c r="S83" s="1" t="s">
        <v>32</v>
      </c>
      <c r="T83" s="1" t="s">
        <v>33</v>
      </c>
      <c r="U83" s="1" t="s">
        <v>34</v>
      </c>
    </row>
    <row r="84" spans="1:21" x14ac:dyDescent="0.3">
      <c r="A84" s="1" t="s">
        <v>42</v>
      </c>
      <c r="B84">
        <v>18</v>
      </c>
      <c r="C84" s="1" t="s">
        <v>36</v>
      </c>
      <c r="D84" s="1" t="s">
        <v>63</v>
      </c>
      <c r="E84">
        <v>1568</v>
      </c>
      <c r="F84" s="1" t="s">
        <v>64</v>
      </c>
      <c r="G84" s="1" t="s">
        <v>38</v>
      </c>
      <c r="H84">
        <v>3</v>
      </c>
      <c r="I84" s="1" t="s">
        <v>39</v>
      </c>
      <c r="J84" s="1" t="s">
        <v>27</v>
      </c>
      <c r="K84">
        <v>4</v>
      </c>
      <c r="L84" s="1" t="s">
        <v>48</v>
      </c>
      <c r="M84">
        <v>24</v>
      </c>
      <c r="N84" s="1" t="s">
        <v>29</v>
      </c>
      <c r="O84" s="1" t="s">
        <v>56</v>
      </c>
      <c r="P84">
        <v>1</v>
      </c>
      <c r="Q84" s="1" t="s">
        <v>45</v>
      </c>
      <c r="R84">
        <v>1</v>
      </c>
      <c r="S84" s="1" t="s">
        <v>40</v>
      </c>
      <c r="T84" s="1" t="s">
        <v>33</v>
      </c>
      <c r="U84" s="1" t="s">
        <v>34</v>
      </c>
    </row>
    <row r="85" spans="1:21" x14ac:dyDescent="0.3">
      <c r="A85" s="1" t="s">
        <v>21</v>
      </c>
      <c r="B85">
        <v>24</v>
      </c>
      <c r="C85" s="1" t="s">
        <v>36</v>
      </c>
      <c r="D85" s="1" t="s">
        <v>75</v>
      </c>
      <c r="E85">
        <v>1755</v>
      </c>
      <c r="F85" s="1" t="s">
        <v>37</v>
      </c>
      <c r="G85" s="1" t="s">
        <v>25</v>
      </c>
      <c r="H85">
        <v>4</v>
      </c>
      <c r="I85" s="1" t="s">
        <v>39</v>
      </c>
      <c r="J85" s="1" t="s">
        <v>47</v>
      </c>
      <c r="K85">
        <v>4</v>
      </c>
      <c r="L85" s="1" t="s">
        <v>28</v>
      </c>
      <c r="M85">
        <v>58</v>
      </c>
      <c r="N85" s="1" t="s">
        <v>29</v>
      </c>
      <c r="O85" s="1" t="s">
        <v>30</v>
      </c>
      <c r="P85">
        <v>1</v>
      </c>
      <c r="Q85" s="1" t="s">
        <v>45</v>
      </c>
      <c r="R85">
        <v>1</v>
      </c>
      <c r="S85" s="1" t="s">
        <v>32</v>
      </c>
      <c r="T85" s="1" t="s">
        <v>33</v>
      </c>
      <c r="U85" s="1" t="s">
        <v>34</v>
      </c>
    </row>
    <row r="86" spans="1:21" x14ac:dyDescent="0.3">
      <c r="A86" s="1" t="s">
        <v>21</v>
      </c>
      <c r="B86">
        <v>10</v>
      </c>
      <c r="C86" s="1" t="s">
        <v>36</v>
      </c>
      <c r="D86" s="1" t="s">
        <v>23</v>
      </c>
      <c r="E86">
        <v>2315</v>
      </c>
      <c r="F86" s="1" t="s">
        <v>37</v>
      </c>
      <c r="G86" s="1" t="s">
        <v>25</v>
      </c>
      <c r="H86">
        <v>3</v>
      </c>
      <c r="I86" s="1" t="s">
        <v>26</v>
      </c>
      <c r="J86" s="1" t="s">
        <v>27</v>
      </c>
      <c r="K86">
        <v>4</v>
      </c>
      <c r="L86" s="1" t="s">
        <v>28</v>
      </c>
      <c r="M86">
        <v>52</v>
      </c>
      <c r="N86" s="1" t="s">
        <v>29</v>
      </c>
      <c r="O86" s="1" t="s">
        <v>30</v>
      </c>
      <c r="P86">
        <v>1</v>
      </c>
      <c r="Q86" s="1" t="s">
        <v>45</v>
      </c>
      <c r="R86">
        <v>1</v>
      </c>
      <c r="S86" s="1" t="s">
        <v>40</v>
      </c>
      <c r="T86" s="1" t="s">
        <v>33</v>
      </c>
      <c r="U86" s="1" t="s">
        <v>34</v>
      </c>
    </row>
    <row r="87" spans="1:21" x14ac:dyDescent="0.3">
      <c r="A87" s="1" t="s">
        <v>42</v>
      </c>
      <c r="B87">
        <v>12</v>
      </c>
      <c r="C87" s="1" t="s">
        <v>22</v>
      </c>
      <c r="D87" s="1" t="s">
        <v>63</v>
      </c>
      <c r="E87">
        <v>1412</v>
      </c>
      <c r="F87" s="1" t="s">
        <v>37</v>
      </c>
      <c r="G87" s="1" t="s">
        <v>38</v>
      </c>
      <c r="H87">
        <v>4</v>
      </c>
      <c r="I87" s="1" t="s">
        <v>39</v>
      </c>
      <c r="J87" s="1" t="s">
        <v>47</v>
      </c>
      <c r="K87">
        <v>2</v>
      </c>
      <c r="L87" s="1" t="s">
        <v>28</v>
      </c>
      <c r="M87">
        <v>29</v>
      </c>
      <c r="N87" s="1" t="s">
        <v>29</v>
      </c>
      <c r="O87" s="1" t="s">
        <v>30</v>
      </c>
      <c r="P87">
        <v>2</v>
      </c>
      <c r="Q87" s="1" t="s">
        <v>57</v>
      </c>
      <c r="R87">
        <v>1</v>
      </c>
      <c r="S87" s="1" t="s">
        <v>32</v>
      </c>
      <c r="T87" s="1" t="s">
        <v>33</v>
      </c>
      <c r="U87" s="1" t="s">
        <v>34</v>
      </c>
    </row>
    <row r="88" spans="1:21" x14ac:dyDescent="0.3">
      <c r="A88" s="1" t="s">
        <v>35</v>
      </c>
      <c r="B88">
        <v>18</v>
      </c>
      <c r="C88" s="1" t="s">
        <v>22</v>
      </c>
      <c r="D88" s="1" t="s">
        <v>46</v>
      </c>
      <c r="E88">
        <v>1295</v>
      </c>
      <c r="F88" s="1" t="s">
        <v>37</v>
      </c>
      <c r="G88" s="1" t="s">
        <v>62</v>
      </c>
      <c r="H88">
        <v>4</v>
      </c>
      <c r="I88" s="1" t="s">
        <v>39</v>
      </c>
      <c r="J88" s="1" t="s">
        <v>27</v>
      </c>
      <c r="K88">
        <v>1</v>
      </c>
      <c r="L88" s="1" t="s">
        <v>48</v>
      </c>
      <c r="M88">
        <v>27</v>
      </c>
      <c r="N88" s="1" t="s">
        <v>29</v>
      </c>
      <c r="O88" s="1" t="s">
        <v>30</v>
      </c>
      <c r="P88">
        <v>2</v>
      </c>
      <c r="Q88" s="1" t="s">
        <v>31</v>
      </c>
      <c r="R88">
        <v>1</v>
      </c>
      <c r="S88" s="1" t="s">
        <v>40</v>
      </c>
      <c r="T88" s="1" t="s">
        <v>33</v>
      </c>
      <c r="U88" s="1" t="s">
        <v>34</v>
      </c>
    </row>
    <row r="89" spans="1:21" x14ac:dyDescent="0.3">
      <c r="A89" s="1" t="s">
        <v>35</v>
      </c>
      <c r="B89">
        <v>36</v>
      </c>
      <c r="C89" s="1" t="s">
        <v>36</v>
      </c>
      <c r="D89" s="1" t="s">
        <v>43</v>
      </c>
      <c r="E89">
        <v>12612</v>
      </c>
      <c r="F89" s="1" t="s">
        <v>64</v>
      </c>
      <c r="G89" s="1" t="s">
        <v>38</v>
      </c>
      <c r="H89">
        <v>1</v>
      </c>
      <c r="I89" s="1" t="s">
        <v>26</v>
      </c>
      <c r="J89" s="1" t="s">
        <v>27</v>
      </c>
      <c r="K89">
        <v>4</v>
      </c>
      <c r="L89" s="1" t="s">
        <v>52</v>
      </c>
      <c r="M89">
        <v>47</v>
      </c>
      <c r="N89" s="1" t="s">
        <v>29</v>
      </c>
      <c r="O89" s="1" t="s">
        <v>49</v>
      </c>
      <c r="P89">
        <v>1</v>
      </c>
      <c r="Q89" s="1" t="s">
        <v>31</v>
      </c>
      <c r="R89">
        <v>2</v>
      </c>
      <c r="S89" s="1" t="s">
        <v>32</v>
      </c>
      <c r="T89" s="1" t="s">
        <v>33</v>
      </c>
      <c r="U89" s="1" t="s">
        <v>41</v>
      </c>
    </row>
    <row r="90" spans="1:21" x14ac:dyDescent="0.3">
      <c r="A90" s="1" t="s">
        <v>21</v>
      </c>
      <c r="B90">
        <v>18</v>
      </c>
      <c r="C90" s="1" t="s">
        <v>36</v>
      </c>
      <c r="D90" s="1" t="s">
        <v>51</v>
      </c>
      <c r="E90">
        <v>2249</v>
      </c>
      <c r="F90" s="1" t="s">
        <v>64</v>
      </c>
      <c r="G90" s="1" t="s">
        <v>44</v>
      </c>
      <c r="H90">
        <v>4</v>
      </c>
      <c r="I90" s="1" t="s">
        <v>26</v>
      </c>
      <c r="J90" s="1" t="s">
        <v>27</v>
      </c>
      <c r="K90">
        <v>3</v>
      </c>
      <c r="L90" s="1" t="s">
        <v>55</v>
      </c>
      <c r="M90">
        <v>30</v>
      </c>
      <c r="N90" s="1" t="s">
        <v>29</v>
      </c>
      <c r="O90" s="1" t="s">
        <v>30</v>
      </c>
      <c r="P90">
        <v>1</v>
      </c>
      <c r="Q90" s="1" t="s">
        <v>57</v>
      </c>
      <c r="R90">
        <v>2</v>
      </c>
      <c r="S90" s="1" t="s">
        <v>32</v>
      </c>
      <c r="T90" s="1" t="s">
        <v>33</v>
      </c>
      <c r="U90" s="1" t="s">
        <v>34</v>
      </c>
    </row>
    <row r="91" spans="1:21" x14ac:dyDescent="0.3">
      <c r="A91" s="1" t="s">
        <v>21</v>
      </c>
      <c r="B91">
        <v>12</v>
      </c>
      <c r="C91" s="1" t="s">
        <v>65</v>
      </c>
      <c r="D91" s="1" t="s">
        <v>73</v>
      </c>
      <c r="E91">
        <v>1108</v>
      </c>
      <c r="F91" s="1" t="s">
        <v>37</v>
      </c>
      <c r="G91" s="1" t="s">
        <v>44</v>
      </c>
      <c r="H91">
        <v>4</v>
      </c>
      <c r="I91" s="1" t="s">
        <v>26</v>
      </c>
      <c r="J91" s="1" t="s">
        <v>27</v>
      </c>
      <c r="K91">
        <v>3</v>
      </c>
      <c r="L91" s="1" t="s">
        <v>28</v>
      </c>
      <c r="M91">
        <v>28</v>
      </c>
      <c r="N91" s="1" t="s">
        <v>29</v>
      </c>
      <c r="O91" s="1" t="s">
        <v>30</v>
      </c>
      <c r="P91">
        <v>2</v>
      </c>
      <c r="Q91" s="1" t="s">
        <v>31</v>
      </c>
      <c r="R91">
        <v>1</v>
      </c>
      <c r="S91" s="1" t="s">
        <v>40</v>
      </c>
      <c r="T91" s="1" t="s">
        <v>33</v>
      </c>
      <c r="U91" s="1" t="s">
        <v>41</v>
      </c>
    </row>
    <row r="92" spans="1:21" x14ac:dyDescent="0.3">
      <c r="A92" s="1" t="s">
        <v>42</v>
      </c>
      <c r="B92">
        <v>12</v>
      </c>
      <c r="C92" s="1" t="s">
        <v>22</v>
      </c>
      <c r="D92" s="1" t="s">
        <v>23</v>
      </c>
      <c r="E92">
        <v>618</v>
      </c>
      <c r="F92" s="1" t="s">
        <v>37</v>
      </c>
      <c r="G92" s="1" t="s">
        <v>25</v>
      </c>
      <c r="H92">
        <v>4</v>
      </c>
      <c r="I92" s="1" t="s">
        <v>26</v>
      </c>
      <c r="J92" s="1" t="s">
        <v>27</v>
      </c>
      <c r="K92">
        <v>4</v>
      </c>
      <c r="L92" s="1" t="s">
        <v>28</v>
      </c>
      <c r="M92">
        <v>56</v>
      </c>
      <c r="N92" s="1" t="s">
        <v>29</v>
      </c>
      <c r="O92" s="1" t="s">
        <v>30</v>
      </c>
      <c r="P92">
        <v>1</v>
      </c>
      <c r="Q92" s="1" t="s">
        <v>31</v>
      </c>
      <c r="R92">
        <v>1</v>
      </c>
      <c r="S92" s="1" t="s">
        <v>40</v>
      </c>
      <c r="T92" s="1" t="s">
        <v>33</v>
      </c>
      <c r="U92" s="1" t="s">
        <v>34</v>
      </c>
    </row>
    <row r="93" spans="1:21" x14ac:dyDescent="0.3">
      <c r="A93" s="1" t="s">
        <v>21</v>
      </c>
      <c r="B93">
        <v>12</v>
      </c>
      <c r="C93" s="1" t="s">
        <v>22</v>
      </c>
      <c r="D93" s="1" t="s">
        <v>54</v>
      </c>
      <c r="E93">
        <v>1409</v>
      </c>
      <c r="F93" s="1" t="s">
        <v>37</v>
      </c>
      <c r="G93" s="1" t="s">
        <v>25</v>
      </c>
      <c r="H93">
        <v>4</v>
      </c>
      <c r="I93" s="1" t="s">
        <v>26</v>
      </c>
      <c r="J93" s="1" t="s">
        <v>27</v>
      </c>
      <c r="K93">
        <v>3</v>
      </c>
      <c r="L93" s="1" t="s">
        <v>28</v>
      </c>
      <c r="M93">
        <v>54</v>
      </c>
      <c r="N93" s="1" t="s">
        <v>29</v>
      </c>
      <c r="O93" s="1" t="s">
        <v>30</v>
      </c>
      <c r="P93">
        <v>1</v>
      </c>
      <c r="Q93" s="1" t="s">
        <v>31</v>
      </c>
      <c r="R93">
        <v>1</v>
      </c>
      <c r="S93" s="1" t="s">
        <v>40</v>
      </c>
      <c r="T93" s="1" t="s">
        <v>33</v>
      </c>
      <c r="U93" s="1" t="s">
        <v>34</v>
      </c>
    </row>
    <row r="94" spans="1:21" x14ac:dyDescent="0.3">
      <c r="A94" s="1" t="s">
        <v>42</v>
      </c>
      <c r="B94">
        <v>12</v>
      </c>
      <c r="C94" s="1" t="s">
        <v>22</v>
      </c>
      <c r="D94" s="1" t="s">
        <v>23</v>
      </c>
      <c r="E94">
        <v>797</v>
      </c>
      <c r="F94" s="1" t="s">
        <v>24</v>
      </c>
      <c r="G94" s="1" t="s">
        <v>25</v>
      </c>
      <c r="H94">
        <v>4</v>
      </c>
      <c r="I94" s="1" t="s">
        <v>39</v>
      </c>
      <c r="J94" s="1" t="s">
        <v>27</v>
      </c>
      <c r="K94">
        <v>3</v>
      </c>
      <c r="L94" s="1" t="s">
        <v>48</v>
      </c>
      <c r="M94">
        <v>33</v>
      </c>
      <c r="N94" s="1" t="s">
        <v>66</v>
      </c>
      <c r="O94" s="1" t="s">
        <v>30</v>
      </c>
      <c r="P94">
        <v>1</v>
      </c>
      <c r="Q94" s="1" t="s">
        <v>45</v>
      </c>
      <c r="R94">
        <v>2</v>
      </c>
      <c r="S94" s="1" t="s">
        <v>40</v>
      </c>
      <c r="T94" s="1" t="s">
        <v>33</v>
      </c>
      <c r="U94" s="1" t="s">
        <v>41</v>
      </c>
    </row>
    <row r="95" spans="1:21" x14ac:dyDescent="0.3">
      <c r="A95" s="1" t="s">
        <v>68</v>
      </c>
      <c r="B95">
        <v>24</v>
      </c>
      <c r="C95" s="1" t="s">
        <v>22</v>
      </c>
      <c r="D95" s="1" t="s">
        <v>46</v>
      </c>
      <c r="E95">
        <v>3617</v>
      </c>
      <c r="F95" s="1" t="s">
        <v>24</v>
      </c>
      <c r="G95" s="1" t="s">
        <v>25</v>
      </c>
      <c r="H95">
        <v>4</v>
      </c>
      <c r="I95" s="1" t="s">
        <v>26</v>
      </c>
      <c r="J95" s="1" t="s">
        <v>71</v>
      </c>
      <c r="K95">
        <v>4</v>
      </c>
      <c r="L95" s="1" t="s">
        <v>52</v>
      </c>
      <c r="M95">
        <v>20</v>
      </c>
      <c r="N95" s="1" t="s">
        <v>29</v>
      </c>
      <c r="O95" s="1" t="s">
        <v>56</v>
      </c>
      <c r="P95">
        <v>2</v>
      </c>
      <c r="Q95" s="1" t="s">
        <v>31</v>
      </c>
      <c r="R95">
        <v>1</v>
      </c>
      <c r="S95" s="1" t="s">
        <v>40</v>
      </c>
      <c r="T95" s="1" t="s">
        <v>33</v>
      </c>
      <c r="U95" s="1" t="s">
        <v>34</v>
      </c>
    </row>
    <row r="96" spans="1:21" x14ac:dyDescent="0.3">
      <c r="A96" s="1" t="s">
        <v>35</v>
      </c>
      <c r="B96">
        <v>12</v>
      </c>
      <c r="C96" s="1" t="s">
        <v>36</v>
      </c>
      <c r="D96" s="1" t="s">
        <v>51</v>
      </c>
      <c r="E96">
        <v>1318</v>
      </c>
      <c r="F96" s="1" t="s">
        <v>58</v>
      </c>
      <c r="G96" s="1" t="s">
        <v>25</v>
      </c>
      <c r="H96">
        <v>4</v>
      </c>
      <c r="I96" s="1" t="s">
        <v>26</v>
      </c>
      <c r="J96" s="1" t="s">
        <v>27</v>
      </c>
      <c r="K96">
        <v>4</v>
      </c>
      <c r="L96" s="1" t="s">
        <v>28</v>
      </c>
      <c r="M96">
        <v>54</v>
      </c>
      <c r="N96" s="1" t="s">
        <v>29</v>
      </c>
      <c r="O96" s="1" t="s">
        <v>30</v>
      </c>
      <c r="P96">
        <v>1</v>
      </c>
      <c r="Q96" s="1" t="s">
        <v>31</v>
      </c>
      <c r="R96">
        <v>1</v>
      </c>
      <c r="S96" s="1" t="s">
        <v>32</v>
      </c>
      <c r="T96" s="1" t="s">
        <v>33</v>
      </c>
      <c r="U96" s="1" t="s">
        <v>34</v>
      </c>
    </row>
    <row r="97" spans="1:21" x14ac:dyDescent="0.3">
      <c r="A97" s="1" t="s">
        <v>35</v>
      </c>
      <c r="B97">
        <v>54</v>
      </c>
      <c r="C97" s="1" t="s">
        <v>65</v>
      </c>
      <c r="D97" s="1" t="s">
        <v>63</v>
      </c>
      <c r="E97">
        <v>15945</v>
      </c>
      <c r="F97" s="1" t="s">
        <v>37</v>
      </c>
      <c r="G97" s="1" t="s">
        <v>62</v>
      </c>
      <c r="H97">
        <v>3</v>
      </c>
      <c r="I97" s="1" t="s">
        <v>26</v>
      </c>
      <c r="J97" s="1" t="s">
        <v>27</v>
      </c>
      <c r="K97">
        <v>4</v>
      </c>
      <c r="L97" s="1" t="s">
        <v>52</v>
      </c>
      <c r="M97">
        <v>58</v>
      </c>
      <c r="N97" s="1" t="s">
        <v>29</v>
      </c>
      <c r="O97" s="1" t="s">
        <v>56</v>
      </c>
      <c r="P97">
        <v>1</v>
      </c>
      <c r="Q97" s="1" t="s">
        <v>31</v>
      </c>
      <c r="R97">
        <v>1</v>
      </c>
      <c r="S97" s="1" t="s">
        <v>32</v>
      </c>
      <c r="T97" s="1" t="s">
        <v>33</v>
      </c>
      <c r="U97" s="1" t="s">
        <v>41</v>
      </c>
    </row>
    <row r="98" spans="1:21" x14ac:dyDescent="0.3">
      <c r="A98" s="1" t="s">
        <v>42</v>
      </c>
      <c r="B98">
        <v>12</v>
      </c>
      <c r="C98" s="1" t="s">
        <v>22</v>
      </c>
      <c r="D98" s="1" t="s">
        <v>43</v>
      </c>
      <c r="E98">
        <v>2012</v>
      </c>
      <c r="F98" s="1" t="s">
        <v>24</v>
      </c>
      <c r="G98" s="1" t="s">
        <v>44</v>
      </c>
      <c r="H98">
        <v>4</v>
      </c>
      <c r="I98" s="1" t="s">
        <v>39</v>
      </c>
      <c r="J98" s="1" t="s">
        <v>27</v>
      </c>
      <c r="K98">
        <v>2</v>
      </c>
      <c r="L98" s="1" t="s">
        <v>55</v>
      </c>
      <c r="M98">
        <v>61</v>
      </c>
      <c r="N98" s="1" t="s">
        <v>29</v>
      </c>
      <c r="O98" s="1" t="s">
        <v>30</v>
      </c>
      <c r="P98">
        <v>1</v>
      </c>
      <c r="Q98" s="1" t="s">
        <v>31</v>
      </c>
      <c r="R98">
        <v>1</v>
      </c>
      <c r="S98" s="1" t="s">
        <v>40</v>
      </c>
      <c r="T98" s="1" t="s">
        <v>33</v>
      </c>
      <c r="U98" s="1" t="s">
        <v>34</v>
      </c>
    </row>
    <row r="99" spans="1:21" x14ac:dyDescent="0.3">
      <c r="A99" s="1" t="s">
        <v>35</v>
      </c>
      <c r="B99">
        <v>18</v>
      </c>
      <c r="C99" s="1" t="s">
        <v>36</v>
      </c>
      <c r="D99" s="1" t="s">
        <v>63</v>
      </c>
      <c r="E99">
        <v>2622</v>
      </c>
      <c r="F99" s="1" t="s">
        <v>64</v>
      </c>
      <c r="G99" s="1" t="s">
        <v>38</v>
      </c>
      <c r="H99">
        <v>4</v>
      </c>
      <c r="I99" s="1" t="s">
        <v>26</v>
      </c>
      <c r="J99" s="1" t="s">
        <v>27</v>
      </c>
      <c r="K99">
        <v>4</v>
      </c>
      <c r="L99" s="1" t="s">
        <v>55</v>
      </c>
      <c r="M99">
        <v>34</v>
      </c>
      <c r="N99" s="1" t="s">
        <v>29</v>
      </c>
      <c r="O99" s="1" t="s">
        <v>30</v>
      </c>
      <c r="P99">
        <v>1</v>
      </c>
      <c r="Q99" s="1" t="s">
        <v>31</v>
      </c>
      <c r="R99">
        <v>1</v>
      </c>
      <c r="S99" s="1" t="s">
        <v>40</v>
      </c>
      <c r="T99" s="1" t="s">
        <v>33</v>
      </c>
      <c r="U99" s="1" t="s">
        <v>34</v>
      </c>
    </row>
    <row r="100" spans="1:21" x14ac:dyDescent="0.3">
      <c r="A100" s="1" t="s">
        <v>35</v>
      </c>
      <c r="B100">
        <v>36</v>
      </c>
      <c r="C100" s="1" t="s">
        <v>22</v>
      </c>
      <c r="D100" s="1" t="s">
        <v>23</v>
      </c>
      <c r="E100">
        <v>2337</v>
      </c>
      <c r="F100" s="1" t="s">
        <v>37</v>
      </c>
      <c r="G100" s="1" t="s">
        <v>25</v>
      </c>
      <c r="H100">
        <v>4</v>
      </c>
      <c r="I100" s="1" t="s">
        <v>26</v>
      </c>
      <c r="J100" s="1" t="s">
        <v>27</v>
      </c>
      <c r="K100">
        <v>4</v>
      </c>
      <c r="L100" s="1" t="s">
        <v>28</v>
      </c>
      <c r="M100">
        <v>36</v>
      </c>
      <c r="N100" s="1" t="s">
        <v>29</v>
      </c>
      <c r="O100" s="1" t="s">
        <v>30</v>
      </c>
      <c r="P100">
        <v>1</v>
      </c>
      <c r="Q100" s="1" t="s">
        <v>31</v>
      </c>
      <c r="R100">
        <v>1</v>
      </c>
      <c r="S100" s="1" t="s">
        <v>40</v>
      </c>
      <c r="T100" s="1" t="s">
        <v>33</v>
      </c>
      <c r="U100" s="1" t="s">
        <v>34</v>
      </c>
    </row>
    <row r="101" spans="1:21" x14ac:dyDescent="0.3">
      <c r="A101" s="1" t="s">
        <v>35</v>
      </c>
      <c r="B101">
        <v>20</v>
      </c>
      <c r="C101" s="1" t="s">
        <v>50</v>
      </c>
      <c r="D101" s="1" t="s">
        <v>54</v>
      </c>
      <c r="E101">
        <v>7057</v>
      </c>
      <c r="F101" s="1" t="s">
        <v>24</v>
      </c>
      <c r="G101" s="1" t="s">
        <v>44</v>
      </c>
      <c r="H101">
        <v>3</v>
      </c>
      <c r="I101" s="1" t="s">
        <v>26</v>
      </c>
      <c r="J101" s="1" t="s">
        <v>27</v>
      </c>
      <c r="K101">
        <v>4</v>
      </c>
      <c r="L101" s="1" t="s">
        <v>48</v>
      </c>
      <c r="M101">
        <v>36</v>
      </c>
      <c r="N101" s="1" t="s">
        <v>66</v>
      </c>
      <c r="O101" s="1" t="s">
        <v>56</v>
      </c>
      <c r="P101">
        <v>2</v>
      </c>
      <c r="Q101" s="1" t="s">
        <v>57</v>
      </c>
      <c r="R101">
        <v>2</v>
      </c>
      <c r="S101" s="1" t="s">
        <v>32</v>
      </c>
      <c r="T101" s="1" t="s">
        <v>33</v>
      </c>
      <c r="U101" s="1" t="s">
        <v>34</v>
      </c>
    </row>
    <row r="102" spans="1:21" x14ac:dyDescent="0.3">
      <c r="A102" s="1" t="s">
        <v>42</v>
      </c>
      <c r="B102">
        <v>24</v>
      </c>
      <c r="C102" s="1" t="s">
        <v>36</v>
      </c>
      <c r="D102" s="1" t="s">
        <v>51</v>
      </c>
      <c r="E102">
        <v>1469</v>
      </c>
      <c r="F102" s="1" t="s">
        <v>64</v>
      </c>
      <c r="G102" s="1" t="s">
        <v>25</v>
      </c>
      <c r="H102">
        <v>4</v>
      </c>
      <c r="I102" s="1" t="s">
        <v>61</v>
      </c>
      <c r="J102" s="1" t="s">
        <v>27</v>
      </c>
      <c r="K102">
        <v>4</v>
      </c>
      <c r="L102" s="1" t="s">
        <v>28</v>
      </c>
      <c r="M102">
        <v>41</v>
      </c>
      <c r="N102" s="1" t="s">
        <v>29</v>
      </c>
      <c r="O102" s="1" t="s">
        <v>56</v>
      </c>
      <c r="P102">
        <v>1</v>
      </c>
      <c r="Q102" s="1" t="s">
        <v>45</v>
      </c>
      <c r="R102">
        <v>1</v>
      </c>
      <c r="S102" s="1" t="s">
        <v>40</v>
      </c>
      <c r="T102" s="1" t="s">
        <v>33</v>
      </c>
      <c r="U102" s="1" t="s">
        <v>34</v>
      </c>
    </row>
    <row r="103" spans="1:21" x14ac:dyDescent="0.3">
      <c r="A103" s="1" t="s">
        <v>35</v>
      </c>
      <c r="B103">
        <v>36</v>
      </c>
      <c r="C103" s="1" t="s">
        <v>36</v>
      </c>
      <c r="D103" s="1" t="s">
        <v>23</v>
      </c>
      <c r="E103">
        <v>2323</v>
      </c>
      <c r="F103" s="1" t="s">
        <v>37</v>
      </c>
      <c r="G103" s="1" t="s">
        <v>44</v>
      </c>
      <c r="H103">
        <v>4</v>
      </c>
      <c r="I103" s="1" t="s">
        <v>26</v>
      </c>
      <c r="J103" s="1" t="s">
        <v>27</v>
      </c>
      <c r="K103">
        <v>4</v>
      </c>
      <c r="L103" s="1" t="s">
        <v>55</v>
      </c>
      <c r="M103">
        <v>24</v>
      </c>
      <c r="N103" s="1" t="s">
        <v>29</v>
      </c>
      <c r="O103" s="1" t="s">
        <v>56</v>
      </c>
      <c r="P103">
        <v>1</v>
      </c>
      <c r="Q103" s="1" t="s">
        <v>31</v>
      </c>
      <c r="R103">
        <v>1</v>
      </c>
      <c r="S103" s="1" t="s">
        <v>40</v>
      </c>
      <c r="T103" s="1" t="s">
        <v>33</v>
      </c>
      <c r="U103" s="1" t="s">
        <v>34</v>
      </c>
    </row>
    <row r="104" spans="1:21" x14ac:dyDescent="0.3">
      <c r="A104" s="1" t="s">
        <v>42</v>
      </c>
      <c r="B104">
        <v>6</v>
      </c>
      <c r="C104" s="1" t="s">
        <v>50</v>
      </c>
      <c r="D104" s="1" t="s">
        <v>23</v>
      </c>
      <c r="E104">
        <v>932</v>
      </c>
      <c r="F104" s="1" t="s">
        <v>37</v>
      </c>
      <c r="G104" s="1" t="s">
        <v>38</v>
      </c>
      <c r="H104">
        <v>3</v>
      </c>
      <c r="I104" s="1" t="s">
        <v>39</v>
      </c>
      <c r="J104" s="1" t="s">
        <v>27</v>
      </c>
      <c r="K104">
        <v>2</v>
      </c>
      <c r="L104" s="1" t="s">
        <v>28</v>
      </c>
      <c r="M104">
        <v>24</v>
      </c>
      <c r="N104" s="1" t="s">
        <v>29</v>
      </c>
      <c r="O104" s="1" t="s">
        <v>30</v>
      </c>
      <c r="P104">
        <v>1</v>
      </c>
      <c r="Q104" s="1" t="s">
        <v>31</v>
      </c>
      <c r="R104">
        <v>1</v>
      </c>
      <c r="S104" s="1" t="s">
        <v>40</v>
      </c>
      <c r="T104" s="1" t="s">
        <v>33</v>
      </c>
      <c r="U104" s="1" t="s">
        <v>34</v>
      </c>
    </row>
    <row r="105" spans="1:21" x14ac:dyDescent="0.3">
      <c r="A105" s="1" t="s">
        <v>35</v>
      </c>
      <c r="B105">
        <v>9</v>
      </c>
      <c r="C105" s="1" t="s">
        <v>22</v>
      </c>
      <c r="D105" s="1" t="s">
        <v>46</v>
      </c>
      <c r="E105">
        <v>1919</v>
      </c>
      <c r="F105" s="1" t="s">
        <v>37</v>
      </c>
      <c r="G105" s="1" t="s">
        <v>44</v>
      </c>
      <c r="H105">
        <v>4</v>
      </c>
      <c r="I105" s="1" t="s">
        <v>26</v>
      </c>
      <c r="J105" s="1" t="s">
        <v>27</v>
      </c>
      <c r="K105">
        <v>3</v>
      </c>
      <c r="L105" s="1" t="s">
        <v>55</v>
      </c>
      <c r="M105">
        <v>35</v>
      </c>
      <c r="N105" s="1" t="s">
        <v>29</v>
      </c>
      <c r="O105" s="1" t="s">
        <v>56</v>
      </c>
      <c r="P105">
        <v>1</v>
      </c>
      <c r="Q105" s="1" t="s">
        <v>31</v>
      </c>
      <c r="R105">
        <v>1</v>
      </c>
      <c r="S105" s="1" t="s">
        <v>32</v>
      </c>
      <c r="T105" s="1" t="s">
        <v>33</v>
      </c>
      <c r="U105" s="1" t="s">
        <v>34</v>
      </c>
    </row>
    <row r="106" spans="1:21" x14ac:dyDescent="0.3">
      <c r="A106" s="1" t="s">
        <v>42</v>
      </c>
      <c r="B106">
        <v>12</v>
      </c>
      <c r="C106" s="1" t="s">
        <v>36</v>
      </c>
      <c r="D106" s="1" t="s">
        <v>54</v>
      </c>
      <c r="E106">
        <v>2445</v>
      </c>
      <c r="F106" s="1" t="s">
        <v>24</v>
      </c>
      <c r="G106" s="1" t="s">
        <v>62</v>
      </c>
      <c r="H106">
        <v>2</v>
      </c>
      <c r="I106" s="1" t="s">
        <v>61</v>
      </c>
      <c r="J106" s="1" t="s">
        <v>27</v>
      </c>
      <c r="K106">
        <v>4</v>
      </c>
      <c r="L106" s="1" t="s">
        <v>55</v>
      </c>
      <c r="M106">
        <v>26</v>
      </c>
      <c r="N106" s="1" t="s">
        <v>29</v>
      </c>
      <c r="O106" s="1" t="s">
        <v>56</v>
      </c>
      <c r="P106">
        <v>1</v>
      </c>
      <c r="Q106" s="1" t="s">
        <v>31</v>
      </c>
      <c r="R106">
        <v>1</v>
      </c>
      <c r="S106" s="1" t="s">
        <v>32</v>
      </c>
      <c r="T106" s="1" t="s">
        <v>33</v>
      </c>
      <c r="U106" s="1" t="s">
        <v>34</v>
      </c>
    </row>
    <row r="107" spans="1:21" x14ac:dyDescent="0.3">
      <c r="A107" s="1" t="s">
        <v>35</v>
      </c>
      <c r="B107">
        <v>24</v>
      </c>
      <c r="C107" s="1" t="s">
        <v>22</v>
      </c>
      <c r="D107" s="1" t="s">
        <v>75</v>
      </c>
      <c r="E107">
        <v>11938</v>
      </c>
      <c r="F107" s="1" t="s">
        <v>37</v>
      </c>
      <c r="G107" s="1" t="s">
        <v>38</v>
      </c>
      <c r="H107">
        <v>2</v>
      </c>
      <c r="I107" s="1" t="s">
        <v>26</v>
      </c>
      <c r="J107" s="1" t="s">
        <v>71</v>
      </c>
      <c r="K107">
        <v>3</v>
      </c>
      <c r="L107" s="1" t="s">
        <v>55</v>
      </c>
      <c r="M107">
        <v>39</v>
      </c>
      <c r="N107" s="1" t="s">
        <v>29</v>
      </c>
      <c r="O107" s="1" t="s">
        <v>30</v>
      </c>
      <c r="P107">
        <v>2</v>
      </c>
      <c r="Q107" s="1" t="s">
        <v>57</v>
      </c>
      <c r="R107">
        <v>2</v>
      </c>
      <c r="S107" s="1" t="s">
        <v>32</v>
      </c>
      <c r="T107" s="1" t="s">
        <v>33</v>
      </c>
      <c r="U107" s="1" t="s">
        <v>41</v>
      </c>
    </row>
    <row r="108" spans="1:21" x14ac:dyDescent="0.3">
      <c r="A108" s="1" t="s">
        <v>42</v>
      </c>
      <c r="B108">
        <v>18</v>
      </c>
      <c r="C108" s="1" t="s">
        <v>69</v>
      </c>
      <c r="D108" s="1" t="s">
        <v>51</v>
      </c>
      <c r="E108">
        <v>6458</v>
      </c>
      <c r="F108" s="1" t="s">
        <v>37</v>
      </c>
      <c r="G108" s="1" t="s">
        <v>25</v>
      </c>
      <c r="H108">
        <v>2</v>
      </c>
      <c r="I108" s="1" t="s">
        <v>26</v>
      </c>
      <c r="J108" s="1" t="s">
        <v>27</v>
      </c>
      <c r="K108">
        <v>4</v>
      </c>
      <c r="L108" s="1" t="s">
        <v>52</v>
      </c>
      <c r="M108">
        <v>39</v>
      </c>
      <c r="N108" s="1" t="s">
        <v>66</v>
      </c>
      <c r="O108" s="1" t="s">
        <v>30</v>
      </c>
      <c r="P108">
        <v>2</v>
      </c>
      <c r="Q108" s="1" t="s">
        <v>57</v>
      </c>
      <c r="R108">
        <v>2</v>
      </c>
      <c r="S108" s="1" t="s">
        <v>32</v>
      </c>
      <c r="T108" s="1" t="s">
        <v>33</v>
      </c>
      <c r="U108" s="1" t="s">
        <v>41</v>
      </c>
    </row>
    <row r="109" spans="1:21" x14ac:dyDescent="0.3">
      <c r="A109" s="1" t="s">
        <v>35</v>
      </c>
      <c r="B109">
        <v>12</v>
      </c>
      <c r="C109" s="1" t="s">
        <v>36</v>
      </c>
      <c r="D109" s="1" t="s">
        <v>51</v>
      </c>
      <c r="E109">
        <v>6078</v>
      </c>
      <c r="F109" s="1" t="s">
        <v>37</v>
      </c>
      <c r="G109" s="1" t="s">
        <v>44</v>
      </c>
      <c r="H109">
        <v>2</v>
      </c>
      <c r="I109" s="1" t="s">
        <v>26</v>
      </c>
      <c r="J109" s="1" t="s">
        <v>27</v>
      </c>
      <c r="K109">
        <v>2</v>
      </c>
      <c r="L109" s="1" t="s">
        <v>55</v>
      </c>
      <c r="M109">
        <v>32</v>
      </c>
      <c r="N109" s="1" t="s">
        <v>29</v>
      </c>
      <c r="O109" s="1" t="s">
        <v>30</v>
      </c>
      <c r="P109">
        <v>1</v>
      </c>
      <c r="Q109" s="1" t="s">
        <v>31</v>
      </c>
      <c r="R109">
        <v>1</v>
      </c>
      <c r="S109" s="1" t="s">
        <v>40</v>
      </c>
      <c r="T109" s="1" t="s">
        <v>33</v>
      </c>
      <c r="U109" s="1" t="s">
        <v>34</v>
      </c>
    </row>
    <row r="110" spans="1:21" x14ac:dyDescent="0.3">
      <c r="A110" s="1" t="s">
        <v>21</v>
      </c>
      <c r="B110">
        <v>24</v>
      </c>
      <c r="C110" s="1" t="s">
        <v>36</v>
      </c>
      <c r="D110" s="1" t="s">
        <v>46</v>
      </c>
      <c r="E110">
        <v>7721</v>
      </c>
      <c r="F110" s="1" t="s">
        <v>24</v>
      </c>
      <c r="G110" s="1" t="s">
        <v>62</v>
      </c>
      <c r="H110">
        <v>1</v>
      </c>
      <c r="I110" s="1" t="s">
        <v>39</v>
      </c>
      <c r="J110" s="1" t="s">
        <v>27</v>
      </c>
      <c r="K110">
        <v>2</v>
      </c>
      <c r="L110" s="1" t="s">
        <v>48</v>
      </c>
      <c r="M110">
        <v>30</v>
      </c>
      <c r="N110" s="1" t="s">
        <v>29</v>
      </c>
      <c r="O110" s="1" t="s">
        <v>30</v>
      </c>
      <c r="P110">
        <v>1</v>
      </c>
      <c r="Q110" s="1" t="s">
        <v>31</v>
      </c>
      <c r="R110">
        <v>1</v>
      </c>
      <c r="S110" s="1" t="s">
        <v>32</v>
      </c>
      <c r="T110" s="1" t="s">
        <v>67</v>
      </c>
      <c r="U110" s="1" t="s">
        <v>34</v>
      </c>
    </row>
    <row r="111" spans="1:21" x14ac:dyDescent="0.3">
      <c r="A111" s="1" t="s">
        <v>35</v>
      </c>
      <c r="B111">
        <v>14</v>
      </c>
      <c r="C111" s="1" t="s">
        <v>36</v>
      </c>
      <c r="D111" s="1" t="s">
        <v>63</v>
      </c>
      <c r="E111">
        <v>1410</v>
      </c>
      <c r="F111" s="1" t="s">
        <v>53</v>
      </c>
      <c r="G111" s="1" t="s">
        <v>25</v>
      </c>
      <c r="H111">
        <v>1</v>
      </c>
      <c r="I111" s="1" t="s">
        <v>61</v>
      </c>
      <c r="J111" s="1" t="s">
        <v>27</v>
      </c>
      <c r="K111">
        <v>2</v>
      </c>
      <c r="L111" s="1" t="s">
        <v>28</v>
      </c>
      <c r="M111">
        <v>35</v>
      </c>
      <c r="N111" s="1" t="s">
        <v>29</v>
      </c>
      <c r="O111" s="1" t="s">
        <v>30</v>
      </c>
      <c r="P111">
        <v>1</v>
      </c>
      <c r="Q111" s="1" t="s">
        <v>31</v>
      </c>
      <c r="R111">
        <v>1</v>
      </c>
      <c r="S111" s="1" t="s">
        <v>32</v>
      </c>
      <c r="T111" s="1" t="s">
        <v>33</v>
      </c>
      <c r="U111" s="1" t="s">
        <v>34</v>
      </c>
    </row>
    <row r="112" spans="1:21" x14ac:dyDescent="0.3">
      <c r="A112" s="1" t="s">
        <v>35</v>
      </c>
      <c r="B112">
        <v>6</v>
      </c>
      <c r="C112" s="1" t="s">
        <v>50</v>
      </c>
      <c r="D112" s="1" t="s">
        <v>63</v>
      </c>
      <c r="E112">
        <v>1449</v>
      </c>
      <c r="F112" s="1" t="s">
        <v>64</v>
      </c>
      <c r="G112" s="1" t="s">
        <v>25</v>
      </c>
      <c r="H112">
        <v>1</v>
      </c>
      <c r="I112" s="1" t="s">
        <v>59</v>
      </c>
      <c r="J112" s="1" t="s">
        <v>27</v>
      </c>
      <c r="K112">
        <v>2</v>
      </c>
      <c r="L112" s="1" t="s">
        <v>55</v>
      </c>
      <c r="M112">
        <v>31</v>
      </c>
      <c r="N112" s="1" t="s">
        <v>66</v>
      </c>
      <c r="O112" s="1" t="s">
        <v>30</v>
      </c>
      <c r="P112">
        <v>2</v>
      </c>
      <c r="Q112" s="1" t="s">
        <v>31</v>
      </c>
      <c r="R112">
        <v>2</v>
      </c>
      <c r="S112" s="1" t="s">
        <v>40</v>
      </c>
      <c r="T112" s="1" t="s">
        <v>33</v>
      </c>
      <c r="U112" s="1" t="s">
        <v>34</v>
      </c>
    </row>
    <row r="113" spans="1:21" x14ac:dyDescent="0.3">
      <c r="A113" s="1" t="s">
        <v>68</v>
      </c>
      <c r="B113">
        <v>15</v>
      </c>
      <c r="C113" s="1" t="s">
        <v>36</v>
      </c>
      <c r="D113" s="1" t="s">
        <v>43</v>
      </c>
      <c r="E113">
        <v>392</v>
      </c>
      <c r="F113" s="1" t="s">
        <v>37</v>
      </c>
      <c r="G113" s="1" t="s">
        <v>62</v>
      </c>
      <c r="H113">
        <v>4</v>
      </c>
      <c r="I113" s="1" t="s">
        <v>39</v>
      </c>
      <c r="J113" s="1" t="s">
        <v>27</v>
      </c>
      <c r="K113">
        <v>4</v>
      </c>
      <c r="L113" s="1" t="s">
        <v>48</v>
      </c>
      <c r="M113">
        <v>23</v>
      </c>
      <c r="N113" s="1" t="s">
        <v>29</v>
      </c>
      <c r="O113" s="1" t="s">
        <v>56</v>
      </c>
      <c r="P113">
        <v>1</v>
      </c>
      <c r="Q113" s="1" t="s">
        <v>31</v>
      </c>
      <c r="R113">
        <v>1</v>
      </c>
      <c r="S113" s="1" t="s">
        <v>32</v>
      </c>
      <c r="T113" s="1" t="s">
        <v>33</v>
      </c>
      <c r="U113" s="1" t="s">
        <v>34</v>
      </c>
    </row>
    <row r="114" spans="1:21" x14ac:dyDescent="0.3">
      <c r="A114" s="1" t="s">
        <v>35</v>
      </c>
      <c r="B114">
        <v>18</v>
      </c>
      <c r="C114" s="1" t="s">
        <v>36</v>
      </c>
      <c r="D114" s="1" t="s">
        <v>51</v>
      </c>
      <c r="E114">
        <v>6260</v>
      </c>
      <c r="F114" s="1" t="s">
        <v>37</v>
      </c>
      <c r="G114" s="1" t="s">
        <v>44</v>
      </c>
      <c r="H114">
        <v>3</v>
      </c>
      <c r="I114" s="1" t="s">
        <v>26</v>
      </c>
      <c r="J114" s="1" t="s">
        <v>27</v>
      </c>
      <c r="K114">
        <v>3</v>
      </c>
      <c r="L114" s="1" t="s">
        <v>28</v>
      </c>
      <c r="M114">
        <v>28</v>
      </c>
      <c r="N114" s="1" t="s">
        <v>29</v>
      </c>
      <c r="O114" s="1" t="s">
        <v>56</v>
      </c>
      <c r="P114">
        <v>1</v>
      </c>
      <c r="Q114" s="1" t="s">
        <v>45</v>
      </c>
      <c r="R114">
        <v>1</v>
      </c>
      <c r="S114" s="1" t="s">
        <v>40</v>
      </c>
      <c r="T114" s="1" t="s">
        <v>33</v>
      </c>
      <c r="U114" s="1" t="s">
        <v>34</v>
      </c>
    </row>
    <row r="115" spans="1:21" x14ac:dyDescent="0.3">
      <c r="A115" s="1" t="s">
        <v>42</v>
      </c>
      <c r="B115">
        <v>36</v>
      </c>
      <c r="C115" s="1" t="s">
        <v>22</v>
      </c>
      <c r="D115" s="1" t="s">
        <v>51</v>
      </c>
      <c r="E115">
        <v>7855</v>
      </c>
      <c r="F115" s="1" t="s">
        <v>37</v>
      </c>
      <c r="G115" s="1" t="s">
        <v>38</v>
      </c>
      <c r="H115">
        <v>4</v>
      </c>
      <c r="I115" s="1" t="s">
        <v>39</v>
      </c>
      <c r="J115" s="1" t="s">
        <v>27</v>
      </c>
      <c r="K115">
        <v>2</v>
      </c>
      <c r="L115" s="1" t="s">
        <v>28</v>
      </c>
      <c r="M115">
        <v>25</v>
      </c>
      <c r="N115" s="1" t="s">
        <v>70</v>
      </c>
      <c r="O115" s="1" t="s">
        <v>30</v>
      </c>
      <c r="P115">
        <v>2</v>
      </c>
      <c r="Q115" s="1" t="s">
        <v>31</v>
      </c>
      <c r="R115">
        <v>1</v>
      </c>
      <c r="S115" s="1" t="s">
        <v>32</v>
      </c>
      <c r="T115" s="1" t="s">
        <v>33</v>
      </c>
      <c r="U115" s="1" t="s">
        <v>41</v>
      </c>
    </row>
    <row r="116" spans="1:21" x14ac:dyDescent="0.3">
      <c r="A116" s="1" t="s">
        <v>21</v>
      </c>
      <c r="B116">
        <v>12</v>
      </c>
      <c r="C116" s="1" t="s">
        <v>36</v>
      </c>
      <c r="D116" s="1" t="s">
        <v>23</v>
      </c>
      <c r="E116">
        <v>1680</v>
      </c>
      <c r="F116" s="1" t="s">
        <v>53</v>
      </c>
      <c r="G116" s="1" t="s">
        <v>25</v>
      </c>
      <c r="H116">
        <v>3</v>
      </c>
      <c r="I116" s="1" t="s">
        <v>61</v>
      </c>
      <c r="J116" s="1" t="s">
        <v>27</v>
      </c>
      <c r="K116">
        <v>1</v>
      </c>
      <c r="L116" s="1" t="s">
        <v>28</v>
      </c>
      <c r="M116">
        <v>35</v>
      </c>
      <c r="N116" s="1" t="s">
        <v>29</v>
      </c>
      <c r="O116" s="1" t="s">
        <v>30</v>
      </c>
      <c r="P116">
        <v>1</v>
      </c>
      <c r="Q116" s="1" t="s">
        <v>31</v>
      </c>
      <c r="R116">
        <v>1</v>
      </c>
      <c r="S116" s="1" t="s">
        <v>40</v>
      </c>
      <c r="T116" s="1" t="s">
        <v>33</v>
      </c>
      <c r="U116" s="1" t="s">
        <v>34</v>
      </c>
    </row>
    <row r="117" spans="1:21" x14ac:dyDescent="0.3">
      <c r="A117" s="1" t="s">
        <v>42</v>
      </c>
      <c r="B117">
        <v>48</v>
      </c>
      <c r="C117" s="1" t="s">
        <v>22</v>
      </c>
      <c r="D117" s="1" t="s">
        <v>23</v>
      </c>
      <c r="E117">
        <v>3578</v>
      </c>
      <c r="F117" s="1" t="s">
        <v>24</v>
      </c>
      <c r="G117" s="1" t="s">
        <v>25</v>
      </c>
      <c r="H117">
        <v>4</v>
      </c>
      <c r="I117" s="1" t="s">
        <v>26</v>
      </c>
      <c r="J117" s="1" t="s">
        <v>27</v>
      </c>
      <c r="K117">
        <v>1</v>
      </c>
      <c r="L117" s="1" t="s">
        <v>28</v>
      </c>
      <c r="M117">
        <v>47</v>
      </c>
      <c r="N117" s="1" t="s">
        <v>29</v>
      </c>
      <c r="O117" s="1" t="s">
        <v>30</v>
      </c>
      <c r="P117">
        <v>1</v>
      </c>
      <c r="Q117" s="1" t="s">
        <v>31</v>
      </c>
      <c r="R117">
        <v>1</v>
      </c>
      <c r="S117" s="1" t="s">
        <v>32</v>
      </c>
      <c r="T117" s="1" t="s">
        <v>33</v>
      </c>
      <c r="U117" s="1" t="s">
        <v>34</v>
      </c>
    </row>
    <row r="118" spans="1:21" x14ac:dyDescent="0.3">
      <c r="A118" s="1" t="s">
        <v>21</v>
      </c>
      <c r="B118">
        <v>42</v>
      </c>
      <c r="C118" s="1" t="s">
        <v>36</v>
      </c>
      <c r="D118" s="1" t="s">
        <v>23</v>
      </c>
      <c r="E118">
        <v>7174</v>
      </c>
      <c r="F118" s="1" t="s">
        <v>24</v>
      </c>
      <c r="G118" s="1" t="s">
        <v>44</v>
      </c>
      <c r="H118">
        <v>4</v>
      </c>
      <c r="I118" s="1" t="s">
        <v>39</v>
      </c>
      <c r="J118" s="1" t="s">
        <v>27</v>
      </c>
      <c r="K118">
        <v>3</v>
      </c>
      <c r="L118" s="1" t="s">
        <v>55</v>
      </c>
      <c r="M118">
        <v>30</v>
      </c>
      <c r="N118" s="1" t="s">
        <v>29</v>
      </c>
      <c r="O118" s="1" t="s">
        <v>30</v>
      </c>
      <c r="P118">
        <v>1</v>
      </c>
      <c r="Q118" s="1" t="s">
        <v>57</v>
      </c>
      <c r="R118">
        <v>1</v>
      </c>
      <c r="S118" s="1" t="s">
        <v>32</v>
      </c>
      <c r="T118" s="1" t="s">
        <v>33</v>
      </c>
      <c r="U118" s="1" t="s">
        <v>41</v>
      </c>
    </row>
    <row r="119" spans="1:21" x14ac:dyDescent="0.3">
      <c r="A119" s="1" t="s">
        <v>21</v>
      </c>
      <c r="B119">
        <v>10</v>
      </c>
      <c r="C119" s="1" t="s">
        <v>22</v>
      </c>
      <c r="D119" s="1" t="s">
        <v>46</v>
      </c>
      <c r="E119">
        <v>2132</v>
      </c>
      <c r="F119" s="1" t="s">
        <v>24</v>
      </c>
      <c r="G119" s="1" t="s">
        <v>62</v>
      </c>
      <c r="H119">
        <v>2</v>
      </c>
      <c r="I119" s="1" t="s">
        <v>39</v>
      </c>
      <c r="J119" s="1" t="s">
        <v>71</v>
      </c>
      <c r="K119">
        <v>3</v>
      </c>
      <c r="L119" s="1" t="s">
        <v>28</v>
      </c>
      <c r="M119">
        <v>27</v>
      </c>
      <c r="N119" s="1" t="s">
        <v>29</v>
      </c>
      <c r="O119" s="1" t="s">
        <v>56</v>
      </c>
      <c r="P119">
        <v>2</v>
      </c>
      <c r="Q119" s="1" t="s">
        <v>31</v>
      </c>
      <c r="R119">
        <v>1</v>
      </c>
      <c r="S119" s="1" t="s">
        <v>40</v>
      </c>
      <c r="T119" s="1" t="s">
        <v>67</v>
      </c>
      <c r="U119" s="1" t="s">
        <v>34</v>
      </c>
    </row>
    <row r="120" spans="1:21" x14ac:dyDescent="0.3">
      <c r="A120" s="1" t="s">
        <v>21</v>
      </c>
      <c r="B120">
        <v>33</v>
      </c>
      <c r="C120" s="1" t="s">
        <v>22</v>
      </c>
      <c r="D120" s="1" t="s">
        <v>46</v>
      </c>
      <c r="E120">
        <v>4281</v>
      </c>
      <c r="F120" s="1" t="s">
        <v>53</v>
      </c>
      <c r="G120" s="1" t="s">
        <v>38</v>
      </c>
      <c r="H120">
        <v>1</v>
      </c>
      <c r="I120" s="1" t="s">
        <v>39</v>
      </c>
      <c r="J120" s="1" t="s">
        <v>27</v>
      </c>
      <c r="K120">
        <v>4</v>
      </c>
      <c r="L120" s="1" t="s">
        <v>55</v>
      </c>
      <c r="M120">
        <v>23</v>
      </c>
      <c r="N120" s="1" t="s">
        <v>29</v>
      </c>
      <c r="O120" s="1" t="s">
        <v>30</v>
      </c>
      <c r="P120">
        <v>2</v>
      </c>
      <c r="Q120" s="1" t="s">
        <v>31</v>
      </c>
      <c r="R120">
        <v>1</v>
      </c>
      <c r="S120" s="1" t="s">
        <v>40</v>
      </c>
      <c r="T120" s="1" t="s">
        <v>33</v>
      </c>
      <c r="U120" s="1" t="s">
        <v>41</v>
      </c>
    </row>
    <row r="121" spans="1:21" x14ac:dyDescent="0.3">
      <c r="A121" s="1" t="s">
        <v>35</v>
      </c>
      <c r="B121">
        <v>12</v>
      </c>
      <c r="C121" s="1" t="s">
        <v>22</v>
      </c>
      <c r="D121" s="1" t="s">
        <v>51</v>
      </c>
      <c r="E121">
        <v>2366</v>
      </c>
      <c r="F121" s="1" t="s">
        <v>53</v>
      </c>
      <c r="G121" s="1" t="s">
        <v>44</v>
      </c>
      <c r="H121">
        <v>3</v>
      </c>
      <c r="I121" s="1" t="s">
        <v>59</v>
      </c>
      <c r="J121" s="1" t="s">
        <v>27</v>
      </c>
      <c r="K121">
        <v>3</v>
      </c>
      <c r="L121" s="1" t="s">
        <v>55</v>
      </c>
      <c r="M121">
        <v>36</v>
      </c>
      <c r="N121" s="1" t="s">
        <v>29</v>
      </c>
      <c r="O121" s="1" t="s">
        <v>30</v>
      </c>
      <c r="P121">
        <v>1</v>
      </c>
      <c r="Q121" s="1" t="s">
        <v>57</v>
      </c>
      <c r="R121">
        <v>1</v>
      </c>
      <c r="S121" s="1" t="s">
        <v>32</v>
      </c>
      <c r="T121" s="1" t="s">
        <v>33</v>
      </c>
      <c r="U121" s="1" t="s">
        <v>34</v>
      </c>
    </row>
    <row r="122" spans="1:21" x14ac:dyDescent="0.3">
      <c r="A122" s="1" t="s">
        <v>21</v>
      </c>
      <c r="B122">
        <v>21</v>
      </c>
      <c r="C122" s="1" t="s">
        <v>36</v>
      </c>
      <c r="D122" s="1" t="s">
        <v>23</v>
      </c>
      <c r="E122">
        <v>1835</v>
      </c>
      <c r="F122" s="1" t="s">
        <v>37</v>
      </c>
      <c r="G122" s="1" t="s">
        <v>38</v>
      </c>
      <c r="H122">
        <v>3</v>
      </c>
      <c r="I122" s="1" t="s">
        <v>39</v>
      </c>
      <c r="J122" s="1" t="s">
        <v>27</v>
      </c>
      <c r="K122">
        <v>2</v>
      </c>
      <c r="L122" s="1" t="s">
        <v>28</v>
      </c>
      <c r="M122">
        <v>25</v>
      </c>
      <c r="N122" s="1" t="s">
        <v>29</v>
      </c>
      <c r="O122" s="1" t="s">
        <v>30</v>
      </c>
      <c r="P122">
        <v>2</v>
      </c>
      <c r="Q122" s="1" t="s">
        <v>31</v>
      </c>
      <c r="R122">
        <v>1</v>
      </c>
      <c r="S122" s="1" t="s">
        <v>32</v>
      </c>
      <c r="T122" s="1" t="s">
        <v>33</v>
      </c>
      <c r="U122" s="1" t="s">
        <v>41</v>
      </c>
    </row>
    <row r="123" spans="1:21" x14ac:dyDescent="0.3">
      <c r="A123" s="1" t="s">
        <v>42</v>
      </c>
      <c r="B123">
        <v>24</v>
      </c>
      <c r="C123" s="1" t="s">
        <v>22</v>
      </c>
      <c r="D123" s="1" t="s">
        <v>54</v>
      </c>
      <c r="E123">
        <v>3868</v>
      </c>
      <c r="F123" s="1" t="s">
        <v>37</v>
      </c>
      <c r="G123" s="1" t="s">
        <v>25</v>
      </c>
      <c r="H123">
        <v>4</v>
      </c>
      <c r="I123" s="1" t="s">
        <v>39</v>
      </c>
      <c r="J123" s="1" t="s">
        <v>27</v>
      </c>
      <c r="K123">
        <v>2</v>
      </c>
      <c r="L123" s="1" t="s">
        <v>55</v>
      </c>
      <c r="M123">
        <v>41</v>
      </c>
      <c r="N123" s="1" t="s">
        <v>29</v>
      </c>
      <c r="O123" s="1" t="s">
        <v>56</v>
      </c>
      <c r="P123">
        <v>2</v>
      </c>
      <c r="Q123" s="1" t="s">
        <v>57</v>
      </c>
      <c r="R123">
        <v>1</v>
      </c>
      <c r="S123" s="1" t="s">
        <v>32</v>
      </c>
      <c r="T123" s="1" t="s">
        <v>33</v>
      </c>
      <c r="U123" s="1" t="s">
        <v>34</v>
      </c>
    </row>
    <row r="124" spans="1:21" x14ac:dyDescent="0.3">
      <c r="A124" s="1" t="s">
        <v>42</v>
      </c>
      <c r="B124">
        <v>12</v>
      </c>
      <c r="C124" s="1" t="s">
        <v>36</v>
      </c>
      <c r="D124" s="1" t="s">
        <v>46</v>
      </c>
      <c r="E124">
        <v>1768</v>
      </c>
      <c r="F124" s="1" t="s">
        <v>37</v>
      </c>
      <c r="G124" s="1" t="s">
        <v>38</v>
      </c>
      <c r="H124">
        <v>3</v>
      </c>
      <c r="I124" s="1" t="s">
        <v>26</v>
      </c>
      <c r="J124" s="1" t="s">
        <v>27</v>
      </c>
      <c r="K124">
        <v>2</v>
      </c>
      <c r="L124" s="1" t="s">
        <v>28</v>
      </c>
      <c r="M124">
        <v>24</v>
      </c>
      <c r="N124" s="1" t="s">
        <v>29</v>
      </c>
      <c r="O124" s="1" t="s">
        <v>56</v>
      </c>
      <c r="P124">
        <v>1</v>
      </c>
      <c r="Q124" s="1" t="s">
        <v>45</v>
      </c>
      <c r="R124">
        <v>1</v>
      </c>
      <c r="S124" s="1" t="s">
        <v>40</v>
      </c>
      <c r="T124" s="1" t="s">
        <v>33</v>
      </c>
      <c r="U124" s="1" t="s">
        <v>34</v>
      </c>
    </row>
    <row r="125" spans="1:21" x14ac:dyDescent="0.3">
      <c r="A125" s="1" t="s">
        <v>68</v>
      </c>
      <c r="B125">
        <v>10</v>
      </c>
      <c r="C125" s="1" t="s">
        <v>22</v>
      </c>
      <c r="D125" s="1" t="s">
        <v>51</v>
      </c>
      <c r="E125">
        <v>781</v>
      </c>
      <c r="F125" s="1" t="s">
        <v>37</v>
      </c>
      <c r="G125" s="1" t="s">
        <v>25</v>
      </c>
      <c r="H125">
        <v>4</v>
      </c>
      <c r="I125" s="1" t="s">
        <v>26</v>
      </c>
      <c r="J125" s="1" t="s">
        <v>27</v>
      </c>
      <c r="K125">
        <v>4</v>
      </c>
      <c r="L125" s="1" t="s">
        <v>52</v>
      </c>
      <c r="M125">
        <v>63</v>
      </c>
      <c r="N125" s="1" t="s">
        <v>29</v>
      </c>
      <c r="O125" s="1" t="s">
        <v>49</v>
      </c>
      <c r="P125">
        <v>2</v>
      </c>
      <c r="Q125" s="1" t="s">
        <v>31</v>
      </c>
      <c r="R125">
        <v>1</v>
      </c>
      <c r="S125" s="1" t="s">
        <v>32</v>
      </c>
      <c r="T125" s="1" t="s">
        <v>33</v>
      </c>
      <c r="U125" s="1" t="s">
        <v>34</v>
      </c>
    </row>
    <row r="126" spans="1:21" x14ac:dyDescent="0.3">
      <c r="A126" s="1" t="s">
        <v>35</v>
      </c>
      <c r="B126">
        <v>18</v>
      </c>
      <c r="C126" s="1" t="s">
        <v>36</v>
      </c>
      <c r="D126" s="1" t="s">
        <v>46</v>
      </c>
      <c r="E126">
        <v>1924</v>
      </c>
      <c r="F126" s="1" t="s">
        <v>24</v>
      </c>
      <c r="G126" s="1" t="s">
        <v>62</v>
      </c>
      <c r="H126">
        <v>4</v>
      </c>
      <c r="I126" s="1" t="s">
        <v>39</v>
      </c>
      <c r="J126" s="1" t="s">
        <v>27</v>
      </c>
      <c r="K126">
        <v>3</v>
      </c>
      <c r="L126" s="1" t="s">
        <v>28</v>
      </c>
      <c r="M126">
        <v>27</v>
      </c>
      <c r="N126" s="1" t="s">
        <v>29</v>
      </c>
      <c r="O126" s="1" t="s">
        <v>56</v>
      </c>
      <c r="P126">
        <v>1</v>
      </c>
      <c r="Q126" s="1" t="s">
        <v>31</v>
      </c>
      <c r="R126">
        <v>1</v>
      </c>
      <c r="S126" s="1" t="s">
        <v>40</v>
      </c>
      <c r="T126" s="1" t="s">
        <v>33</v>
      </c>
      <c r="U126" s="1" t="s">
        <v>41</v>
      </c>
    </row>
    <row r="127" spans="1:21" x14ac:dyDescent="0.3">
      <c r="A127" s="1" t="s">
        <v>21</v>
      </c>
      <c r="B127">
        <v>12</v>
      </c>
      <c r="C127" s="1" t="s">
        <v>22</v>
      </c>
      <c r="D127" s="1" t="s">
        <v>51</v>
      </c>
      <c r="E127">
        <v>2121</v>
      </c>
      <c r="F127" s="1" t="s">
        <v>37</v>
      </c>
      <c r="G127" s="1" t="s">
        <v>38</v>
      </c>
      <c r="H127">
        <v>4</v>
      </c>
      <c r="I127" s="1" t="s">
        <v>26</v>
      </c>
      <c r="J127" s="1" t="s">
        <v>27</v>
      </c>
      <c r="K127">
        <v>2</v>
      </c>
      <c r="L127" s="1" t="s">
        <v>48</v>
      </c>
      <c r="M127">
        <v>30</v>
      </c>
      <c r="N127" s="1" t="s">
        <v>29</v>
      </c>
      <c r="O127" s="1" t="s">
        <v>30</v>
      </c>
      <c r="P127">
        <v>2</v>
      </c>
      <c r="Q127" s="1" t="s">
        <v>31</v>
      </c>
      <c r="R127">
        <v>1</v>
      </c>
      <c r="S127" s="1" t="s">
        <v>40</v>
      </c>
      <c r="T127" s="1" t="s">
        <v>33</v>
      </c>
      <c r="U127" s="1" t="s">
        <v>34</v>
      </c>
    </row>
    <row r="128" spans="1:21" x14ac:dyDescent="0.3">
      <c r="A128" s="1" t="s">
        <v>21</v>
      </c>
      <c r="B128">
        <v>12</v>
      </c>
      <c r="C128" s="1" t="s">
        <v>36</v>
      </c>
      <c r="D128" s="1" t="s">
        <v>23</v>
      </c>
      <c r="E128">
        <v>701</v>
      </c>
      <c r="F128" s="1" t="s">
        <v>37</v>
      </c>
      <c r="G128" s="1" t="s">
        <v>38</v>
      </c>
      <c r="H128">
        <v>4</v>
      </c>
      <c r="I128" s="1" t="s">
        <v>61</v>
      </c>
      <c r="J128" s="1" t="s">
        <v>27</v>
      </c>
      <c r="K128">
        <v>2</v>
      </c>
      <c r="L128" s="1" t="s">
        <v>28</v>
      </c>
      <c r="M128">
        <v>40</v>
      </c>
      <c r="N128" s="1" t="s">
        <v>29</v>
      </c>
      <c r="O128" s="1" t="s">
        <v>30</v>
      </c>
      <c r="P128">
        <v>1</v>
      </c>
      <c r="Q128" s="1" t="s">
        <v>45</v>
      </c>
      <c r="R128">
        <v>1</v>
      </c>
      <c r="S128" s="1" t="s">
        <v>40</v>
      </c>
      <c r="T128" s="1" t="s">
        <v>33</v>
      </c>
      <c r="U128" s="1" t="s">
        <v>34</v>
      </c>
    </row>
    <row r="129" spans="1:21" x14ac:dyDescent="0.3">
      <c r="A129" s="1" t="s">
        <v>35</v>
      </c>
      <c r="B129">
        <v>12</v>
      </c>
      <c r="C129" s="1" t="s">
        <v>36</v>
      </c>
      <c r="D129" s="1" t="s">
        <v>73</v>
      </c>
      <c r="E129">
        <v>639</v>
      </c>
      <c r="F129" s="1" t="s">
        <v>37</v>
      </c>
      <c r="G129" s="1" t="s">
        <v>38</v>
      </c>
      <c r="H129">
        <v>4</v>
      </c>
      <c r="I129" s="1" t="s">
        <v>26</v>
      </c>
      <c r="J129" s="1" t="s">
        <v>27</v>
      </c>
      <c r="K129">
        <v>2</v>
      </c>
      <c r="L129" s="1" t="s">
        <v>55</v>
      </c>
      <c r="M129">
        <v>30</v>
      </c>
      <c r="N129" s="1" t="s">
        <v>29</v>
      </c>
      <c r="O129" s="1" t="s">
        <v>30</v>
      </c>
      <c r="P129">
        <v>1</v>
      </c>
      <c r="Q129" s="1" t="s">
        <v>31</v>
      </c>
      <c r="R129">
        <v>1</v>
      </c>
      <c r="S129" s="1" t="s">
        <v>40</v>
      </c>
      <c r="T129" s="1" t="s">
        <v>33</v>
      </c>
      <c r="U129" s="1" t="s">
        <v>41</v>
      </c>
    </row>
    <row r="130" spans="1:21" x14ac:dyDescent="0.3">
      <c r="A130" s="1" t="s">
        <v>35</v>
      </c>
      <c r="B130">
        <v>12</v>
      </c>
      <c r="C130" s="1" t="s">
        <v>22</v>
      </c>
      <c r="D130" s="1" t="s">
        <v>54</v>
      </c>
      <c r="E130">
        <v>1860</v>
      </c>
      <c r="F130" s="1" t="s">
        <v>37</v>
      </c>
      <c r="G130" s="1" t="s">
        <v>60</v>
      </c>
      <c r="H130">
        <v>4</v>
      </c>
      <c r="I130" s="1" t="s">
        <v>26</v>
      </c>
      <c r="J130" s="1" t="s">
        <v>27</v>
      </c>
      <c r="K130">
        <v>2</v>
      </c>
      <c r="L130" s="1" t="s">
        <v>55</v>
      </c>
      <c r="M130">
        <v>34</v>
      </c>
      <c r="N130" s="1" t="s">
        <v>29</v>
      </c>
      <c r="O130" s="1" t="s">
        <v>30</v>
      </c>
      <c r="P130">
        <v>2</v>
      </c>
      <c r="Q130" s="1" t="s">
        <v>57</v>
      </c>
      <c r="R130">
        <v>1</v>
      </c>
      <c r="S130" s="1" t="s">
        <v>32</v>
      </c>
      <c r="T130" s="1" t="s">
        <v>33</v>
      </c>
      <c r="U130" s="1" t="s">
        <v>34</v>
      </c>
    </row>
    <row r="131" spans="1:21" x14ac:dyDescent="0.3">
      <c r="A131" s="1" t="s">
        <v>21</v>
      </c>
      <c r="B131">
        <v>12</v>
      </c>
      <c r="C131" s="1" t="s">
        <v>22</v>
      </c>
      <c r="D131" s="1" t="s">
        <v>51</v>
      </c>
      <c r="E131">
        <v>3499</v>
      </c>
      <c r="F131" s="1" t="s">
        <v>37</v>
      </c>
      <c r="G131" s="1" t="s">
        <v>38</v>
      </c>
      <c r="H131">
        <v>3</v>
      </c>
      <c r="I131" s="1" t="s">
        <v>39</v>
      </c>
      <c r="J131" s="1" t="s">
        <v>71</v>
      </c>
      <c r="K131">
        <v>2</v>
      </c>
      <c r="L131" s="1" t="s">
        <v>28</v>
      </c>
      <c r="M131">
        <v>29</v>
      </c>
      <c r="N131" s="1" t="s">
        <v>29</v>
      </c>
      <c r="O131" s="1" t="s">
        <v>30</v>
      </c>
      <c r="P131">
        <v>2</v>
      </c>
      <c r="Q131" s="1" t="s">
        <v>31</v>
      </c>
      <c r="R131">
        <v>1</v>
      </c>
      <c r="S131" s="1" t="s">
        <v>40</v>
      </c>
      <c r="T131" s="1" t="s">
        <v>33</v>
      </c>
      <c r="U131" s="1" t="s">
        <v>41</v>
      </c>
    </row>
    <row r="132" spans="1:21" x14ac:dyDescent="0.3">
      <c r="A132" s="1" t="s">
        <v>35</v>
      </c>
      <c r="B132">
        <v>48</v>
      </c>
      <c r="C132" s="1" t="s">
        <v>36</v>
      </c>
      <c r="D132" s="1" t="s">
        <v>51</v>
      </c>
      <c r="E132">
        <v>8487</v>
      </c>
      <c r="F132" s="1" t="s">
        <v>24</v>
      </c>
      <c r="G132" s="1" t="s">
        <v>44</v>
      </c>
      <c r="H132">
        <v>1</v>
      </c>
      <c r="I132" s="1" t="s">
        <v>39</v>
      </c>
      <c r="J132" s="1" t="s">
        <v>27</v>
      </c>
      <c r="K132">
        <v>2</v>
      </c>
      <c r="L132" s="1" t="s">
        <v>55</v>
      </c>
      <c r="M132">
        <v>24</v>
      </c>
      <c r="N132" s="1" t="s">
        <v>29</v>
      </c>
      <c r="O132" s="1" t="s">
        <v>30</v>
      </c>
      <c r="P132">
        <v>1</v>
      </c>
      <c r="Q132" s="1" t="s">
        <v>31</v>
      </c>
      <c r="R132">
        <v>1</v>
      </c>
      <c r="S132" s="1" t="s">
        <v>40</v>
      </c>
      <c r="T132" s="1" t="s">
        <v>33</v>
      </c>
      <c r="U132" s="1" t="s">
        <v>34</v>
      </c>
    </row>
    <row r="133" spans="1:21" x14ac:dyDescent="0.3">
      <c r="A133" s="1" t="s">
        <v>21</v>
      </c>
      <c r="B133">
        <v>36</v>
      </c>
      <c r="C133" s="1" t="s">
        <v>50</v>
      </c>
      <c r="D133" s="1" t="s">
        <v>43</v>
      </c>
      <c r="E133">
        <v>6887</v>
      </c>
      <c r="F133" s="1" t="s">
        <v>37</v>
      </c>
      <c r="G133" s="1" t="s">
        <v>38</v>
      </c>
      <c r="H133">
        <v>4</v>
      </c>
      <c r="I133" s="1" t="s">
        <v>26</v>
      </c>
      <c r="J133" s="1" t="s">
        <v>27</v>
      </c>
      <c r="K133">
        <v>3</v>
      </c>
      <c r="L133" s="1" t="s">
        <v>48</v>
      </c>
      <c r="M133">
        <v>29</v>
      </c>
      <c r="N133" s="1" t="s">
        <v>70</v>
      </c>
      <c r="O133" s="1" t="s">
        <v>30</v>
      </c>
      <c r="P133">
        <v>1</v>
      </c>
      <c r="Q133" s="1" t="s">
        <v>31</v>
      </c>
      <c r="R133">
        <v>1</v>
      </c>
      <c r="S133" s="1" t="s">
        <v>32</v>
      </c>
      <c r="T133" s="1" t="s">
        <v>33</v>
      </c>
      <c r="U133" s="1" t="s">
        <v>41</v>
      </c>
    </row>
    <row r="134" spans="1:21" x14ac:dyDescent="0.3">
      <c r="A134" s="1" t="s">
        <v>42</v>
      </c>
      <c r="B134">
        <v>15</v>
      </c>
      <c r="C134" s="1" t="s">
        <v>36</v>
      </c>
      <c r="D134" s="1" t="s">
        <v>46</v>
      </c>
      <c r="E134">
        <v>2708</v>
      </c>
      <c r="F134" s="1" t="s">
        <v>37</v>
      </c>
      <c r="G134" s="1" t="s">
        <v>62</v>
      </c>
      <c r="H134">
        <v>2</v>
      </c>
      <c r="I134" s="1" t="s">
        <v>26</v>
      </c>
      <c r="J134" s="1" t="s">
        <v>27</v>
      </c>
      <c r="K134">
        <v>3</v>
      </c>
      <c r="L134" s="1" t="s">
        <v>48</v>
      </c>
      <c r="M134">
        <v>27</v>
      </c>
      <c r="N134" s="1" t="s">
        <v>66</v>
      </c>
      <c r="O134" s="1" t="s">
        <v>30</v>
      </c>
      <c r="P134">
        <v>2</v>
      </c>
      <c r="Q134" s="1" t="s">
        <v>45</v>
      </c>
      <c r="R134">
        <v>1</v>
      </c>
      <c r="S134" s="1" t="s">
        <v>40</v>
      </c>
      <c r="T134" s="1" t="s">
        <v>33</v>
      </c>
      <c r="U134" s="1" t="s">
        <v>34</v>
      </c>
    </row>
    <row r="135" spans="1:21" x14ac:dyDescent="0.3">
      <c r="A135" s="1" t="s">
        <v>42</v>
      </c>
      <c r="B135">
        <v>18</v>
      </c>
      <c r="C135" s="1" t="s">
        <v>36</v>
      </c>
      <c r="D135" s="1" t="s">
        <v>46</v>
      </c>
      <c r="E135">
        <v>1984</v>
      </c>
      <c r="F135" s="1" t="s">
        <v>37</v>
      </c>
      <c r="G135" s="1" t="s">
        <v>38</v>
      </c>
      <c r="H135">
        <v>4</v>
      </c>
      <c r="I135" s="1" t="s">
        <v>26</v>
      </c>
      <c r="J135" s="1" t="s">
        <v>27</v>
      </c>
      <c r="K135">
        <v>4</v>
      </c>
      <c r="L135" s="1" t="s">
        <v>52</v>
      </c>
      <c r="M135">
        <v>47</v>
      </c>
      <c r="N135" s="1" t="s">
        <v>66</v>
      </c>
      <c r="O135" s="1" t="s">
        <v>49</v>
      </c>
      <c r="P135">
        <v>2</v>
      </c>
      <c r="Q135" s="1" t="s">
        <v>31</v>
      </c>
      <c r="R135">
        <v>1</v>
      </c>
      <c r="S135" s="1" t="s">
        <v>40</v>
      </c>
      <c r="T135" s="1" t="s">
        <v>33</v>
      </c>
      <c r="U135" s="1" t="s">
        <v>34</v>
      </c>
    </row>
    <row r="136" spans="1:21" x14ac:dyDescent="0.3">
      <c r="A136" s="1" t="s">
        <v>42</v>
      </c>
      <c r="B136">
        <v>60</v>
      </c>
      <c r="C136" s="1" t="s">
        <v>36</v>
      </c>
      <c r="D136" s="1" t="s">
        <v>23</v>
      </c>
      <c r="E136">
        <v>10144</v>
      </c>
      <c r="F136" s="1" t="s">
        <v>64</v>
      </c>
      <c r="G136" s="1" t="s">
        <v>44</v>
      </c>
      <c r="H136">
        <v>2</v>
      </c>
      <c r="I136" s="1" t="s">
        <v>39</v>
      </c>
      <c r="J136" s="1" t="s">
        <v>27</v>
      </c>
      <c r="K136">
        <v>4</v>
      </c>
      <c r="L136" s="1" t="s">
        <v>28</v>
      </c>
      <c r="M136">
        <v>21</v>
      </c>
      <c r="N136" s="1" t="s">
        <v>29</v>
      </c>
      <c r="O136" s="1" t="s">
        <v>30</v>
      </c>
      <c r="P136">
        <v>1</v>
      </c>
      <c r="Q136" s="1" t="s">
        <v>31</v>
      </c>
      <c r="R136">
        <v>1</v>
      </c>
      <c r="S136" s="1" t="s">
        <v>32</v>
      </c>
      <c r="T136" s="1" t="s">
        <v>33</v>
      </c>
      <c r="U136" s="1" t="s">
        <v>34</v>
      </c>
    </row>
    <row r="137" spans="1:21" x14ac:dyDescent="0.3">
      <c r="A137" s="1" t="s">
        <v>42</v>
      </c>
      <c r="B137">
        <v>12</v>
      </c>
      <c r="C137" s="1" t="s">
        <v>22</v>
      </c>
      <c r="D137" s="1" t="s">
        <v>23</v>
      </c>
      <c r="E137">
        <v>1240</v>
      </c>
      <c r="F137" s="1" t="s">
        <v>24</v>
      </c>
      <c r="G137" s="1" t="s">
        <v>25</v>
      </c>
      <c r="H137">
        <v>4</v>
      </c>
      <c r="I137" s="1" t="s">
        <v>39</v>
      </c>
      <c r="J137" s="1" t="s">
        <v>27</v>
      </c>
      <c r="K137">
        <v>2</v>
      </c>
      <c r="L137" s="1" t="s">
        <v>28</v>
      </c>
      <c r="M137">
        <v>38</v>
      </c>
      <c r="N137" s="1" t="s">
        <v>29</v>
      </c>
      <c r="O137" s="1" t="s">
        <v>30</v>
      </c>
      <c r="P137">
        <v>2</v>
      </c>
      <c r="Q137" s="1" t="s">
        <v>31</v>
      </c>
      <c r="R137">
        <v>1</v>
      </c>
      <c r="S137" s="1" t="s">
        <v>32</v>
      </c>
      <c r="T137" s="1" t="s">
        <v>33</v>
      </c>
      <c r="U137" s="1" t="s">
        <v>34</v>
      </c>
    </row>
    <row r="138" spans="1:21" x14ac:dyDescent="0.3">
      <c r="A138" s="1" t="s">
        <v>42</v>
      </c>
      <c r="B138">
        <v>27</v>
      </c>
      <c r="C138" s="1" t="s">
        <v>50</v>
      </c>
      <c r="D138" s="1" t="s">
        <v>54</v>
      </c>
      <c r="E138">
        <v>8613</v>
      </c>
      <c r="F138" s="1" t="s">
        <v>58</v>
      </c>
      <c r="G138" s="1" t="s">
        <v>38</v>
      </c>
      <c r="H138">
        <v>2</v>
      </c>
      <c r="I138" s="1" t="s">
        <v>26</v>
      </c>
      <c r="J138" s="1" t="s">
        <v>27</v>
      </c>
      <c r="K138">
        <v>2</v>
      </c>
      <c r="L138" s="1" t="s">
        <v>55</v>
      </c>
      <c r="M138">
        <v>27</v>
      </c>
      <c r="N138" s="1" t="s">
        <v>29</v>
      </c>
      <c r="O138" s="1" t="s">
        <v>30</v>
      </c>
      <c r="P138">
        <v>2</v>
      </c>
      <c r="Q138" s="1" t="s">
        <v>31</v>
      </c>
      <c r="R138">
        <v>1</v>
      </c>
      <c r="S138" s="1" t="s">
        <v>40</v>
      </c>
      <c r="T138" s="1" t="s">
        <v>33</v>
      </c>
      <c r="U138" s="1" t="s">
        <v>34</v>
      </c>
    </row>
    <row r="139" spans="1:21" x14ac:dyDescent="0.3">
      <c r="A139" s="1" t="s">
        <v>35</v>
      </c>
      <c r="B139">
        <v>12</v>
      </c>
      <c r="C139" s="1" t="s">
        <v>36</v>
      </c>
      <c r="D139" s="1" t="s">
        <v>23</v>
      </c>
      <c r="E139">
        <v>766</v>
      </c>
      <c r="F139" s="1" t="s">
        <v>53</v>
      </c>
      <c r="G139" s="1" t="s">
        <v>38</v>
      </c>
      <c r="H139">
        <v>4</v>
      </c>
      <c r="I139" s="1" t="s">
        <v>26</v>
      </c>
      <c r="J139" s="1" t="s">
        <v>27</v>
      </c>
      <c r="K139">
        <v>3</v>
      </c>
      <c r="L139" s="1" t="s">
        <v>28</v>
      </c>
      <c r="M139">
        <v>66</v>
      </c>
      <c r="N139" s="1" t="s">
        <v>29</v>
      </c>
      <c r="O139" s="1" t="s">
        <v>30</v>
      </c>
      <c r="P139">
        <v>1</v>
      </c>
      <c r="Q139" s="1" t="s">
        <v>45</v>
      </c>
      <c r="R139">
        <v>1</v>
      </c>
      <c r="S139" s="1" t="s">
        <v>40</v>
      </c>
      <c r="T139" s="1" t="s">
        <v>33</v>
      </c>
      <c r="U139" s="1" t="s">
        <v>41</v>
      </c>
    </row>
    <row r="140" spans="1:21" x14ac:dyDescent="0.3">
      <c r="A140" s="1" t="s">
        <v>35</v>
      </c>
      <c r="B140">
        <v>15</v>
      </c>
      <c r="C140" s="1" t="s">
        <v>22</v>
      </c>
      <c r="D140" s="1" t="s">
        <v>23</v>
      </c>
      <c r="E140">
        <v>2728</v>
      </c>
      <c r="F140" s="1" t="s">
        <v>24</v>
      </c>
      <c r="G140" s="1" t="s">
        <v>44</v>
      </c>
      <c r="H140">
        <v>4</v>
      </c>
      <c r="I140" s="1" t="s">
        <v>26</v>
      </c>
      <c r="J140" s="1" t="s">
        <v>47</v>
      </c>
      <c r="K140">
        <v>2</v>
      </c>
      <c r="L140" s="1" t="s">
        <v>28</v>
      </c>
      <c r="M140">
        <v>35</v>
      </c>
      <c r="N140" s="1" t="s">
        <v>66</v>
      </c>
      <c r="O140" s="1" t="s">
        <v>30</v>
      </c>
      <c r="P140">
        <v>3</v>
      </c>
      <c r="Q140" s="1" t="s">
        <v>31</v>
      </c>
      <c r="R140">
        <v>1</v>
      </c>
      <c r="S140" s="1" t="s">
        <v>32</v>
      </c>
      <c r="T140" s="1" t="s">
        <v>33</v>
      </c>
      <c r="U140" s="1" t="s">
        <v>34</v>
      </c>
    </row>
    <row r="141" spans="1:21" x14ac:dyDescent="0.3">
      <c r="A141" s="1" t="s">
        <v>68</v>
      </c>
      <c r="B141">
        <v>12</v>
      </c>
      <c r="C141" s="1" t="s">
        <v>36</v>
      </c>
      <c r="D141" s="1" t="s">
        <v>23</v>
      </c>
      <c r="E141">
        <v>1881</v>
      </c>
      <c r="F141" s="1" t="s">
        <v>37</v>
      </c>
      <c r="G141" s="1" t="s">
        <v>38</v>
      </c>
      <c r="H141">
        <v>2</v>
      </c>
      <c r="I141" s="1" t="s">
        <v>39</v>
      </c>
      <c r="J141" s="1" t="s">
        <v>27</v>
      </c>
      <c r="K141">
        <v>2</v>
      </c>
      <c r="L141" s="1" t="s">
        <v>55</v>
      </c>
      <c r="M141">
        <v>44</v>
      </c>
      <c r="N141" s="1" t="s">
        <v>29</v>
      </c>
      <c r="O141" s="1" t="s">
        <v>56</v>
      </c>
      <c r="P141">
        <v>1</v>
      </c>
      <c r="Q141" s="1" t="s">
        <v>45</v>
      </c>
      <c r="R141">
        <v>1</v>
      </c>
      <c r="S141" s="1" t="s">
        <v>32</v>
      </c>
      <c r="T141" s="1" t="s">
        <v>33</v>
      </c>
      <c r="U141" s="1" t="s">
        <v>34</v>
      </c>
    </row>
    <row r="142" spans="1:21" x14ac:dyDescent="0.3">
      <c r="A142" s="1" t="s">
        <v>68</v>
      </c>
      <c r="B142">
        <v>6</v>
      </c>
      <c r="C142" s="1" t="s">
        <v>36</v>
      </c>
      <c r="D142" s="1" t="s">
        <v>51</v>
      </c>
      <c r="E142">
        <v>709</v>
      </c>
      <c r="F142" s="1" t="s">
        <v>58</v>
      </c>
      <c r="G142" s="1" t="s">
        <v>62</v>
      </c>
      <c r="H142">
        <v>2</v>
      </c>
      <c r="I142" s="1" t="s">
        <v>61</v>
      </c>
      <c r="J142" s="1" t="s">
        <v>27</v>
      </c>
      <c r="K142">
        <v>2</v>
      </c>
      <c r="L142" s="1" t="s">
        <v>28</v>
      </c>
      <c r="M142">
        <v>27</v>
      </c>
      <c r="N142" s="1" t="s">
        <v>29</v>
      </c>
      <c r="O142" s="1" t="s">
        <v>30</v>
      </c>
      <c r="P142">
        <v>1</v>
      </c>
      <c r="Q142" s="1" t="s">
        <v>74</v>
      </c>
      <c r="R142">
        <v>1</v>
      </c>
      <c r="S142" s="1" t="s">
        <v>40</v>
      </c>
      <c r="T142" s="1" t="s">
        <v>67</v>
      </c>
      <c r="U142" s="1" t="s">
        <v>34</v>
      </c>
    </row>
    <row r="143" spans="1:21" x14ac:dyDescent="0.3">
      <c r="A143" s="1" t="s">
        <v>35</v>
      </c>
      <c r="B143">
        <v>36</v>
      </c>
      <c r="C143" s="1" t="s">
        <v>36</v>
      </c>
      <c r="D143" s="1" t="s">
        <v>23</v>
      </c>
      <c r="E143">
        <v>4795</v>
      </c>
      <c r="F143" s="1" t="s">
        <v>37</v>
      </c>
      <c r="G143" s="1" t="s">
        <v>62</v>
      </c>
      <c r="H143">
        <v>4</v>
      </c>
      <c r="I143" s="1" t="s">
        <v>39</v>
      </c>
      <c r="J143" s="1" t="s">
        <v>27</v>
      </c>
      <c r="K143">
        <v>1</v>
      </c>
      <c r="L143" s="1" t="s">
        <v>52</v>
      </c>
      <c r="M143">
        <v>30</v>
      </c>
      <c r="N143" s="1" t="s">
        <v>29</v>
      </c>
      <c r="O143" s="1" t="s">
        <v>30</v>
      </c>
      <c r="P143">
        <v>1</v>
      </c>
      <c r="Q143" s="1" t="s">
        <v>57</v>
      </c>
      <c r="R143">
        <v>1</v>
      </c>
      <c r="S143" s="1" t="s">
        <v>32</v>
      </c>
      <c r="T143" s="1" t="s">
        <v>33</v>
      </c>
      <c r="U143" s="1" t="s">
        <v>34</v>
      </c>
    </row>
    <row r="144" spans="1:21" x14ac:dyDescent="0.3">
      <c r="A144" s="1" t="s">
        <v>21</v>
      </c>
      <c r="B144">
        <v>27</v>
      </c>
      <c r="C144" s="1" t="s">
        <v>36</v>
      </c>
      <c r="D144" s="1" t="s">
        <v>23</v>
      </c>
      <c r="E144">
        <v>3416</v>
      </c>
      <c r="F144" s="1" t="s">
        <v>37</v>
      </c>
      <c r="G144" s="1" t="s">
        <v>38</v>
      </c>
      <c r="H144">
        <v>3</v>
      </c>
      <c r="I144" s="1" t="s">
        <v>26</v>
      </c>
      <c r="J144" s="1" t="s">
        <v>27</v>
      </c>
      <c r="K144">
        <v>2</v>
      </c>
      <c r="L144" s="1" t="s">
        <v>55</v>
      </c>
      <c r="M144">
        <v>27</v>
      </c>
      <c r="N144" s="1" t="s">
        <v>29</v>
      </c>
      <c r="O144" s="1" t="s">
        <v>30</v>
      </c>
      <c r="P144">
        <v>1</v>
      </c>
      <c r="Q144" s="1" t="s">
        <v>57</v>
      </c>
      <c r="R144">
        <v>1</v>
      </c>
      <c r="S144" s="1" t="s">
        <v>40</v>
      </c>
      <c r="T144" s="1" t="s">
        <v>33</v>
      </c>
      <c r="U144" s="1" t="s">
        <v>34</v>
      </c>
    </row>
    <row r="145" spans="1:21" x14ac:dyDescent="0.3">
      <c r="A145" s="1" t="s">
        <v>21</v>
      </c>
      <c r="B145">
        <v>18</v>
      </c>
      <c r="C145" s="1" t="s">
        <v>36</v>
      </c>
      <c r="D145" s="1" t="s">
        <v>46</v>
      </c>
      <c r="E145">
        <v>2462</v>
      </c>
      <c r="F145" s="1" t="s">
        <v>37</v>
      </c>
      <c r="G145" s="1" t="s">
        <v>38</v>
      </c>
      <c r="H145">
        <v>2</v>
      </c>
      <c r="I145" s="1" t="s">
        <v>26</v>
      </c>
      <c r="J145" s="1" t="s">
        <v>27</v>
      </c>
      <c r="K145">
        <v>2</v>
      </c>
      <c r="L145" s="1" t="s">
        <v>55</v>
      </c>
      <c r="M145">
        <v>22</v>
      </c>
      <c r="N145" s="1" t="s">
        <v>29</v>
      </c>
      <c r="O145" s="1" t="s">
        <v>30</v>
      </c>
      <c r="P145">
        <v>1</v>
      </c>
      <c r="Q145" s="1" t="s">
        <v>31</v>
      </c>
      <c r="R145">
        <v>1</v>
      </c>
      <c r="S145" s="1" t="s">
        <v>40</v>
      </c>
      <c r="T145" s="1" t="s">
        <v>33</v>
      </c>
      <c r="U145" s="1" t="s">
        <v>41</v>
      </c>
    </row>
    <row r="146" spans="1:21" x14ac:dyDescent="0.3">
      <c r="A146" s="1" t="s">
        <v>42</v>
      </c>
      <c r="B146">
        <v>21</v>
      </c>
      <c r="C146" s="1" t="s">
        <v>22</v>
      </c>
      <c r="D146" s="1" t="s">
        <v>46</v>
      </c>
      <c r="E146">
        <v>2288</v>
      </c>
      <c r="F146" s="1" t="s">
        <v>37</v>
      </c>
      <c r="G146" s="1" t="s">
        <v>62</v>
      </c>
      <c r="H146">
        <v>4</v>
      </c>
      <c r="I146" s="1" t="s">
        <v>39</v>
      </c>
      <c r="J146" s="1" t="s">
        <v>27</v>
      </c>
      <c r="K146">
        <v>4</v>
      </c>
      <c r="L146" s="1" t="s">
        <v>48</v>
      </c>
      <c r="M146">
        <v>23</v>
      </c>
      <c r="N146" s="1" t="s">
        <v>29</v>
      </c>
      <c r="O146" s="1" t="s">
        <v>30</v>
      </c>
      <c r="P146">
        <v>1</v>
      </c>
      <c r="Q146" s="1" t="s">
        <v>31</v>
      </c>
      <c r="R146">
        <v>1</v>
      </c>
      <c r="S146" s="1" t="s">
        <v>32</v>
      </c>
      <c r="T146" s="1" t="s">
        <v>33</v>
      </c>
      <c r="U146" s="1" t="s">
        <v>34</v>
      </c>
    </row>
    <row r="147" spans="1:21" x14ac:dyDescent="0.3">
      <c r="A147" s="1" t="s">
        <v>35</v>
      </c>
      <c r="B147">
        <v>48</v>
      </c>
      <c r="C147" s="1" t="s">
        <v>69</v>
      </c>
      <c r="D147" s="1" t="s">
        <v>63</v>
      </c>
      <c r="E147">
        <v>3566</v>
      </c>
      <c r="F147" s="1" t="s">
        <v>64</v>
      </c>
      <c r="G147" s="1" t="s">
        <v>44</v>
      </c>
      <c r="H147">
        <v>4</v>
      </c>
      <c r="I147" s="1" t="s">
        <v>26</v>
      </c>
      <c r="J147" s="1" t="s">
        <v>27</v>
      </c>
      <c r="K147">
        <v>2</v>
      </c>
      <c r="L147" s="1" t="s">
        <v>55</v>
      </c>
      <c r="M147">
        <v>30</v>
      </c>
      <c r="N147" s="1" t="s">
        <v>29</v>
      </c>
      <c r="O147" s="1" t="s">
        <v>30</v>
      </c>
      <c r="P147">
        <v>1</v>
      </c>
      <c r="Q147" s="1" t="s">
        <v>31</v>
      </c>
      <c r="R147">
        <v>1</v>
      </c>
      <c r="S147" s="1" t="s">
        <v>40</v>
      </c>
      <c r="T147" s="1" t="s">
        <v>33</v>
      </c>
      <c r="U147" s="1" t="s">
        <v>34</v>
      </c>
    </row>
    <row r="148" spans="1:21" x14ac:dyDescent="0.3">
      <c r="A148" s="1" t="s">
        <v>21</v>
      </c>
      <c r="B148">
        <v>6</v>
      </c>
      <c r="C148" s="1" t="s">
        <v>22</v>
      </c>
      <c r="D148" s="1" t="s">
        <v>51</v>
      </c>
      <c r="E148">
        <v>860</v>
      </c>
      <c r="F148" s="1" t="s">
        <v>37</v>
      </c>
      <c r="G148" s="1" t="s">
        <v>25</v>
      </c>
      <c r="H148">
        <v>1</v>
      </c>
      <c r="I148" s="1" t="s">
        <v>39</v>
      </c>
      <c r="J148" s="1" t="s">
        <v>27</v>
      </c>
      <c r="K148">
        <v>4</v>
      </c>
      <c r="L148" s="1" t="s">
        <v>52</v>
      </c>
      <c r="M148">
        <v>39</v>
      </c>
      <c r="N148" s="1" t="s">
        <v>29</v>
      </c>
      <c r="O148" s="1" t="s">
        <v>30</v>
      </c>
      <c r="P148">
        <v>2</v>
      </c>
      <c r="Q148" s="1" t="s">
        <v>31</v>
      </c>
      <c r="R148">
        <v>1</v>
      </c>
      <c r="S148" s="1" t="s">
        <v>32</v>
      </c>
      <c r="T148" s="1" t="s">
        <v>33</v>
      </c>
      <c r="U148" s="1" t="s">
        <v>34</v>
      </c>
    </row>
    <row r="149" spans="1:21" x14ac:dyDescent="0.3">
      <c r="A149" s="1" t="s">
        <v>42</v>
      </c>
      <c r="B149">
        <v>12</v>
      </c>
      <c r="C149" s="1" t="s">
        <v>22</v>
      </c>
      <c r="D149" s="1" t="s">
        <v>51</v>
      </c>
      <c r="E149">
        <v>682</v>
      </c>
      <c r="F149" s="1" t="s">
        <v>64</v>
      </c>
      <c r="G149" s="1" t="s">
        <v>44</v>
      </c>
      <c r="H149">
        <v>4</v>
      </c>
      <c r="I149" s="1" t="s">
        <v>39</v>
      </c>
      <c r="J149" s="1" t="s">
        <v>27</v>
      </c>
      <c r="K149">
        <v>3</v>
      </c>
      <c r="L149" s="1" t="s">
        <v>55</v>
      </c>
      <c r="M149">
        <v>51</v>
      </c>
      <c r="N149" s="1" t="s">
        <v>29</v>
      </c>
      <c r="O149" s="1" t="s">
        <v>30</v>
      </c>
      <c r="P149">
        <v>2</v>
      </c>
      <c r="Q149" s="1" t="s">
        <v>31</v>
      </c>
      <c r="R149">
        <v>1</v>
      </c>
      <c r="S149" s="1" t="s">
        <v>32</v>
      </c>
      <c r="T149" s="1" t="s">
        <v>33</v>
      </c>
      <c r="U149" s="1" t="s">
        <v>34</v>
      </c>
    </row>
    <row r="150" spans="1:21" x14ac:dyDescent="0.3">
      <c r="A150" s="1" t="s">
        <v>21</v>
      </c>
      <c r="B150">
        <v>36</v>
      </c>
      <c r="C150" s="1" t="s">
        <v>22</v>
      </c>
      <c r="D150" s="1" t="s">
        <v>46</v>
      </c>
      <c r="E150">
        <v>5371</v>
      </c>
      <c r="F150" s="1" t="s">
        <v>37</v>
      </c>
      <c r="G150" s="1" t="s">
        <v>38</v>
      </c>
      <c r="H150">
        <v>3</v>
      </c>
      <c r="I150" s="1" t="s">
        <v>26</v>
      </c>
      <c r="J150" s="1" t="s">
        <v>47</v>
      </c>
      <c r="K150">
        <v>2</v>
      </c>
      <c r="L150" s="1" t="s">
        <v>48</v>
      </c>
      <c r="M150">
        <v>28</v>
      </c>
      <c r="N150" s="1" t="s">
        <v>29</v>
      </c>
      <c r="O150" s="1" t="s">
        <v>30</v>
      </c>
      <c r="P150">
        <v>2</v>
      </c>
      <c r="Q150" s="1" t="s">
        <v>31</v>
      </c>
      <c r="R150">
        <v>1</v>
      </c>
      <c r="S150" s="1" t="s">
        <v>40</v>
      </c>
      <c r="T150" s="1" t="s">
        <v>33</v>
      </c>
      <c r="U150" s="1" t="s">
        <v>34</v>
      </c>
    </row>
    <row r="151" spans="1:21" x14ac:dyDescent="0.3">
      <c r="A151" s="1" t="s">
        <v>42</v>
      </c>
      <c r="B151">
        <v>18</v>
      </c>
      <c r="C151" s="1" t="s">
        <v>22</v>
      </c>
      <c r="D151" s="1" t="s">
        <v>23</v>
      </c>
      <c r="E151">
        <v>1582</v>
      </c>
      <c r="F151" s="1" t="s">
        <v>58</v>
      </c>
      <c r="G151" s="1" t="s">
        <v>25</v>
      </c>
      <c r="H151">
        <v>4</v>
      </c>
      <c r="I151" s="1" t="s">
        <v>26</v>
      </c>
      <c r="J151" s="1" t="s">
        <v>27</v>
      </c>
      <c r="K151">
        <v>4</v>
      </c>
      <c r="L151" s="1" t="s">
        <v>55</v>
      </c>
      <c r="M151">
        <v>46</v>
      </c>
      <c r="N151" s="1" t="s">
        <v>29</v>
      </c>
      <c r="O151" s="1" t="s">
        <v>30</v>
      </c>
      <c r="P151">
        <v>2</v>
      </c>
      <c r="Q151" s="1" t="s">
        <v>31</v>
      </c>
      <c r="R151">
        <v>1</v>
      </c>
      <c r="S151" s="1" t="s">
        <v>40</v>
      </c>
      <c r="T151" s="1" t="s">
        <v>33</v>
      </c>
      <c r="U151" s="1" t="s">
        <v>34</v>
      </c>
    </row>
    <row r="152" spans="1:21" x14ac:dyDescent="0.3">
      <c r="A152" s="1" t="s">
        <v>42</v>
      </c>
      <c r="B152">
        <v>6</v>
      </c>
      <c r="C152" s="1" t="s">
        <v>36</v>
      </c>
      <c r="D152" s="1" t="s">
        <v>23</v>
      </c>
      <c r="E152">
        <v>1346</v>
      </c>
      <c r="F152" s="1" t="s">
        <v>64</v>
      </c>
      <c r="G152" s="1" t="s">
        <v>25</v>
      </c>
      <c r="H152">
        <v>2</v>
      </c>
      <c r="I152" s="1" t="s">
        <v>26</v>
      </c>
      <c r="J152" s="1" t="s">
        <v>27</v>
      </c>
      <c r="K152">
        <v>4</v>
      </c>
      <c r="L152" s="1" t="s">
        <v>52</v>
      </c>
      <c r="M152">
        <v>42</v>
      </c>
      <c r="N152" s="1" t="s">
        <v>66</v>
      </c>
      <c r="O152" s="1" t="s">
        <v>49</v>
      </c>
      <c r="P152">
        <v>1</v>
      </c>
      <c r="Q152" s="1" t="s">
        <v>31</v>
      </c>
      <c r="R152">
        <v>2</v>
      </c>
      <c r="S152" s="1" t="s">
        <v>32</v>
      </c>
      <c r="T152" s="1" t="s">
        <v>33</v>
      </c>
      <c r="U152" s="1" t="s">
        <v>34</v>
      </c>
    </row>
    <row r="153" spans="1:21" x14ac:dyDescent="0.3">
      <c r="A153" s="1" t="s">
        <v>42</v>
      </c>
      <c r="B153">
        <v>10</v>
      </c>
      <c r="C153" s="1" t="s">
        <v>36</v>
      </c>
      <c r="D153" s="1" t="s">
        <v>23</v>
      </c>
      <c r="E153">
        <v>1924</v>
      </c>
      <c r="F153" s="1" t="s">
        <v>37</v>
      </c>
      <c r="G153" s="1" t="s">
        <v>38</v>
      </c>
      <c r="H153">
        <v>1</v>
      </c>
      <c r="I153" s="1" t="s">
        <v>26</v>
      </c>
      <c r="J153" s="1" t="s">
        <v>27</v>
      </c>
      <c r="K153">
        <v>4</v>
      </c>
      <c r="L153" s="1" t="s">
        <v>48</v>
      </c>
      <c r="M153">
        <v>38</v>
      </c>
      <c r="N153" s="1" t="s">
        <v>29</v>
      </c>
      <c r="O153" s="1" t="s">
        <v>30</v>
      </c>
      <c r="P153">
        <v>1</v>
      </c>
      <c r="Q153" s="1" t="s">
        <v>31</v>
      </c>
      <c r="R153">
        <v>1</v>
      </c>
      <c r="S153" s="1" t="s">
        <v>32</v>
      </c>
      <c r="T153" s="1" t="s">
        <v>67</v>
      </c>
      <c r="U153" s="1" t="s">
        <v>34</v>
      </c>
    </row>
    <row r="154" spans="1:21" x14ac:dyDescent="0.3">
      <c r="A154" s="1" t="s">
        <v>68</v>
      </c>
      <c r="B154">
        <v>36</v>
      </c>
      <c r="C154" s="1" t="s">
        <v>36</v>
      </c>
      <c r="D154" s="1" t="s">
        <v>23</v>
      </c>
      <c r="E154">
        <v>5848</v>
      </c>
      <c r="F154" s="1" t="s">
        <v>37</v>
      </c>
      <c r="G154" s="1" t="s">
        <v>38</v>
      </c>
      <c r="H154">
        <v>4</v>
      </c>
      <c r="I154" s="1" t="s">
        <v>26</v>
      </c>
      <c r="J154" s="1" t="s">
        <v>27</v>
      </c>
      <c r="K154">
        <v>1</v>
      </c>
      <c r="L154" s="1" t="s">
        <v>55</v>
      </c>
      <c r="M154">
        <v>24</v>
      </c>
      <c r="N154" s="1" t="s">
        <v>29</v>
      </c>
      <c r="O154" s="1" t="s">
        <v>30</v>
      </c>
      <c r="P154">
        <v>1</v>
      </c>
      <c r="Q154" s="1" t="s">
        <v>31</v>
      </c>
      <c r="R154">
        <v>1</v>
      </c>
      <c r="S154" s="1" t="s">
        <v>40</v>
      </c>
      <c r="T154" s="1" t="s">
        <v>33</v>
      </c>
      <c r="U154" s="1" t="s">
        <v>34</v>
      </c>
    </row>
    <row r="155" spans="1:21" x14ac:dyDescent="0.3">
      <c r="A155" s="1" t="s">
        <v>35</v>
      </c>
      <c r="B155">
        <v>24</v>
      </c>
      <c r="C155" s="1" t="s">
        <v>22</v>
      </c>
      <c r="D155" s="1" t="s">
        <v>54</v>
      </c>
      <c r="E155">
        <v>7758</v>
      </c>
      <c r="F155" s="1" t="s">
        <v>58</v>
      </c>
      <c r="G155" s="1" t="s">
        <v>25</v>
      </c>
      <c r="H155">
        <v>2</v>
      </c>
      <c r="I155" s="1" t="s">
        <v>39</v>
      </c>
      <c r="J155" s="1" t="s">
        <v>27</v>
      </c>
      <c r="K155">
        <v>4</v>
      </c>
      <c r="L155" s="1" t="s">
        <v>52</v>
      </c>
      <c r="M155">
        <v>29</v>
      </c>
      <c r="N155" s="1" t="s">
        <v>29</v>
      </c>
      <c r="O155" s="1" t="s">
        <v>56</v>
      </c>
      <c r="P155">
        <v>1</v>
      </c>
      <c r="Q155" s="1" t="s">
        <v>31</v>
      </c>
      <c r="R155">
        <v>1</v>
      </c>
      <c r="S155" s="1" t="s">
        <v>40</v>
      </c>
      <c r="T155" s="1" t="s">
        <v>33</v>
      </c>
      <c r="U155" s="1" t="s">
        <v>34</v>
      </c>
    </row>
    <row r="156" spans="1:21" x14ac:dyDescent="0.3">
      <c r="A156" s="1" t="s">
        <v>35</v>
      </c>
      <c r="B156">
        <v>24</v>
      </c>
      <c r="C156" s="1" t="s">
        <v>50</v>
      </c>
      <c r="D156" s="1" t="s">
        <v>63</v>
      </c>
      <c r="E156">
        <v>6967</v>
      </c>
      <c r="F156" s="1" t="s">
        <v>64</v>
      </c>
      <c r="G156" s="1" t="s">
        <v>44</v>
      </c>
      <c r="H156">
        <v>4</v>
      </c>
      <c r="I156" s="1" t="s">
        <v>26</v>
      </c>
      <c r="J156" s="1" t="s">
        <v>27</v>
      </c>
      <c r="K156">
        <v>4</v>
      </c>
      <c r="L156" s="1" t="s">
        <v>55</v>
      </c>
      <c r="M156">
        <v>36</v>
      </c>
      <c r="N156" s="1" t="s">
        <v>29</v>
      </c>
      <c r="O156" s="1" t="s">
        <v>56</v>
      </c>
      <c r="P156">
        <v>1</v>
      </c>
      <c r="Q156" s="1" t="s">
        <v>57</v>
      </c>
      <c r="R156">
        <v>1</v>
      </c>
      <c r="S156" s="1" t="s">
        <v>32</v>
      </c>
      <c r="T156" s="1" t="s">
        <v>33</v>
      </c>
      <c r="U156" s="1" t="s">
        <v>34</v>
      </c>
    </row>
    <row r="157" spans="1:21" x14ac:dyDescent="0.3">
      <c r="A157" s="1" t="s">
        <v>21</v>
      </c>
      <c r="B157">
        <v>12</v>
      </c>
      <c r="C157" s="1" t="s">
        <v>36</v>
      </c>
      <c r="D157" s="1" t="s">
        <v>46</v>
      </c>
      <c r="E157">
        <v>1282</v>
      </c>
      <c r="F157" s="1" t="s">
        <v>37</v>
      </c>
      <c r="G157" s="1" t="s">
        <v>38</v>
      </c>
      <c r="H157">
        <v>2</v>
      </c>
      <c r="I157" s="1" t="s">
        <v>39</v>
      </c>
      <c r="J157" s="1" t="s">
        <v>27</v>
      </c>
      <c r="K157">
        <v>4</v>
      </c>
      <c r="L157" s="1" t="s">
        <v>55</v>
      </c>
      <c r="M157">
        <v>20</v>
      </c>
      <c r="N157" s="1" t="s">
        <v>29</v>
      </c>
      <c r="O157" s="1" t="s">
        <v>56</v>
      </c>
      <c r="P157">
        <v>1</v>
      </c>
      <c r="Q157" s="1" t="s">
        <v>31</v>
      </c>
      <c r="R157">
        <v>1</v>
      </c>
      <c r="S157" s="1" t="s">
        <v>40</v>
      </c>
      <c r="T157" s="1" t="s">
        <v>33</v>
      </c>
      <c r="U157" s="1" t="s">
        <v>41</v>
      </c>
    </row>
    <row r="158" spans="1:21" x14ac:dyDescent="0.3">
      <c r="A158" s="1" t="s">
        <v>21</v>
      </c>
      <c r="B158">
        <v>9</v>
      </c>
      <c r="C158" s="1" t="s">
        <v>22</v>
      </c>
      <c r="D158" s="1" t="s">
        <v>73</v>
      </c>
      <c r="E158">
        <v>1288</v>
      </c>
      <c r="F158" s="1" t="s">
        <v>64</v>
      </c>
      <c r="G158" s="1" t="s">
        <v>25</v>
      </c>
      <c r="H158">
        <v>3</v>
      </c>
      <c r="I158" s="1" t="s">
        <v>26</v>
      </c>
      <c r="J158" s="1" t="s">
        <v>47</v>
      </c>
      <c r="K158">
        <v>4</v>
      </c>
      <c r="L158" s="1" t="s">
        <v>28</v>
      </c>
      <c r="M158">
        <v>48</v>
      </c>
      <c r="N158" s="1" t="s">
        <v>29</v>
      </c>
      <c r="O158" s="1" t="s">
        <v>30</v>
      </c>
      <c r="P158">
        <v>2</v>
      </c>
      <c r="Q158" s="1" t="s">
        <v>31</v>
      </c>
      <c r="R158">
        <v>2</v>
      </c>
      <c r="S158" s="1" t="s">
        <v>40</v>
      </c>
      <c r="T158" s="1" t="s">
        <v>67</v>
      </c>
      <c r="U158" s="1" t="s">
        <v>34</v>
      </c>
    </row>
    <row r="159" spans="1:21" x14ac:dyDescent="0.3">
      <c r="A159" s="1" t="s">
        <v>21</v>
      </c>
      <c r="B159">
        <v>12</v>
      </c>
      <c r="C159" s="1" t="s">
        <v>69</v>
      </c>
      <c r="D159" s="1" t="s">
        <v>76</v>
      </c>
      <c r="E159">
        <v>339</v>
      </c>
      <c r="F159" s="1" t="s">
        <v>37</v>
      </c>
      <c r="G159" s="1" t="s">
        <v>25</v>
      </c>
      <c r="H159">
        <v>4</v>
      </c>
      <c r="I159" s="1" t="s">
        <v>61</v>
      </c>
      <c r="J159" s="1" t="s">
        <v>27</v>
      </c>
      <c r="K159">
        <v>1</v>
      </c>
      <c r="L159" s="1" t="s">
        <v>55</v>
      </c>
      <c r="M159">
        <v>45</v>
      </c>
      <c r="N159" s="1" t="s">
        <v>66</v>
      </c>
      <c r="O159" s="1" t="s">
        <v>30</v>
      </c>
      <c r="P159">
        <v>1</v>
      </c>
      <c r="Q159" s="1" t="s">
        <v>45</v>
      </c>
      <c r="R159">
        <v>1</v>
      </c>
      <c r="S159" s="1" t="s">
        <v>40</v>
      </c>
      <c r="T159" s="1" t="s">
        <v>33</v>
      </c>
      <c r="U159" s="1" t="s">
        <v>34</v>
      </c>
    </row>
    <row r="160" spans="1:21" x14ac:dyDescent="0.3">
      <c r="A160" s="1" t="s">
        <v>35</v>
      </c>
      <c r="B160">
        <v>24</v>
      </c>
      <c r="C160" s="1" t="s">
        <v>36</v>
      </c>
      <c r="D160" s="1" t="s">
        <v>51</v>
      </c>
      <c r="E160">
        <v>3512</v>
      </c>
      <c r="F160" s="1" t="s">
        <v>64</v>
      </c>
      <c r="G160" s="1" t="s">
        <v>44</v>
      </c>
      <c r="H160">
        <v>2</v>
      </c>
      <c r="I160" s="1" t="s">
        <v>26</v>
      </c>
      <c r="J160" s="1" t="s">
        <v>27</v>
      </c>
      <c r="K160">
        <v>3</v>
      </c>
      <c r="L160" s="1" t="s">
        <v>55</v>
      </c>
      <c r="M160">
        <v>38</v>
      </c>
      <c r="N160" s="1" t="s">
        <v>66</v>
      </c>
      <c r="O160" s="1" t="s">
        <v>30</v>
      </c>
      <c r="P160">
        <v>2</v>
      </c>
      <c r="Q160" s="1" t="s">
        <v>31</v>
      </c>
      <c r="R160">
        <v>1</v>
      </c>
      <c r="S160" s="1" t="s">
        <v>32</v>
      </c>
      <c r="T160" s="1" t="s">
        <v>33</v>
      </c>
      <c r="U160" s="1" t="s">
        <v>34</v>
      </c>
    </row>
    <row r="161" spans="1:21" x14ac:dyDescent="0.3">
      <c r="A161" s="1" t="s">
        <v>42</v>
      </c>
      <c r="B161">
        <v>6</v>
      </c>
      <c r="C161" s="1" t="s">
        <v>22</v>
      </c>
      <c r="D161" s="1" t="s">
        <v>23</v>
      </c>
      <c r="E161">
        <v>1898</v>
      </c>
      <c r="F161" s="1" t="s">
        <v>24</v>
      </c>
      <c r="G161" s="1" t="s">
        <v>38</v>
      </c>
      <c r="H161">
        <v>1</v>
      </c>
      <c r="I161" s="1" t="s">
        <v>26</v>
      </c>
      <c r="J161" s="1" t="s">
        <v>27</v>
      </c>
      <c r="K161">
        <v>2</v>
      </c>
      <c r="L161" s="1" t="s">
        <v>28</v>
      </c>
      <c r="M161">
        <v>34</v>
      </c>
      <c r="N161" s="1" t="s">
        <v>29</v>
      </c>
      <c r="O161" s="1" t="s">
        <v>30</v>
      </c>
      <c r="P161">
        <v>2</v>
      </c>
      <c r="Q161" s="1" t="s">
        <v>45</v>
      </c>
      <c r="R161">
        <v>2</v>
      </c>
      <c r="S161" s="1" t="s">
        <v>40</v>
      </c>
      <c r="T161" s="1" t="s">
        <v>33</v>
      </c>
      <c r="U161" s="1" t="s">
        <v>34</v>
      </c>
    </row>
    <row r="162" spans="1:21" x14ac:dyDescent="0.3">
      <c r="A162" s="1" t="s">
        <v>42</v>
      </c>
      <c r="B162">
        <v>24</v>
      </c>
      <c r="C162" s="1" t="s">
        <v>22</v>
      </c>
      <c r="D162" s="1" t="s">
        <v>23</v>
      </c>
      <c r="E162">
        <v>2872</v>
      </c>
      <c r="F162" s="1" t="s">
        <v>64</v>
      </c>
      <c r="G162" s="1" t="s">
        <v>25</v>
      </c>
      <c r="H162">
        <v>3</v>
      </c>
      <c r="I162" s="1" t="s">
        <v>26</v>
      </c>
      <c r="J162" s="1" t="s">
        <v>27</v>
      </c>
      <c r="K162">
        <v>4</v>
      </c>
      <c r="L162" s="1" t="s">
        <v>28</v>
      </c>
      <c r="M162">
        <v>36</v>
      </c>
      <c r="N162" s="1" t="s">
        <v>29</v>
      </c>
      <c r="O162" s="1" t="s">
        <v>30</v>
      </c>
      <c r="P162">
        <v>1</v>
      </c>
      <c r="Q162" s="1" t="s">
        <v>31</v>
      </c>
      <c r="R162">
        <v>2</v>
      </c>
      <c r="S162" s="1" t="s">
        <v>32</v>
      </c>
      <c r="T162" s="1" t="s">
        <v>33</v>
      </c>
      <c r="U162" s="1" t="s">
        <v>34</v>
      </c>
    </row>
    <row r="163" spans="1:21" x14ac:dyDescent="0.3">
      <c r="A163" s="1" t="s">
        <v>42</v>
      </c>
      <c r="B163">
        <v>18</v>
      </c>
      <c r="C163" s="1" t="s">
        <v>22</v>
      </c>
      <c r="D163" s="1" t="s">
        <v>51</v>
      </c>
      <c r="E163">
        <v>1055</v>
      </c>
      <c r="F163" s="1" t="s">
        <v>37</v>
      </c>
      <c r="G163" s="1" t="s">
        <v>62</v>
      </c>
      <c r="H163">
        <v>4</v>
      </c>
      <c r="I163" s="1" t="s">
        <v>39</v>
      </c>
      <c r="J163" s="1" t="s">
        <v>27</v>
      </c>
      <c r="K163">
        <v>1</v>
      </c>
      <c r="L163" s="1" t="s">
        <v>48</v>
      </c>
      <c r="M163">
        <v>30</v>
      </c>
      <c r="N163" s="1" t="s">
        <v>29</v>
      </c>
      <c r="O163" s="1" t="s">
        <v>30</v>
      </c>
      <c r="P163">
        <v>2</v>
      </c>
      <c r="Q163" s="1" t="s">
        <v>31</v>
      </c>
      <c r="R163">
        <v>1</v>
      </c>
      <c r="S163" s="1" t="s">
        <v>40</v>
      </c>
      <c r="T163" s="1" t="s">
        <v>33</v>
      </c>
      <c r="U163" s="1" t="s">
        <v>34</v>
      </c>
    </row>
    <row r="164" spans="1:21" x14ac:dyDescent="0.3">
      <c r="A164" s="1" t="s">
        <v>42</v>
      </c>
      <c r="B164">
        <v>15</v>
      </c>
      <c r="C164" s="1" t="s">
        <v>36</v>
      </c>
      <c r="D164" s="1" t="s">
        <v>72</v>
      </c>
      <c r="E164">
        <v>1262</v>
      </c>
      <c r="F164" s="1" t="s">
        <v>53</v>
      </c>
      <c r="G164" s="1" t="s">
        <v>44</v>
      </c>
      <c r="H164">
        <v>4</v>
      </c>
      <c r="I164" s="1" t="s">
        <v>26</v>
      </c>
      <c r="J164" s="1" t="s">
        <v>27</v>
      </c>
      <c r="K164">
        <v>3</v>
      </c>
      <c r="L164" s="1" t="s">
        <v>48</v>
      </c>
      <c r="M164">
        <v>36</v>
      </c>
      <c r="N164" s="1" t="s">
        <v>29</v>
      </c>
      <c r="O164" s="1" t="s">
        <v>30</v>
      </c>
      <c r="P164">
        <v>2</v>
      </c>
      <c r="Q164" s="1" t="s">
        <v>31</v>
      </c>
      <c r="R164">
        <v>1</v>
      </c>
      <c r="S164" s="1" t="s">
        <v>32</v>
      </c>
      <c r="T164" s="1" t="s">
        <v>33</v>
      </c>
      <c r="U164" s="1" t="s">
        <v>34</v>
      </c>
    </row>
    <row r="165" spans="1:21" x14ac:dyDescent="0.3">
      <c r="A165" s="1" t="s">
        <v>35</v>
      </c>
      <c r="B165">
        <v>10</v>
      </c>
      <c r="C165" s="1" t="s">
        <v>36</v>
      </c>
      <c r="D165" s="1" t="s">
        <v>51</v>
      </c>
      <c r="E165">
        <v>7308</v>
      </c>
      <c r="F165" s="1" t="s">
        <v>37</v>
      </c>
      <c r="G165" s="1" t="s">
        <v>60</v>
      </c>
      <c r="H165">
        <v>2</v>
      </c>
      <c r="I165" s="1" t="s">
        <v>26</v>
      </c>
      <c r="J165" s="1" t="s">
        <v>27</v>
      </c>
      <c r="K165">
        <v>4</v>
      </c>
      <c r="L165" s="1" t="s">
        <v>52</v>
      </c>
      <c r="M165">
        <v>70</v>
      </c>
      <c r="N165" s="1" t="s">
        <v>66</v>
      </c>
      <c r="O165" s="1" t="s">
        <v>49</v>
      </c>
      <c r="P165">
        <v>1</v>
      </c>
      <c r="Q165" s="1" t="s">
        <v>57</v>
      </c>
      <c r="R165">
        <v>1</v>
      </c>
      <c r="S165" s="1" t="s">
        <v>32</v>
      </c>
      <c r="T165" s="1" t="s">
        <v>33</v>
      </c>
      <c r="U165" s="1" t="s">
        <v>34</v>
      </c>
    </row>
    <row r="166" spans="1:21" x14ac:dyDescent="0.3">
      <c r="A166" s="1" t="s">
        <v>42</v>
      </c>
      <c r="B166">
        <v>36</v>
      </c>
      <c r="C166" s="1" t="s">
        <v>36</v>
      </c>
      <c r="D166" s="1" t="s">
        <v>51</v>
      </c>
      <c r="E166">
        <v>909</v>
      </c>
      <c r="F166" s="1" t="s">
        <v>53</v>
      </c>
      <c r="G166" s="1" t="s">
        <v>25</v>
      </c>
      <c r="H166">
        <v>4</v>
      </c>
      <c r="I166" s="1" t="s">
        <v>26</v>
      </c>
      <c r="J166" s="1" t="s">
        <v>27</v>
      </c>
      <c r="K166">
        <v>4</v>
      </c>
      <c r="L166" s="1" t="s">
        <v>48</v>
      </c>
      <c r="M166">
        <v>36</v>
      </c>
      <c r="N166" s="1" t="s">
        <v>29</v>
      </c>
      <c r="O166" s="1" t="s">
        <v>30</v>
      </c>
      <c r="P166">
        <v>1</v>
      </c>
      <c r="Q166" s="1" t="s">
        <v>31</v>
      </c>
      <c r="R166">
        <v>1</v>
      </c>
      <c r="S166" s="1" t="s">
        <v>40</v>
      </c>
      <c r="T166" s="1" t="s">
        <v>33</v>
      </c>
      <c r="U166" s="1" t="s">
        <v>34</v>
      </c>
    </row>
    <row r="167" spans="1:21" x14ac:dyDescent="0.3">
      <c r="A167" s="1" t="s">
        <v>42</v>
      </c>
      <c r="B167">
        <v>6</v>
      </c>
      <c r="C167" s="1" t="s">
        <v>36</v>
      </c>
      <c r="D167" s="1" t="s">
        <v>46</v>
      </c>
      <c r="E167">
        <v>2978</v>
      </c>
      <c r="F167" s="1" t="s">
        <v>53</v>
      </c>
      <c r="G167" s="1" t="s">
        <v>38</v>
      </c>
      <c r="H167">
        <v>1</v>
      </c>
      <c r="I167" s="1" t="s">
        <v>26</v>
      </c>
      <c r="J167" s="1" t="s">
        <v>27</v>
      </c>
      <c r="K167">
        <v>2</v>
      </c>
      <c r="L167" s="1" t="s">
        <v>55</v>
      </c>
      <c r="M167">
        <v>32</v>
      </c>
      <c r="N167" s="1" t="s">
        <v>29</v>
      </c>
      <c r="O167" s="1" t="s">
        <v>30</v>
      </c>
      <c r="P167">
        <v>1</v>
      </c>
      <c r="Q167" s="1" t="s">
        <v>31</v>
      </c>
      <c r="R167">
        <v>1</v>
      </c>
      <c r="S167" s="1" t="s">
        <v>32</v>
      </c>
      <c r="T167" s="1" t="s">
        <v>33</v>
      </c>
      <c r="U167" s="1" t="s">
        <v>34</v>
      </c>
    </row>
    <row r="168" spans="1:21" x14ac:dyDescent="0.3">
      <c r="A168" s="1" t="s">
        <v>21</v>
      </c>
      <c r="B168">
        <v>18</v>
      </c>
      <c r="C168" s="1" t="s">
        <v>36</v>
      </c>
      <c r="D168" s="1" t="s">
        <v>46</v>
      </c>
      <c r="E168">
        <v>1131</v>
      </c>
      <c r="F168" s="1" t="s">
        <v>37</v>
      </c>
      <c r="G168" s="1" t="s">
        <v>60</v>
      </c>
      <c r="H168">
        <v>4</v>
      </c>
      <c r="I168" s="1" t="s">
        <v>39</v>
      </c>
      <c r="J168" s="1" t="s">
        <v>27</v>
      </c>
      <c r="K168">
        <v>2</v>
      </c>
      <c r="L168" s="1" t="s">
        <v>55</v>
      </c>
      <c r="M168">
        <v>33</v>
      </c>
      <c r="N168" s="1" t="s">
        <v>29</v>
      </c>
      <c r="O168" s="1" t="s">
        <v>30</v>
      </c>
      <c r="P168">
        <v>1</v>
      </c>
      <c r="Q168" s="1" t="s">
        <v>31</v>
      </c>
      <c r="R168">
        <v>1</v>
      </c>
      <c r="S168" s="1" t="s">
        <v>40</v>
      </c>
      <c r="T168" s="1" t="s">
        <v>33</v>
      </c>
      <c r="U168" s="1" t="s">
        <v>41</v>
      </c>
    </row>
    <row r="169" spans="1:21" x14ac:dyDescent="0.3">
      <c r="A169" s="1" t="s">
        <v>35</v>
      </c>
      <c r="B169">
        <v>11</v>
      </c>
      <c r="C169" s="1" t="s">
        <v>36</v>
      </c>
      <c r="D169" s="1" t="s">
        <v>46</v>
      </c>
      <c r="E169">
        <v>1577</v>
      </c>
      <c r="F169" s="1" t="s">
        <v>58</v>
      </c>
      <c r="G169" s="1" t="s">
        <v>62</v>
      </c>
      <c r="H169">
        <v>4</v>
      </c>
      <c r="I169" s="1" t="s">
        <v>39</v>
      </c>
      <c r="J169" s="1" t="s">
        <v>27</v>
      </c>
      <c r="K169">
        <v>1</v>
      </c>
      <c r="L169" s="1" t="s">
        <v>28</v>
      </c>
      <c r="M169">
        <v>20</v>
      </c>
      <c r="N169" s="1" t="s">
        <v>29</v>
      </c>
      <c r="O169" s="1" t="s">
        <v>30</v>
      </c>
      <c r="P169">
        <v>1</v>
      </c>
      <c r="Q169" s="1" t="s">
        <v>31</v>
      </c>
      <c r="R169">
        <v>1</v>
      </c>
      <c r="S169" s="1" t="s">
        <v>40</v>
      </c>
      <c r="T169" s="1" t="s">
        <v>33</v>
      </c>
      <c r="U169" s="1" t="s">
        <v>34</v>
      </c>
    </row>
    <row r="170" spans="1:21" x14ac:dyDescent="0.3">
      <c r="A170" s="1" t="s">
        <v>42</v>
      </c>
      <c r="B170">
        <v>24</v>
      </c>
      <c r="C170" s="1" t="s">
        <v>36</v>
      </c>
      <c r="D170" s="1" t="s">
        <v>46</v>
      </c>
      <c r="E170">
        <v>3972</v>
      </c>
      <c r="F170" s="1" t="s">
        <v>37</v>
      </c>
      <c r="G170" s="1" t="s">
        <v>44</v>
      </c>
      <c r="H170">
        <v>2</v>
      </c>
      <c r="I170" s="1" t="s">
        <v>39</v>
      </c>
      <c r="J170" s="1" t="s">
        <v>27</v>
      </c>
      <c r="K170">
        <v>4</v>
      </c>
      <c r="L170" s="1" t="s">
        <v>48</v>
      </c>
      <c r="M170">
        <v>25</v>
      </c>
      <c r="N170" s="1" t="s">
        <v>29</v>
      </c>
      <c r="O170" s="1" t="s">
        <v>56</v>
      </c>
      <c r="P170">
        <v>1</v>
      </c>
      <c r="Q170" s="1" t="s">
        <v>31</v>
      </c>
      <c r="R170">
        <v>1</v>
      </c>
      <c r="S170" s="1" t="s">
        <v>32</v>
      </c>
      <c r="T170" s="1" t="s">
        <v>33</v>
      </c>
      <c r="U170" s="1" t="s">
        <v>34</v>
      </c>
    </row>
    <row r="171" spans="1:21" x14ac:dyDescent="0.3">
      <c r="A171" s="1" t="s">
        <v>35</v>
      </c>
      <c r="B171">
        <v>24</v>
      </c>
      <c r="C171" s="1" t="s">
        <v>22</v>
      </c>
      <c r="D171" s="1" t="s">
        <v>63</v>
      </c>
      <c r="E171">
        <v>1935</v>
      </c>
      <c r="F171" s="1" t="s">
        <v>37</v>
      </c>
      <c r="G171" s="1" t="s">
        <v>25</v>
      </c>
      <c r="H171">
        <v>4</v>
      </c>
      <c r="I171" s="1" t="s">
        <v>59</v>
      </c>
      <c r="J171" s="1" t="s">
        <v>27</v>
      </c>
      <c r="K171">
        <v>4</v>
      </c>
      <c r="L171" s="1" t="s">
        <v>28</v>
      </c>
      <c r="M171">
        <v>31</v>
      </c>
      <c r="N171" s="1" t="s">
        <v>29</v>
      </c>
      <c r="O171" s="1" t="s">
        <v>30</v>
      </c>
      <c r="P171">
        <v>2</v>
      </c>
      <c r="Q171" s="1" t="s">
        <v>31</v>
      </c>
      <c r="R171">
        <v>1</v>
      </c>
      <c r="S171" s="1" t="s">
        <v>32</v>
      </c>
      <c r="T171" s="1" t="s">
        <v>33</v>
      </c>
      <c r="U171" s="1" t="s">
        <v>41</v>
      </c>
    </row>
    <row r="172" spans="1:21" x14ac:dyDescent="0.3">
      <c r="A172" s="1" t="s">
        <v>21</v>
      </c>
      <c r="B172">
        <v>15</v>
      </c>
      <c r="C172" s="1" t="s">
        <v>65</v>
      </c>
      <c r="D172" s="1" t="s">
        <v>51</v>
      </c>
      <c r="E172">
        <v>950</v>
      </c>
      <c r="F172" s="1" t="s">
        <v>37</v>
      </c>
      <c r="G172" s="1" t="s">
        <v>25</v>
      </c>
      <c r="H172">
        <v>4</v>
      </c>
      <c r="I172" s="1" t="s">
        <v>26</v>
      </c>
      <c r="J172" s="1" t="s">
        <v>27</v>
      </c>
      <c r="K172">
        <v>3</v>
      </c>
      <c r="L172" s="1" t="s">
        <v>55</v>
      </c>
      <c r="M172">
        <v>33</v>
      </c>
      <c r="N172" s="1" t="s">
        <v>29</v>
      </c>
      <c r="O172" s="1" t="s">
        <v>56</v>
      </c>
      <c r="P172">
        <v>2</v>
      </c>
      <c r="Q172" s="1" t="s">
        <v>31</v>
      </c>
      <c r="R172">
        <v>2</v>
      </c>
      <c r="S172" s="1" t="s">
        <v>40</v>
      </c>
      <c r="T172" s="1" t="s">
        <v>33</v>
      </c>
      <c r="U172" s="1" t="s">
        <v>41</v>
      </c>
    </row>
    <row r="173" spans="1:21" x14ac:dyDescent="0.3">
      <c r="A173" s="1" t="s">
        <v>42</v>
      </c>
      <c r="B173">
        <v>12</v>
      </c>
      <c r="C173" s="1" t="s">
        <v>36</v>
      </c>
      <c r="D173" s="1" t="s">
        <v>46</v>
      </c>
      <c r="E173">
        <v>763</v>
      </c>
      <c r="F173" s="1" t="s">
        <v>37</v>
      </c>
      <c r="G173" s="1" t="s">
        <v>38</v>
      </c>
      <c r="H173">
        <v>4</v>
      </c>
      <c r="I173" s="1" t="s">
        <v>39</v>
      </c>
      <c r="J173" s="1" t="s">
        <v>27</v>
      </c>
      <c r="K173">
        <v>1</v>
      </c>
      <c r="L173" s="1" t="s">
        <v>28</v>
      </c>
      <c r="M173">
        <v>26</v>
      </c>
      <c r="N173" s="1" t="s">
        <v>29</v>
      </c>
      <c r="O173" s="1" t="s">
        <v>30</v>
      </c>
      <c r="P173">
        <v>1</v>
      </c>
      <c r="Q173" s="1" t="s">
        <v>31</v>
      </c>
      <c r="R173">
        <v>1</v>
      </c>
      <c r="S173" s="1" t="s">
        <v>32</v>
      </c>
      <c r="T173" s="1" t="s">
        <v>33</v>
      </c>
      <c r="U173" s="1" t="s">
        <v>34</v>
      </c>
    </row>
    <row r="174" spans="1:21" x14ac:dyDescent="0.3">
      <c r="A174" s="1" t="s">
        <v>35</v>
      </c>
      <c r="B174">
        <v>24</v>
      </c>
      <c r="C174" s="1" t="s">
        <v>50</v>
      </c>
      <c r="D174" s="1" t="s">
        <v>46</v>
      </c>
      <c r="E174">
        <v>2064</v>
      </c>
      <c r="F174" s="1" t="s">
        <v>37</v>
      </c>
      <c r="G174" s="1" t="s">
        <v>60</v>
      </c>
      <c r="H174">
        <v>3</v>
      </c>
      <c r="I174" s="1" t="s">
        <v>39</v>
      </c>
      <c r="J174" s="1" t="s">
        <v>27</v>
      </c>
      <c r="K174">
        <v>2</v>
      </c>
      <c r="L174" s="1" t="s">
        <v>48</v>
      </c>
      <c r="M174">
        <v>34</v>
      </c>
      <c r="N174" s="1" t="s">
        <v>29</v>
      </c>
      <c r="O174" s="1" t="s">
        <v>30</v>
      </c>
      <c r="P174">
        <v>1</v>
      </c>
      <c r="Q174" s="1" t="s">
        <v>57</v>
      </c>
      <c r="R174">
        <v>1</v>
      </c>
      <c r="S174" s="1" t="s">
        <v>32</v>
      </c>
      <c r="T174" s="1" t="s">
        <v>33</v>
      </c>
      <c r="U174" s="1" t="s">
        <v>41</v>
      </c>
    </row>
    <row r="175" spans="1:21" x14ac:dyDescent="0.3">
      <c r="A175" s="1" t="s">
        <v>35</v>
      </c>
      <c r="B175">
        <v>8</v>
      </c>
      <c r="C175" s="1" t="s">
        <v>36</v>
      </c>
      <c r="D175" s="1" t="s">
        <v>23</v>
      </c>
      <c r="E175">
        <v>1414</v>
      </c>
      <c r="F175" s="1" t="s">
        <v>37</v>
      </c>
      <c r="G175" s="1" t="s">
        <v>38</v>
      </c>
      <c r="H175">
        <v>4</v>
      </c>
      <c r="I175" s="1" t="s">
        <v>26</v>
      </c>
      <c r="J175" s="1" t="s">
        <v>47</v>
      </c>
      <c r="K175">
        <v>2</v>
      </c>
      <c r="L175" s="1" t="s">
        <v>28</v>
      </c>
      <c r="M175">
        <v>33</v>
      </c>
      <c r="N175" s="1" t="s">
        <v>29</v>
      </c>
      <c r="O175" s="1" t="s">
        <v>30</v>
      </c>
      <c r="P175">
        <v>1</v>
      </c>
      <c r="Q175" s="1" t="s">
        <v>31</v>
      </c>
      <c r="R175">
        <v>1</v>
      </c>
      <c r="S175" s="1" t="s">
        <v>40</v>
      </c>
      <c r="T175" s="1" t="s">
        <v>67</v>
      </c>
      <c r="U175" s="1" t="s">
        <v>34</v>
      </c>
    </row>
    <row r="176" spans="1:21" x14ac:dyDescent="0.3">
      <c r="A176" s="1" t="s">
        <v>21</v>
      </c>
      <c r="B176">
        <v>21</v>
      </c>
      <c r="C176" s="1" t="s">
        <v>50</v>
      </c>
      <c r="D176" s="1" t="s">
        <v>43</v>
      </c>
      <c r="E176">
        <v>3414</v>
      </c>
      <c r="F176" s="1" t="s">
        <v>37</v>
      </c>
      <c r="G176" s="1" t="s">
        <v>62</v>
      </c>
      <c r="H176">
        <v>2</v>
      </c>
      <c r="I176" s="1" t="s">
        <v>26</v>
      </c>
      <c r="J176" s="1" t="s">
        <v>27</v>
      </c>
      <c r="K176">
        <v>1</v>
      </c>
      <c r="L176" s="1" t="s">
        <v>48</v>
      </c>
      <c r="M176">
        <v>26</v>
      </c>
      <c r="N176" s="1" t="s">
        <v>29</v>
      </c>
      <c r="O176" s="1" t="s">
        <v>30</v>
      </c>
      <c r="P176">
        <v>2</v>
      </c>
      <c r="Q176" s="1" t="s">
        <v>31</v>
      </c>
      <c r="R176">
        <v>1</v>
      </c>
      <c r="S176" s="1" t="s">
        <v>40</v>
      </c>
      <c r="T176" s="1" t="s">
        <v>33</v>
      </c>
      <c r="U176" s="1" t="s">
        <v>41</v>
      </c>
    </row>
    <row r="177" spans="1:21" x14ac:dyDescent="0.3">
      <c r="A177" s="1" t="s">
        <v>42</v>
      </c>
      <c r="B177">
        <v>30</v>
      </c>
      <c r="C177" s="1" t="s">
        <v>69</v>
      </c>
      <c r="D177" s="1" t="s">
        <v>54</v>
      </c>
      <c r="E177">
        <v>7485</v>
      </c>
      <c r="F177" s="1" t="s">
        <v>24</v>
      </c>
      <c r="G177" s="1" t="s">
        <v>60</v>
      </c>
      <c r="H177">
        <v>4</v>
      </c>
      <c r="I177" s="1" t="s">
        <v>39</v>
      </c>
      <c r="J177" s="1" t="s">
        <v>27</v>
      </c>
      <c r="K177">
        <v>1</v>
      </c>
      <c r="L177" s="1" t="s">
        <v>28</v>
      </c>
      <c r="M177">
        <v>53</v>
      </c>
      <c r="N177" s="1" t="s">
        <v>66</v>
      </c>
      <c r="O177" s="1" t="s">
        <v>30</v>
      </c>
      <c r="P177">
        <v>1</v>
      </c>
      <c r="Q177" s="1" t="s">
        <v>57</v>
      </c>
      <c r="R177">
        <v>1</v>
      </c>
      <c r="S177" s="1" t="s">
        <v>32</v>
      </c>
      <c r="T177" s="1" t="s">
        <v>33</v>
      </c>
      <c r="U177" s="1" t="s">
        <v>41</v>
      </c>
    </row>
    <row r="178" spans="1:21" x14ac:dyDescent="0.3">
      <c r="A178" s="1" t="s">
        <v>21</v>
      </c>
      <c r="B178">
        <v>12</v>
      </c>
      <c r="C178" s="1" t="s">
        <v>36</v>
      </c>
      <c r="D178" s="1" t="s">
        <v>46</v>
      </c>
      <c r="E178">
        <v>2577</v>
      </c>
      <c r="F178" s="1" t="s">
        <v>37</v>
      </c>
      <c r="G178" s="1" t="s">
        <v>38</v>
      </c>
      <c r="H178">
        <v>2</v>
      </c>
      <c r="I178" s="1" t="s">
        <v>59</v>
      </c>
      <c r="J178" s="1" t="s">
        <v>27</v>
      </c>
      <c r="K178">
        <v>1</v>
      </c>
      <c r="L178" s="1" t="s">
        <v>55</v>
      </c>
      <c r="M178">
        <v>42</v>
      </c>
      <c r="N178" s="1" t="s">
        <v>29</v>
      </c>
      <c r="O178" s="1" t="s">
        <v>30</v>
      </c>
      <c r="P178">
        <v>1</v>
      </c>
      <c r="Q178" s="1" t="s">
        <v>31</v>
      </c>
      <c r="R178">
        <v>1</v>
      </c>
      <c r="S178" s="1" t="s">
        <v>40</v>
      </c>
      <c r="T178" s="1" t="s">
        <v>33</v>
      </c>
      <c r="U178" s="1" t="s">
        <v>34</v>
      </c>
    </row>
    <row r="179" spans="1:21" x14ac:dyDescent="0.3">
      <c r="A179" s="1" t="s">
        <v>21</v>
      </c>
      <c r="B179">
        <v>6</v>
      </c>
      <c r="C179" s="1" t="s">
        <v>22</v>
      </c>
      <c r="D179" s="1" t="s">
        <v>23</v>
      </c>
      <c r="E179">
        <v>338</v>
      </c>
      <c r="F179" s="1" t="s">
        <v>53</v>
      </c>
      <c r="G179" s="1" t="s">
        <v>25</v>
      </c>
      <c r="H179">
        <v>4</v>
      </c>
      <c r="I179" s="1" t="s">
        <v>26</v>
      </c>
      <c r="J179" s="1" t="s">
        <v>27</v>
      </c>
      <c r="K179">
        <v>4</v>
      </c>
      <c r="L179" s="1" t="s">
        <v>55</v>
      </c>
      <c r="M179">
        <v>52</v>
      </c>
      <c r="N179" s="1" t="s">
        <v>29</v>
      </c>
      <c r="O179" s="1" t="s">
        <v>30</v>
      </c>
      <c r="P179">
        <v>2</v>
      </c>
      <c r="Q179" s="1" t="s">
        <v>31</v>
      </c>
      <c r="R179">
        <v>1</v>
      </c>
      <c r="S179" s="1" t="s">
        <v>40</v>
      </c>
      <c r="T179" s="1" t="s">
        <v>33</v>
      </c>
      <c r="U179" s="1" t="s">
        <v>34</v>
      </c>
    </row>
    <row r="180" spans="1:21" x14ac:dyDescent="0.3">
      <c r="A180" s="1" t="s">
        <v>42</v>
      </c>
      <c r="B180">
        <v>12</v>
      </c>
      <c r="C180" s="1" t="s">
        <v>36</v>
      </c>
      <c r="D180" s="1" t="s">
        <v>23</v>
      </c>
      <c r="E180">
        <v>1963</v>
      </c>
      <c r="F180" s="1" t="s">
        <v>37</v>
      </c>
      <c r="G180" s="1" t="s">
        <v>44</v>
      </c>
      <c r="H180">
        <v>4</v>
      </c>
      <c r="I180" s="1" t="s">
        <v>26</v>
      </c>
      <c r="J180" s="1" t="s">
        <v>27</v>
      </c>
      <c r="K180">
        <v>2</v>
      </c>
      <c r="L180" s="1" t="s">
        <v>55</v>
      </c>
      <c r="M180">
        <v>31</v>
      </c>
      <c r="N180" s="1" t="s">
        <v>29</v>
      </c>
      <c r="O180" s="1" t="s">
        <v>56</v>
      </c>
      <c r="P180">
        <v>2</v>
      </c>
      <c r="Q180" s="1" t="s">
        <v>57</v>
      </c>
      <c r="R180">
        <v>2</v>
      </c>
      <c r="S180" s="1" t="s">
        <v>32</v>
      </c>
      <c r="T180" s="1" t="s">
        <v>33</v>
      </c>
      <c r="U180" s="1" t="s">
        <v>34</v>
      </c>
    </row>
    <row r="181" spans="1:21" x14ac:dyDescent="0.3">
      <c r="A181" s="1" t="s">
        <v>21</v>
      </c>
      <c r="B181">
        <v>21</v>
      </c>
      <c r="C181" s="1" t="s">
        <v>22</v>
      </c>
      <c r="D181" s="1" t="s">
        <v>51</v>
      </c>
      <c r="E181">
        <v>571</v>
      </c>
      <c r="F181" s="1" t="s">
        <v>37</v>
      </c>
      <c r="G181" s="1" t="s">
        <v>25</v>
      </c>
      <c r="H181">
        <v>4</v>
      </c>
      <c r="I181" s="1" t="s">
        <v>26</v>
      </c>
      <c r="J181" s="1" t="s">
        <v>27</v>
      </c>
      <c r="K181">
        <v>4</v>
      </c>
      <c r="L181" s="1" t="s">
        <v>28</v>
      </c>
      <c r="M181">
        <v>65</v>
      </c>
      <c r="N181" s="1" t="s">
        <v>29</v>
      </c>
      <c r="O181" s="1" t="s">
        <v>30</v>
      </c>
      <c r="P181">
        <v>2</v>
      </c>
      <c r="Q181" s="1" t="s">
        <v>31</v>
      </c>
      <c r="R181">
        <v>1</v>
      </c>
      <c r="S181" s="1" t="s">
        <v>40</v>
      </c>
      <c r="T181" s="1" t="s">
        <v>33</v>
      </c>
      <c r="U181" s="1" t="s">
        <v>34</v>
      </c>
    </row>
    <row r="182" spans="1:21" x14ac:dyDescent="0.3">
      <c r="A182" s="1" t="s">
        <v>42</v>
      </c>
      <c r="B182">
        <v>36</v>
      </c>
      <c r="C182" s="1" t="s">
        <v>50</v>
      </c>
      <c r="D182" s="1" t="s">
        <v>63</v>
      </c>
      <c r="E182">
        <v>9572</v>
      </c>
      <c r="F182" s="1" t="s">
        <v>37</v>
      </c>
      <c r="G182" s="1" t="s">
        <v>62</v>
      </c>
      <c r="H182">
        <v>1</v>
      </c>
      <c r="I182" s="1" t="s">
        <v>59</v>
      </c>
      <c r="J182" s="1" t="s">
        <v>27</v>
      </c>
      <c r="K182">
        <v>1</v>
      </c>
      <c r="L182" s="1" t="s">
        <v>55</v>
      </c>
      <c r="M182">
        <v>28</v>
      </c>
      <c r="N182" s="1" t="s">
        <v>29</v>
      </c>
      <c r="O182" s="1" t="s">
        <v>30</v>
      </c>
      <c r="P182">
        <v>2</v>
      </c>
      <c r="Q182" s="1" t="s">
        <v>31</v>
      </c>
      <c r="R182">
        <v>1</v>
      </c>
      <c r="S182" s="1" t="s">
        <v>40</v>
      </c>
      <c r="T182" s="1" t="s">
        <v>33</v>
      </c>
      <c r="U182" s="1" t="s">
        <v>41</v>
      </c>
    </row>
    <row r="183" spans="1:21" x14ac:dyDescent="0.3">
      <c r="A183" s="1" t="s">
        <v>35</v>
      </c>
      <c r="B183">
        <v>36</v>
      </c>
      <c r="C183" s="1" t="s">
        <v>50</v>
      </c>
      <c r="D183" s="1" t="s">
        <v>63</v>
      </c>
      <c r="E183">
        <v>4455</v>
      </c>
      <c r="F183" s="1" t="s">
        <v>37</v>
      </c>
      <c r="G183" s="1" t="s">
        <v>38</v>
      </c>
      <c r="H183">
        <v>2</v>
      </c>
      <c r="I183" s="1" t="s">
        <v>59</v>
      </c>
      <c r="J183" s="1" t="s">
        <v>27</v>
      </c>
      <c r="K183">
        <v>2</v>
      </c>
      <c r="L183" s="1" t="s">
        <v>28</v>
      </c>
      <c r="M183">
        <v>30</v>
      </c>
      <c r="N183" s="1" t="s">
        <v>70</v>
      </c>
      <c r="O183" s="1" t="s">
        <v>30</v>
      </c>
      <c r="P183">
        <v>2</v>
      </c>
      <c r="Q183" s="1" t="s">
        <v>57</v>
      </c>
      <c r="R183">
        <v>1</v>
      </c>
      <c r="S183" s="1" t="s">
        <v>32</v>
      </c>
      <c r="T183" s="1" t="s">
        <v>33</v>
      </c>
      <c r="U183" s="1" t="s">
        <v>41</v>
      </c>
    </row>
    <row r="184" spans="1:21" x14ac:dyDescent="0.3">
      <c r="A184" s="1" t="s">
        <v>21</v>
      </c>
      <c r="B184">
        <v>21</v>
      </c>
      <c r="C184" s="1" t="s">
        <v>69</v>
      </c>
      <c r="D184" s="1" t="s">
        <v>51</v>
      </c>
      <c r="E184">
        <v>1647</v>
      </c>
      <c r="F184" s="1" t="s">
        <v>24</v>
      </c>
      <c r="G184" s="1" t="s">
        <v>38</v>
      </c>
      <c r="H184">
        <v>4</v>
      </c>
      <c r="I184" s="1" t="s">
        <v>26</v>
      </c>
      <c r="J184" s="1" t="s">
        <v>27</v>
      </c>
      <c r="K184">
        <v>2</v>
      </c>
      <c r="L184" s="1" t="s">
        <v>48</v>
      </c>
      <c r="M184">
        <v>40</v>
      </c>
      <c r="N184" s="1" t="s">
        <v>29</v>
      </c>
      <c r="O184" s="1" t="s">
        <v>30</v>
      </c>
      <c r="P184">
        <v>2</v>
      </c>
      <c r="Q184" s="1" t="s">
        <v>45</v>
      </c>
      <c r="R184">
        <v>2</v>
      </c>
      <c r="S184" s="1" t="s">
        <v>40</v>
      </c>
      <c r="T184" s="1" t="s">
        <v>33</v>
      </c>
      <c r="U184" s="1" t="s">
        <v>41</v>
      </c>
    </row>
    <row r="185" spans="1:21" x14ac:dyDescent="0.3">
      <c r="A185" s="1" t="s">
        <v>42</v>
      </c>
      <c r="B185">
        <v>24</v>
      </c>
      <c r="C185" s="1" t="s">
        <v>22</v>
      </c>
      <c r="D185" s="1" t="s">
        <v>46</v>
      </c>
      <c r="E185">
        <v>3777</v>
      </c>
      <c r="F185" s="1" t="s">
        <v>58</v>
      </c>
      <c r="G185" s="1" t="s">
        <v>38</v>
      </c>
      <c r="H185">
        <v>4</v>
      </c>
      <c r="I185" s="1" t="s">
        <v>26</v>
      </c>
      <c r="J185" s="1" t="s">
        <v>27</v>
      </c>
      <c r="K185">
        <v>4</v>
      </c>
      <c r="L185" s="1" t="s">
        <v>28</v>
      </c>
      <c r="M185">
        <v>50</v>
      </c>
      <c r="N185" s="1" t="s">
        <v>29</v>
      </c>
      <c r="O185" s="1" t="s">
        <v>30</v>
      </c>
      <c r="P185">
        <v>1</v>
      </c>
      <c r="Q185" s="1" t="s">
        <v>31</v>
      </c>
      <c r="R185">
        <v>1</v>
      </c>
      <c r="S185" s="1" t="s">
        <v>32</v>
      </c>
      <c r="T185" s="1" t="s">
        <v>33</v>
      </c>
      <c r="U185" s="1" t="s">
        <v>34</v>
      </c>
    </row>
    <row r="186" spans="1:21" x14ac:dyDescent="0.3">
      <c r="A186" s="1" t="s">
        <v>35</v>
      </c>
      <c r="B186">
        <v>18</v>
      </c>
      <c r="C186" s="1" t="s">
        <v>22</v>
      </c>
      <c r="D186" s="1" t="s">
        <v>51</v>
      </c>
      <c r="E186">
        <v>884</v>
      </c>
      <c r="F186" s="1" t="s">
        <v>37</v>
      </c>
      <c r="G186" s="1" t="s">
        <v>25</v>
      </c>
      <c r="H186">
        <v>4</v>
      </c>
      <c r="I186" s="1" t="s">
        <v>26</v>
      </c>
      <c r="J186" s="1" t="s">
        <v>27</v>
      </c>
      <c r="K186">
        <v>4</v>
      </c>
      <c r="L186" s="1" t="s">
        <v>55</v>
      </c>
      <c r="M186">
        <v>36</v>
      </c>
      <c r="N186" s="1" t="s">
        <v>66</v>
      </c>
      <c r="O186" s="1" t="s">
        <v>30</v>
      </c>
      <c r="P186">
        <v>1</v>
      </c>
      <c r="Q186" s="1" t="s">
        <v>31</v>
      </c>
      <c r="R186">
        <v>2</v>
      </c>
      <c r="S186" s="1" t="s">
        <v>32</v>
      </c>
      <c r="T186" s="1" t="s">
        <v>33</v>
      </c>
      <c r="U186" s="1" t="s">
        <v>41</v>
      </c>
    </row>
    <row r="187" spans="1:21" x14ac:dyDescent="0.3">
      <c r="A187" s="1" t="s">
        <v>42</v>
      </c>
      <c r="B187">
        <v>15</v>
      </c>
      <c r="C187" s="1" t="s">
        <v>22</v>
      </c>
      <c r="D187" s="1" t="s">
        <v>23</v>
      </c>
      <c r="E187">
        <v>1360</v>
      </c>
      <c r="F187" s="1" t="s">
        <v>37</v>
      </c>
      <c r="G187" s="1" t="s">
        <v>38</v>
      </c>
      <c r="H187">
        <v>4</v>
      </c>
      <c r="I187" s="1" t="s">
        <v>26</v>
      </c>
      <c r="J187" s="1" t="s">
        <v>27</v>
      </c>
      <c r="K187">
        <v>2</v>
      </c>
      <c r="L187" s="1" t="s">
        <v>48</v>
      </c>
      <c r="M187">
        <v>31</v>
      </c>
      <c r="N187" s="1" t="s">
        <v>29</v>
      </c>
      <c r="O187" s="1" t="s">
        <v>30</v>
      </c>
      <c r="P187">
        <v>2</v>
      </c>
      <c r="Q187" s="1" t="s">
        <v>31</v>
      </c>
      <c r="R187">
        <v>1</v>
      </c>
      <c r="S187" s="1" t="s">
        <v>40</v>
      </c>
      <c r="T187" s="1" t="s">
        <v>33</v>
      </c>
      <c r="U187" s="1" t="s">
        <v>34</v>
      </c>
    </row>
    <row r="188" spans="1:21" x14ac:dyDescent="0.3">
      <c r="A188" s="1" t="s">
        <v>35</v>
      </c>
      <c r="B188">
        <v>9</v>
      </c>
      <c r="C188" s="1" t="s">
        <v>69</v>
      </c>
      <c r="D188" s="1" t="s">
        <v>54</v>
      </c>
      <c r="E188">
        <v>5129</v>
      </c>
      <c r="F188" s="1" t="s">
        <v>37</v>
      </c>
      <c r="G188" s="1" t="s">
        <v>25</v>
      </c>
      <c r="H188">
        <v>2</v>
      </c>
      <c r="I188" s="1" t="s">
        <v>39</v>
      </c>
      <c r="J188" s="1" t="s">
        <v>27</v>
      </c>
      <c r="K188">
        <v>4</v>
      </c>
      <c r="L188" s="1" t="s">
        <v>52</v>
      </c>
      <c r="M188">
        <v>74</v>
      </c>
      <c r="N188" s="1" t="s">
        <v>66</v>
      </c>
      <c r="O188" s="1" t="s">
        <v>49</v>
      </c>
      <c r="P188">
        <v>1</v>
      </c>
      <c r="Q188" s="1" t="s">
        <v>57</v>
      </c>
      <c r="R188">
        <v>2</v>
      </c>
      <c r="S188" s="1" t="s">
        <v>32</v>
      </c>
      <c r="T188" s="1" t="s">
        <v>33</v>
      </c>
      <c r="U188" s="1" t="s">
        <v>41</v>
      </c>
    </row>
    <row r="189" spans="1:21" x14ac:dyDescent="0.3">
      <c r="A189" s="1" t="s">
        <v>35</v>
      </c>
      <c r="B189">
        <v>16</v>
      </c>
      <c r="C189" s="1" t="s">
        <v>22</v>
      </c>
      <c r="D189" s="1" t="s">
        <v>51</v>
      </c>
      <c r="E189">
        <v>1175</v>
      </c>
      <c r="F189" s="1" t="s">
        <v>37</v>
      </c>
      <c r="G189" s="1" t="s">
        <v>60</v>
      </c>
      <c r="H189">
        <v>2</v>
      </c>
      <c r="I189" s="1" t="s">
        <v>26</v>
      </c>
      <c r="J189" s="1" t="s">
        <v>27</v>
      </c>
      <c r="K189">
        <v>3</v>
      </c>
      <c r="L189" s="1" t="s">
        <v>55</v>
      </c>
      <c r="M189">
        <v>68</v>
      </c>
      <c r="N189" s="1" t="s">
        <v>29</v>
      </c>
      <c r="O189" s="1" t="s">
        <v>49</v>
      </c>
      <c r="P189">
        <v>3</v>
      </c>
      <c r="Q189" s="1" t="s">
        <v>74</v>
      </c>
      <c r="R189">
        <v>1</v>
      </c>
      <c r="S189" s="1" t="s">
        <v>32</v>
      </c>
      <c r="T189" s="1" t="s">
        <v>33</v>
      </c>
      <c r="U189" s="1" t="s">
        <v>34</v>
      </c>
    </row>
    <row r="190" spans="1:21" x14ac:dyDescent="0.3">
      <c r="A190" s="1" t="s">
        <v>21</v>
      </c>
      <c r="B190">
        <v>12</v>
      </c>
      <c r="C190" s="1" t="s">
        <v>36</v>
      </c>
      <c r="D190" s="1" t="s">
        <v>23</v>
      </c>
      <c r="E190">
        <v>674</v>
      </c>
      <c r="F190" s="1" t="s">
        <v>64</v>
      </c>
      <c r="G190" s="1" t="s">
        <v>44</v>
      </c>
      <c r="H190">
        <v>4</v>
      </c>
      <c r="I190" s="1" t="s">
        <v>61</v>
      </c>
      <c r="J190" s="1" t="s">
        <v>27</v>
      </c>
      <c r="K190">
        <v>1</v>
      </c>
      <c r="L190" s="1" t="s">
        <v>48</v>
      </c>
      <c r="M190">
        <v>20</v>
      </c>
      <c r="N190" s="1" t="s">
        <v>29</v>
      </c>
      <c r="O190" s="1" t="s">
        <v>30</v>
      </c>
      <c r="P190">
        <v>1</v>
      </c>
      <c r="Q190" s="1" t="s">
        <v>31</v>
      </c>
      <c r="R190">
        <v>1</v>
      </c>
      <c r="S190" s="1" t="s">
        <v>40</v>
      </c>
      <c r="T190" s="1" t="s">
        <v>33</v>
      </c>
      <c r="U190" s="1" t="s">
        <v>41</v>
      </c>
    </row>
    <row r="191" spans="1:21" x14ac:dyDescent="0.3">
      <c r="A191" s="1" t="s">
        <v>35</v>
      </c>
      <c r="B191">
        <v>18</v>
      </c>
      <c r="C191" s="1" t="s">
        <v>65</v>
      </c>
      <c r="D191" s="1" t="s">
        <v>46</v>
      </c>
      <c r="E191">
        <v>3244</v>
      </c>
      <c r="F191" s="1" t="s">
        <v>37</v>
      </c>
      <c r="G191" s="1" t="s">
        <v>38</v>
      </c>
      <c r="H191">
        <v>1</v>
      </c>
      <c r="I191" s="1" t="s">
        <v>39</v>
      </c>
      <c r="J191" s="1" t="s">
        <v>27</v>
      </c>
      <c r="K191">
        <v>4</v>
      </c>
      <c r="L191" s="1" t="s">
        <v>55</v>
      </c>
      <c r="M191">
        <v>33</v>
      </c>
      <c r="N191" s="1" t="s">
        <v>66</v>
      </c>
      <c r="O191" s="1" t="s">
        <v>30</v>
      </c>
      <c r="P191">
        <v>2</v>
      </c>
      <c r="Q191" s="1" t="s">
        <v>31</v>
      </c>
      <c r="R191">
        <v>1</v>
      </c>
      <c r="S191" s="1" t="s">
        <v>32</v>
      </c>
      <c r="T191" s="1" t="s">
        <v>33</v>
      </c>
      <c r="U191" s="1" t="s">
        <v>34</v>
      </c>
    </row>
    <row r="192" spans="1:21" x14ac:dyDescent="0.3">
      <c r="A192" s="1" t="s">
        <v>42</v>
      </c>
      <c r="B192">
        <v>24</v>
      </c>
      <c r="C192" s="1" t="s">
        <v>36</v>
      </c>
      <c r="D192" s="1" t="s">
        <v>63</v>
      </c>
      <c r="E192">
        <v>4591</v>
      </c>
      <c r="F192" s="1" t="s">
        <v>58</v>
      </c>
      <c r="G192" s="1" t="s">
        <v>38</v>
      </c>
      <c r="H192">
        <v>2</v>
      </c>
      <c r="I192" s="1" t="s">
        <v>26</v>
      </c>
      <c r="J192" s="1" t="s">
        <v>27</v>
      </c>
      <c r="K192">
        <v>3</v>
      </c>
      <c r="L192" s="1" t="s">
        <v>48</v>
      </c>
      <c r="M192">
        <v>54</v>
      </c>
      <c r="N192" s="1" t="s">
        <v>29</v>
      </c>
      <c r="O192" s="1" t="s">
        <v>30</v>
      </c>
      <c r="P192">
        <v>3</v>
      </c>
      <c r="Q192" s="1" t="s">
        <v>57</v>
      </c>
      <c r="R192">
        <v>1</v>
      </c>
      <c r="S192" s="1" t="s">
        <v>32</v>
      </c>
      <c r="T192" s="1" t="s">
        <v>33</v>
      </c>
      <c r="U192" s="1" t="s">
        <v>41</v>
      </c>
    </row>
    <row r="193" spans="1:21" x14ac:dyDescent="0.3">
      <c r="A193" s="1" t="s">
        <v>35</v>
      </c>
      <c r="B193">
        <v>48</v>
      </c>
      <c r="C193" s="1" t="s">
        <v>65</v>
      </c>
      <c r="D193" s="1" t="s">
        <v>63</v>
      </c>
      <c r="E193">
        <v>3844</v>
      </c>
      <c r="F193" s="1" t="s">
        <v>64</v>
      </c>
      <c r="G193" s="1" t="s">
        <v>44</v>
      </c>
      <c r="H193">
        <v>4</v>
      </c>
      <c r="I193" s="1" t="s">
        <v>26</v>
      </c>
      <c r="J193" s="1" t="s">
        <v>27</v>
      </c>
      <c r="K193">
        <v>4</v>
      </c>
      <c r="L193" s="1" t="s">
        <v>52</v>
      </c>
      <c r="M193">
        <v>34</v>
      </c>
      <c r="N193" s="1" t="s">
        <v>29</v>
      </c>
      <c r="O193" s="1" t="s">
        <v>49</v>
      </c>
      <c r="P193">
        <v>1</v>
      </c>
      <c r="Q193" s="1" t="s">
        <v>45</v>
      </c>
      <c r="R193">
        <v>2</v>
      </c>
      <c r="S193" s="1" t="s">
        <v>40</v>
      </c>
      <c r="T193" s="1" t="s">
        <v>33</v>
      </c>
      <c r="U193" s="1" t="s">
        <v>41</v>
      </c>
    </row>
    <row r="194" spans="1:21" x14ac:dyDescent="0.3">
      <c r="A194" s="1" t="s">
        <v>35</v>
      </c>
      <c r="B194">
        <v>27</v>
      </c>
      <c r="C194" s="1" t="s">
        <v>36</v>
      </c>
      <c r="D194" s="1" t="s">
        <v>63</v>
      </c>
      <c r="E194">
        <v>3915</v>
      </c>
      <c r="F194" s="1" t="s">
        <v>37</v>
      </c>
      <c r="G194" s="1" t="s">
        <v>38</v>
      </c>
      <c r="H194">
        <v>4</v>
      </c>
      <c r="I194" s="1" t="s">
        <v>26</v>
      </c>
      <c r="J194" s="1" t="s">
        <v>27</v>
      </c>
      <c r="K194">
        <v>2</v>
      </c>
      <c r="L194" s="1" t="s">
        <v>55</v>
      </c>
      <c r="M194">
        <v>36</v>
      </c>
      <c r="N194" s="1" t="s">
        <v>29</v>
      </c>
      <c r="O194" s="1" t="s">
        <v>30</v>
      </c>
      <c r="P194">
        <v>1</v>
      </c>
      <c r="Q194" s="1" t="s">
        <v>31</v>
      </c>
      <c r="R194">
        <v>2</v>
      </c>
      <c r="S194" s="1" t="s">
        <v>32</v>
      </c>
      <c r="T194" s="1" t="s">
        <v>33</v>
      </c>
      <c r="U194" s="1" t="s">
        <v>41</v>
      </c>
    </row>
    <row r="195" spans="1:21" x14ac:dyDescent="0.3">
      <c r="A195" s="1" t="s">
        <v>42</v>
      </c>
      <c r="B195">
        <v>6</v>
      </c>
      <c r="C195" s="1" t="s">
        <v>36</v>
      </c>
      <c r="D195" s="1" t="s">
        <v>23</v>
      </c>
      <c r="E195">
        <v>2108</v>
      </c>
      <c r="F195" s="1" t="s">
        <v>37</v>
      </c>
      <c r="G195" s="1" t="s">
        <v>44</v>
      </c>
      <c r="H195">
        <v>2</v>
      </c>
      <c r="I195" s="1" t="s">
        <v>61</v>
      </c>
      <c r="J195" s="1" t="s">
        <v>27</v>
      </c>
      <c r="K195">
        <v>2</v>
      </c>
      <c r="L195" s="1" t="s">
        <v>28</v>
      </c>
      <c r="M195">
        <v>29</v>
      </c>
      <c r="N195" s="1" t="s">
        <v>29</v>
      </c>
      <c r="O195" s="1" t="s">
        <v>56</v>
      </c>
      <c r="P195">
        <v>1</v>
      </c>
      <c r="Q195" s="1" t="s">
        <v>31</v>
      </c>
      <c r="R195">
        <v>1</v>
      </c>
      <c r="S195" s="1" t="s">
        <v>40</v>
      </c>
      <c r="T195" s="1" t="s">
        <v>33</v>
      </c>
      <c r="U195" s="1" t="s">
        <v>34</v>
      </c>
    </row>
    <row r="196" spans="1:21" x14ac:dyDescent="0.3">
      <c r="A196" s="1" t="s">
        <v>35</v>
      </c>
      <c r="B196">
        <v>45</v>
      </c>
      <c r="C196" s="1" t="s">
        <v>36</v>
      </c>
      <c r="D196" s="1" t="s">
        <v>23</v>
      </c>
      <c r="E196">
        <v>3031</v>
      </c>
      <c r="F196" s="1" t="s">
        <v>64</v>
      </c>
      <c r="G196" s="1" t="s">
        <v>38</v>
      </c>
      <c r="H196">
        <v>4</v>
      </c>
      <c r="I196" s="1" t="s">
        <v>26</v>
      </c>
      <c r="J196" s="1" t="s">
        <v>47</v>
      </c>
      <c r="K196">
        <v>4</v>
      </c>
      <c r="L196" s="1" t="s">
        <v>48</v>
      </c>
      <c r="M196">
        <v>21</v>
      </c>
      <c r="N196" s="1" t="s">
        <v>29</v>
      </c>
      <c r="O196" s="1" t="s">
        <v>56</v>
      </c>
      <c r="P196">
        <v>1</v>
      </c>
      <c r="Q196" s="1" t="s">
        <v>31</v>
      </c>
      <c r="R196">
        <v>1</v>
      </c>
      <c r="S196" s="1" t="s">
        <v>40</v>
      </c>
      <c r="T196" s="1" t="s">
        <v>33</v>
      </c>
      <c r="U196" s="1" t="s">
        <v>41</v>
      </c>
    </row>
    <row r="197" spans="1:21" x14ac:dyDescent="0.3">
      <c r="A197" s="1" t="s">
        <v>35</v>
      </c>
      <c r="B197">
        <v>9</v>
      </c>
      <c r="C197" s="1" t="s">
        <v>22</v>
      </c>
      <c r="D197" s="1" t="s">
        <v>43</v>
      </c>
      <c r="E197">
        <v>1501</v>
      </c>
      <c r="F197" s="1" t="s">
        <v>37</v>
      </c>
      <c r="G197" s="1" t="s">
        <v>25</v>
      </c>
      <c r="H197">
        <v>2</v>
      </c>
      <c r="I197" s="1" t="s">
        <v>39</v>
      </c>
      <c r="J197" s="1" t="s">
        <v>27</v>
      </c>
      <c r="K197">
        <v>3</v>
      </c>
      <c r="L197" s="1" t="s">
        <v>55</v>
      </c>
      <c r="M197">
        <v>34</v>
      </c>
      <c r="N197" s="1" t="s">
        <v>29</v>
      </c>
      <c r="O197" s="1" t="s">
        <v>30</v>
      </c>
      <c r="P197">
        <v>2</v>
      </c>
      <c r="Q197" s="1" t="s">
        <v>57</v>
      </c>
      <c r="R197">
        <v>1</v>
      </c>
      <c r="S197" s="1" t="s">
        <v>32</v>
      </c>
      <c r="T197" s="1" t="s">
        <v>33</v>
      </c>
      <c r="U197" s="1" t="s">
        <v>41</v>
      </c>
    </row>
    <row r="198" spans="1:21" x14ac:dyDescent="0.3">
      <c r="A198" s="1" t="s">
        <v>42</v>
      </c>
      <c r="B198">
        <v>6</v>
      </c>
      <c r="C198" s="1" t="s">
        <v>22</v>
      </c>
      <c r="D198" s="1" t="s">
        <v>23</v>
      </c>
      <c r="E198">
        <v>1382</v>
      </c>
      <c r="F198" s="1" t="s">
        <v>37</v>
      </c>
      <c r="G198" s="1" t="s">
        <v>38</v>
      </c>
      <c r="H198">
        <v>1</v>
      </c>
      <c r="I198" s="1" t="s">
        <v>39</v>
      </c>
      <c r="J198" s="1" t="s">
        <v>27</v>
      </c>
      <c r="K198">
        <v>1</v>
      </c>
      <c r="L198" s="1" t="s">
        <v>55</v>
      </c>
      <c r="M198">
        <v>28</v>
      </c>
      <c r="N198" s="1" t="s">
        <v>29</v>
      </c>
      <c r="O198" s="1" t="s">
        <v>30</v>
      </c>
      <c r="P198">
        <v>2</v>
      </c>
      <c r="Q198" s="1" t="s">
        <v>31</v>
      </c>
      <c r="R198">
        <v>1</v>
      </c>
      <c r="S198" s="1" t="s">
        <v>32</v>
      </c>
      <c r="T198" s="1" t="s">
        <v>33</v>
      </c>
      <c r="U198" s="1" t="s">
        <v>34</v>
      </c>
    </row>
    <row r="199" spans="1:21" x14ac:dyDescent="0.3">
      <c r="A199" s="1" t="s">
        <v>35</v>
      </c>
      <c r="B199">
        <v>12</v>
      </c>
      <c r="C199" s="1" t="s">
        <v>36</v>
      </c>
      <c r="D199" s="1" t="s">
        <v>46</v>
      </c>
      <c r="E199">
        <v>951</v>
      </c>
      <c r="F199" s="1" t="s">
        <v>64</v>
      </c>
      <c r="G199" s="1" t="s">
        <v>62</v>
      </c>
      <c r="H199">
        <v>4</v>
      </c>
      <c r="I199" s="1" t="s">
        <v>39</v>
      </c>
      <c r="J199" s="1" t="s">
        <v>27</v>
      </c>
      <c r="K199">
        <v>4</v>
      </c>
      <c r="L199" s="1" t="s">
        <v>55</v>
      </c>
      <c r="M199">
        <v>27</v>
      </c>
      <c r="N199" s="1" t="s">
        <v>66</v>
      </c>
      <c r="O199" s="1" t="s">
        <v>56</v>
      </c>
      <c r="P199">
        <v>4</v>
      </c>
      <c r="Q199" s="1" t="s">
        <v>31</v>
      </c>
      <c r="R199">
        <v>1</v>
      </c>
      <c r="S199" s="1" t="s">
        <v>40</v>
      </c>
      <c r="T199" s="1" t="s">
        <v>33</v>
      </c>
      <c r="U199" s="1" t="s">
        <v>41</v>
      </c>
    </row>
    <row r="200" spans="1:21" x14ac:dyDescent="0.3">
      <c r="A200" s="1" t="s">
        <v>35</v>
      </c>
      <c r="B200">
        <v>24</v>
      </c>
      <c r="C200" s="1" t="s">
        <v>36</v>
      </c>
      <c r="D200" s="1" t="s">
        <v>54</v>
      </c>
      <c r="E200">
        <v>2760</v>
      </c>
      <c r="F200" s="1" t="s">
        <v>24</v>
      </c>
      <c r="G200" s="1" t="s">
        <v>25</v>
      </c>
      <c r="H200">
        <v>4</v>
      </c>
      <c r="I200" s="1" t="s">
        <v>26</v>
      </c>
      <c r="J200" s="1" t="s">
        <v>27</v>
      </c>
      <c r="K200">
        <v>4</v>
      </c>
      <c r="L200" s="1" t="s">
        <v>52</v>
      </c>
      <c r="M200">
        <v>36</v>
      </c>
      <c r="N200" s="1" t="s">
        <v>66</v>
      </c>
      <c r="O200" s="1" t="s">
        <v>49</v>
      </c>
      <c r="P200">
        <v>1</v>
      </c>
      <c r="Q200" s="1" t="s">
        <v>31</v>
      </c>
      <c r="R200">
        <v>1</v>
      </c>
      <c r="S200" s="1" t="s">
        <v>32</v>
      </c>
      <c r="T200" s="1" t="s">
        <v>33</v>
      </c>
      <c r="U200" s="1" t="s">
        <v>34</v>
      </c>
    </row>
    <row r="201" spans="1:21" x14ac:dyDescent="0.3">
      <c r="A201" s="1" t="s">
        <v>35</v>
      </c>
      <c r="B201">
        <v>18</v>
      </c>
      <c r="C201" s="1" t="s">
        <v>50</v>
      </c>
      <c r="D201" s="1" t="s">
        <v>46</v>
      </c>
      <c r="E201">
        <v>4297</v>
      </c>
      <c r="F201" s="1" t="s">
        <v>37</v>
      </c>
      <c r="G201" s="1" t="s">
        <v>25</v>
      </c>
      <c r="H201">
        <v>4</v>
      </c>
      <c r="I201" s="1" t="s">
        <v>59</v>
      </c>
      <c r="J201" s="1" t="s">
        <v>27</v>
      </c>
      <c r="K201">
        <v>3</v>
      </c>
      <c r="L201" s="1" t="s">
        <v>52</v>
      </c>
      <c r="M201">
        <v>40</v>
      </c>
      <c r="N201" s="1" t="s">
        <v>29</v>
      </c>
      <c r="O201" s="1" t="s">
        <v>30</v>
      </c>
      <c r="P201">
        <v>1</v>
      </c>
      <c r="Q201" s="1" t="s">
        <v>57</v>
      </c>
      <c r="R201">
        <v>1</v>
      </c>
      <c r="S201" s="1" t="s">
        <v>32</v>
      </c>
      <c r="T201" s="1" t="s">
        <v>33</v>
      </c>
      <c r="U201" s="1" t="s">
        <v>41</v>
      </c>
    </row>
    <row r="202" spans="1:21" x14ac:dyDescent="0.3">
      <c r="A202" s="1" t="s">
        <v>42</v>
      </c>
      <c r="B202">
        <v>9</v>
      </c>
      <c r="C202" s="1" t="s">
        <v>22</v>
      </c>
      <c r="D202" s="1" t="s">
        <v>43</v>
      </c>
      <c r="E202">
        <v>936</v>
      </c>
      <c r="F202" s="1" t="s">
        <v>53</v>
      </c>
      <c r="G202" s="1" t="s">
        <v>25</v>
      </c>
      <c r="H202">
        <v>4</v>
      </c>
      <c r="I202" s="1" t="s">
        <v>26</v>
      </c>
      <c r="J202" s="1" t="s">
        <v>27</v>
      </c>
      <c r="K202">
        <v>2</v>
      </c>
      <c r="L202" s="1" t="s">
        <v>55</v>
      </c>
      <c r="M202">
        <v>52</v>
      </c>
      <c r="N202" s="1" t="s">
        <v>29</v>
      </c>
      <c r="O202" s="1" t="s">
        <v>30</v>
      </c>
      <c r="P202">
        <v>2</v>
      </c>
      <c r="Q202" s="1" t="s">
        <v>31</v>
      </c>
      <c r="R202">
        <v>1</v>
      </c>
      <c r="S202" s="1" t="s">
        <v>32</v>
      </c>
      <c r="T202" s="1" t="s">
        <v>33</v>
      </c>
      <c r="U202" s="1" t="s">
        <v>34</v>
      </c>
    </row>
    <row r="203" spans="1:21" x14ac:dyDescent="0.3">
      <c r="A203" s="1" t="s">
        <v>21</v>
      </c>
      <c r="B203">
        <v>12</v>
      </c>
      <c r="C203" s="1" t="s">
        <v>36</v>
      </c>
      <c r="D203" s="1" t="s">
        <v>51</v>
      </c>
      <c r="E203">
        <v>1168</v>
      </c>
      <c r="F203" s="1" t="s">
        <v>37</v>
      </c>
      <c r="G203" s="1" t="s">
        <v>38</v>
      </c>
      <c r="H203">
        <v>4</v>
      </c>
      <c r="I203" s="1" t="s">
        <v>61</v>
      </c>
      <c r="J203" s="1" t="s">
        <v>27</v>
      </c>
      <c r="K203">
        <v>3</v>
      </c>
      <c r="L203" s="1" t="s">
        <v>28</v>
      </c>
      <c r="M203">
        <v>27</v>
      </c>
      <c r="N203" s="1" t="s">
        <v>29</v>
      </c>
      <c r="O203" s="1" t="s">
        <v>30</v>
      </c>
      <c r="P203">
        <v>1</v>
      </c>
      <c r="Q203" s="1" t="s">
        <v>45</v>
      </c>
      <c r="R203">
        <v>1</v>
      </c>
      <c r="S203" s="1" t="s">
        <v>40</v>
      </c>
      <c r="T203" s="1" t="s">
        <v>33</v>
      </c>
      <c r="U203" s="1" t="s">
        <v>34</v>
      </c>
    </row>
    <row r="204" spans="1:21" x14ac:dyDescent="0.3">
      <c r="A204" s="1" t="s">
        <v>42</v>
      </c>
      <c r="B204">
        <v>27</v>
      </c>
      <c r="C204" s="1" t="s">
        <v>50</v>
      </c>
      <c r="D204" s="1" t="s">
        <v>63</v>
      </c>
      <c r="E204">
        <v>5117</v>
      </c>
      <c r="F204" s="1" t="s">
        <v>37</v>
      </c>
      <c r="G204" s="1" t="s">
        <v>44</v>
      </c>
      <c r="H204">
        <v>3</v>
      </c>
      <c r="I204" s="1" t="s">
        <v>26</v>
      </c>
      <c r="J204" s="1" t="s">
        <v>27</v>
      </c>
      <c r="K204">
        <v>4</v>
      </c>
      <c r="L204" s="1" t="s">
        <v>55</v>
      </c>
      <c r="M204">
        <v>26</v>
      </c>
      <c r="N204" s="1" t="s">
        <v>29</v>
      </c>
      <c r="O204" s="1" t="s">
        <v>30</v>
      </c>
      <c r="P204">
        <v>2</v>
      </c>
      <c r="Q204" s="1" t="s">
        <v>31</v>
      </c>
      <c r="R204">
        <v>1</v>
      </c>
      <c r="S204" s="1" t="s">
        <v>40</v>
      </c>
      <c r="T204" s="1" t="s">
        <v>33</v>
      </c>
      <c r="U204" s="1" t="s">
        <v>34</v>
      </c>
    </row>
    <row r="205" spans="1:21" x14ac:dyDescent="0.3">
      <c r="A205" s="1" t="s">
        <v>21</v>
      </c>
      <c r="B205">
        <v>12</v>
      </c>
      <c r="C205" s="1" t="s">
        <v>36</v>
      </c>
      <c r="D205" s="1" t="s">
        <v>76</v>
      </c>
      <c r="E205">
        <v>902</v>
      </c>
      <c r="F205" s="1" t="s">
        <v>37</v>
      </c>
      <c r="G205" s="1" t="s">
        <v>44</v>
      </c>
      <c r="H205">
        <v>4</v>
      </c>
      <c r="I205" s="1" t="s">
        <v>61</v>
      </c>
      <c r="J205" s="1" t="s">
        <v>27</v>
      </c>
      <c r="K205">
        <v>4</v>
      </c>
      <c r="L205" s="1" t="s">
        <v>48</v>
      </c>
      <c r="M205">
        <v>21</v>
      </c>
      <c r="N205" s="1" t="s">
        <v>29</v>
      </c>
      <c r="O205" s="1" t="s">
        <v>56</v>
      </c>
      <c r="P205">
        <v>1</v>
      </c>
      <c r="Q205" s="1" t="s">
        <v>31</v>
      </c>
      <c r="R205">
        <v>1</v>
      </c>
      <c r="S205" s="1" t="s">
        <v>40</v>
      </c>
      <c r="T205" s="1" t="s">
        <v>33</v>
      </c>
      <c r="U205" s="1" t="s">
        <v>41</v>
      </c>
    </row>
    <row r="206" spans="1:21" x14ac:dyDescent="0.3">
      <c r="A206" s="1" t="s">
        <v>42</v>
      </c>
      <c r="B206">
        <v>12</v>
      </c>
      <c r="C206" s="1" t="s">
        <v>22</v>
      </c>
      <c r="D206" s="1" t="s">
        <v>51</v>
      </c>
      <c r="E206">
        <v>1495</v>
      </c>
      <c r="F206" s="1" t="s">
        <v>37</v>
      </c>
      <c r="G206" s="1" t="s">
        <v>25</v>
      </c>
      <c r="H206">
        <v>4</v>
      </c>
      <c r="I206" s="1" t="s">
        <v>26</v>
      </c>
      <c r="J206" s="1" t="s">
        <v>27</v>
      </c>
      <c r="K206">
        <v>1</v>
      </c>
      <c r="L206" s="1" t="s">
        <v>28</v>
      </c>
      <c r="M206">
        <v>38</v>
      </c>
      <c r="N206" s="1" t="s">
        <v>29</v>
      </c>
      <c r="O206" s="1" t="s">
        <v>30</v>
      </c>
      <c r="P206">
        <v>2</v>
      </c>
      <c r="Q206" s="1" t="s">
        <v>45</v>
      </c>
      <c r="R206">
        <v>2</v>
      </c>
      <c r="S206" s="1" t="s">
        <v>40</v>
      </c>
      <c r="T206" s="1" t="s">
        <v>33</v>
      </c>
      <c r="U206" s="1" t="s">
        <v>34</v>
      </c>
    </row>
    <row r="207" spans="1:21" x14ac:dyDescent="0.3">
      <c r="A207" s="1" t="s">
        <v>21</v>
      </c>
      <c r="B207">
        <v>30</v>
      </c>
      <c r="C207" s="1" t="s">
        <v>22</v>
      </c>
      <c r="D207" s="1" t="s">
        <v>54</v>
      </c>
      <c r="E207">
        <v>10623</v>
      </c>
      <c r="F207" s="1" t="s">
        <v>37</v>
      </c>
      <c r="G207" s="1" t="s">
        <v>25</v>
      </c>
      <c r="H207">
        <v>3</v>
      </c>
      <c r="I207" s="1" t="s">
        <v>26</v>
      </c>
      <c r="J207" s="1" t="s">
        <v>27</v>
      </c>
      <c r="K207">
        <v>4</v>
      </c>
      <c r="L207" s="1" t="s">
        <v>52</v>
      </c>
      <c r="M207">
        <v>38</v>
      </c>
      <c r="N207" s="1" t="s">
        <v>29</v>
      </c>
      <c r="O207" s="1" t="s">
        <v>49</v>
      </c>
      <c r="P207">
        <v>3</v>
      </c>
      <c r="Q207" s="1" t="s">
        <v>57</v>
      </c>
      <c r="R207">
        <v>2</v>
      </c>
      <c r="S207" s="1" t="s">
        <v>32</v>
      </c>
      <c r="T207" s="1" t="s">
        <v>33</v>
      </c>
      <c r="U207" s="1" t="s">
        <v>34</v>
      </c>
    </row>
    <row r="208" spans="1:21" x14ac:dyDescent="0.3">
      <c r="A208" s="1" t="s">
        <v>42</v>
      </c>
      <c r="B208">
        <v>12</v>
      </c>
      <c r="C208" s="1" t="s">
        <v>22</v>
      </c>
      <c r="D208" s="1" t="s">
        <v>46</v>
      </c>
      <c r="E208">
        <v>1935</v>
      </c>
      <c r="F208" s="1" t="s">
        <v>37</v>
      </c>
      <c r="G208" s="1" t="s">
        <v>25</v>
      </c>
      <c r="H208">
        <v>4</v>
      </c>
      <c r="I208" s="1" t="s">
        <v>26</v>
      </c>
      <c r="J208" s="1" t="s">
        <v>27</v>
      </c>
      <c r="K208">
        <v>4</v>
      </c>
      <c r="L208" s="1" t="s">
        <v>28</v>
      </c>
      <c r="M208">
        <v>43</v>
      </c>
      <c r="N208" s="1" t="s">
        <v>29</v>
      </c>
      <c r="O208" s="1" t="s">
        <v>30</v>
      </c>
      <c r="P208">
        <v>3</v>
      </c>
      <c r="Q208" s="1" t="s">
        <v>31</v>
      </c>
      <c r="R208">
        <v>1</v>
      </c>
      <c r="S208" s="1" t="s">
        <v>32</v>
      </c>
      <c r="T208" s="1" t="s">
        <v>33</v>
      </c>
      <c r="U208" s="1" t="s">
        <v>34</v>
      </c>
    </row>
    <row r="209" spans="1:21" x14ac:dyDescent="0.3">
      <c r="A209" s="1" t="s">
        <v>35</v>
      </c>
      <c r="B209">
        <v>12</v>
      </c>
      <c r="C209" s="1" t="s">
        <v>22</v>
      </c>
      <c r="D209" s="1" t="s">
        <v>72</v>
      </c>
      <c r="E209">
        <v>1424</v>
      </c>
      <c r="F209" s="1" t="s">
        <v>37</v>
      </c>
      <c r="G209" s="1" t="s">
        <v>44</v>
      </c>
      <c r="H209">
        <v>4</v>
      </c>
      <c r="I209" s="1" t="s">
        <v>26</v>
      </c>
      <c r="J209" s="1" t="s">
        <v>27</v>
      </c>
      <c r="K209">
        <v>3</v>
      </c>
      <c r="L209" s="1" t="s">
        <v>48</v>
      </c>
      <c r="M209">
        <v>26</v>
      </c>
      <c r="N209" s="1" t="s">
        <v>29</v>
      </c>
      <c r="O209" s="1" t="s">
        <v>30</v>
      </c>
      <c r="P209">
        <v>1</v>
      </c>
      <c r="Q209" s="1" t="s">
        <v>31</v>
      </c>
      <c r="R209">
        <v>1</v>
      </c>
      <c r="S209" s="1" t="s">
        <v>40</v>
      </c>
      <c r="T209" s="1" t="s">
        <v>33</v>
      </c>
      <c r="U209" s="1" t="s">
        <v>34</v>
      </c>
    </row>
    <row r="210" spans="1:21" x14ac:dyDescent="0.3">
      <c r="A210" s="1" t="s">
        <v>21</v>
      </c>
      <c r="B210">
        <v>24</v>
      </c>
      <c r="C210" s="1" t="s">
        <v>36</v>
      </c>
      <c r="D210" s="1" t="s">
        <v>63</v>
      </c>
      <c r="E210">
        <v>6568</v>
      </c>
      <c r="F210" s="1" t="s">
        <v>37</v>
      </c>
      <c r="G210" s="1" t="s">
        <v>38</v>
      </c>
      <c r="H210">
        <v>2</v>
      </c>
      <c r="I210" s="1" t="s">
        <v>61</v>
      </c>
      <c r="J210" s="1" t="s">
        <v>27</v>
      </c>
      <c r="K210">
        <v>2</v>
      </c>
      <c r="L210" s="1" t="s">
        <v>55</v>
      </c>
      <c r="M210">
        <v>21</v>
      </c>
      <c r="N210" s="1" t="s">
        <v>70</v>
      </c>
      <c r="O210" s="1" t="s">
        <v>30</v>
      </c>
      <c r="P210">
        <v>1</v>
      </c>
      <c r="Q210" s="1" t="s">
        <v>45</v>
      </c>
      <c r="R210">
        <v>1</v>
      </c>
      <c r="S210" s="1" t="s">
        <v>40</v>
      </c>
      <c r="T210" s="1" t="s">
        <v>33</v>
      </c>
      <c r="U210" s="1" t="s">
        <v>34</v>
      </c>
    </row>
    <row r="211" spans="1:21" x14ac:dyDescent="0.3">
      <c r="A211" s="1" t="s">
        <v>42</v>
      </c>
      <c r="B211">
        <v>12</v>
      </c>
      <c r="C211" s="1" t="s">
        <v>36</v>
      </c>
      <c r="D211" s="1" t="s">
        <v>54</v>
      </c>
      <c r="E211">
        <v>1413</v>
      </c>
      <c r="F211" s="1" t="s">
        <v>58</v>
      </c>
      <c r="G211" s="1" t="s">
        <v>44</v>
      </c>
      <c r="H211">
        <v>3</v>
      </c>
      <c r="I211" s="1" t="s">
        <v>26</v>
      </c>
      <c r="J211" s="1" t="s">
        <v>27</v>
      </c>
      <c r="K211">
        <v>2</v>
      </c>
      <c r="L211" s="1" t="s">
        <v>48</v>
      </c>
      <c r="M211">
        <v>55</v>
      </c>
      <c r="N211" s="1" t="s">
        <v>29</v>
      </c>
      <c r="O211" s="1" t="s">
        <v>30</v>
      </c>
      <c r="P211">
        <v>1</v>
      </c>
      <c r="Q211" s="1" t="s">
        <v>31</v>
      </c>
      <c r="R211">
        <v>1</v>
      </c>
      <c r="S211" s="1" t="s">
        <v>40</v>
      </c>
      <c r="T211" s="1" t="s">
        <v>67</v>
      </c>
      <c r="U211" s="1" t="s">
        <v>34</v>
      </c>
    </row>
    <row r="212" spans="1:21" x14ac:dyDescent="0.3">
      <c r="A212" s="1" t="s">
        <v>42</v>
      </c>
      <c r="B212">
        <v>9</v>
      </c>
      <c r="C212" s="1" t="s">
        <v>22</v>
      </c>
      <c r="D212" s="1" t="s">
        <v>23</v>
      </c>
      <c r="E212">
        <v>3074</v>
      </c>
      <c r="F212" s="1" t="s">
        <v>24</v>
      </c>
      <c r="G212" s="1" t="s">
        <v>38</v>
      </c>
      <c r="H212">
        <v>1</v>
      </c>
      <c r="I212" s="1" t="s">
        <v>26</v>
      </c>
      <c r="J212" s="1" t="s">
        <v>27</v>
      </c>
      <c r="K212">
        <v>2</v>
      </c>
      <c r="L212" s="1" t="s">
        <v>28</v>
      </c>
      <c r="M212">
        <v>33</v>
      </c>
      <c r="N212" s="1" t="s">
        <v>29</v>
      </c>
      <c r="O212" s="1" t="s">
        <v>30</v>
      </c>
      <c r="P212">
        <v>2</v>
      </c>
      <c r="Q212" s="1" t="s">
        <v>31</v>
      </c>
      <c r="R212">
        <v>2</v>
      </c>
      <c r="S212" s="1" t="s">
        <v>40</v>
      </c>
      <c r="T212" s="1" t="s">
        <v>33</v>
      </c>
      <c r="U212" s="1" t="s">
        <v>34</v>
      </c>
    </row>
    <row r="213" spans="1:21" x14ac:dyDescent="0.3">
      <c r="A213" s="1" t="s">
        <v>42</v>
      </c>
      <c r="B213">
        <v>36</v>
      </c>
      <c r="C213" s="1" t="s">
        <v>36</v>
      </c>
      <c r="D213" s="1" t="s">
        <v>23</v>
      </c>
      <c r="E213">
        <v>3835</v>
      </c>
      <c r="F213" s="1" t="s">
        <v>24</v>
      </c>
      <c r="G213" s="1" t="s">
        <v>25</v>
      </c>
      <c r="H213">
        <v>2</v>
      </c>
      <c r="I213" s="1" t="s">
        <v>39</v>
      </c>
      <c r="J213" s="1" t="s">
        <v>27</v>
      </c>
      <c r="K213">
        <v>4</v>
      </c>
      <c r="L213" s="1" t="s">
        <v>28</v>
      </c>
      <c r="M213">
        <v>45</v>
      </c>
      <c r="N213" s="1" t="s">
        <v>29</v>
      </c>
      <c r="O213" s="1" t="s">
        <v>30</v>
      </c>
      <c r="P213">
        <v>1</v>
      </c>
      <c r="Q213" s="1" t="s">
        <v>45</v>
      </c>
      <c r="R213">
        <v>1</v>
      </c>
      <c r="S213" s="1" t="s">
        <v>32</v>
      </c>
      <c r="T213" s="1" t="s">
        <v>33</v>
      </c>
      <c r="U213" s="1" t="s">
        <v>34</v>
      </c>
    </row>
    <row r="214" spans="1:21" x14ac:dyDescent="0.3">
      <c r="A214" s="1" t="s">
        <v>21</v>
      </c>
      <c r="B214">
        <v>27</v>
      </c>
      <c r="C214" s="1" t="s">
        <v>65</v>
      </c>
      <c r="D214" s="1" t="s">
        <v>63</v>
      </c>
      <c r="E214">
        <v>5293</v>
      </c>
      <c r="F214" s="1" t="s">
        <v>37</v>
      </c>
      <c r="G214" s="1" t="s">
        <v>60</v>
      </c>
      <c r="H214">
        <v>2</v>
      </c>
      <c r="I214" s="1" t="s">
        <v>26</v>
      </c>
      <c r="J214" s="1" t="s">
        <v>27</v>
      </c>
      <c r="K214">
        <v>4</v>
      </c>
      <c r="L214" s="1" t="s">
        <v>48</v>
      </c>
      <c r="M214">
        <v>50</v>
      </c>
      <c r="N214" s="1" t="s">
        <v>70</v>
      </c>
      <c r="O214" s="1" t="s">
        <v>30</v>
      </c>
      <c r="P214">
        <v>2</v>
      </c>
      <c r="Q214" s="1" t="s">
        <v>31</v>
      </c>
      <c r="R214">
        <v>1</v>
      </c>
      <c r="S214" s="1" t="s">
        <v>32</v>
      </c>
      <c r="T214" s="1" t="s">
        <v>33</v>
      </c>
      <c r="U214" s="1" t="s">
        <v>41</v>
      </c>
    </row>
    <row r="215" spans="1:21" x14ac:dyDescent="0.3">
      <c r="A215" s="1" t="s">
        <v>68</v>
      </c>
      <c r="B215">
        <v>30</v>
      </c>
      <c r="C215" s="1" t="s">
        <v>50</v>
      </c>
      <c r="D215" s="1" t="s">
        <v>63</v>
      </c>
      <c r="E215">
        <v>1908</v>
      </c>
      <c r="F215" s="1" t="s">
        <v>37</v>
      </c>
      <c r="G215" s="1" t="s">
        <v>25</v>
      </c>
      <c r="H215">
        <v>4</v>
      </c>
      <c r="I215" s="1" t="s">
        <v>26</v>
      </c>
      <c r="J215" s="1" t="s">
        <v>27</v>
      </c>
      <c r="K215">
        <v>4</v>
      </c>
      <c r="L215" s="1" t="s">
        <v>28</v>
      </c>
      <c r="M215">
        <v>66</v>
      </c>
      <c r="N215" s="1" t="s">
        <v>29</v>
      </c>
      <c r="O215" s="1" t="s">
        <v>30</v>
      </c>
      <c r="P215">
        <v>1</v>
      </c>
      <c r="Q215" s="1" t="s">
        <v>57</v>
      </c>
      <c r="R215">
        <v>1</v>
      </c>
      <c r="S215" s="1" t="s">
        <v>32</v>
      </c>
      <c r="T215" s="1" t="s">
        <v>33</v>
      </c>
      <c r="U215" s="1" t="s">
        <v>41</v>
      </c>
    </row>
    <row r="216" spans="1:21" x14ac:dyDescent="0.3">
      <c r="A216" s="1" t="s">
        <v>42</v>
      </c>
      <c r="B216">
        <v>36</v>
      </c>
      <c r="C216" s="1" t="s">
        <v>22</v>
      </c>
      <c r="D216" s="1" t="s">
        <v>23</v>
      </c>
      <c r="E216">
        <v>3342</v>
      </c>
      <c r="F216" s="1" t="s">
        <v>24</v>
      </c>
      <c r="G216" s="1" t="s">
        <v>25</v>
      </c>
      <c r="H216">
        <v>4</v>
      </c>
      <c r="I216" s="1" t="s">
        <v>26</v>
      </c>
      <c r="J216" s="1" t="s">
        <v>27</v>
      </c>
      <c r="K216">
        <v>2</v>
      </c>
      <c r="L216" s="1" t="s">
        <v>55</v>
      </c>
      <c r="M216">
        <v>51</v>
      </c>
      <c r="N216" s="1" t="s">
        <v>29</v>
      </c>
      <c r="O216" s="1" t="s">
        <v>30</v>
      </c>
      <c r="P216">
        <v>1</v>
      </c>
      <c r="Q216" s="1" t="s">
        <v>31</v>
      </c>
      <c r="R216">
        <v>1</v>
      </c>
      <c r="S216" s="1" t="s">
        <v>32</v>
      </c>
      <c r="T216" s="1" t="s">
        <v>33</v>
      </c>
      <c r="U216" s="1" t="s">
        <v>34</v>
      </c>
    </row>
    <row r="217" spans="1:21" x14ac:dyDescent="0.3">
      <c r="A217" s="1" t="s">
        <v>35</v>
      </c>
      <c r="B217">
        <v>6</v>
      </c>
      <c r="C217" s="1" t="s">
        <v>22</v>
      </c>
      <c r="D217" s="1" t="s">
        <v>76</v>
      </c>
      <c r="E217">
        <v>932</v>
      </c>
      <c r="F217" s="1" t="s">
        <v>24</v>
      </c>
      <c r="G217" s="1" t="s">
        <v>44</v>
      </c>
      <c r="H217">
        <v>1</v>
      </c>
      <c r="I217" s="1" t="s">
        <v>39</v>
      </c>
      <c r="J217" s="1" t="s">
        <v>27</v>
      </c>
      <c r="K217">
        <v>3</v>
      </c>
      <c r="L217" s="1" t="s">
        <v>48</v>
      </c>
      <c r="M217">
        <v>39</v>
      </c>
      <c r="N217" s="1" t="s">
        <v>29</v>
      </c>
      <c r="O217" s="1" t="s">
        <v>30</v>
      </c>
      <c r="P217">
        <v>2</v>
      </c>
      <c r="Q217" s="1" t="s">
        <v>45</v>
      </c>
      <c r="R217">
        <v>1</v>
      </c>
      <c r="S217" s="1" t="s">
        <v>40</v>
      </c>
      <c r="T217" s="1" t="s">
        <v>33</v>
      </c>
      <c r="U217" s="1" t="s">
        <v>34</v>
      </c>
    </row>
    <row r="218" spans="1:21" x14ac:dyDescent="0.3">
      <c r="A218" s="1" t="s">
        <v>21</v>
      </c>
      <c r="B218">
        <v>18</v>
      </c>
      <c r="C218" s="1" t="s">
        <v>65</v>
      </c>
      <c r="D218" s="1" t="s">
        <v>63</v>
      </c>
      <c r="E218">
        <v>3104</v>
      </c>
      <c r="F218" s="1" t="s">
        <v>37</v>
      </c>
      <c r="G218" s="1" t="s">
        <v>44</v>
      </c>
      <c r="H218">
        <v>3</v>
      </c>
      <c r="I218" s="1" t="s">
        <v>26</v>
      </c>
      <c r="J218" s="1" t="s">
        <v>27</v>
      </c>
      <c r="K218">
        <v>1</v>
      </c>
      <c r="L218" s="1" t="s">
        <v>48</v>
      </c>
      <c r="M218">
        <v>31</v>
      </c>
      <c r="N218" s="1" t="s">
        <v>66</v>
      </c>
      <c r="O218" s="1" t="s">
        <v>30</v>
      </c>
      <c r="P218">
        <v>1</v>
      </c>
      <c r="Q218" s="1" t="s">
        <v>31</v>
      </c>
      <c r="R218">
        <v>1</v>
      </c>
      <c r="S218" s="1" t="s">
        <v>32</v>
      </c>
      <c r="T218" s="1" t="s">
        <v>33</v>
      </c>
      <c r="U218" s="1" t="s">
        <v>34</v>
      </c>
    </row>
    <row r="219" spans="1:21" x14ac:dyDescent="0.3">
      <c r="A219" s="1" t="s">
        <v>68</v>
      </c>
      <c r="B219">
        <v>36</v>
      </c>
      <c r="C219" s="1" t="s">
        <v>36</v>
      </c>
      <c r="D219" s="1" t="s">
        <v>23</v>
      </c>
      <c r="E219">
        <v>3913</v>
      </c>
      <c r="F219" s="1" t="s">
        <v>37</v>
      </c>
      <c r="G219" s="1" t="s">
        <v>38</v>
      </c>
      <c r="H219">
        <v>2</v>
      </c>
      <c r="I219" s="1" t="s">
        <v>26</v>
      </c>
      <c r="J219" s="1" t="s">
        <v>27</v>
      </c>
      <c r="K219">
        <v>2</v>
      </c>
      <c r="L219" s="1" t="s">
        <v>28</v>
      </c>
      <c r="M219">
        <v>23</v>
      </c>
      <c r="N219" s="1" t="s">
        <v>29</v>
      </c>
      <c r="O219" s="1" t="s">
        <v>30</v>
      </c>
      <c r="P219">
        <v>1</v>
      </c>
      <c r="Q219" s="1" t="s">
        <v>31</v>
      </c>
      <c r="R219">
        <v>1</v>
      </c>
      <c r="S219" s="1" t="s">
        <v>32</v>
      </c>
      <c r="T219" s="1" t="s">
        <v>33</v>
      </c>
      <c r="U219" s="1" t="s">
        <v>34</v>
      </c>
    </row>
    <row r="220" spans="1:21" x14ac:dyDescent="0.3">
      <c r="A220" s="1" t="s">
        <v>21</v>
      </c>
      <c r="B220">
        <v>24</v>
      </c>
      <c r="C220" s="1" t="s">
        <v>36</v>
      </c>
      <c r="D220" s="1" t="s">
        <v>46</v>
      </c>
      <c r="E220">
        <v>3021</v>
      </c>
      <c r="F220" s="1" t="s">
        <v>37</v>
      </c>
      <c r="G220" s="1" t="s">
        <v>38</v>
      </c>
      <c r="H220">
        <v>2</v>
      </c>
      <c r="I220" s="1" t="s">
        <v>59</v>
      </c>
      <c r="J220" s="1" t="s">
        <v>27</v>
      </c>
      <c r="K220">
        <v>2</v>
      </c>
      <c r="L220" s="1" t="s">
        <v>28</v>
      </c>
      <c r="M220">
        <v>24</v>
      </c>
      <c r="N220" s="1" t="s">
        <v>29</v>
      </c>
      <c r="O220" s="1" t="s">
        <v>56</v>
      </c>
      <c r="P220">
        <v>1</v>
      </c>
      <c r="Q220" s="1" t="s">
        <v>45</v>
      </c>
      <c r="R220">
        <v>1</v>
      </c>
      <c r="S220" s="1" t="s">
        <v>40</v>
      </c>
      <c r="T220" s="1" t="s">
        <v>33</v>
      </c>
      <c r="U220" s="1" t="s">
        <v>34</v>
      </c>
    </row>
    <row r="221" spans="1:21" x14ac:dyDescent="0.3">
      <c r="A221" s="1" t="s">
        <v>42</v>
      </c>
      <c r="B221">
        <v>10</v>
      </c>
      <c r="C221" s="1" t="s">
        <v>36</v>
      </c>
      <c r="D221" s="1" t="s">
        <v>51</v>
      </c>
      <c r="E221">
        <v>1364</v>
      </c>
      <c r="F221" s="1" t="s">
        <v>37</v>
      </c>
      <c r="G221" s="1" t="s">
        <v>38</v>
      </c>
      <c r="H221">
        <v>2</v>
      </c>
      <c r="I221" s="1" t="s">
        <v>39</v>
      </c>
      <c r="J221" s="1" t="s">
        <v>27</v>
      </c>
      <c r="K221">
        <v>4</v>
      </c>
      <c r="L221" s="1" t="s">
        <v>55</v>
      </c>
      <c r="M221">
        <v>64</v>
      </c>
      <c r="N221" s="1" t="s">
        <v>29</v>
      </c>
      <c r="O221" s="1" t="s">
        <v>30</v>
      </c>
      <c r="P221">
        <v>1</v>
      </c>
      <c r="Q221" s="1" t="s">
        <v>31</v>
      </c>
      <c r="R221">
        <v>1</v>
      </c>
      <c r="S221" s="1" t="s">
        <v>32</v>
      </c>
      <c r="T221" s="1" t="s">
        <v>33</v>
      </c>
      <c r="U221" s="1" t="s">
        <v>34</v>
      </c>
    </row>
    <row r="222" spans="1:21" x14ac:dyDescent="0.3">
      <c r="A222" s="1" t="s">
        <v>35</v>
      </c>
      <c r="B222">
        <v>12</v>
      </c>
      <c r="C222" s="1" t="s">
        <v>36</v>
      </c>
      <c r="D222" s="1" t="s">
        <v>23</v>
      </c>
      <c r="E222">
        <v>625</v>
      </c>
      <c r="F222" s="1" t="s">
        <v>37</v>
      </c>
      <c r="G222" s="1" t="s">
        <v>62</v>
      </c>
      <c r="H222">
        <v>4</v>
      </c>
      <c r="I222" s="1" t="s">
        <v>61</v>
      </c>
      <c r="J222" s="1" t="s">
        <v>47</v>
      </c>
      <c r="K222">
        <v>1</v>
      </c>
      <c r="L222" s="1" t="s">
        <v>28</v>
      </c>
      <c r="M222">
        <v>26</v>
      </c>
      <c r="N222" s="1" t="s">
        <v>66</v>
      </c>
      <c r="O222" s="1" t="s">
        <v>30</v>
      </c>
      <c r="P222">
        <v>1</v>
      </c>
      <c r="Q222" s="1" t="s">
        <v>45</v>
      </c>
      <c r="R222">
        <v>1</v>
      </c>
      <c r="S222" s="1" t="s">
        <v>40</v>
      </c>
      <c r="T222" s="1" t="s">
        <v>33</v>
      </c>
      <c r="U222" s="1" t="s">
        <v>34</v>
      </c>
    </row>
    <row r="223" spans="1:21" x14ac:dyDescent="0.3">
      <c r="A223" s="1" t="s">
        <v>21</v>
      </c>
      <c r="B223">
        <v>12</v>
      </c>
      <c r="C223" s="1" t="s">
        <v>36</v>
      </c>
      <c r="D223" s="1" t="s">
        <v>43</v>
      </c>
      <c r="E223">
        <v>1200</v>
      </c>
      <c r="F223" s="1" t="s">
        <v>24</v>
      </c>
      <c r="G223" s="1" t="s">
        <v>38</v>
      </c>
      <c r="H223">
        <v>4</v>
      </c>
      <c r="I223" s="1" t="s">
        <v>39</v>
      </c>
      <c r="J223" s="1" t="s">
        <v>27</v>
      </c>
      <c r="K223">
        <v>4</v>
      </c>
      <c r="L223" s="1" t="s">
        <v>48</v>
      </c>
      <c r="M223">
        <v>23</v>
      </c>
      <c r="N223" s="1" t="s">
        <v>66</v>
      </c>
      <c r="O223" s="1" t="s">
        <v>56</v>
      </c>
      <c r="P223">
        <v>1</v>
      </c>
      <c r="Q223" s="1" t="s">
        <v>31</v>
      </c>
      <c r="R223">
        <v>1</v>
      </c>
      <c r="S223" s="1" t="s">
        <v>32</v>
      </c>
      <c r="T223" s="1" t="s">
        <v>33</v>
      </c>
      <c r="U223" s="1" t="s">
        <v>34</v>
      </c>
    </row>
    <row r="224" spans="1:21" x14ac:dyDescent="0.3">
      <c r="A224" s="1" t="s">
        <v>42</v>
      </c>
      <c r="B224">
        <v>12</v>
      </c>
      <c r="C224" s="1" t="s">
        <v>36</v>
      </c>
      <c r="D224" s="1" t="s">
        <v>23</v>
      </c>
      <c r="E224">
        <v>707</v>
      </c>
      <c r="F224" s="1" t="s">
        <v>37</v>
      </c>
      <c r="G224" s="1" t="s">
        <v>38</v>
      </c>
      <c r="H224">
        <v>4</v>
      </c>
      <c r="I224" s="1" t="s">
        <v>26</v>
      </c>
      <c r="J224" s="1" t="s">
        <v>27</v>
      </c>
      <c r="K224">
        <v>2</v>
      </c>
      <c r="L224" s="1" t="s">
        <v>28</v>
      </c>
      <c r="M224">
        <v>30</v>
      </c>
      <c r="N224" s="1" t="s">
        <v>66</v>
      </c>
      <c r="O224" s="1" t="s">
        <v>30</v>
      </c>
      <c r="P224">
        <v>2</v>
      </c>
      <c r="Q224" s="1" t="s">
        <v>31</v>
      </c>
      <c r="R224">
        <v>1</v>
      </c>
      <c r="S224" s="1" t="s">
        <v>40</v>
      </c>
      <c r="T224" s="1" t="s">
        <v>33</v>
      </c>
      <c r="U224" s="1" t="s">
        <v>34</v>
      </c>
    </row>
    <row r="225" spans="1:21" x14ac:dyDescent="0.3">
      <c r="A225" s="1" t="s">
        <v>42</v>
      </c>
      <c r="B225">
        <v>24</v>
      </c>
      <c r="C225" s="1" t="s">
        <v>50</v>
      </c>
      <c r="D225" s="1" t="s">
        <v>63</v>
      </c>
      <c r="E225">
        <v>2978</v>
      </c>
      <c r="F225" s="1" t="s">
        <v>24</v>
      </c>
      <c r="G225" s="1" t="s">
        <v>38</v>
      </c>
      <c r="H225">
        <v>4</v>
      </c>
      <c r="I225" s="1" t="s">
        <v>26</v>
      </c>
      <c r="J225" s="1" t="s">
        <v>27</v>
      </c>
      <c r="K225">
        <v>4</v>
      </c>
      <c r="L225" s="1" t="s">
        <v>28</v>
      </c>
      <c r="M225">
        <v>32</v>
      </c>
      <c r="N225" s="1" t="s">
        <v>29</v>
      </c>
      <c r="O225" s="1" t="s">
        <v>30</v>
      </c>
      <c r="P225">
        <v>2</v>
      </c>
      <c r="Q225" s="1" t="s">
        <v>31</v>
      </c>
      <c r="R225">
        <v>2</v>
      </c>
      <c r="S225" s="1" t="s">
        <v>32</v>
      </c>
      <c r="T225" s="1" t="s">
        <v>33</v>
      </c>
      <c r="U225" s="1" t="s">
        <v>34</v>
      </c>
    </row>
    <row r="226" spans="1:21" x14ac:dyDescent="0.3">
      <c r="A226" s="1" t="s">
        <v>42</v>
      </c>
      <c r="B226">
        <v>15</v>
      </c>
      <c r="C226" s="1" t="s">
        <v>36</v>
      </c>
      <c r="D226" s="1" t="s">
        <v>54</v>
      </c>
      <c r="E226">
        <v>4657</v>
      </c>
      <c r="F226" s="1" t="s">
        <v>37</v>
      </c>
      <c r="G226" s="1" t="s">
        <v>38</v>
      </c>
      <c r="H226">
        <v>3</v>
      </c>
      <c r="I226" s="1" t="s">
        <v>26</v>
      </c>
      <c r="J226" s="1" t="s">
        <v>27</v>
      </c>
      <c r="K226">
        <v>2</v>
      </c>
      <c r="L226" s="1" t="s">
        <v>55</v>
      </c>
      <c r="M226">
        <v>30</v>
      </c>
      <c r="N226" s="1" t="s">
        <v>29</v>
      </c>
      <c r="O226" s="1" t="s">
        <v>30</v>
      </c>
      <c r="P226">
        <v>1</v>
      </c>
      <c r="Q226" s="1" t="s">
        <v>31</v>
      </c>
      <c r="R226">
        <v>1</v>
      </c>
      <c r="S226" s="1" t="s">
        <v>32</v>
      </c>
      <c r="T226" s="1" t="s">
        <v>33</v>
      </c>
      <c r="U226" s="1" t="s">
        <v>34</v>
      </c>
    </row>
    <row r="227" spans="1:21" x14ac:dyDescent="0.3">
      <c r="A227" s="1" t="s">
        <v>42</v>
      </c>
      <c r="B227">
        <v>36</v>
      </c>
      <c r="C227" s="1" t="s">
        <v>65</v>
      </c>
      <c r="D227" s="1" t="s">
        <v>73</v>
      </c>
      <c r="E227">
        <v>2613</v>
      </c>
      <c r="F227" s="1" t="s">
        <v>37</v>
      </c>
      <c r="G227" s="1" t="s">
        <v>38</v>
      </c>
      <c r="H227">
        <v>4</v>
      </c>
      <c r="I227" s="1" t="s">
        <v>26</v>
      </c>
      <c r="J227" s="1" t="s">
        <v>27</v>
      </c>
      <c r="K227">
        <v>2</v>
      </c>
      <c r="L227" s="1" t="s">
        <v>55</v>
      </c>
      <c r="M227">
        <v>27</v>
      </c>
      <c r="N227" s="1" t="s">
        <v>29</v>
      </c>
      <c r="O227" s="1" t="s">
        <v>30</v>
      </c>
      <c r="P227">
        <v>2</v>
      </c>
      <c r="Q227" s="1" t="s">
        <v>31</v>
      </c>
      <c r="R227">
        <v>1</v>
      </c>
      <c r="S227" s="1" t="s">
        <v>40</v>
      </c>
      <c r="T227" s="1" t="s">
        <v>33</v>
      </c>
      <c r="U227" s="1" t="s">
        <v>34</v>
      </c>
    </row>
    <row r="228" spans="1:21" x14ac:dyDescent="0.3">
      <c r="A228" s="1" t="s">
        <v>35</v>
      </c>
      <c r="B228">
        <v>48</v>
      </c>
      <c r="C228" s="1" t="s">
        <v>36</v>
      </c>
      <c r="D228" s="1" t="s">
        <v>23</v>
      </c>
      <c r="E228">
        <v>10961</v>
      </c>
      <c r="F228" s="1" t="s">
        <v>58</v>
      </c>
      <c r="G228" s="1" t="s">
        <v>44</v>
      </c>
      <c r="H228">
        <v>1</v>
      </c>
      <c r="I228" s="1" t="s">
        <v>26</v>
      </c>
      <c r="J228" s="1" t="s">
        <v>71</v>
      </c>
      <c r="K228">
        <v>2</v>
      </c>
      <c r="L228" s="1" t="s">
        <v>52</v>
      </c>
      <c r="M228">
        <v>27</v>
      </c>
      <c r="N228" s="1" t="s">
        <v>66</v>
      </c>
      <c r="O228" s="1" t="s">
        <v>30</v>
      </c>
      <c r="P228">
        <v>2</v>
      </c>
      <c r="Q228" s="1" t="s">
        <v>31</v>
      </c>
      <c r="R228">
        <v>1</v>
      </c>
      <c r="S228" s="1" t="s">
        <v>32</v>
      </c>
      <c r="T228" s="1" t="s">
        <v>33</v>
      </c>
      <c r="U228" s="1" t="s">
        <v>41</v>
      </c>
    </row>
    <row r="229" spans="1:21" x14ac:dyDescent="0.3">
      <c r="A229" s="1" t="s">
        <v>21</v>
      </c>
      <c r="B229">
        <v>12</v>
      </c>
      <c r="C229" s="1" t="s">
        <v>36</v>
      </c>
      <c r="D229" s="1" t="s">
        <v>46</v>
      </c>
      <c r="E229">
        <v>7865</v>
      </c>
      <c r="F229" s="1" t="s">
        <v>37</v>
      </c>
      <c r="G229" s="1" t="s">
        <v>25</v>
      </c>
      <c r="H229">
        <v>4</v>
      </c>
      <c r="I229" s="1" t="s">
        <v>26</v>
      </c>
      <c r="J229" s="1" t="s">
        <v>27</v>
      </c>
      <c r="K229">
        <v>4</v>
      </c>
      <c r="L229" s="1" t="s">
        <v>52</v>
      </c>
      <c r="M229">
        <v>53</v>
      </c>
      <c r="N229" s="1" t="s">
        <v>29</v>
      </c>
      <c r="O229" s="1" t="s">
        <v>49</v>
      </c>
      <c r="P229">
        <v>1</v>
      </c>
      <c r="Q229" s="1" t="s">
        <v>57</v>
      </c>
      <c r="R229">
        <v>1</v>
      </c>
      <c r="S229" s="1" t="s">
        <v>32</v>
      </c>
      <c r="T229" s="1" t="s">
        <v>33</v>
      </c>
      <c r="U229" s="1" t="s">
        <v>41</v>
      </c>
    </row>
    <row r="230" spans="1:21" x14ac:dyDescent="0.3">
      <c r="A230" s="1" t="s">
        <v>42</v>
      </c>
      <c r="B230">
        <v>9</v>
      </c>
      <c r="C230" s="1" t="s">
        <v>36</v>
      </c>
      <c r="D230" s="1" t="s">
        <v>23</v>
      </c>
      <c r="E230">
        <v>1478</v>
      </c>
      <c r="F230" s="1" t="s">
        <v>37</v>
      </c>
      <c r="G230" s="1" t="s">
        <v>44</v>
      </c>
      <c r="H230">
        <v>4</v>
      </c>
      <c r="I230" s="1" t="s">
        <v>26</v>
      </c>
      <c r="J230" s="1" t="s">
        <v>27</v>
      </c>
      <c r="K230">
        <v>2</v>
      </c>
      <c r="L230" s="1" t="s">
        <v>55</v>
      </c>
      <c r="M230">
        <v>22</v>
      </c>
      <c r="N230" s="1" t="s">
        <v>29</v>
      </c>
      <c r="O230" s="1" t="s">
        <v>30</v>
      </c>
      <c r="P230">
        <v>1</v>
      </c>
      <c r="Q230" s="1" t="s">
        <v>31</v>
      </c>
      <c r="R230">
        <v>1</v>
      </c>
      <c r="S230" s="1" t="s">
        <v>40</v>
      </c>
      <c r="T230" s="1" t="s">
        <v>33</v>
      </c>
      <c r="U230" s="1" t="s">
        <v>41</v>
      </c>
    </row>
    <row r="231" spans="1:21" x14ac:dyDescent="0.3">
      <c r="A231" s="1" t="s">
        <v>21</v>
      </c>
      <c r="B231">
        <v>24</v>
      </c>
      <c r="C231" s="1" t="s">
        <v>36</v>
      </c>
      <c r="D231" s="1" t="s">
        <v>46</v>
      </c>
      <c r="E231">
        <v>3149</v>
      </c>
      <c r="F231" s="1" t="s">
        <v>37</v>
      </c>
      <c r="G231" s="1" t="s">
        <v>62</v>
      </c>
      <c r="H231">
        <v>4</v>
      </c>
      <c r="I231" s="1" t="s">
        <v>26</v>
      </c>
      <c r="J231" s="1" t="s">
        <v>27</v>
      </c>
      <c r="K231">
        <v>1</v>
      </c>
      <c r="L231" s="1" t="s">
        <v>52</v>
      </c>
      <c r="M231">
        <v>22</v>
      </c>
      <c r="N231" s="1" t="s">
        <v>66</v>
      </c>
      <c r="O231" s="1" t="s">
        <v>49</v>
      </c>
      <c r="P231">
        <v>1</v>
      </c>
      <c r="Q231" s="1" t="s">
        <v>31</v>
      </c>
      <c r="R231">
        <v>1</v>
      </c>
      <c r="S231" s="1" t="s">
        <v>40</v>
      </c>
      <c r="T231" s="1" t="s">
        <v>33</v>
      </c>
      <c r="U231" s="1" t="s">
        <v>34</v>
      </c>
    </row>
    <row r="232" spans="1:21" x14ac:dyDescent="0.3">
      <c r="A232" s="1" t="s">
        <v>68</v>
      </c>
      <c r="B232">
        <v>36</v>
      </c>
      <c r="C232" s="1" t="s">
        <v>36</v>
      </c>
      <c r="D232" s="1" t="s">
        <v>23</v>
      </c>
      <c r="E232">
        <v>4210</v>
      </c>
      <c r="F232" s="1" t="s">
        <v>37</v>
      </c>
      <c r="G232" s="1" t="s">
        <v>38</v>
      </c>
      <c r="H232">
        <v>4</v>
      </c>
      <c r="I232" s="1" t="s">
        <v>26</v>
      </c>
      <c r="J232" s="1" t="s">
        <v>27</v>
      </c>
      <c r="K232">
        <v>2</v>
      </c>
      <c r="L232" s="1" t="s">
        <v>55</v>
      </c>
      <c r="M232">
        <v>26</v>
      </c>
      <c r="N232" s="1" t="s">
        <v>29</v>
      </c>
      <c r="O232" s="1" t="s">
        <v>30</v>
      </c>
      <c r="P232">
        <v>1</v>
      </c>
      <c r="Q232" s="1" t="s">
        <v>31</v>
      </c>
      <c r="R232">
        <v>1</v>
      </c>
      <c r="S232" s="1" t="s">
        <v>40</v>
      </c>
      <c r="T232" s="1" t="s">
        <v>33</v>
      </c>
      <c r="U232" s="1" t="s">
        <v>41</v>
      </c>
    </row>
    <row r="233" spans="1:21" x14ac:dyDescent="0.3">
      <c r="A233" s="1" t="s">
        <v>42</v>
      </c>
      <c r="B233">
        <v>9</v>
      </c>
      <c r="C233" s="1" t="s">
        <v>36</v>
      </c>
      <c r="D233" s="1" t="s">
        <v>51</v>
      </c>
      <c r="E233">
        <v>2507</v>
      </c>
      <c r="F233" s="1" t="s">
        <v>53</v>
      </c>
      <c r="G233" s="1" t="s">
        <v>25</v>
      </c>
      <c r="H233">
        <v>2</v>
      </c>
      <c r="I233" s="1" t="s">
        <v>26</v>
      </c>
      <c r="J233" s="1" t="s">
        <v>27</v>
      </c>
      <c r="K233">
        <v>4</v>
      </c>
      <c r="L233" s="1" t="s">
        <v>52</v>
      </c>
      <c r="M233">
        <v>51</v>
      </c>
      <c r="N233" s="1" t="s">
        <v>29</v>
      </c>
      <c r="O233" s="1" t="s">
        <v>49</v>
      </c>
      <c r="P233">
        <v>1</v>
      </c>
      <c r="Q233" s="1" t="s">
        <v>45</v>
      </c>
      <c r="R233">
        <v>1</v>
      </c>
      <c r="S233" s="1" t="s">
        <v>40</v>
      </c>
      <c r="T233" s="1" t="s">
        <v>33</v>
      </c>
      <c r="U233" s="1" t="s">
        <v>34</v>
      </c>
    </row>
    <row r="234" spans="1:21" x14ac:dyDescent="0.3">
      <c r="A234" s="1" t="s">
        <v>42</v>
      </c>
      <c r="B234">
        <v>12</v>
      </c>
      <c r="C234" s="1" t="s">
        <v>36</v>
      </c>
      <c r="D234" s="1" t="s">
        <v>23</v>
      </c>
      <c r="E234">
        <v>2141</v>
      </c>
      <c r="F234" s="1" t="s">
        <v>64</v>
      </c>
      <c r="G234" s="1" t="s">
        <v>44</v>
      </c>
      <c r="H234">
        <v>3</v>
      </c>
      <c r="I234" s="1" t="s">
        <v>26</v>
      </c>
      <c r="J234" s="1" t="s">
        <v>27</v>
      </c>
      <c r="K234">
        <v>1</v>
      </c>
      <c r="L234" s="1" t="s">
        <v>52</v>
      </c>
      <c r="M234">
        <v>35</v>
      </c>
      <c r="N234" s="1" t="s">
        <v>29</v>
      </c>
      <c r="O234" s="1" t="s">
        <v>30</v>
      </c>
      <c r="P234">
        <v>1</v>
      </c>
      <c r="Q234" s="1" t="s">
        <v>31</v>
      </c>
      <c r="R234">
        <v>1</v>
      </c>
      <c r="S234" s="1" t="s">
        <v>40</v>
      </c>
      <c r="T234" s="1" t="s">
        <v>33</v>
      </c>
      <c r="U234" s="1" t="s">
        <v>34</v>
      </c>
    </row>
    <row r="235" spans="1:21" x14ac:dyDescent="0.3">
      <c r="A235" s="1" t="s">
        <v>35</v>
      </c>
      <c r="B235">
        <v>18</v>
      </c>
      <c r="C235" s="1" t="s">
        <v>36</v>
      </c>
      <c r="D235" s="1" t="s">
        <v>23</v>
      </c>
      <c r="E235">
        <v>866</v>
      </c>
      <c r="F235" s="1" t="s">
        <v>37</v>
      </c>
      <c r="G235" s="1" t="s">
        <v>38</v>
      </c>
      <c r="H235">
        <v>4</v>
      </c>
      <c r="I235" s="1" t="s">
        <v>61</v>
      </c>
      <c r="J235" s="1" t="s">
        <v>47</v>
      </c>
      <c r="K235">
        <v>2</v>
      </c>
      <c r="L235" s="1" t="s">
        <v>28</v>
      </c>
      <c r="M235">
        <v>25</v>
      </c>
      <c r="N235" s="1" t="s">
        <v>29</v>
      </c>
      <c r="O235" s="1" t="s">
        <v>30</v>
      </c>
      <c r="P235">
        <v>1</v>
      </c>
      <c r="Q235" s="1" t="s">
        <v>45</v>
      </c>
      <c r="R235">
        <v>1</v>
      </c>
      <c r="S235" s="1" t="s">
        <v>40</v>
      </c>
      <c r="T235" s="1" t="s">
        <v>33</v>
      </c>
      <c r="U235" s="1" t="s">
        <v>34</v>
      </c>
    </row>
    <row r="236" spans="1:21" x14ac:dyDescent="0.3">
      <c r="A236" s="1" t="s">
        <v>42</v>
      </c>
      <c r="B236">
        <v>4</v>
      </c>
      <c r="C236" s="1" t="s">
        <v>22</v>
      </c>
      <c r="D236" s="1" t="s">
        <v>23</v>
      </c>
      <c r="E236">
        <v>1544</v>
      </c>
      <c r="F236" s="1" t="s">
        <v>37</v>
      </c>
      <c r="G236" s="1" t="s">
        <v>44</v>
      </c>
      <c r="H236">
        <v>2</v>
      </c>
      <c r="I236" s="1" t="s">
        <v>26</v>
      </c>
      <c r="J236" s="1" t="s">
        <v>27</v>
      </c>
      <c r="K236">
        <v>1</v>
      </c>
      <c r="L236" s="1" t="s">
        <v>28</v>
      </c>
      <c r="M236">
        <v>42</v>
      </c>
      <c r="N236" s="1" t="s">
        <v>29</v>
      </c>
      <c r="O236" s="1" t="s">
        <v>30</v>
      </c>
      <c r="P236">
        <v>3</v>
      </c>
      <c r="Q236" s="1" t="s">
        <v>45</v>
      </c>
      <c r="R236">
        <v>2</v>
      </c>
      <c r="S236" s="1" t="s">
        <v>40</v>
      </c>
      <c r="T236" s="1" t="s">
        <v>33</v>
      </c>
      <c r="U236" s="1" t="s">
        <v>34</v>
      </c>
    </row>
    <row r="237" spans="1:21" x14ac:dyDescent="0.3">
      <c r="A237" s="1" t="s">
        <v>21</v>
      </c>
      <c r="B237">
        <v>24</v>
      </c>
      <c r="C237" s="1" t="s">
        <v>36</v>
      </c>
      <c r="D237" s="1" t="s">
        <v>23</v>
      </c>
      <c r="E237">
        <v>1823</v>
      </c>
      <c r="F237" s="1" t="s">
        <v>37</v>
      </c>
      <c r="G237" s="1" t="s">
        <v>60</v>
      </c>
      <c r="H237">
        <v>4</v>
      </c>
      <c r="I237" s="1" t="s">
        <v>26</v>
      </c>
      <c r="J237" s="1" t="s">
        <v>27</v>
      </c>
      <c r="K237">
        <v>2</v>
      </c>
      <c r="L237" s="1" t="s">
        <v>55</v>
      </c>
      <c r="M237">
        <v>30</v>
      </c>
      <c r="N237" s="1" t="s">
        <v>70</v>
      </c>
      <c r="O237" s="1" t="s">
        <v>30</v>
      </c>
      <c r="P237">
        <v>1</v>
      </c>
      <c r="Q237" s="1" t="s">
        <v>57</v>
      </c>
      <c r="R237">
        <v>2</v>
      </c>
      <c r="S237" s="1" t="s">
        <v>40</v>
      </c>
      <c r="T237" s="1" t="s">
        <v>33</v>
      </c>
      <c r="U237" s="1" t="s">
        <v>41</v>
      </c>
    </row>
    <row r="238" spans="1:21" x14ac:dyDescent="0.3">
      <c r="A238" s="1" t="s">
        <v>35</v>
      </c>
      <c r="B238">
        <v>6</v>
      </c>
      <c r="C238" s="1" t="s">
        <v>36</v>
      </c>
      <c r="D238" s="1" t="s">
        <v>51</v>
      </c>
      <c r="E238">
        <v>14555</v>
      </c>
      <c r="F238" s="1" t="s">
        <v>24</v>
      </c>
      <c r="G238" s="1" t="s">
        <v>60</v>
      </c>
      <c r="H238">
        <v>1</v>
      </c>
      <c r="I238" s="1" t="s">
        <v>26</v>
      </c>
      <c r="J238" s="1" t="s">
        <v>27</v>
      </c>
      <c r="K238">
        <v>2</v>
      </c>
      <c r="L238" s="1" t="s">
        <v>48</v>
      </c>
      <c r="M238">
        <v>23</v>
      </c>
      <c r="N238" s="1" t="s">
        <v>29</v>
      </c>
      <c r="O238" s="1" t="s">
        <v>30</v>
      </c>
      <c r="P238">
        <v>1</v>
      </c>
      <c r="Q238" s="1" t="s">
        <v>74</v>
      </c>
      <c r="R238">
        <v>1</v>
      </c>
      <c r="S238" s="1" t="s">
        <v>32</v>
      </c>
      <c r="T238" s="1" t="s">
        <v>33</v>
      </c>
      <c r="U238" s="1" t="s">
        <v>41</v>
      </c>
    </row>
    <row r="239" spans="1:21" x14ac:dyDescent="0.3">
      <c r="A239" s="1" t="s">
        <v>35</v>
      </c>
      <c r="B239">
        <v>21</v>
      </c>
      <c r="C239" s="1" t="s">
        <v>36</v>
      </c>
      <c r="D239" s="1" t="s">
        <v>63</v>
      </c>
      <c r="E239">
        <v>2767</v>
      </c>
      <c r="F239" s="1" t="s">
        <v>64</v>
      </c>
      <c r="G239" s="1" t="s">
        <v>25</v>
      </c>
      <c r="H239">
        <v>4</v>
      </c>
      <c r="I239" s="1" t="s">
        <v>59</v>
      </c>
      <c r="J239" s="1" t="s">
        <v>27</v>
      </c>
      <c r="K239">
        <v>2</v>
      </c>
      <c r="L239" s="1" t="s">
        <v>55</v>
      </c>
      <c r="M239">
        <v>61</v>
      </c>
      <c r="N239" s="1" t="s">
        <v>66</v>
      </c>
      <c r="O239" s="1" t="s">
        <v>56</v>
      </c>
      <c r="P239">
        <v>2</v>
      </c>
      <c r="Q239" s="1" t="s">
        <v>45</v>
      </c>
      <c r="R239">
        <v>1</v>
      </c>
      <c r="S239" s="1" t="s">
        <v>40</v>
      </c>
      <c r="T239" s="1" t="s">
        <v>33</v>
      </c>
      <c r="U239" s="1" t="s">
        <v>41</v>
      </c>
    </row>
    <row r="240" spans="1:21" x14ac:dyDescent="0.3">
      <c r="A240" s="1" t="s">
        <v>42</v>
      </c>
      <c r="B240">
        <v>12</v>
      </c>
      <c r="C240" s="1" t="s">
        <v>22</v>
      </c>
      <c r="D240" s="1" t="s">
        <v>23</v>
      </c>
      <c r="E240">
        <v>1291</v>
      </c>
      <c r="F240" s="1" t="s">
        <v>37</v>
      </c>
      <c r="G240" s="1" t="s">
        <v>38</v>
      </c>
      <c r="H240">
        <v>4</v>
      </c>
      <c r="I240" s="1" t="s">
        <v>39</v>
      </c>
      <c r="J240" s="1" t="s">
        <v>27</v>
      </c>
      <c r="K240">
        <v>2</v>
      </c>
      <c r="L240" s="1" t="s">
        <v>48</v>
      </c>
      <c r="M240">
        <v>35</v>
      </c>
      <c r="N240" s="1" t="s">
        <v>29</v>
      </c>
      <c r="O240" s="1" t="s">
        <v>30</v>
      </c>
      <c r="P240">
        <v>2</v>
      </c>
      <c r="Q240" s="1" t="s">
        <v>31</v>
      </c>
      <c r="R240">
        <v>1</v>
      </c>
      <c r="S240" s="1" t="s">
        <v>40</v>
      </c>
      <c r="T240" s="1" t="s">
        <v>33</v>
      </c>
      <c r="U240" s="1" t="s">
        <v>34</v>
      </c>
    </row>
    <row r="241" spans="1:21" x14ac:dyDescent="0.3">
      <c r="A241" s="1" t="s">
        <v>21</v>
      </c>
      <c r="B241">
        <v>30</v>
      </c>
      <c r="C241" s="1" t="s">
        <v>36</v>
      </c>
      <c r="D241" s="1" t="s">
        <v>23</v>
      </c>
      <c r="E241">
        <v>2522</v>
      </c>
      <c r="F241" s="1" t="s">
        <v>37</v>
      </c>
      <c r="G241" s="1" t="s">
        <v>25</v>
      </c>
      <c r="H241">
        <v>1</v>
      </c>
      <c r="I241" s="1" t="s">
        <v>26</v>
      </c>
      <c r="J241" s="1" t="s">
        <v>47</v>
      </c>
      <c r="K241">
        <v>3</v>
      </c>
      <c r="L241" s="1" t="s">
        <v>48</v>
      </c>
      <c r="M241">
        <v>39</v>
      </c>
      <c r="N241" s="1" t="s">
        <v>29</v>
      </c>
      <c r="O241" s="1" t="s">
        <v>30</v>
      </c>
      <c r="P241">
        <v>1</v>
      </c>
      <c r="Q241" s="1" t="s">
        <v>31</v>
      </c>
      <c r="R241">
        <v>2</v>
      </c>
      <c r="S241" s="1" t="s">
        <v>40</v>
      </c>
      <c r="T241" s="1" t="s">
        <v>33</v>
      </c>
      <c r="U241" s="1" t="s">
        <v>34</v>
      </c>
    </row>
    <row r="242" spans="1:21" x14ac:dyDescent="0.3">
      <c r="A242" s="1" t="s">
        <v>21</v>
      </c>
      <c r="B242">
        <v>24</v>
      </c>
      <c r="C242" s="1" t="s">
        <v>36</v>
      </c>
      <c r="D242" s="1" t="s">
        <v>51</v>
      </c>
      <c r="E242">
        <v>915</v>
      </c>
      <c r="F242" s="1" t="s">
        <v>24</v>
      </c>
      <c r="G242" s="1" t="s">
        <v>25</v>
      </c>
      <c r="H242">
        <v>4</v>
      </c>
      <c r="I242" s="1" t="s">
        <v>39</v>
      </c>
      <c r="J242" s="1" t="s">
        <v>27</v>
      </c>
      <c r="K242">
        <v>2</v>
      </c>
      <c r="L242" s="1" t="s">
        <v>55</v>
      </c>
      <c r="M242">
        <v>29</v>
      </c>
      <c r="N242" s="1" t="s">
        <v>66</v>
      </c>
      <c r="O242" s="1" t="s">
        <v>30</v>
      </c>
      <c r="P242">
        <v>1</v>
      </c>
      <c r="Q242" s="1" t="s">
        <v>31</v>
      </c>
      <c r="R242">
        <v>1</v>
      </c>
      <c r="S242" s="1" t="s">
        <v>40</v>
      </c>
      <c r="T242" s="1" t="s">
        <v>33</v>
      </c>
      <c r="U242" s="1" t="s">
        <v>41</v>
      </c>
    </row>
    <row r="243" spans="1:21" x14ac:dyDescent="0.3">
      <c r="A243" s="1" t="s">
        <v>42</v>
      </c>
      <c r="B243">
        <v>6</v>
      </c>
      <c r="C243" s="1" t="s">
        <v>36</v>
      </c>
      <c r="D243" s="1" t="s">
        <v>23</v>
      </c>
      <c r="E243">
        <v>1595</v>
      </c>
      <c r="F243" s="1" t="s">
        <v>37</v>
      </c>
      <c r="G243" s="1" t="s">
        <v>44</v>
      </c>
      <c r="H243">
        <v>3</v>
      </c>
      <c r="I243" s="1" t="s">
        <v>26</v>
      </c>
      <c r="J243" s="1" t="s">
        <v>27</v>
      </c>
      <c r="K243">
        <v>2</v>
      </c>
      <c r="L243" s="1" t="s">
        <v>48</v>
      </c>
      <c r="M243">
        <v>51</v>
      </c>
      <c r="N243" s="1" t="s">
        <v>29</v>
      </c>
      <c r="O243" s="1" t="s">
        <v>30</v>
      </c>
      <c r="P243">
        <v>1</v>
      </c>
      <c r="Q243" s="1" t="s">
        <v>31</v>
      </c>
      <c r="R243">
        <v>2</v>
      </c>
      <c r="S243" s="1" t="s">
        <v>40</v>
      </c>
      <c r="T243" s="1" t="s">
        <v>33</v>
      </c>
      <c r="U243" s="1" t="s">
        <v>34</v>
      </c>
    </row>
    <row r="244" spans="1:21" x14ac:dyDescent="0.3">
      <c r="A244" s="1" t="s">
        <v>21</v>
      </c>
      <c r="B244">
        <v>48</v>
      </c>
      <c r="C244" s="1" t="s">
        <v>65</v>
      </c>
      <c r="D244" s="1" t="s">
        <v>54</v>
      </c>
      <c r="E244">
        <v>4605</v>
      </c>
      <c r="F244" s="1" t="s">
        <v>37</v>
      </c>
      <c r="G244" s="1" t="s">
        <v>25</v>
      </c>
      <c r="H244">
        <v>3</v>
      </c>
      <c r="I244" s="1" t="s">
        <v>26</v>
      </c>
      <c r="J244" s="1" t="s">
        <v>27</v>
      </c>
      <c r="K244">
        <v>4</v>
      </c>
      <c r="L244" s="1" t="s">
        <v>52</v>
      </c>
      <c r="M244">
        <v>24</v>
      </c>
      <c r="N244" s="1" t="s">
        <v>29</v>
      </c>
      <c r="O244" s="1" t="s">
        <v>49</v>
      </c>
      <c r="P244">
        <v>2</v>
      </c>
      <c r="Q244" s="1" t="s">
        <v>31</v>
      </c>
      <c r="R244">
        <v>2</v>
      </c>
      <c r="S244" s="1" t="s">
        <v>40</v>
      </c>
      <c r="T244" s="1" t="s">
        <v>33</v>
      </c>
      <c r="U244" s="1" t="s">
        <v>41</v>
      </c>
    </row>
    <row r="245" spans="1:21" x14ac:dyDescent="0.3">
      <c r="A245" s="1" t="s">
        <v>42</v>
      </c>
      <c r="B245">
        <v>12</v>
      </c>
      <c r="C245" s="1" t="s">
        <v>22</v>
      </c>
      <c r="D245" s="1" t="s">
        <v>63</v>
      </c>
      <c r="E245">
        <v>1185</v>
      </c>
      <c r="F245" s="1" t="s">
        <v>37</v>
      </c>
      <c r="G245" s="1" t="s">
        <v>38</v>
      </c>
      <c r="H245">
        <v>3</v>
      </c>
      <c r="I245" s="1" t="s">
        <v>39</v>
      </c>
      <c r="J245" s="1" t="s">
        <v>27</v>
      </c>
      <c r="K245">
        <v>2</v>
      </c>
      <c r="L245" s="1" t="s">
        <v>28</v>
      </c>
      <c r="M245">
        <v>27</v>
      </c>
      <c r="N245" s="1" t="s">
        <v>29</v>
      </c>
      <c r="O245" s="1" t="s">
        <v>30</v>
      </c>
      <c r="P245">
        <v>2</v>
      </c>
      <c r="Q245" s="1" t="s">
        <v>31</v>
      </c>
      <c r="R245">
        <v>1</v>
      </c>
      <c r="S245" s="1" t="s">
        <v>40</v>
      </c>
      <c r="T245" s="1" t="s">
        <v>33</v>
      </c>
      <c r="U245" s="1" t="s">
        <v>34</v>
      </c>
    </row>
    <row r="246" spans="1:21" x14ac:dyDescent="0.3">
      <c r="A246" s="1" t="s">
        <v>42</v>
      </c>
      <c r="B246">
        <v>12</v>
      </c>
      <c r="C246" s="1" t="s">
        <v>69</v>
      </c>
      <c r="D246" s="1" t="s">
        <v>76</v>
      </c>
      <c r="E246">
        <v>3447</v>
      </c>
      <c r="F246" s="1" t="s">
        <v>53</v>
      </c>
      <c r="G246" s="1" t="s">
        <v>38</v>
      </c>
      <c r="H246">
        <v>4</v>
      </c>
      <c r="I246" s="1" t="s">
        <v>39</v>
      </c>
      <c r="J246" s="1" t="s">
        <v>27</v>
      </c>
      <c r="K246">
        <v>3</v>
      </c>
      <c r="L246" s="1" t="s">
        <v>28</v>
      </c>
      <c r="M246">
        <v>35</v>
      </c>
      <c r="N246" s="1" t="s">
        <v>29</v>
      </c>
      <c r="O246" s="1" t="s">
        <v>30</v>
      </c>
      <c r="P246">
        <v>1</v>
      </c>
      <c r="Q246" s="1" t="s">
        <v>45</v>
      </c>
      <c r="R246">
        <v>2</v>
      </c>
      <c r="S246" s="1" t="s">
        <v>40</v>
      </c>
      <c r="T246" s="1" t="s">
        <v>33</v>
      </c>
      <c r="U246" s="1" t="s">
        <v>34</v>
      </c>
    </row>
    <row r="247" spans="1:21" x14ac:dyDescent="0.3">
      <c r="A247" s="1" t="s">
        <v>42</v>
      </c>
      <c r="B247">
        <v>24</v>
      </c>
      <c r="C247" s="1" t="s">
        <v>36</v>
      </c>
      <c r="D247" s="1" t="s">
        <v>63</v>
      </c>
      <c r="E247">
        <v>1258</v>
      </c>
      <c r="F247" s="1" t="s">
        <v>37</v>
      </c>
      <c r="G247" s="1" t="s">
        <v>44</v>
      </c>
      <c r="H247">
        <v>4</v>
      </c>
      <c r="I247" s="1" t="s">
        <v>26</v>
      </c>
      <c r="J247" s="1" t="s">
        <v>27</v>
      </c>
      <c r="K247">
        <v>1</v>
      </c>
      <c r="L247" s="1" t="s">
        <v>28</v>
      </c>
      <c r="M247">
        <v>25</v>
      </c>
      <c r="N247" s="1" t="s">
        <v>29</v>
      </c>
      <c r="O247" s="1" t="s">
        <v>30</v>
      </c>
      <c r="P247">
        <v>1</v>
      </c>
      <c r="Q247" s="1" t="s">
        <v>31</v>
      </c>
      <c r="R247">
        <v>1</v>
      </c>
      <c r="S247" s="1" t="s">
        <v>32</v>
      </c>
      <c r="T247" s="1" t="s">
        <v>33</v>
      </c>
      <c r="U247" s="1" t="s">
        <v>34</v>
      </c>
    </row>
    <row r="248" spans="1:21" x14ac:dyDescent="0.3">
      <c r="A248" s="1" t="s">
        <v>42</v>
      </c>
      <c r="B248">
        <v>12</v>
      </c>
      <c r="C248" s="1" t="s">
        <v>22</v>
      </c>
      <c r="D248" s="1" t="s">
        <v>23</v>
      </c>
      <c r="E248">
        <v>717</v>
      </c>
      <c r="F248" s="1" t="s">
        <v>37</v>
      </c>
      <c r="G248" s="1" t="s">
        <v>25</v>
      </c>
      <c r="H248">
        <v>4</v>
      </c>
      <c r="I248" s="1" t="s">
        <v>26</v>
      </c>
      <c r="J248" s="1" t="s">
        <v>27</v>
      </c>
      <c r="K248">
        <v>4</v>
      </c>
      <c r="L248" s="1" t="s">
        <v>28</v>
      </c>
      <c r="M248">
        <v>52</v>
      </c>
      <c r="N248" s="1" t="s">
        <v>29</v>
      </c>
      <c r="O248" s="1" t="s">
        <v>30</v>
      </c>
      <c r="P248">
        <v>3</v>
      </c>
      <c r="Q248" s="1" t="s">
        <v>31</v>
      </c>
      <c r="R248">
        <v>1</v>
      </c>
      <c r="S248" s="1" t="s">
        <v>40</v>
      </c>
      <c r="T248" s="1" t="s">
        <v>33</v>
      </c>
      <c r="U248" s="1" t="s">
        <v>34</v>
      </c>
    </row>
    <row r="249" spans="1:21" x14ac:dyDescent="0.3">
      <c r="A249" s="1" t="s">
        <v>42</v>
      </c>
      <c r="B249">
        <v>6</v>
      </c>
      <c r="C249" s="1" t="s">
        <v>65</v>
      </c>
      <c r="D249" s="1" t="s">
        <v>51</v>
      </c>
      <c r="E249">
        <v>1204</v>
      </c>
      <c r="F249" s="1" t="s">
        <v>64</v>
      </c>
      <c r="G249" s="1" t="s">
        <v>38</v>
      </c>
      <c r="H249">
        <v>4</v>
      </c>
      <c r="I249" s="1" t="s">
        <v>26</v>
      </c>
      <c r="J249" s="1" t="s">
        <v>27</v>
      </c>
      <c r="K249">
        <v>1</v>
      </c>
      <c r="L249" s="1" t="s">
        <v>52</v>
      </c>
      <c r="M249">
        <v>35</v>
      </c>
      <c r="N249" s="1" t="s">
        <v>66</v>
      </c>
      <c r="O249" s="1" t="s">
        <v>56</v>
      </c>
      <c r="P249">
        <v>1</v>
      </c>
      <c r="Q249" s="1" t="s">
        <v>31</v>
      </c>
      <c r="R249">
        <v>1</v>
      </c>
      <c r="S249" s="1" t="s">
        <v>40</v>
      </c>
      <c r="T249" s="1" t="s">
        <v>67</v>
      </c>
      <c r="U249" s="1" t="s">
        <v>34</v>
      </c>
    </row>
    <row r="250" spans="1:21" x14ac:dyDescent="0.3">
      <c r="A250" s="1" t="s">
        <v>68</v>
      </c>
      <c r="B250">
        <v>24</v>
      </c>
      <c r="C250" s="1" t="s">
        <v>36</v>
      </c>
      <c r="D250" s="1" t="s">
        <v>46</v>
      </c>
      <c r="E250">
        <v>1925</v>
      </c>
      <c r="F250" s="1" t="s">
        <v>37</v>
      </c>
      <c r="G250" s="1" t="s">
        <v>38</v>
      </c>
      <c r="H250">
        <v>2</v>
      </c>
      <c r="I250" s="1" t="s">
        <v>26</v>
      </c>
      <c r="J250" s="1" t="s">
        <v>27</v>
      </c>
      <c r="K250">
        <v>2</v>
      </c>
      <c r="L250" s="1" t="s">
        <v>28</v>
      </c>
      <c r="M250">
        <v>26</v>
      </c>
      <c r="N250" s="1" t="s">
        <v>29</v>
      </c>
      <c r="O250" s="1" t="s">
        <v>30</v>
      </c>
      <c r="P250">
        <v>1</v>
      </c>
      <c r="Q250" s="1" t="s">
        <v>31</v>
      </c>
      <c r="R250">
        <v>1</v>
      </c>
      <c r="S250" s="1" t="s">
        <v>40</v>
      </c>
      <c r="T250" s="1" t="s">
        <v>33</v>
      </c>
      <c r="U250" s="1" t="s">
        <v>34</v>
      </c>
    </row>
    <row r="251" spans="1:21" x14ac:dyDescent="0.3">
      <c r="A251" s="1" t="s">
        <v>42</v>
      </c>
      <c r="B251">
        <v>18</v>
      </c>
      <c r="C251" s="1" t="s">
        <v>36</v>
      </c>
      <c r="D251" s="1" t="s">
        <v>23</v>
      </c>
      <c r="E251">
        <v>433</v>
      </c>
      <c r="F251" s="1" t="s">
        <v>37</v>
      </c>
      <c r="G251" s="1" t="s">
        <v>60</v>
      </c>
      <c r="H251">
        <v>3</v>
      </c>
      <c r="I251" s="1" t="s">
        <v>39</v>
      </c>
      <c r="J251" s="1" t="s">
        <v>71</v>
      </c>
      <c r="K251">
        <v>4</v>
      </c>
      <c r="L251" s="1" t="s">
        <v>28</v>
      </c>
      <c r="M251">
        <v>22</v>
      </c>
      <c r="N251" s="1" t="s">
        <v>29</v>
      </c>
      <c r="O251" s="1" t="s">
        <v>56</v>
      </c>
      <c r="P251">
        <v>1</v>
      </c>
      <c r="Q251" s="1" t="s">
        <v>31</v>
      </c>
      <c r="R251">
        <v>1</v>
      </c>
      <c r="S251" s="1" t="s">
        <v>40</v>
      </c>
      <c r="T251" s="1" t="s">
        <v>33</v>
      </c>
      <c r="U251" s="1" t="s">
        <v>41</v>
      </c>
    </row>
    <row r="252" spans="1:21" x14ac:dyDescent="0.3">
      <c r="A252" s="1" t="s">
        <v>21</v>
      </c>
      <c r="B252">
        <v>6</v>
      </c>
      <c r="C252" s="1" t="s">
        <v>22</v>
      </c>
      <c r="D252" s="1" t="s">
        <v>51</v>
      </c>
      <c r="E252">
        <v>666</v>
      </c>
      <c r="F252" s="1" t="s">
        <v>58</v>
      </c>
      <c r="G252" s="1" t="s">
        <v>44</v>
      </c>
      <c r="H252">
        <v>3</v>
      </c>
      <c r="I252" s="1" t="s">
        <v>39</v>
      </c>
      <c r="J252" s="1" t="s">
        <v>27</v>
      </c>
      <c r="K252">
        <v>4</v>
      </c>
      <c r="L252" s="1" t="s">
        <v>28</v>
      </c>
      <c r="M252">
        <v>39</v>
      </c>
      <c r="N252" s="1" t="s">
        <v>29</v>
      </c>
      <c r="O252" s="1" t="s">
        <v>30</v>
      </c>
      <c r="P252">
        <v>2</v>
      </c>
      <c r="Q252" s="1" t="s">
        <v>45</v>
      </c>
      <c r="R252">
        <v>1</v>
      </c>
      <c r="S252" s="1" t="s">
        <v>32</v>
      </c>
      <c r="T252" s="1" t="s">
        <v>33</v>
      </c>
      <c r="U252" s="1" t="s">
        <v>34</v>
      </c>
    </row>
    <row r="253" spans="1:21" x14ac:dyDescent="0.3">
      <c r="A253" s="1" t="s">
        <v>68</v>
      </c>
      <c r="B253">
        <v>12</v>
      </c>
      <c r="C253" s="1" t="s">
        <v>36</v>
      </c>
      <c r="D253" s="1" t="s">
        <v>46</v>
      </c>
      <c r="E253">
        <v>2251</v>
      </c>
      <c r="F253" s="1" t="s">
        <v>37</v>
      </c>
      <c r="G253" s="1" t="s">
        <v>38</v>
      </c>
      <c r="H253">
        <v>1</v>
      </c>
      <c r="I253" s="1" t="s">
        <v>39</v>
      </c>
      <c r="J253" s="1" t="s">
        <v>27</v>
      </c>
      <c r="K253">
        <v>2</v>
      </c>
      <c r="L253" s="1" t="s">
        <v>55</v>
      </c>
      <c r="M253">
        <v>46</v>
      </c>
      <c r="N253" s="1" t="s">
        <v>29</v>
      </c>
      <c r="O253" s="1" t="s">
        <v>30</v>
      </c>
      <c r="P253">
        <v>1</v>
      </c>
      <c r="Q253" s="1" t="s">
        <v>45</v>
      </c>
      <c r="R253">
        <v>1</v>
      </c>
      <c r="S253" s="1" t="s">
        <v>40</v>
      </c>
      <c r="T253" s="1" t="s">
        <v>33</v>
      </c>
      <c r="U253" s="1" t="s">
        <v>34</v>
      </c>
    </row>
    <row r="254" spans="1:21" x14ac:dyDescent="0.3">
      <c r="A254" s="1" t="s">
        <v>35</v>
      </c>
      <c r="B254">
        <v>30</v>
      </c>
      <c r="C254" s="1" t="s">
        <v>36</v>
      </c>
      <c r="D254" s="1" t="s">
        <v>51</v>
      </c>
      <c r="E254">
        <v>2150</v>
      </c>
      <c r="F254" s="1" t="s">
        <v>37</v>
      </c>
      <c r="G254" s="1" t="s">
        <v>38</v>
      </c>
      <c r="H254">
        <v>4</v>
      </c>
      <c r="I254" s="1" t="s">
        <v>39</v>
      </c>
      <c r="J254" s="1" t="s">
        <v>47</v>
      </c>
      <c r="K254">
        <v>2</v>
      </c>
      <c r="L254" s="1" t="s">
        <v>52</v>
      </c>
      <c r="M254">
        <v>24</v>
      </c>
      <c r="N254" s="1" t="s">
        <v>66</v>
      </c>
      <c r="O254" s="1" t="s">
        <v>30</v>
      </c>
      <c r="P254">
        <v>1</v>
      </c>
      <c r="Q254" s="1" t="s">
        <v>31</v>
      </c>
      <c r="R254">
        <v>1</v>
      </c>
      <c r="S254" s="1" t="s">
        <v>40</v>
      </c>
      <c r="T254" s="1" t="s">
        <v>33</v>
      </c>
      <c r="U254" s="1" t="s">
        <v>41</v>
      </c>
    </row>
    <row r="255" spans="1:21" x14ac:dyDescent="0.3">
      <c r="A255" s="1" t="s">
        <v>42</v>
      </c>
      <c r="B255">
        <v>24</v>
      </c>
      <c r="C255" s="1" t="s">
        <v>50</v>
      </c>
      <c r="D255" s="1" t="s">
        <v>46</v>
      </c>
      <c r="E255">
        <v>4151</v>
      </c>
      <c r="F255" s="1" t="s">
        <v>64</v>
      </c>
      <c r="G255" s="1" t="s">
        <v>38</v>
      </c>
      <c r="H255">
        <v>2</v>
      </c>
      <c r="I255" s="1" t="s">
        <v>26</v>
      </c>
      <c r="J255" s="1" t="s">
        <v>27</v>
      </c>
      <c r="K255">
        <v>3</v>
      </c>
      <c r="L255" s="1" t="s">
        <v>48</v>
      </c>
      <c r="M255">
        <v>35</v>
      </c>
      <c r="N255" s="1" t="s">
        <v>29</v>
      </c>
      <c r="O255" s="1" t="s">
        <v>30</v>
      </c>
      <c r="P255">
        <v>2</v>
      </c>
      <c r="Q255" s="1" t="s">
        <v>31</v>
      </c>
      <c r="R255">
        <v>1</v>
      </c>
      <c r="S255" s="1" t="s">
        <v>40</v>
      </c>
      <c r="T255" s="1" t="s">
        <v>33</v>
      </c>
      <c r="U255" s="1" t="s">
        <v>34</v>
      </c>
    </row>
    <row r="256" spans="1:21" x14ac:dyDescent="0.3">
      <c r="A256" s="1" t="s">
        <v>35</v>
      </c>
      <c r="B256">
        <v>9</v>
      </c>
      <c r="C256" s="1" t="s">
        <v>36</v>
      </c>
      <c r="D256" s="1" t="s">
        <v>46</v>
      </c>
      <c r="E256">
        <v>2030</v>
      </c>
      <c r="F256" s="1" t="s">
        <v>24</v>
      </c>
      <c r="G256" s="1" t="s">
        <v>44</v>
      </c>
      <c r="H256">
        <v>2</v>
      </c>
      <c r="I256" s="1" t="s">
        <v>26</v>
      </c>
      <c r="J256" s="1" t="s">
        <v>27</v>
      </c>
      <c r="K256">
        <v>1</v>
      </c>
      <c r="L256" s="1" t="s">
        <v>55</v>
      </c>
      <c r="M256">
        <v>24</v>
      </c>
      <c r="N256" s="1" t="s">
        <v>29</v>
      </c>
      <c r="O256" s="1" t="s">
        <v>30</v>
      </c>
      <c r="P256">
        <v>1</v>
      </c>
      <c r="Q256" s="1" t="s">
        <v>31</v>
      </c>
      <c r="R256">
        <v>1</v>
      </c>
      <c r="S256" s="1" t="s">
        <v>32</v>
      </c>
      <c r="T256" s="1" t="s">
        <v>33</v>
      </c>
      <c r="U256" s="1" t="s">
        <v>34</v>
      </c>
    </row>
    <row r="257" spans="1:21" x14ac:dyDescent="0.3">
      <c r="A257" s="1" t="s">
        <v>35</v>
      </c>
      <c r="B257">
        <v>60</v>
      </c>
      <c r="C257" s="1" t="s">
        <v>50</v>
      </c>
      <c r="D257" s="1" t="s">
        <v>23</v>
      </c>
      <c r="E257">
        <v>7418</v>
      </c>
      <c r="F257" s="1" t="s">
        <v>24</v>
      </c>
      <c r="G257" s="1" t="s">
        <v>38</v>
      </c>
      <c r="H257">
        <v>1</v>
      </c>
      <c r="I257" s="1" t="s">
        <v>26</v>
      </c>
      <c r="J257" s="1" t="s">
        <v>27</v>
      </c>
      <c r="K257">
        <v>1</v>
      </c>
      <c r="L257" s="1" t="s">
        <v>28</v>
      </c>
      <c r="M257">
        <v>27</v>
      </c>
      <c r="N257" s="1" t="s">
        <v>29</v>
      </c>
      <c r="O257" s="1" t="s">
        <v>30</v>
      </c>
      <c r="P257">
        <v>1</v>
      </c>
      <c r="Q257" s="1" t="s">
        <v>45</v>
      </c>
      <c r="R257">
        <v>1</v>
      </c>
      <c r="S257" s="1" t="s">
        <v>40</v>
      </c>
      <c r="T257" s="1" t="s">
        <v>33</v>
      </c>
      <c r="U257" s="1" t="s">
        <v>34</v>
      </c>
    </row>
    <row r="258" spans="1:21" x14ac:dyDescent="0.3">
      <c r="A258" s="1" t="s">
        <v>42</v>
      </c>
      <c r="B258">
        <v>24</v>
      </c>
      <c r="C258" s="1" t="s">
        <v>22</v>
      </c>
      <c r="D258" s="1" t="s">
        <v>23</v>
      </c>
      <c r="E258">
        <v>2684</v>
      </c>
      <c r="F258" s="1" t="s">
        <v>37</v>
      </c>
      <c r="G258" s="1" t="s">
        <v>38</v>
      </c>
      <c r="H258">
        <v>4</v>
      </c>
      <c r="I258" s="1" t="s">
        <v>26</v>
      </c>
      <c r="J258" s="1" t="s">
        <v>27</v>
      </c>
      <c r="K258">
        <v>2</v>
      </c>
      <c r="L258" s="1" t="s">
        <v>28</v>
      </c>
      <c r="M258">
        <v>35</v>
      </c>
      <c r="N258" s="1" t="s">
        <v>29</v>
      </c>
      <c r="O258" s="1" t="s">
        <v>30</v>
      </c>
      <c r="P258">
        <v>2</v>
      </c>
      <c r="Q258" s="1" t="s">
        <v>45</v>
      </c>
      <c r="R258">
        <v>1</v>
      </c>
      <c r="S258" s="1" t="s">
        <v>40</v>
      </c>
      <c r="T258" s="1" t="s">
        <v>33</v>
      </c>
      <c r="U258" s="1" t="s">
        <v>34</v>
      </c>
    </row>
    <row r="259" spans="1:21" x14ac:dyDescent="0.3">
      <c r="A259" s="1" t="s">
        <v>21</v>
      </c>
      <c r="B259">
        <v>12</v>
      </c>
      <c r="C259" s="1" t="s">
        <v>69</v>
      </c>
      <c r="D259" s="1" t="s">
        <v>23</v>
      </c>
      <c r="E259">
        <v>2149</v>
      </c>
      <c r="F259" s="1" t="s">
        <v>37</v>
      </c>
      <c r="G259" s="1" t="s">
        <v>38</v>
      </c>
      <c r="H259">
        <v>4</v>
      </c>
      <c r="I259" s="1" t="s">
        <v>59</v>
      </c>
      <c r="J259" s="1" t="s">
        <v>27</v>
      </c>
      <c r="K259">
        <v>1</v>
      </c>
      <c r="L259" s="1" t="s">
        <v>52</v>
      </c>
      <c r="M259">
        <v>29</v>
      </c>
      <c r="N259" s="1" t="s">
        <v>29</v>
      </c>
      <c r="O259" s="1" t="s">
        <v>49</v>
      </c>
      <c r="P259">
        <v>1</v>
      </c>
      <c r="Q259" s="1" t="s">
        <v>31</v>
      </c>
      <c r="R259">
        <v>1</v>
      </c>
      <c r="S259" s="1" t="s">
        <v>40</v>
      </c>
      <c r="T259" s="1" t="s">
        <v>33</v>
      </c>
      <c r="U259" s="1" t="s">
        <v>41</v>
      </c>
    </row>
    <row r="260" spans="1:21" x14ac:dyDescent="0.3">
      <c r="A260" s="1" t="s">
        <v>42</v>
      </c>
      <c r="B260">
        <v>15</v>
      </c>
      <c r="C260" s="1" t="s">
        <v>36</v>
      </c>
      <c r="D260" s="1" t="s">
        <v>54</v>
      </c>
      <c r="E260">
        <v>3812</v>
      </c>
      <c r="F260" s="1" t="s">
        <v>64</v>
      </c>
      <c r="G260" s="1" t="s">
        <v>62</v>
      </c>
      <c r="H260">
        <v>1</v>
      </c>
      <c r="I260" s="1" t="s">
        <v>39</v>
      </c>
      <c r="J260" s="1" t="s">
        <v>27</v>
      </c>
      <c r="K260">
        <v>4</v>
      </c>
      <c r="L260" s="1" t="s">
        <v>55</v>
      </c>
      <c r="M260">
        <v>23</v>
      </c>
      <c r="N260" s="1" t="s">
        <v>29</v>
      </c>
      <c r="O260" s="1" t="s">
        <v>30</v>
      </c>
      <c r="P260">
        <v>1</v>
      </c>
      <c r="Q260" s="1" t="s">
        <v>31</v>
      </c>
      <c r="R260">
        <v>1</v>
      </c>
      <c r="S260" s="1" t="s">
        <v>32</v>
      </c>
      <c r="T260" s="1" t="s">
        <v>33</v>
      </c>
      <c r="U260" s="1" t="s">
        <v>34</v>
      </c>
    </row>
    <row r="261" spans="1:21" x14ac:dyDescent="0.3">
      <c r="A261" s="1" t="s">
        <v>42</v>
      </c>
      <c r="B261">
        <v>11</v>
      </c>
      <c r="C261" s="1" t="s">
        <v>22</v>
      </c>
      <c r="D261" s="1" t="s">
        <v>23</v>
      </c>
      <c r="E261">
        <v>1154</v>
      </c>
      <c r="F261" s="1" t="s">
        <v>64</v>
      </c>
      <c r="G261" s="1" t="s">
        <v>60</v>
      </c>
      <c r="H261">
        <v>4</v>
      </c>
      <c r="I261" s="1" t="s">
        <v>39</v>
      </c>
      <c r="J261" s="1" t="s">
        <v>27</v>
      </c>
      <c r="K261">
        <v>4</v>
      </c>
      <c r="L261" s="1" t="s">
        <v>28</v>
      </c>
      <c r="M261">
        <v>57</v>
      </c>
      <c r="N261" s="1" t="s">
        <v>29</v>
      </c>
      <c r="O261" s="1" t="s">
        <v>30</v>
      </c>
      <c r="P261">
        <v>3</v>
      </c>
      <c r="Q261" s="1" t="s">
        <v>45</v>
      </c>
      <c r="R261">
        <v>1</v>
      </c>
      <c r="S261" s="1" t="s">
        <v>40</v>
      </c>
      <c r="T261" s="1" t="s">
        <v>33</v>
      </c>
      <c r="U261" s="1" t="s">
        <v>34</v>
      </c>
    </row>
    <row r="262" spans="1:21" x14ac:dyDescent="0.3">
      <c r="A262" s="1" t="s">
        <v>21</v>
      </c>
      <c r="B262">
        <v>12</v>
      </c>
      <c r="C262" s="1" t="s">
        <v>36</v>
      </c>
      <c r="D262" s="1" t="s">
        <v>46</v>
      </c>
      <c r="E262">
        <v>1657</v>
      </c>
      <c r="F262" s="1" t="s">
        <v>37</v>
      </c>
      <c r="G262" s="1" t="s">
        <v>38</v>
      </c>
      <c r="H262">
        <v>2</v>
      </c>
      <c r="I262" s="1" t="s">
        <v>26</v>
      </c>
      <c r="J262" s="1" t="s">
        <v>27</v>
      </c>
      <c r="K262">
        <v>2</v>
      </c>
      <c r="L262" s="1" t="s">
        <v>28</v>
      </c>
      <c r="M262">
        <v>27</v>
      </c>
      <c r="N262" s="1" t="s">
        <v>29</v>
      </c>
      <c r="O262" s="1" t="s">
        <v>30</v>
      </c>
      <c r="P262">
        <v>1</v>
      </c>
      <c r="Q262" s="1" t="s">
        <v>31</v>
      </c>
      <c r="R262">
        <v>1</v>
      </c>
      <c r="S262" s="1" t="s">
        <v>40</v>
      </c>
      <c r="T262" s="1" t="s">
        <v>33</v>
      </c>
      <c r="U262" s="1" t="s">
        <v>34</v>
      </c>
    </row>
    <row r="263" spans="1:21" x14ac:dyDescent="0.3">
      <c r="A263" s="1" t="s">
        <v>21</v>
      </c>
      <c r="B263">
        <v>24</v>
      </c>
      <c r="C263" s="1" t="s">
        <v>36</v>
      </c>
      <c r="D263" s="1" t="s">
        <v>23</v>
      </c>
      <c r="E263">
        <v>1603</v>
      </c>
      <c r="F263" s="1" t="s">
        <v>37</v>
      </c>
      <c r="G263" s="1" t="s">
        <v>25</v>
      </c>
      <c r="H263">
        <v>4</v>
      </c>
      <c r="I263" s="1" t="s">
        <v>39</v>
      </c>
      <c r="J263" s="1" t="s">
        <v>27</v>
      </c>
      <c r="K263">
        <v>4</v>
      </c>
      <c r="L263" s="1" t="s">
        <v>55</v>
      </c>
      <c r="M263">
        <v>55</v>
      </c>
      <c r="N263" s="1" t="s">
        <v>29</v>
      </c>
      <c r="O263" s="1" t="s">
        <v>30</v>
      </c>
      <c r="P263">
        <v>1</v>
      </c>
      <c r="Q263" s="1" t="s">
        <v>31</v>
      </c>
      <c r="R263">
        <v>1</v>
      </c>
      <c r="S263" s="1" t="s">
        <v>40</v>
      </c>
      <c r="T263" s="1" t="s">
        <v>33</v>
      </c>
      <c r="U263" s="1" t="s">
        <v>34</v>
      </c>
    </row>
    <row r="264" spans="1:21" x14ac:dyDescent="0.3">
      <c r="A264" s="1" t="s">
        <v>21</v>
      </c>
      <c r="B264">
        <v>18</v>
      </c>
      <c r="C264" s="1" t="s">
        <v>22</v>
      </c>
      <c r="D264" s="1" t="s">
        <v>51</v>
      </c>
      <c r="E264">
        <v>5302</v>
      </c>
      <c r="F264" s="1" t="s">
        <v>37</v>
      </c>
      <c r="G264" s="1" t="s">
        <v>25</v>
      </c>
      <c r="H264">
        <v>2</v>
      </c>
      <c r="I264" s="1" t="s">
        <v>26</v>
      </c>
      <c r="J264" s="1" t="s">
        <v>27</v>
      </c>
      <c r="K264">
        <v>4</v>
      </c>
      <c r="L264" s="1" t="s">
        <v>52</v>
      </c>
      <c r="M264">
        <v>36</v>
      </c>
      <c r="N264" s="1" t="s">
        <v>29</v>
      </c>
      <c r="O264" s="1" t="s">
        <v>49</v>
      </c>
      <c r="P264">
        <v>3</v>
      </c>
      <c r="Q264" s="1" t="s">
        <v>57</v>
      </c>
      <c r="R264">
        <v>1</v>
      </c>
      <c r="S264" s="1" t="s">
        <v>32</v>
      </c>
      <c r="T264" s="1" t="s">
        <v>33</v>
      </c>
      <c r="U264" s="1" t="s">
        <v>34</v>
      </c>
    </row>
    <row r="265" spans="1:21" x14ac:dyDescent="0.3">
      <c r="A265" s="1" t="s">
        <v>42</v>
      </c>
      <c r="B265">
        <v>12</v>
      </c>
      <c r="C265" s="1" t="s">
        <v>22</v>
      </c>
      <c r="D265" s="1" t="s">
        <v>43</v>
      </c>
      <c r="E265">
        <v>2748</v>
      </c>
      <c r="F265" s="1" t="s">
        <v>37</v>
      </c>
      <c r="G265" s="1" t="s">
        <v>25</v>
      </c>
      <c r="H265">
        <v>2</v>
      </c>
      <c r="I265" s="1" t="s">
        <v>39</v>
      </c>
      <c r="J265" s="1" t="s">
        <v>27</v>
      </c>
      <c r="K265">
        <v>4</v>
      </c>
      <c r="L265" s="1" t="s">
        <v>52</v>
      </c>
      <c r="M265">
        <v>57</v>
      </c>
      <c r="N265" s="1" t="s">
        <v>66</v>
      </c>
      <c r="O265" s="1" t="s">
        <v>49</v>
      </c>
      <c r="P265">
        <v>3</v>
      </c>
      <c r="Q265" s="1" t="s">
        <v>45</v>
      </c>
      <c r="R265">
        <v>1</v>
      </c>
      <c r="S265" s="1" t="s">
        <v>40</v>
      </c>
      <c r="T265" s="1" t="s">
        <v>33</v>
      </c>
      <c r="U265" s="1" t="s">
        <v>34</v>
      </c>
    </row>
    <row r="266" spans="1:21" x14ac:dyDescent="0.3">
      <c r="A266" s="1" t="s">
        <v>42</v>
      </c>
      <c r="B266">
        <v>10</v>
      </c>
      <c r="C266" s="1" t="s">
        <v>22</v>
      </c>
      <c r="D266" s="1" t="s">
        <v>51</v>
      </c>
      <c r="E266">
        <v>1231</v>
      </c>
      <c r="F266" s="1" t="s">
        <v>37</v>
      </c>
      <c r="G266" s="1" t="s">
        <v>25</v>
      </c>
      <c r="H266">
        <v>3</v>
      </c>
      <c r="I266" s="1" t="s">
        <v>26</v>
      </c>
      <c r="J266" s="1" t="s">
        <v>27</v>
      </c>
      <c r="K266">
        <v>4</v>
      </c>
      <c r="L266" s="1" t="s">
        <v>28</v>
      </c>
      <c r="M266">
        <v>32</v>
      </c>
      <c r="N266" s="1" t="s">
        <v>29</v>
      </c>
      <c r="O266" s="1" t="s">
        <v>30</v>
      </c>
      <c r="P266">
        <v>2</v>
      </c>
      <c r="Q266" s="1" t="s">
        <v>45</v>
      </c>
      <c r="R266">
        <v>2</v>
      </c>
      <c r="S266" s="1" t="s">
        <v>40</v>
      </c>
      <c r="T266" s="1" t="s">
        <v>67</v>
      </c>
      <c r="U266" s="1" t="s">
        <v>34</v>
      </c>
    </row>
    <row r="267" spans="1:21" x14ac:dyDescent="0.3">
      <c r="A267" s="1" t="s">
        <v>35</v>
      </c>
      <c r="B267">
        <v>15</v>
      </c>
      <c r="C267" s="1" t="s">
        <v>36</v>
      </c>
      <c r="D267" s="1" t="s">
        <v>23</v>
      </c>
      <c r="E267">
        <v>802</v>
      </c>
      <c r="F267" s="1" t="s">
        <v>37</v>
      </c>
      <c r="G267" s="1" t="s">
        <v>25</v>
      </c>
      <c r="H267">
        <v>4</v>
      </c>
      <c r="I267" s="1" t="s">
        <v>26</v>
      </c>
      <c r="J267" s="1" t="s">
        <v>27</v>
      </c>
      <c r="K267">
        <v>3</v>
      </c>
      <c r="L267" s="1" t="s">
        <v>55</v>
      </c>
      <c r="M267">
        <v>37</v>
      </c>
      <c r="N267" s="1" t="s">
        <v>29</v>
      </c>
      <c r="O267" s="1" t="s">
        <v>30</v>
      </c>
      <c r="P267">
        <v>1</v>
      </c>
      <c r="Q267" s="1" t="s">
        <v>31</v>
      </c>
      <c r="R267">
        <v>2</v>
      </c>
      <c r="S267" s="1" t="s">
        <v>40</v>
      </c>
      <c r="T267" s="1" t="s">
        <v>33</v>
      </c>
      <c r="U267" s="1" t="s">
        <v>41</v>
      </c>
    </row>
    <row r="268" spans="1:21" x14ac:dyDescent="0.3">
      <c r="A268" s="1" t="s">
        <v>42</v>
      </c>
      <c r="B268">
        <v>36</v>
      </c>
      <c r="C268" s="1" t="s">
        <v>22</v>
      </c>
      <c r="D268" s="1" t="s">
        <v>63</v>
      </c>
      <c r="E268">
        <v>6304</v>
      </c>
      <c r="F268" s="1" t="s">
        <v>24</v>
      </c>
      <c r="G268" s="1" t="s">
        <v>25</v>
      </c>
      <c r="H268">
        <v>4</v>
      </c>
      <c r="I268" s="1" t="s">
        <v>26</v>
      </c>
      <c r="J268" s="1" t="s">
        <v>27</v>
      </c>
      <c r="K268">
        <v>4</v>
      </c>
      <c r="L268" s="1" t="s">
        <v>28</v>
      </c>
      <c r="M268">
        <v>36</v>
      </c>
      <c r="N268" s="1" t="s">
        <v>29</v>
      </c>
      <c r="O268" s="1" t="s">
        <v>30</v>
      </c>
      <c r="P268">
        <v>2</v>
      </c>
      <c r="Q268" s="1" t="s">
        <v>31</v>
      </c>
      <c r="R268">
        <v>1</v>
      </c>
      <c r="S268" s="1" t="s">
        <v>40</v>
      </c>
      <c r="T268" s="1" t="s">
        <v>33</v>
      </c>
      <c r="U268" s="1" t="s">
        <v>34</v>
      </c>
    </row>
    <row r="269" spans="1:21" x14ac:dyDescent="0.3">
      <c r="A269" s="1" t="s">
        <v>42</v>
      </c>
      <c r="B269">
        <v>24</v>
      </c>
      <c r="C269" s="1" t="s">
        <v>36</v>
      </c>
      <c r="D269" s="1" t="s">
        <v>23</v>
      </c>
      <c r="E269">
        <v>1533</v>
      </c>
      <c r="F269" s="1" t="s">
        <v>37</v>
      </c>
      <c r="G269" s="1" t="s">
        <v>62</v>
      </c>
      <c r="H269">
        <v>4</v>
      </c>
      <c r="I269" s="1" t="s">
        <v>39</v>
      </c>
      <c r="J269" s="1" t="s">
        <v>27</v>
      </c>
      <c r="K269">
        <v>3</v>
      </c>
      <c r="L269" s="1" t="s">
        <v>55</v>
      </c>
      <c r="M269">
        <v>38</v>
      </c>
      <c r="N269" s="1" t="s">
        <v>70</v>
      </c>
      <c r="O269" s="1" t="s">
        <v>30</v>
      </c>
      <c r="P269">
        <v>1</v>
      </c>
      <c r="Q269" s="1" t="s">
        <v>31</v>
      </c>
      <c r="R269">
        <v>1</v>
      </c>
      <c r="S269" s="1" t="s">
        <v>32</v>
      </c>
      <c r="T269" s="1" t="s">
        <v>33</v>
      </c>
      <c r="U269" s="1" t="s">
        <v>34</v>
      </c>
    </row>
    <row r="270" spans="1:21" x14ac:dyDescent="0.3">
      <c r="A270" s="1" t="s">
        <v>21</v>
      </c>
      <c r="B270">
        <v>14</v>
      </c>
      <c r="C270" s="1" t="s">
        <v>36</v>
      </c>
      <c r="D270" s="1" t="s">
        <v>51</v>
      </c>
      <c r="E270">
        <v>8978</v>
      </c>
      <c r="F270" s="1" t="s">
        <v>37</v>
      </c>
      <c r="G270" s="1" t="s">
        <v>25</v>
      </c>
      <c r="H270">
        <v>1</v>
      </c>
      <c r="I270" s="1" t="s">
        <v>59</v>
      </c>
      <c r="J270" s="1" t="s">
        <v>27</v>
      </c>
      <c r="K270">
        <v>4</v>
      </c>
      <c r="L270" s="1" t="s">
        <v>48</v>
      </c>
      <c r="M270">
        <v>45</v>
      </c>
      <c r="N270" s="1" t="s">
        <v>29</v>
      </c>
      <c r="O270" s="1" t="s">
        <v>30</v>
      </c>
      <c r="P270">
        <v>1</v>
      </c>
      <c r="Q270" s="1" t="s">
        <v>57</v>
      </c>
      <c r="R270">
        <v>1</v>
      </c>
      <c r="S270" s="1" t="s">
        <v>32</v>
      </c>
      <c r="T270" s="1" t="s">
        <v>67</v>
      </c>
      <c r="U270" s="1" t="s">
        <v>41</v>
      </c>
    </row>
    <row r="271" spans="1:21" x14ac:dyDescent="0.3">
      <c r="A271" s="1" t="s">
        <v>42</v>
      </c>
      <c r="B271">
        <v>24</v>
      </c>
      <c r="C271" s="1" t="s">
        <v>36</v>
      </c>
      <c r="D271" s="1" t="s">
        <v>23</v>
      </c>
      <c r="E271">
        <v>999</v>
      </c>
      <c r="F271" s="1" t="s">
        <v>24</v>
      </c>
      <c r="G271" s="1" t="s">
        <v>25</v>
      </c>
      <c r="H271">
        <v>4</v>
      </c>
      <c r="I271" s="1" t="s">
        <v>26</v>
      </c>
      <c r="J271" s="1" t="s">
        <v>27</v>
      </c>
      <c r="K271">
        <v>2</v>
      </c>
      <c r="L271" s="1" t="s">
        <v>55</v>
      </c>
      <c r="M271">
        <v>25</v>
      </c>
      <c r="N271" s="1" t="s">
        <v>29</v>
      </c>
      <c r="O271" s="1" t="s">
        <v>30</v>
      </c>
      <c r="P271">
        <v>2</v>
      </c>
      <c r="Q271" s="1" t="s">
        <v>31</v>
      </c>
      <c r="R271">
        <v>1</v>
      </c>
      <c r="S271" s="1" t="s">
        <v>40</v>
      </c>
      <c r="T271" s="1" t="s">
        <v>33</v>
      </c>
      <c r="U271" s="1" t="s">
        <v>34</v>
      </c>
    </row>
    <row r="272" spans="1:21" x14ac:dyDescent="0.3">
      <c r="A272" s="1" t="s">
        <v>42</v>
      </c>
      <c r="B272">
        <v>18</v>
      </c>
      <c r="C272" s="1" t="s">
        <v>36</v>
      </c>
      <c r="D272" s="1" t="s">
        <v>51</v>
      </c>
      <c r="E272">
        <v>2662</v>
      </c>
      <c r="F272" s="1" t="s">
        <v>24</v>
      </c>
      <c r="G272" s="1" t="s">
        <v>44</v>
      </c>
      <c r="H272">
        <v>4</v>
      </c>
      <c r="I272" s="1" t="s">
        <v>26</v>
      </c>
      <c r="J272" s="1" t="s">
        <v>27</v>
      </c>
      <c r="K272">
        <v>3</v>
      </c>
      <c r="L272" s="1" t="s">
        <v>48</v>
      </c>
      <c r="M272">
        <v>32</v>
      </c>
      <c r="N272" s="1" t="s">
        <v>29</v>
      </c>
      <c r="O272" s="1" t="s">
        <v>30</v>
      </c>
      <c r="P272">
        <v>1</v>
      </c>
      <c r="Q272" s="1" t="s">
        <v>31</v>
      </c>
      <c r="R272">
        <v>1</v>
      </c>
      <c r="S272" s="1" t="s">
        <v>40</v>
      </c>
      <c r="T272" s="1" t="s">
        <v>67</v>
      </c>
      <c r="U272" s="1" t="s">
        <v>34</v>
      </c>
    </row>
    <row r="273" spans="1:21" x14ac:dyDescent="0.3">
      <c r="A273" s="1" t="s">
        <v>42</v>
      </c>
      <c r="B273">
        <v>12</v>
      </c>
      <c r="C273" s="1" t="s">
        <v>22</v>
      </c>
      <c r="D273" s="1" t="s">
        <v>46</v>
      </c>
      <c r="E273">
        <v>1402</v>
      </c>
      <c r="F273" s="1" t="s">
        <v>53</v>
      </c>
      <c r="G273" s="1" t="s">
        <v>44</v>
      </c>
      <c r="H273">
        <v>3</v>
      </c>
      <c r="I273" s="1" t="s">
        <v>39</v>
      </c>
      <c r="J273" s="1" t="s">
        <v>27</v>
      </c>
      <c r="K273">
        <v>4</v>
      </c>
      <c r="L273" s="1" t="s">
        <v>55</v>
      </c>
      <c r="M273">
        <v>37</v>
      </c>
      <c r="N273" s="1" t="s">
        <v>29</v>
      </c>
      <c r="O273" s="1" t="s">
        <v>56</v>
      </c>
      <c r="P273">
        <v>1</v>
      </c>
      <c r="Q273" s="1" t="s">
        <v>31</v>
      </c>
      <c r="R273">
        <v>1</v>
      </c>
      <c r="S273" s="1" t="s">
        <v>32</v>
      </c>
      <c r="T273" s="1" t="s">
        <v>33</v>
      </c>
      <c r="U273" s="1" t="s">
        <v>34</v>
      </c>
    </row>
    <row r="274" spans="1:21" x14ac:dyDescent="0.3">
      <c r="A274" s="1" t="s">
        <v>35</v>
      </c>
      <c r="B274">
        <v>48</v>
      </c>
      <c r="C274" s="1" t="s">
        <v>69</v>
      </c>
      <c r="D274" s="1" t="s">
        <v>51</v>
      </c>
      <c r="E274">
        <v>12169</v>
      </c>
      <c r="F274" s="1" t="s">
        <v>24</v>
      </c>
      <c r="G274" s="1" t="s">
        <v>60</v>
      </c>
      <c r="H274">
        <v>4</v>
      </c>
      <c r="I274" s="1" t="s">
        <v>26</v>
      </c>
      <c r="J274" s="1" t="s">
        <v>71</v>
      </c>
      <c r="K274">
        <v>4</v>
      </c>
      <c r="L274" s="1" t="s">
        <v>52</v>
      </c>
      <c r="M274">
        <v>36</v>
      </c>
      <c r="N274" s="1" t="s">
        <v>29</v>
      </c>
      <c r="O274" s="1" t="s">
        <v>49</v>
      </c>
      <c r="P274">
        <v>1</v>
      </c>
      <c r="Q274" s="1" t="s">
        <v>57</v>
      </c>
      <c r="R274">
        <v>1</v>
      </c>
      <c r="S274" s="1" t="s">
        <v>32</v>
      </c>
      <c r="T274" s="1" t="s">
        <v>33</v>
      </c>
      <c r="U274" s="1" t="s">
        <v>34</v>
      </c>
    </row>
    <row r="275" spans="1:21" x14ac:dyDescent="0.3">
      <c r="A275" s="1" t="s">
        <v>35</v>
      </c>
      <c r="B275">
        <v>48</v>
      </c>
      <c r="C275" s="1" t="s">
        <v>36</v>
      </c>
      <c r="D275" s="1" t="s">
        <v>23</v>
      </c>
      <c r="E275">
        <v>3060</v>
      </c>
      <c r="F275" s="1" t="s">
        <v>37</v>
      </c>
      <c r="G275" s="1" t="s">
        <v>44</v>
      </c>
      <c r="H275">
        <v>4</v>
      </c>
      <c r="I275" s="1" t="s">
        <v>26</v>
      </c>
      <c r="J275" s="1" t="s">
        <v>27</v>
      </c>
      <c r="K275">
        <v>4</v>
      </c>
      <c r="L275" s="1" t="s">
        <v>28</v>
      </c>
      <c r="M275">
        <v>28</v>
      </c>
      <c r="N275" s="1" t="s">
        <v>29</v>
      </c>
      <c r="O275" s="1" t="s">
        <v>30</v>
      </c>
      <c r="P275">
        <v>2</v>
      </c>
      <c r="Q275" s="1" t="s">
        <v>31</v>
      </c>
      <c r="R275">
        <v>1</v>
      </c>
      <c r="S275" s="1" t="s">
        <v>40</v>
      </c>
      <c r="T275" s="1" t="s">
        <v>33</v>
      </c>
      <c r="U275" s="1" t="s">
        <v>41</v>
      </c>
    </row>
    <row r="276" spans="1:21" x14ac:dyDescent="0.3">
      <c r="A276" s="1" t="s">
        <v>21</v>
      </c>
      <c r="B276">
        <v>30</v>
      </c>
      <c r="C276" s="1" t="s">
        <v>36</v>
      </c>
      <c r="D276" s="1" t="s">
        <v>73</v>
      </c>
      <c r="E276">
        <v>11998</v>
      </c>
      <c r="F276" s="1" t="s">
        <v>37</v>
      </c>
      <c r="G276" s="1" t="s">
        <v>62</v>
      </c>
      <c r="H276">
        <v>1</v>
      </c>
      <c r="I276" s="1" t="s">
        <v>59</v>
      </c>
      <c r="J276" s="1" t="s">
        <v>27</v>
      </c>
      <c r="K276">
        <v>1</v>
      </c>
      <c r="L276" s="1" t="s">
        <v>52</v>
      </c>
      <c r="M276">
        <v>34</v>
      </c>
      <c r="N276" s="1" t="s">
        <v>29</v>
      </c>
      <c r="O276" s="1" t="s">
        <v>30</v>
      </c>
      <c r="P276">
        <v>1</v>
      </c>
      <c r="Q276" s="1" t="s">
        <v>45</v>
      </c>
      <c r="R276">
        <v>1</v>
      </c>
      <c r="S276" s="1" t="s">
        <v>32</v>
      </c>
      <c r="T276" s="1" t="s">
        <v>33</v>
      </c>
      <c r="U276" s="1" t="s">
        <v>41</v>
      </c>
    </row>
    <row r="277" spans="1:21" x14ac:dyDescent="0.3">
      <c r="A277" s="1" t="s">
        <v>42</v>
      </c>
      <c r="B277">
        <v>9</v>
      </c>
      <c r="C277" s="1" t="s">
        <v>36</v>
      </c>
      <c r="D277" s="1" t="s">
        <v>23</v>
      </c>
      <c r="E277">
        <v>2697</v>
      </c>
      <c r="F277" s="1" t="s">
        <v>37</v>
      </c>
      <c r="G277" s="1" t="s">
        <v>38</v>
      </c>
      <c r="H277">
        <v>1</v>
      </c>
      <c r="I277" s="1" t="s">
        <v>26</v>
      </c>
      <c r="J277" s="1" t="s">
        <v>27</v>
      </c>
      <c r="K277">
        <v>2</v>
      </c>
      <c r="L277" s="1" t="s">
        <v>28</v>
      </c>
      <c r="M277">
        <v>32</v>
      </c>
      <c r="N277" s="1" t="s">
        <v>29</v>
      </c>
      <c r="O277" s="1" t="s">
        <v>30</v>
      </c>
      <c r="P277">
        <v>1</v>
      </c>
      <c r="Q277" s="1" t="s">
        <v>31</v>
      </c>
      <c r="R277">
        <v>2</v>
      </c>
      <c r="S277" s="1" t="s">
        <v>40</v>
      </c>
      <c r="T277" s="1" t="s">
        <v>33</v>
      </c>
      <c r="U277" s="1" t="s">
        <v>34</v>
      </c>
    </row>
    <row r="278" spans="1:21" x14ac:dyDescent="0.3">
      <c r="A278" s="1" t="s">
        <v>42</v>
      </c>
      <c r="B278">
        <v>18</v>
      </c>
      <c r="C278" s="1" t="s">
        <v>22</v>
      </c>
      <c r="D278" s="1" t="s">
        <v>23</v>
      </c>
      <c r="E278">
        <v>2404</v>
      </c>
      <c r="F278" s="1" t="s">
        <v>37</v>
      </c>
      <c r="G278" s="1" t="s">
        <v>38</v>
      </c>
      <c r="H278">
        <v>2</v>
      </c>
      <c r="I278" s="1" t="s">
        <v>39</v>
      </c>
      <c r="J278" s="1" t="s">
        <v>27</v>
      </c>
      <c r="K278">
        <v>2</v>
      </c>
      <c r="L278" s="1" t="s">
        <v>55</v>
      </c>
      <c r="M278">
        <v>26</v>
      </c>
      <c r="N278" s="1" t="s">
        <v>29</v>
      </c>
      <c r="O278" s="1" t="s">
        <v>30</v>
      </c>
      <c r="P278">
        <v>2</v>
      </c>
      <c r="Q278" s="1" t="s">
        <v>31</v>
      </c>
      <c r="R278">
        <v>1</v>
      </c>
      <c r="S278" s="1" t="s">
        <v>40</v>
      </c>
      <c r="T278" s="1" t="s">
        <v>33</v>
      </c>
      <c r="U278" s="1" t="s">
        <v>34</v>
      </c>
    </row>
    <row r="279" spans="1:21" x14ac:dyDescent="0.3">
      <c r="A279" s="1" t="s">
        <v>21</v>
      </c>
      <c r="B279">
        <v>12</v>
      </c>
      <c r="C279" s="1" t="s">
        <v>36</v>
      </c>
      <c r="D279" s="1" t="s">
        <v>46</v>
      </c>
      <c r="E279">
        <v>1262</v>
      </c>
      <c r="F279" s="1" t="s">
        <v>24</v>
      </c>
      <c r="G279" s="1" t="s">
        <v>25</v>
      </c>
      <c r="H279">
        <v>2</v>
      </c>
      <c r="I279" s="1" t="s">
        <v>59</v>
      </c>
      <c r="J279" s="1" t="s">
        <v>27</v>
      </c>
      <c r="K279">
        <v>4</v>
      </c>
      <c r="L279" s="1" t="s">
        <v>48</v>
      </c>
      <c r="M279">
        <v>49</v>
      </c>
      <c r="N279" s="1" t="s">
        <v>29</v>
      </c>
      <c r="O279" s="1" t="s">
        <v>30</v>
      </c>
      <c r="P279">
        <v>1</v>
      </c>
      <c r="Q279" s="1" t="s">
        <v>45</v>
      </c>
      <c r="R279">
        <v>1</v>
      </c>
      <c r="S279" s="1" t="s">
        <v>32</v>
      </c>
      <c r="T279" s="1" t="s">
        <v>33</v>
      </c>
      <c r="U279" s="1" t="s">
        <v>34</v>
      </c>
    </row>
    <row r="280" spans="1:21" x14ac:dyDescent="0.3">
      <c r="A280" s="1" t="s">
        <v>42</v>
      </c>
      <c r="B280">
        <v>6</v>
      </c>
      <c r="C280" s="1" t="s">
        <v>36</v>
      </c>
      <c r="D280" s="1" t="s">
        <v>46</v>
      </c>
      <c r="E280">
        <v>4611</v>
      </c>
      <c r="F280" s="1" t="s">
        <v>37</v>
      </c>
      <c r="G280" s="1" t="s">
        <v>62</v>
      </c>
      <c r="H280">
        <v>1</v>
      </c>
      <c r="I280" s="1" t="s">
        <v>39</v>
      </c>
      <c r="J280" s="1" t="s">
        <v>27</v>
      </c>
      <c r="K280">
        <v>4</v>
      </c>
      <c r="L280" s="1" t="s">
        <v>48</v>
      </c>
      <c r="M280">
        <v>32</v>
      </c>
      <c r="N280" s="1" t="s">
        <v>29</v>
      </c>
      <c r="O280" s="1" t="s">
        <v>30</v>
      </c>
      <c r="P280">
        <v>1</v>
      </c>
      <c r="Q280" s="1" t="s">
        <v>31</v>
      </c>
      <c r="R280">
        <v>1</v>
      </c>
      <c r="S280" s="1" t="s">
        <v>40</v>
      </c>
      <c r="T280" s="1" t="s">
        <v>33</v>
      </c>
      <c r="U280" s="1" t="s">
        <v>41</v>
      </c>
    </row>
    <row r="281" spans="1:21" x14ac:dyDescent="0.3">
      <c r="A281" s="1" t="s">
        <v>42</v>
      </c>
      <c r="B281">
        <v>24</v>
      </c>
      <c r="C281" s="1" t="s">
        <v>36</v>
      </c>
      <c r="D281" s="1" t="s">
        <v>23</v>
      </c>
      <c r="E281">
        <v>1901</v>
      </c>
      <c r="F281" s="1" t="s">
        <v>64</v>
      </c>
      <c r="G281" s="1" t="s">
        <v>38</v>
      </c>
      <c r="H281">
        <v>4</v>
      </c>
      <c r="I281" s="1" t="s">
        <v>26</v>
      </c>
      <c r="J281" s="1" t="s">
        <v>27</v>
      </c>
      <c r="K281">
        <v>4</v>
      </c>
      <c r="L281" s="1" t="s">
        <v>55</v>
      </c>
      <c r="M281">
        <v>29</v>
      </c>
      <c r="N281" s="1" t="s">
        <v>29</v>
      </c>
      <c r="O281" s="1" t="s">
        <v>56</v>
      </c>
      <c r="P281">
        <v>1</v>
      </c>
      <c r="Q281" s="1" t="s">
        <v>57</v>
      </c>
      <c r="R281">
        <v>1</v>
      </c>
      <c r="S281" s="1" t="s">
        <v>32</v>
      </c>
      <c r="T281" s="1" t="s">
        <v>33</v>
      </c>
      <c r="U281" s="1" t="s">
        <v>34</v>
      </c>
    </row>
    <row r="282" spans="1:21" x14ac:dyDescent="0.3">
      <c r="A282" s="1" t="s">
        <v>42</v>
      </c>
      <c r="B282">
        <v>15</v>
      </c>
      <c r="C282" s="1" t="s">
        <v>22</v>
      </c>
      <c r="D282" s="1" t="s">
        <v>54</v>
      </c>
      <c r="E282">
        <v>3368</v>
      </c>
      <c r="F282" s="1" t="s">
        <v>58</v>
      </c>
      <c r="G282" s="1" t="s">
        <v>25</v>
      </c>
      <c r="H282">
        <v>3</v>
      </c>
      <c r="I282" s="1" t="s">
        <v>26</v>
      </c>
      <c r="J282" s="1" t="s">
        <v>27</v>
      </c>
      <c r="K282">
        <v>4</v>
      </c>
      <c r="L282" s="1" t="s">
        <v>52</v>
      </c>
      <c r="M282">
        <v>23</v>
      </c>
      <c r="N282" s="1" t="s">
        <v>29</v>
      </c>
      <c r="O282" s="1" t="s">
        <v>56</v>
      </c>
      <c r="P282">
        <v>2</v>
      </c>
      <c r="Q282" s="1" t="s">
        <v>31</v>
      </c>
      <c r="R282">
        <v>1</v>
      </c>
      <c r="S282" s="1" t="s">
        <v>32</v>
      </c>
      <c r="T282" s="1" t="s">
        <v>33</v>
      </c>
      <c r="U282" s="1" t="s">
        <v>34</v>
      </c>
    </row>
    <row r="283" spans="1:21" x14ac:dyDescent="0.3">
      <c r="A283" s="1" t="s">
        <v>42</v>
      </c>
      <c r="B283">
        <v>12</v>
      </c>
      <c r="C283" s="1" t="s">
        <v>36</v>
      </c>
      <c r="D283" s="1" t="s">
        <v>46</v>
      </c>
      <c r="E283">
        <v>1574</v>
      </c>
      <c r="F283" s="1" t="s">
        <v>37</v>
      </c>
      <c r="G283" s="1" t="s">
        <v>38</v>
      </c>
      <c r="H283">
        <v>4</v>
      </c>
      <c r="I283" s="1" t="s">
        <v>26</v>
      </c>
      <c r="J283" s="1" t="s">
        <v>27</v>
      </c>
      <c r="K283">
        <v>2</v>
      </c>
      <c r="L283" s="1" t="s">
        <v>28</v>
      </c>
      <c r="M283">
        <v>50</v>
      </c>
      <c r="N283" s="1" t="s">
        <v>29</v>
      </c>
      <c r="O283" s="1" t="s">
        <v>30</v>
      </c>
      <c r="P283">
        <v>1</v>
      </c>
      <c r="Q283" s="1" t="s">
        <v>31</v>
      </c>
      <c r="R283">
        <v>1</v>
      </c>
      <c r="S283" s="1" t="s">
        <v>40</v>
      </c>
      <c r="T283" s="1" t="s">
        <v>33</v>
      </c>
      <c r="U283" s="1" t="s">
        <v>34</v>
      </c>
    </row>
    <row r="284" spans="1:21" x14ac:dyDescent="0.3">
      <c r="A284" s="1" t="s">
        <v>68</v>
      </c>
      <c r="B284">
        <v>18</v>
      </c>
      <c r="C284" s="1" t="s">
        <v>69</v>
      </c>
      <c r="D284" s="1" t="s">
        <v>23</v>
      </c>
      <c r="E284">
        <v>1445</v>
      </c>
      <c r="F284" s="1" t="s">
        <v>24</v>
      </c>
      <c r="G284" s="1" t="s">
        <v>44</v>
      </c>
      <c r="H284">
        <v>4</v>
      </c>
      <c r="I284" s="1" t="s">
        <v>26</v>
      </c>
      <c r="J284" s="1" t="s">
        <v>27</v>
      </c>
      <c r="K284">
        <v>4</v>
      </c>
      <c r="L284" s="1" t="s">
        <v>55</v>
      </c>
      <c r="M284">
        <v>49</v>
      </c>
      <c r="N284" s="1" t="s">
        <v>66</v>
      </c>
      <c r="O284" s="1" t="s">
        <v>30</v>
      </c>
      <c r="P284">
        <v>1</v>
      </c>
      <c r="Q284" s="1" t="s">
        <v>45</v>
      </c>
      <c r="R284">
        <v>1</v>
      </c>
      <c r="S284" s="1" t="s">
        <v>40</v>
      </c>
      <c r="T284" s="1" t="s">
        <v>33</v>
      </c>
      <c r="U284" s="1" t="s">
        <v>34</v>
      </c>
    </row>
    <row r="285" spans="1:21" x14ac:dyDescent="0.3">
      <c r="A285" s="1" t="s">
        <v>42</v>
      </c>
      <c r="B285">
        <v>15</v>
      </c>
      <c r="C285" s="1" t="s">
        <v>22</v>
      </c>
      <c r="D285" s="1" t="s">
        <v>46</v>
      </c>
      <c r="E285">
        <v>1520</v>
      </c>
      <c r="F285" s="1" t="s">
        <v>24</v>
      </c>
      <c r="G285" s="1" t="s">
        <v>25</v>
      </c>
      <c r="H285">
        <v>4</v>
      </c>
      <c r="I285" s="1" t="s">
        <v>26</v>
      </c>
      <c r="J285" s="1" t="s">
        <v>27</v>
      </c>
      <c r="K285">
        <v>4</v>
      </c>
      <c r="L285" s="1" t="s">
        <v>48</v>
      </c>
      <c r="M285">
        <v>63</v>
      </c>
      <c r="N285" s="1" t="s">
        <v>29</v>
      </c>
      <c r="O285" s="1" t="s">
        <v>30</v>
      </c>
      <c r="P285">
        <v>1</v>
      </c>
      <c r="Q285" s="1" t="s">
        <v>31</v>
      </c>
      <c r="R285">
        <v>1</v>
      </c>
      <c r="S285" s="1" t="s">
        <v>40</v>
      </c>
      <c r="T285" s="1" t="s">
        <v>33</v>
      </c>
      <c r="U285" s="1" t="s">
        <v>34</v>
      </c>
    </row>
    <row r="286" spans="1:21" x14ac:dyDescent="0.3">
      <c r="A286" s="1" t="s">
        <v>35</v>
      </c>
      <c r="B286">
        <v>24</v>
      </c>
      <c r="C286" s="1" t="s">
        <v>22</v>
      </c>
      <c r="D286" s="1" t="s">
        <v>51</v>
      </c>
      <c r="E286">
        <v>3878</v>
      </c>
      <c r="F286" s="1" t="s">
        <v>64</v>
      </c>
      <c r="G286" s="1" t="s">
        <v>62</v>
      </c>
      <c r="H286">
        <v>4</v>
      </c>
      <c r="I286" s="1" t="s">
        <v>59</v>
      </c>
      <c r="J286" s="1" t="s">
        <v>27</v>
      </c>
      <c r="K286">
        <v>2</v>
      </c>
      <c r="L286" s="1" t="s">
        <v>55</v>
      </c>
      <c r="M286">
        <v>37</v>
      </c>
      <c r="N286" s="1" t="s">
        <v>29</v>
      </c>
      <c r="O286" s="1" t="s">
        <v>30</v>
      </c>
      <c r="P286">
        <v>1</v>
      </c>
      <c r="Q286" s="1" t="s">
        <v>31</v>
      </c>
      <c r="R286">
        <v>1</v>
      </c>
      <c r="S286" s="1" t="s">
        <v>32</v>
      </c>
      <c r="T286" s="1" t="s">
        <v>33</v>
      </c>
      <c r="U286" s="1" t="s">
        <v>34</v>
      </c>
    </row>
    <row r="287" spans="1:21" x14ac:dyDescent="0.3">
      <c r="A287" s="1" t="s">
        <v>21</v>
      </c>
      <c r="B287">
        <v>47</v>
      </c>
      <c r="C287" s="1" t="s">
        <v>36</v>
      </c>
      <c r="D287" s="1" t="s">
        <v>51</v>
      </c>
      <c r="E287">
        <v>10722</v>
      </c>
      <c r="F287" s="1" t="s">
        <v>37</v>
      </c>
      <c r="G287" s="1" t="s">
        <v>62</v>
      </c>
      <c r="H287">
        <v>1</v>
      </c>
      <c r="I287" s="1" t="s">
        <v>39</v>
      </c>
      <c r="J287" s="1" t="s">
        <v>27</v>
      </c>
      <c r="K287">
        <v>1</v>
      </c>
      <c r="L287" s="1" t="s">
        <v>28</v>
      </c>
      <c r="M287">
        <v>35</v>
      </c>
      <c r="N287" s="1" t="s">
        <v>29</v>
      </c>
      <c r="O287" s="1" t="s">
        <v>30</v>
      </c>
      <c r="P287">
        <v>1</v>
      </c>
      <c r="Q287" s="1" t="s">
        <v>45</v>
      </c>
      <c r="R287">
        <v>1</v>
      </c>
      <c r="S287" s="1" t="s">
        <v>32</v>
      </c>
      <c r="T287" s="1" t="s">
        <v>33</v>
      </c>
      <c r="U287" s="1" t="s">
        <v>34</v>
      </c>
    </row>
    <row r="288" spans="1:21" x14ac:dyDescent="0.3">
      <c r="A288" s="1" t="s">
        <v>21</v>
      </c>
      <c r="B288">
        <v>48</v>
      </c>
      <c r="C288" s="1" t="s">
        <v>36</v>
      </c>
      <c r="D288" s="1" t="s">
        <v>54</v>
      </c>
      <c r="E288">
        <v>4788</v>
      </c>
      <c r="F288" s="1" t="s">
        <v>37</v>
      </c>
      <c r="G288" s="1" t="s">
        <v>44</v>
      </c>
      <c r="H288">
        <v>4</v>
      </c>
      <c r="I288" s="1" t="s">
        <v>26</v>
      </c>
      <c r="J288" s="1" t="s">
        <v>27</v>
      </c>
      <c r="K288">
        <v>3</v>
      </c>
      <c r="L288" s="1" t="s">
        <v>48</v>
      </c>
      <c r="M288">
        <v>26</v>
      </c>
      <c r="N288" s="1" t="s">
        <v>29</v>
      </c>
      <c r="O288" s="1" t="s">
        <v>30</v>
      </c>
      <c r="P288">
        <v>1</v>
      </c>
      <c r="Q288" s="1" t="s">
        <v>31</v>
      </c>
      <c r="R288">
        <v>2</v>
      </c>
      <c r="S288" s="1" t="s">
        <v>40</v>
      </c>
      <c r="T288" s="1" t="s">
        <v>33</v>
      </c>
      <c r="U288" s="1" t="s">
        <v>34</v>
      </c>
    </row>
    <row r="289" spans="1:21" x14ac:dyDescent="0.3">
      <c r="A289" s="1" t="s">
        <v>35</v>
      </c>
      <c r="B289">
        <v>48</v>
      </c>
      <c r="C289" s="1" t="s">
        <v>50</v>
      </c>
      <c r="D289" s="1" t="s">
        <v>75</v>
      </c>
      <c r="E289">
        <v>7582</v>
      </c>
      <c r="F289" s="1" t="s">
        <v>64</v>
      </c>
      <c r="G289" s="1" t="s">
        <v>60</v>
      </c>
      <c r="H289">
        <v>2</v>
      </c>
      <c r="I289" s="1" t="s">
        <v>26</v>
      </c>
      <c r="J289" s="1" t="s">
        <v>27</v>
      </c>
      <c r="K289">
        <v>4</v>
      </c>
      <c r="L289" s="1" t="s">
        <v>52</v>
      </c>
      <c r="M289">
        <v>31</v>
      </c>
      <c r="N289" s="1" t="s">
        <v>29</v>
      </c>
      <c r="O289" s="1" t="s">
        <v>49</v>
      </c>
      <c r="P289">
        <v>1</v>
      </c>
      <c r="Q289" s="1" t="s">
        <v>57</v>
      </c>
      <c r="R289">
        <v>1</v>
      </c>
      <c r="S289" s="1" t="s">
        <v>32</v>
      </c>
      <c r="T289" s="1" t="s">
        <v>33</v>
      </c>
      <c r="U289" s="1" t="s">
        <v>34</v>
      </c>
    </row>
    <row r="290" spans="1:21" x14ac:dyDescent="0.3">
      <c r="A290" s="1" t="s">
        <v>35</v>
      </c>
      <c r="B290">
        <v>12</v>
      </c>
      <c r="C290" s="1" t="s">
        <v>36</v>
      </c>
      <c r="D290" s="1" t="s">
        <v>23</v>
      </c>
      <c r="E290">
        <v>1092</v>
      </c>
      <c r="F290" s="1" t="s">
        <v>37</v>
      </c>
      <c r="G290" s="1" t="s">
        <v>38</v>
      </c>
      <c r="H290">
        <v>4</v>
      </c>
      <c r="I290" s="1" t="s">
        <v>39</v>
      </c>
      <c r="J290" s="1" t="s">
        <v>47</v>
      </c>
      <c r="K290">
        <v>4</v>
      </c>
      <c r="L290" s="1" t="s">
        <v>28</v>
      </c>
      <c r="M290">
        <v>49</v>
      </c>
      <c r="N290" s="1" t="s">
        <v>29</v>
      </c>
      <c r="O290" s="1" t="s">
        <v>30</v>
      </c>
      <c r="P290">
        <v>2</v>
      </c>
      <c r="Q290" s="1" t="s">
        <v>31</v>
      </c>
      <c r="R290">
        <v>1</v>
      </c>
      <c r="S290" s="1" t="s">
        <v>32</v>
      </c>
      <c r="T290" s="1" t="s">
        <v>33</v>
      </c>
      <c r="U290" s="1" t="s">
        <v>34</v>
      </c>
    </row>
    <row r="291" spans="1:21" x14ac:dyDescent="0.3">
      <c r="A291" s="1" t="s">
        <v>21</v>
      </c>
      <c r="B291">
        <v>24</v>
      </c>
      <c r="C291" s="1" t="s">
        <v>50</v>
      </c>
      <c r="D291" s="1" t="s">
        <v>23</v>
      </c>
      <c r="E291">
        <v>1024</v>
      </c>
      <c r="F291" s="1" t="s">
        <v>37</v>
      </c>
      <c r="G291" s="1" t="s">
        <v>62</v>
      </c>
      <c r="H291">
        <v>4</v>
      </c>
      <c r="I291" s="1" t="s">
        <v>61</v>
      </c>
      <c r="J291" s="1" t="s">
        <v>27</v>
      </c>
      <c r="K291">
        <v>4</v>
      </c>
      <c r="L291" s="1" t="s">
        <v>28</v>
      </c>
      <c r="M291">
        <v>48</v>
      </c>
      <c r="N291" s="1" t="s">
        <v>70</v>
      </c>
      <c r="O291" s="1" t="s">
        <v>30</v>
      </c>
      <c r="P291">
        <v>1</v>
      </c>
      <c r="Q291" s="1" t="s">
        <v>31</v>
      </c>
      <c r="R291">
        <v>1</v>
      </c>
      <c r="S291" s="1" t="s">
        <v>40</v>
      </c>
      <c r="T291" s="1" t="s">
        <v>33</v>
      </c>
      <c r="U291" s="1" t="s">
        <v>41</v>
      </c>
    </row>
    <row r="292" spans="1:21" x14ac:dyDescent="0.3">
      <c r="A292" s="1" t="s">
        <v>42</v>
      </c>
      <c r="B292">
        <v>12</v>
      </c>
      <c r="C292" s="1" t="s">
        <v>36</v>
      </c>
      <c r="D292" s="1" t="s">
        <v>63</v>
      </c>
      <c r="E292">
        <v>1076</v>
      </c>
      <c r="F292" s="1" t="s">
        <v>37</v>
      </c>
      <c r="G292" s="1" t="s">
        <v>38</v>
      </c>
      <c r="H292">
        <v>2</v>
      </c>
      <c r="I292" s="1" t="s">
        <v>61</v>
      </c>
      <c r="J292" s="1" t="s">
        <v>27</v>
      </c>
      <c r="K292">
        <v>2</v>
      </c>
      <c r="L292" s="1" t="s">
        <v>28</v>
      </c>
      <c r="M292">
        <v>26</v>
      </c>
      <c r="N292" s="1" t="s">
        <v>29</v>
      </c>
      <c r="O292" s="1" t="s">
        <v>30</v>
      </c>
      <c r="P292">
        <v>1</v>
      </c>
      <c r="Q292" s="1" t="s">
        <v>31</v>
      </c>
      <c r="R292">
        <v>1</v>
      </c>
      <c r="S292" s="1" t="s">
        <v>32</v>
      </c>
      <c r="T292" s="1" t="s">
        <v>67</v>
      </c>
      <c r="U292" s="1" t="s">
        <v>34</v>
      </c>
    </row>
    <row r="293" spans="1:21" x14ac:dyDescent="0.3">
      <c r="A293" s="1" t="s">
        <v>35</v>
      </c>
      <c r="B293">
        <v>36</v>
      </c>
      <c r="C293" s="1" t="s">
        <v>36</v>
      </c>
      <c r="D293" s="1" t="s">
        <v>54</v>
      </c>
      <c r="E293">
        <v>9398</v>
      </c>
      <c r="F293" s="1" t="s">
        <v>37</v>
      </c>
      <c r="G293" s="1" t="s">
        <v>62</v>
      </c>
      <c r="H293">
        <v>1</v>
      </c>
      <c r="I293" s="1" t="s">
        <v>61</v>
      </c>
      <c r="J293" s="1" t="s">
        <v>27</v>
      </c>
      <c r="K293">
        <v>4</v>
      </c>
      <c r="L293" s="1" t="s">
        <v>55</v>
      </c>
      <c r="M293">
        <v>28</v>
      </c>
      <c r="N293" s="1" t="s">
        <v>29</v>
      </c>
      <c r="O293" s="1" t="s">
        <v>56</v>
      </c>
      <c r="P293">
        <v>1</v>
      </c>
      <c r="Q293" s="1" t="s">
        <v>57</v>
      </c>
      <c r="R293">
        <v>1</v>
      </c>
      <c r="S293" s="1" t="s">
        <v>32</v>
      </c>
      <c r="T293" s="1" t="s">
        <v>33</v>
      </c>
      <c r="U293" s="1" t="s">
        <v>41</v>
      </c>
    </row>
    <row r="294" spans="1:21" x14ac:dyDescent="0.3">
      <c r="A294" s="1" t="s">
        <v>21</v>
      </c>
      <c r="B294">
        <v>24</v>
      </c>
      <c r="C294" s="1" t="s">
        <v>22</v>
      </c>
      <c r="D294" s="1" t="s">
        <v>54</v>
      </c>
      <c r="E294">
        <v>6419</v>
      </c>
      <c r="F294" s="1" t="s">
        <v>37</v>
      </c>
      <c r="G294" s="1" t="s">
        <v>25</v>
      </c>
      <c r="H294">
        <v>2</v>
      </c>
      <c r="I294" s="1" t="s">
        <v>39</v>
      </c>
      <c r="J294" s="1" t="s">
        <v>27</v>
      </c>
      <c r="K294">
        <v>4</v>
      </c>
      <c r="L294" s="1" t="s">
        <v>52</v>
      </c>
      <c r="M294">
        <v>44</v>
      </c>
      <c r="N294" s="1" t="s">
        <v>29</v>
      </c>
      <c r="O294" s="1" t="s">
        <v>49</v>
      </c>
      <c r="P294">
        <v>2</v>
      </c>
      <c r="Q294" s="1" t="s">
        <v>57</v>
      </c>
      <c r="R294">
        <v>2</v>
      </c>
      <c r="S294" s="1" t="s">
        <v>32</v>
      </c>
      <c r="T294" s="1" t="s">
        <v>33</v>
      </c>
      <c r="U294" s="1" t="s">
        <v>34</v>
      </c>
    </row>
    <row r="295" spans="1:21" x14ac:dyDescent="0.3">
      <c r="A295" s="1" t="s">
        <v>68</v>
      </c>
      <c r="B295">
        <v>42</v>
      </c>
      <c r="C295" s="1" t="s">
        <v>22</v>
      </c>
      <c r="D295" s="1" t="s">
        <v>54</v>
      </c>
      <c r="E295">
        <v>4796</v>
      </c>
      <c r="F295" s="1" t="s">
        <v>37</v>
      </c>
      <c r="G295" s="1" t="s">
        <v>25</v>
      </c>
      <c r="H295">
        <v>4</v>
      </c>
      <c r="I295" s="1" t="s">
        <v>26</v>
      </c>
      <c r="J295" s="1" t="s">
        <v>27</v>
      </c>
      <c r="K295">
        <v>4</v>
      </c>
      <c r="L295" s="1" t="s">
        <v>52</v>
      </c>
      <c r="M295">
        <v>56</v>
      </c>
      <c r="N295" s="1" t="s">
        <v>29</v>
      </c>
      <c r="O295" s="1" t="s">
        <v>49</v>
      </c>
      <c r="P295">
        <v>1</v>
      </c>
      <c r="Q295" s="1" t="s">
        <v>31</v>
      </c>
      <c r="R295">
        <v>1</v>
      </c>
      <c r="S295" s="1" t="s">
        <v>40</v>
      </c>
      <c r="T295" s="1" t="s">
        <v>33</v>
      </c>
      <c r="U295" s="1" t="s">
        <v>34</v>
      </c>
    </row>
    <row r="296" spans="1:21" x14ac:dyDescent="0.3">
      <c r="A296" s="1" t="s">
        <v>42</v>
      </c>
      <c r="B296">
        <v>48</v>
      </c>
      <c r="C296" s="1" t="s">
        <v>22</v>
      </c>
      <c r="D296" s="1" t="s">
        <v>63</v>
      </c>
      <c r="E296">
        <v>7629</v>
      </c>
      <c r="F296" s="1" t="s">
        <v>24</v>
      </c>
      <c r="G296" s="1" t="s">
        <v>25</v>
      </c>
      <c r="H296">
        <v>4</v>
      </c>
      <c r="I296" s="1" t="s">
        <v>59</v>
      </c>
      <c r="J296" s="1" t="s">
        <v>27</v>
      </c>
      <c r="K296">
        <v>2</v>
      </c>
      <c r="L296" s="1" t="s">
        <v>55</v>
      </c>
      <c r="M296">
        <v>46</v>
      </c>
      <c r="N296" s="1" t="s">
        <v>66</v>
      </c>
      <c r="O296" s="1" t="s">
        <v>30</v>
      </c>
      <c r="P296">
        <v>2</v>
      </c>
      <c r="Q296" s="1" t="s">
        <v>57</v>
      </c>
      <c r="R296">
        <v>2</v>
      </c>
      <c r="S296" s="1" t="s">
        <v>40</v>
      </c>
      <c r="T296" s="1" t="s">
        <v>33</v>
      </c>
      <c r="U296" s="1" t="s">
        <v>34</v>
      </c>
    </row>
    <row r="297" spans="1:21" x14ac:dyDescent="0.3">
      <c r="A297" s="1" t="s">
        <v>35</v>
      </c>
      <c r="B297">
        <v>48</v>
      </c>
      <c r="C297" s="1" t="s">
        <v>36</v>
      </c>
      <c r="D297" s="1" t="s">
        <v>46</v>
      </c>
      <c r="E297">
        <v>9960</v>
      </c>
      <c r="F297" s="1" t="s">
        <v>37</v>
      </c>
      <c r="G297" s="1" t="s">
        <v>62</v>
      </c>
      <c r="H297">
        <v>1</v>
      </c>
      <c r="I297" s="1" t="s">
        <v>39</v>
      </c>
      <c r="J297" s="1" t="s">
        <v>27</v>
      </c>
      <c r="K297">
        <v>2</v>
      </c>
      <c r="L297" s="1" t="s">
        <v>55</v>
      </c>
      <c r="M297">
        <v>26</v>
      </c>
      <c r="N297" s="1" t="s">
        <v>29</v>
      </c>
      <c r="O297" s="1" t="s">
        <v>30</v>
      </c>
      <c r="P297">
        <v>1</v>
      </c>
      <c r="Q297" s="1" t="s">
        <v>31</v>
      </c>
      <c r="R297">
        <v>1</v>
      </c>
      <c r="S297" s="1" t="s">
        <v>32</v>
      </c>
      <c r="T297" s="1" t="s">
        <v>33</v>
      </c>
      <c r="U297" s="1" t="s">
        <v>41</v>
      </c>
    </row>
    <row r="298" spans="1:21" x14ac:dyDescent="0.3">
      <c r="A298" s="1" t="s">
        <v>42</v>
      </c>
      <c r="B298">
        <v>12</v>
      </c>
      <c r="C298" s="1" t="s">
        <v>36</v>
      </c>
      <c r="D298" s="1" t="s">
        <v>54</v>
      </c>
      <c r="E298">
        <v>4675</v>
      </c>
      <c r="F298" s="1" t="s">
        <v>24</v>
      </c>
      <c r="G298" s="1" t="s">
        <v>62</v>
      </c>
      <c r="H298">
        <v>1</v>
      </c>
      <c r="I298" s="1" t="s">
        <v>39</v>
      </c>
      <c r="J298" s="1" t="s">
        <v>27</v>
      </c>
      <c r="K298">
        <v>4</v>
      </c>
      <c r="L298" s="1" t="s">
        <v>55</v>
      </c>
      <c r="M298">
        <v>20</v>
      </c>
      <c r="N298" s="1" t="s">
        <v>29</v>
      </c>
      <c r="O298" s="1" t="s">
        <v>56</v>
      </c>
      <c r="P298">
        <v>1</v>
      </c>
      <c r="Q298" s="1" t="s">
        <v>31</v>
      </c>
      <c r="R298">
        <v>1</v>
      </c>
      <c r="S298" s="1" t="s">
        <v>40</v>
      </c>
      <c r="T298" s="1" t="s">
        <v>33</v>
      </c>
      <c r="U298" s="1" t="s">
        <v>34</v>
      </c>
    </row>
    <row r="299" spans="1:21" x14ac:dyDescent="0.3">
      <c r="A299" s="1" t="s">
        <v>42</v>
      </c>
      <c r="B299">
        <v>10</v>
      </c>
      <c r="C299" s="1" t="s">
        <v>36</v>
      </c>
      <c r="D299" s="1" t="s">
        <v>51</v>
      </c>
      <c r="E299">
        <v>1287</v>
      </c>
      <c r="F299" s="1" t="s">
        <v>24</v>
      </c>
      <c r="G299" s="1" t="s">
        <v>25</v>
      </c>
      <c r="H299">
        <v>4</v>
      </c>
      <c r="I299" s="1" t="s">
        <v>26</v>
      </c>
      <c r="J299" s="1" t="s">
        <v>71</v>
      </c>
      <c r="K299">
        <v>2</v>
      </c>
      <c r="L299" s="1" t="s">
        <v>48</v>
      </c>
      <c r="M299">
        <v>45</v>
      </c>
      <c r="N299" s="1" t="s">
        <v>29</v>
      </c>
      <c r="O299" s="1" t="s">
        <v>30</v>
      </c>
      <c r="P299">
        <v>1</v>
      </c>
      <c r="Q299" s="1" t="s">
        <v>45</v>
      </c>
      <c r="R299">
        <v>1</v>
      </c>
      <c r="S299" s="1" t="s">
        <v>40</v>
      </c>
      <c r="T299" s="1" t="s">
        <v>67</v>
      </c>
      <c r="U299" s="1" t="s">
        <v>34</v>
      </c>
    </row>
    <row r="300" spans="1:21" x14ac:dyDescent="0.3">
      <c r="A300" s="1" t="s">
        <v>42</v>
      </c>
      <c r="B300">
        <v>18</v>
      </c>
      <c r="C300" s="1" t="s">
        <v>36</v>
      </c>
      <c r="D300" s="1" t="s">
        <v>46</v>
      </c>
      <c r="E300">
        <v>2515</v>
      </c>
      <c r="F300" s="1" t="s">
        <v>37</v>
      </c>
      <c r="G300" s="1" t="s">
        <v>38</v>
      </c>
      <c r="H300">
        <v>3</v>
      </c>
      <c r="I300" s="1" t="s">
        <v>26</v>
      </c>
      <c r="J300" s="1" t="s">
        <v>27</v>
      </c>
      <c r="K300">
        <v>4</v>
      </c>
      <c r="L300" s="1" t="s">
        <v>28</v>
      </c>
      <c r="M300">
        <v>43</v>
      </c>
      <c r="N300" s="1" t="s">
        <v>29</v>
      </c>
      <c r="O300" s="1" t="s">
        <v>30</v>
      </c>
      <c r="P300">
        <v>1</v>
      </c>
      <c r="Q300" s="1" t="s">
        <v>31</v>
      </c>
      <c r="R300">
        <v>1</v>
      </c>
      <c r="S300" s="1" t="s">
        <v>32</v>
      </c>
      <c r="T300" s="1" t="s">
        <v>33</v>
      </c>
      <c r="U300" s="1" t="s">
        <v>34</v>
      </c>
    </row>
    <row r="301" spans="1:21" x14ac:dyDescent="0.3">
      <c r="A301" s="1" t="s">
        <v>35</v>
      </c>
      <c r="B301">
        <v>21</v>
      </c>
      <c r="C301" s="1" t="s">
        <v>22</v>
      </c>
      <c r="D301" s="1" t="s">
        <v>46</v>
      </c>
      <c r="E301">
        <v>2745</v>
      </c>
      <c r="F301" s="1" t="s">
        <v>58</v>
      </c>
      <c r="G301" s="1" t="s">
        <v>44</v>
      </c>
      <c r="H301">
        <v>3</v>
      </c>
      <c r="I301" s="1" t="s">
        <v>26</v>
      </c>
      <c r="J301" s="1" t="s">
        <v>27</v>
      </c>
      <c r="K301">
        <v>2</v>
      </c>
      <c r="L301" s="1" t="s">
        <v>55</v>
      </c>
      <c r="M301">
        <v>32</v>
      </c>
      <c r="N301" s="1" t="s">
        <v>29</v>
      </c>
      <c r="O301" s="1" t="s">
        <v>30</v>
      </c>
      <c r="P301">
        <v>2</v>
      </c>
      <c r="Q301" s="1" t="s">
        <v>31</v>
      </c>
      <c r="R301">
        <v>1</v>
      </c>
      <c r="S301" s="1" t="s">
        <v>32</v>
      </c>
      <c r="T301" s="1" t="s">
        <v>33</v>
      </c>
      <c r="U301" s="1" t="s">
        <v>34</v>
      </c>
    </row>
    <row r="302" spans="1:21" x14ac:dyDescent="0.3">
      <c r="A302" s="1" t="s">
        <v>42</v>
      </c>
      <c r="B302">
        <v>6</v>
      </c>
      <c r="C302" s="1" t="s">
        <v>36</v>
      </c>
      <c r="D302" s="1" t="s">
        <v>51</v>
      </c>
      <c r="E302">
        <v>672</v>
      </c>
      <c r="F302" s="1" t="s">
        <v>37</v>
      </c>
      <c r="G302" s="1" t="s">
        <v>60</v>
      </c>
      <c r="H302">
        <v>1</v>
      </c>
      <c r="I302" s="1" t="s">
        <v>39</v>
      </c>
      <c r="J302" s="1" t="s">
        <v>27</v>
      </c>
      <c r="K302">
        <v>4</v>
      </c>
      <c r="L302" s="1" t="s">
        <v>28</v>
      </c>
      <c r="M302">
        <v>54</v>
      </c>
      <c r="N302" s="1" t="s">
        <v>29</v>
      </c>
      <c r="O302" s="1" t="s">
        <v>30</v>
      </c>
      <c r="P302">
        <v>1</v>
      </c>
      <c r="Q302" s="1" t="s">
        <v>74</v>
      </c>
      <c r="R302">
        <v>1</v>
      </c>
      <c r="S302" s="1" t="s">
        <v>32</v>
      </c>
      <c r="T302" s="1" t="s">
        <v>33</v>
      </c>
      <c r="U302" s="1" t="s">
        <v>34</v>
      </c>
    </row>
    <row r="303" spans="1:21" x14ac:dyDescent="0.3">
      <c r="A303" s="1" t="s">
        <v>35</v>
      </c>
      <c r="B303">
        <v>36</v>
      </c>
      <c r="C303" s="1" t="s">
        <v>65</v>
      </c>
      <c r="D303" s="1" t="s">
        <v>23</v>
      </c>
      <c r="E303">
        <v>3804</v>
      </c>
      <c r="F303" s="1" t="s">
        <v>37</v>
      </c>
      <c r="G303" s="1" t="s">
        <v>38</v>
      </c>
      <c r="H303">
        <v>4</v>
      </c>
      <c r="I303" s="1" t="s">
        <v>39</v>
      </c>
      <c r="J303" s="1" t="s">
        <v>27</v>
      </c>
      <c r="K303">
        <v>1</v>
      </c>
      <c r="L303" s="1" t="s">
        <v>55</v>
      </c>
      <c r="M303">
        <v>42</v>
      </c>
      <c r="N303" s="1" t="s">
        <v>29</v>
      </c>
      <c r="O303" s="1" t="s">
        <v>30</v>
      </c>
      <c r="P303">
        <v>1</v>
      </c>
      <c r="Q303" s="1" t="s">
        <v>31</v>
      </c>
      <c r="R303">
        <v>1</v>
      </c>
      <c r="S303" s="1" t="s">
        <v>32</v>
      </c>
      <c r="T303" s="1" t="s">
        <v>33</v>
      </c>
      <c r="U303" s="1" t="s">
        <v>41</v>
      </c>
    </row>
    <row r="304" spans="1:21" x14ac:dyDescent="0.3">
      <c r="A304" s="1" t="s">
        <v>68</v>
      </c>
      <c r="B304">
        <v>24</v>
      </c>
      <c r="C304" s="1" t="s">
        <v>22</v>
      </c>
      <c r="D304" s="1" t="s">
        <v>51</v>
      </c>
      <c r="E304">
        <v>1344</v>
      </c>
      <c r="F304" s="1" t="s">
        <v>24</v>
      </c>
      <c r="G304" s="1" t="s">
        <v>44</v>
      </c>
      <c r="H304">
        <v>4</v>
      </c>
      <c r="I304" s="1" t="s">
        <v>26</v>
      </c>
      <c r="J304" s="1" t="s">
        <v>27</v>
      </c>
      <c r="K304">
        <v>2</v>
      </c>
      <c r="L304" s="1" t="s">
        <v>28</v>
      </c>
      <c r="M304">
        <v>37</v>
      </c>
      <c r="N304" s="1" t="s">
        <v>66</v>
      </c>
      <c r="O304" s="1" t="s">
        <v>30</v>
      </c>
      <c r="P304">
        <v>2</v>
      </c>
      <c r="Q304" s="1" t="s">
        <v>45</v>
      </c>
      <c r="R304">
        <v>2</v>
      </c>
      <c r="S304" s="1" t="s">
        <v>40</v>
      </c>
      <c r="T304" s="1" t="s">
        <v>33</v>
      </c>
      <c r="U304" s="1" t="s">
        <v>41</v>
      </c>
    </row>
    <row r="305" spans="1:21" x14ac:dyDescent="0.3">
      <c r="A305" s="1" t="s">
        <v>21</v>
      </c>
      <c r="B305">
        <v>10</v>
      </c>
      <c r="C305" s="1" t="s">
        <v>22</v>
      </c>
      <c r="D305" s="1" t="s">
        <v>51</v>
      </c>
      <c r="E305">
        <v>1038</v>
      </c>
      <c r="F305" s="1" t="s">
        <v>37</v>
      </c>
      <c r="G305" s="1" t="s">
        <v>44</v>
      </c>
      <c r="H305">
        <v>4</v>
      </c>
      <c r="I305" s="1" t="s">
        <v>26</v>
      </c>
      <c r="J305" s="1" t="s">
        <v>71</v>
      </c>
      <c r="K305">
        <v>3</v>
      </c>
      <c r="L305" s="1" t="s">
        <v>48</v>
      </c>
      <c r="M305">
        <v>49</v>
      </c>
      <c r="N305" s="1" t="s">
        <v>29</v>
      </c>
      <c r="O305" s="1" t="s">
        <v>30</v>
      </c>
      <c r="P305">
        <v>2</v>
      </c>
      <c r="Q305" s="1" t="s">
        <v>31</v>
      </c>
      <c r="R305">
        <v>1</v>
      </c>
      <c r="S305" s="1" t="s">
        <v>32</v>
      </c>
      <c r="T305" s="1" t="s">
        <v>33</v>
      </c>
      <c r="U305" s="1" t="s">
        <v>34</v>
      </c>
    </row>
    <row r="306" spans="1:21" x14ac:dyDescent="0.3">
      <c r="A306" s="1" t="s">
        <v>42</v>
      </c>
      <c r="B306">
        <v>48</v>
      </c>
      <c r="C306" s="1" t="s">
        <v>22</v>
      </c>
      <c r="D306" s="1" t="s">
        <v>51</v>
      </c>
      <c r="E306">
        <v>10127</v>
      </c>
      <c r="F306" s="1" t="s">
        <v>53</v>
      </c>
      <c r="G306" s="1" t="s">
        <v>38</v>
      </c>
      <c r="H306">
        <v>2</v>
      </c>
      <c r="I306" s="1" t="s">
        <v>26</v>
      </c>
      <c r="J306" s="1" t="s">
        <v>27</v>
      </c>
      <c r="K306">
        <v>2</v>
      </c>
      <c r="L306" s="1" t="s">
        <v>52</v>
      </c>
      <c r="M306">
        <v>44</v>
      </c>
      <c r="N306" s="1" t="s">
        <v>66</v>
      </c>
      <c r="O306" s="1" t="s">
        <v>49</v>
      </c>
      <c r="P306">
        <v>1</v>
      </c>
      <c r="Q306" s="1" t="s">
        <v>31</v>
      </c>
      <c r="R306">
        <v>1</v>
      </c>
      <c r="S306" s="1" t="s">
        <v>40</v>
      </c>
      <c r="T306" s="1" t="s">
        <v>33</v>
      </c>
      <c r="U306" s="1" t="s">
        <v>41</v>
      </c>
    </row>
    <row r="307" spans="1:21" x14ac:dyDescent="0.3">
      <c r="A307" s="1" t="s">
        <v>42</v>
      </c>
      <c r="B307">
        <v>6</v>
      </c>
      <c r="C307" s="1" t="s">
        <v>36</v>
      </c>
      <c r="D307" s="1" t="s">
        <v>46</v>
      </c>
      <c r="E307">
        <v>1543</v>
      </c>
      <c r="F307" s="1" t="s">
        <v>58</v>
      </c>
      <c r="G307" s="1" t="s">
        <v>38</v>
      </c>
      <c r="H307">
        <v>4</v>
      </c>
      <c r="I307" s="1" t="s">
        <v>59</v>
      </c>
      <c r="J307" s="1" t="s">
        <v>27</v>
      </c>
      <c r="K307">
        <v>2</v>
      </c>
      <c r="L307" s="1" t="s">
        <v>28</v>
      </c>
      <c r="M307">
        <v>33</v>
      </c>
      <c r="N307" s="1" t="s">
        <v>29</v>
      </c>
      <c r="O307" s="1" t="s">
        <v>30</v>
      </c>
      <c r="P307">
        <v>1</v>
      </c>
      <c r="Q307" s="1" t="s">
        <v>31</v>
      </c>
      <c r="R307">
        <v>1</v>
      </c>
      <c r="S307" s="1" t="s">
        <v>40</v>
      </c>
      <c r="T307" s="1" t="s">
        <v>33</v>
      </c>
      <c r="U307" s="1" t="s">
        <v>34</v>
      </c>
    </row>
    <row r="308" spans="1:21" x14ac:dyDescent="0.3">
      <c r="A308" s="1" t="s">
        <v>42</v>
      </c>
      <c r="B308">
        <v>30</v>
      </c>
      <c r="C308" s="1" t="s">
        <v>36</v>
      </c>
      <c r="D308" s="1" t="s">
        <v>54</v>
      </c>
      <c r="E308">
        <v>4811</v>
      </c>
      <c r="F308" s="1" t="s">
        <v>24</v>
      </c>
      <c r="G308" s="1" t="s">
        <v>44</v>
      </c>
      <c r="H308">
        <v>2</v>
      </c>
      <c r="I308" s="1" t="s">
        <v>39</v>
      </c>
      <c r="J308" s="1" t="s">
        <v>27</v>
      </c>
      <c r="K308">
        <v>4</v>
      </c>
      <c r="L308" s="1" t="s">
        <v>48</v>
      </c>
      <c r="M308">
        <v>24</v>
      </c>
      <c r="N308" s="1" t="s">
        <v>70</v>
      </c>
      <c r="O308" s="1" t="s">
        <v>56</v>
      </c>
      <c r="P308">
        <v>1</v>
      </c>
      <c r="Q308" s="1" t="s">
        <v>45</v>
      </c>
      <c r="R308">
        <v>1</v>
      </c>
      <c r="S308" s="1" t="s">
        <v>40</v>
      </c>
      <c r="T308" s="1" t="s">
        <v>33</v>
      </c>
      <c r="U308" s="1" t="s">
        <v>34</v>
      </c>
    </row>
    <row r="309" spans="1:21" x14ac:dyDescent="0.3">
      <c r="A309" s="1" t="s">
        <v>21</v>
      </c>
      <c r="B309">
        <v>12</v>
      </c>
      <c r="C309" s="1" t="s">
        <v>36</v>
      </c>
      <c r="D309" s="1" t="s">
        <v>23</v>
      </c>
      <c r="E309">
        <v>727</v>
      </c>
      <c r="F309" s="1" t="s">
        <v>64</v>
      </c>
      <c r="G309" s="1" t="s">
        <v>62</v>
      </c>
      <c r="H309">
        <v>4</v>
      </c>
      <c r="I309" s="1" t="s">
        <v>61</v>
      </c>
      <c r="J309" s="1" t="s">
        <v>27</v>
      </c>
      <c r="K309">
        <v>3</v>
      </c>
      <c r="L309" s="1" t="s">
        <v>52</v>
      </c>
      <c r="M309">
        <v>33</v>
      </c>
      <c r="N309" s="1" t="s">
        <v>29</v>
      </c>
      <c r="O309" s="1" t="s">
        <v>30</v>
      </c>
      <c r="P309">
        <v>1</v>
      </c>
      <c r="Q309" s="1" t="s">
        <v>45</v>
      </c>
      <c r="R309">
        <v>1</v>
      </c>
      <c r="S309" s="1" t="s">
        <v>32</v>
      </c>
      <c r="T309" s="1" t="s">
        <v>33</v>
      </c>
      <c r="U309" s="1" t="s">
        <v>41</v>
      </c>
    </row>
    <row r="310" spans="1:21" x14ac:dyDescent="0.3">
      <c r="A310" s="1" t="s">
        <v>35</v>
      </c>
      <c r="B310">
        <v>8</v>
      </c>
      <c r="C310" s="1" t="s">
        <v>36</v>
      </c>
      <c r="D310" s="1" t="s">
        <v>46</v>
      </c>
      <c r="E310">
        <v>1237</v>
      </c>
      <c r="F310" s="1" t="s">
        <v>37</v>
      </c>
      <c r="G310" s="1" t="s">
        <v>38</v>
      </c>
      <c r="H310">
        <v>3</v>
      </c>
      <c r="I310" s="1" t="s">
        <v>39</v>
      </c>
      <c r="J310" s="1" t="s">
        <v>27</v>
      </c>
      <c r="K310">
        <v>4</v>
      </c>
      <c r="L310" s="1" t="s">
        <v>28</v>
      </c>
      <c r="M310">
        <v>24</v>
      </c>
      <c r="N310" s="1" t="s">
        <v>29</v>
      </c>
      <c r="O310" s="1" t="s">
        <v>30</v>
      </c>
      <c r="P310">
        <v>1</v>
      </c>
      <c r="Q310" s="1" t="s">
        <v>31</v>
      </c>
      <c r="R310">
        <v>1</v>
      </c>
      <c r="S310" s="1" t="s">
        <v>40</v>
      </c>
      <c r="T310" s="1" t="s">
        <v>33</v>
      </c>
      <c r="U310" s="1" t="s">
        <v>41</v>
      </c>
    </row>
    <row r="311" spans="1:21" x14ac:dyDescent="0.3">
      <c r="A311" s="1" t="s">
        <v>35</v>
      </c>
      <c r="B311">
        <v>9</v>
      </c>
      <c r="C311" s="1" t="s">
        <v>36</v>
      </c>
      <c r="D311" s="1" t="s">
        <v>51</v>
      </c>
      <c r="E311">
        <v>276</v>
      </c>
      <c r="F311" s="1" t="s">
        <v>37</v>
      </c>
      <c r="G311" s="1" t="s">
        <v>38</v>
      </c>
      <c r="H311">
        <v>4</v>
      </c>
      <c r="I311" s="1" t="s">
        <v>61</v>
      </c>
      <c r="J311" s="1" t="s">
        <v>27</v>
      </c>
      <c r="K311">
        <v>4</v>
      </c>
      <c r="L311" s="1" t="s">
        <v>28</v>
      </c>
      <c r="M311">
        <v>22</v>
      </c>
      <c r="N311" s="1" t="s">
        <v>29</v>
      </c>
      <c r="O311" s="1" t="s">
        <v>56</v>
      </c>
      <c r="P311">
        <v>1</v>
      </c>
      <c r="Q311" s="1" t="s">
        <v>45</v>
      </c>
      <c r="R311">
        <v>1</v>
      </c>
      <c r="S311" s="1" t="s">
        <v>40</v>
      </c>
      <c r="T311" s="1" t="s">
        <v>33</v>
      </c>
      <c r="U311" s="1" t="s">
        <v>34</v>
      </c>
    </row>
    <row r="312" spans="1:21" x14ac:dyDescent="0.3">
      <c r="A312" s="1" t="s">
        <v>35</v>
      </c>
      <c r="B312">
        <v>48</v>
      </c>
      <c r="C312" s="1" t="s">
        <v>36</v>
      </c>
      <c r="D312" s="1" t="s">
        <v>75</v>
      </c>
      <c r="E312">
        <v>5381</v>
      </c>
      <c r="F312" s="1" t="s">
        <v>24</v>
      </c>
      <c r="G312" s="1" t="s">
        <v>60</v>
      </c>
      <c r="H312">
        <v>3</v>
      </c>
      <c r="I312" s="1" t="s">
        <v>26</v>
      </c>
      <c r="J312" s="1" t="s">
        <v>27</v>
      </c>
      <c r="K312">
        <v>4</v>
      </c>
      <c r="L312" s="1" t="s">
        <v>52</v>
      </c>
      <c r="M312">
        <v>40</v>
      </c>
      <c r="N312" s="1" t="s">
        <v>66</v>
      </c>
      <c r="O312" s="1" t="s">
        <v>49</v>
      </c>
      <c r="P312">
        <v>1</v>
      </c>
      <c r="Q312" s="1" t="s">
        <v>74</v>
      </c>
      <c r="R312">
        <v>1</v>
      </c>
      <c r="S312" s="1" t="s">
        <v>32</v>
      </c>
      <c r="T312" s="1" t="s">
        <v>33</v>
      </c>
      <c r="U312" s="1" t="s">
        <v>34</v>
      </c>
    </row>
    <row r="313" spans="1:21" x14ac:dyDescent="0.3">
      <c r="A313" s="1" t="s">
        <v>42</v>
      </c>
      <c r="B313">
        <v>24</v>
      </c>
      <c r="C313" s="1" t="s">
        <v>36</v>
      </c>
      <c r="D313" s="1" t="s">
        <v>46</v>
      </c>
      <c r="E313">
        <v>5511</v>
      </c>
      <c r="F313" s="1" t="s">
        <v>64</v>
      </c>
      <c r="G313" s="1" t="s">
        <v>38</v>
      </c>
      <c r="H313">
        <v>4</v>
      </c>
      <c r="I313" s="1" t="s">
        <v>26</v>
      </c>
      <c r="J313" s="1" t="s">
        <v>27</v>
      </c>
      <c r="K313">
        <v>1</v>
      </c>
      <c r="L313" s="1" t="s">
        <v>55</v>
      </c>
      <c r="M313">
        <v>25</v>
      </c>
      <c r="N313" s="1" t="s">
        <v>70</v>
      </c>
      <c r="O313" s="1" t="s">
        <v>30</v>
      </c>
      <c r="P313">
        <v>1</v>
      </c>
      <c r="Q313" s="1" t="s">
        <v>31</v>
      </c>
      <c r="R313">
        <v>1</v>
      </c>
      <c r="S313" s="1" t="s">
        <v>40</v>
      </c>
      <c r="T313" s="1" t="s">
        <v>33</v>
      </c>
      <c r="U313" s="1" t="s">
        <v>34</v>
      </c>
    </row>
    <row r="314" spans="1:21" x14ac:dyDescent="0.3">
      <c r="A314" s="1" t="s">
        <v>68</v>
      </c>
      <c r="B314">
        <v>24</v>
      </c>
      <c r="C314" s="1" t="s">
        <v>36</v>
      </c>
      <c r="D314" s="1" t="s">
        <v>46</v>
      </c>
      <c r="E314">
        <v>3749</v>
      </c>
      <c r="F314" s="1" t="s">
        <v>37</v>
      </c>
      <c r="G314" s="1" t="s">
        <v>62</v>
      </c>
      <c r="H314">
        <v>2</v>
      </c>
      <c r="I314" s="1" t="s">
        <v>39</v>
      </c>
      <c r="J314" s="1" t="s">
        <v>27</v>
      </c>
      <c r="K314">
        <v>4</v>
      </c>
      <c r="L314" s="1" t="s">
        <v>55</v>
      </c>
      <c r="M314">
        <v>26</v>
      </c>
      <c r="N314" s="1" t="s">
        <v>29</v>
      </c>
      <c r="O314" s="1" t="s">
        <v>30</v>
      </c>
      <c r="P314">
        <v>1</v>
      </c>
      <c r="Q314" s="1" t="s">
        <v>31</v>
      </c>
      <c r="R314">
        <v>1</v>
      </c>
      <c r="S314" s="1" t="s">
        <v>40</v>
      </c>
      <c r="T314" s="1" t="s">
        <v>33</v>
      </c>
      <c r="U314" s="1" t="s">
        <v>34</v>
      </c>
    </row>
    <row r="315" spans="1:21" x14ac:dyDescent="0.3">
      <c r="A315" s="1" t="s">
        <v>35</v>
      </c>
      <c r="B315">
        <v>12</v>
      </c>
      <c r="C315" s="1" t="s">
        <v>36</v>
      </c>
      <c r="D315" s="1" t="s">
        <v>51</v>
      </c>
      <c r="E315">
        <v>685</v>
      </c>
      <c r="F315" s="1" t="s">
        <v>37</v>
      </c>
      <c r="G315" s="1" t="s">
        <v>44</v>
      </c>
      <c r="H315">
        <v>2</v>
      </c>
      <c r="I315" s="1" t="s">
        <v>61</v>
      </c>
      <c r="J315" s="1" t="s">
        <v>27</v>
      </c>
      <c r="K315">
        <v>3</v>
      </c>
      <c r="L315" s="1" t="s">
        <v>55</v>
      </c>
      <c r="M315">
        <v>25</v>
      </c>
      <c r="N315" s="1" t="s">
        <v>66</v>
      </c>
      <c r="O315" s="1" t="s">
        <v>30</v>
      </c>
      <c r="P315">
        <v>1</v>
      </c>
      <c r="Q315" s="1" t="s">
        <v>45</v>
      </c>
      <c r="R315">
        <v>1</v>
      </c>
      <c r="S315" s="1" t="s">
        <v>40</v>
      </c>
      <c r="T315" s="1" t="s">
        <v>33</v>
      </c>
      <c r="U315" s="1" t="s">
        <v>41</v>
      </c>
    </row>
    <row r="316" spans="1:21" x14ac:dyDescent="0.3">
      <c r="A316" s="1" t="s">
        <v>68</v>
      </c>
      <c r="B316">
        <v>4</v>
      </c>
      <c r="C316" s="1" t="s">
        <v>36</v>
      </c>
      <c r="D316" s="1" t="s">
        <v>51</v>
      </c>
      <c r="E316">
        <v>1494</v>
      </c>
      <c r="F316" s="1" t="s">
        <v>24</v>
      </c>
      <c r="G316" s="1" t="s">
        <v>62</v>
      </c>
      <c r="H316">
        <v>1</v>
      </c>
      <c r="I316" s="1" t="s">
        <v>26</v>
      </c>
      <c r="J316" s="1" t="s">
        <v>27</v>
      </c>
      <c r="K316">
        <v>2</v>
      </c>
      <c r="L316" s="1" t="s">
        <v>28</v>
      </c>
      <c r="M316">
        <v>29</v>
      </c>
      <c r="N316" s="1" t="s">
        <v>29</v>
      </c>
      <c r="O316" s="1" t="s">
        <v>30</v>
      </c>
      <c r="P316">
        <v>1</v>
      </c>
      <c r="Q316" s="1" t="s">
        <v>45</v>
      </c>
      <c r="R316">
        <v>2</v>
      </c>
      <c r="S316" s="1" t="s">
        <v>40</v>
      </c>
      <c r="T316" s="1" t="s">
        <v>67</v>
      </c>
      <c r="U316" s="1" t="s">
        <v>34</v>
      </c>
    </row>
    <row r="317" spans="1:21" x14ac:dyDescent="0.3">
      <c r="A317" s="1" t="s">
        <v>21</v>
      </c>
      <c r="B317">
        <v>36</v>
      </c>
      <c r="C317" s="1" t="s">
        <v>69</v>
      </c>
      <c r="D317" s="1" t="s">
        <v>46</v>
      </c>
      <c r="E317">
        <v>2746</v>
      </c>
      <c r="F317" s="1" t="s">
        <v>37</v>
      </c>
      <c r="G317" s="1" t="s">
        <v>25</v>
      </c>
      <c r="H317">
        <v>4</v>
      </c>
      <c r="I317" s="1" t="s">
        <v>26</v>
      </c>
      <c r="J317" s="1" t="s">
        <v>27</v>
      </c>
      <c r="K317">
        <v>4</v>
      </c>
      <c r="L317" s="1" t="s">
        <v>55</v>
      </c>
      <c r="M317">
        <v>31</v>
      </c>
      <c r="N317" s="1" t="s">
        <v>66</v>
      </c>
      <c r="O317" s="1" t="s">
        <v>30</v>
      </c>
      <c r="P317">
        <v>1</v>
      </c>
      <c r="Q317" s="1" t="s">
        <v>31</v>
      </c>
      <c r="R317">
        <v>1</v>
      </c>
      <c r="S317" s="1" t="s">
        <v>40</v>
      </c>
      <c r="T317" s="1" t="s">
        <v>33</v>
      </c>
      <c r="U317" s="1" t="s">
        <v>41</v>
      </c>
    </row>
    <row r="318" spans="1:21" x14ac:dyDescent="0.3">
      <c r="A318" s="1" t="s">
        <v>21</v>
      </c>
      <c r="B318">
        <v>12</v>
      </c>
      <c r="C318" s="1" t="s">
        <v>36</v>
      </c>
      <c r="D318" s="1" t="s">
        <v>46</v>
      </c>
      <c r="E318">
        <v>708</v>
      </c>
      <c r="F318" s="1" t="s">
        <v>37</v>
      </c>
      <c r="G318" s="1" t="s">
        <v>38</v>
      </c>
      <c r="H318">
        <v>2</v>
      </c>
      <c r="I318" s="1" t="s">
        <v>26</v>
      </c>
      <c r="J318" s="1" t="s">
        <v>47</v>
      </c>
      <c r="K318">
        <v>3</v>
      </c>
      <c r="L318" s="1" t="s">
        <v>48</v>
      </c>
      <c r="M318">
        <v>38</v>
      </c>
      <c r="N318" s="1" t="s">
        <v>29</v>
      </c>
      <c r="O318" s="1" t="s">
        <v>30</v>
      </c>
      <c r="P318">
        <v>1</v>
      </c>
      <c r="Q318" s="1" t="s">
        <v>45</v>
      </c>
      <c r="R318">
        <v>2</v>
      </c>
      <c r="S318" s="1" t="s">
        <v>40</v>
      </c>
      <c r="T318" s="1" t="s">
        <v>33</v>
      </c>
      <c r="U318" s="1" t="s">
        <v>34</v>
      </c>
    </row>
    <row r="319" spans="1:21" x14ac:dyDescent="0.3">
      <c r="A319" s="1" t="s">
        <v>35</v>
      </c>
      <c r="B319">
        <v>24</v>
      </c>
      <c r="C319" s="1" t="s">
        <v>36</v>
      </c>
      <c r="D319" s="1" t="s">
        <v>46</v>
      </c>
      <c r="E319">
        <v>4351</v>
      </c>
      <c r="F319" s="1" t="s">
        <v>24</v>
      </c>
      <c r="G319" s="1" t="s">
        <v>38</v>
      </c>
      <c r="H319">
        <v>1</v>
      </c>
      <c r="I319" s="1" t="s">
        <v>39</v>
      </c>
      <c r="J319" s="1" t="s">
        <v>27</v>
      </c>
      <c r="K319">
        <v>4</v>
      </c>
      <c r="L319" s="1" t="s">
        <v>48</v>
      </c>
      <c r="M319">
        <v>48</v>
      </c>
      <c r="N319" s="1" t="s">
        <v>29</v>
      </c>
      <c r="O319" s="1" t="s">
        <v>30</v>
      </c>
      <c r="P319">
        <v>1</v>
      </c>
      <c r="Q319" s="1" t="s">
        <v>45</v>
      </c>
      <c r="R319">
        <v>1</v>
      </c>
      <c r="S319" s="1" t="s">
        <v>32</v>
      </c>
      <c r="T319" s="1" t="s">
        <v>33</v>
      </c>
      <c r="U319" s="1" t="s">
        <v>34</v>
      </c>
    </row>
    <row r="320" spans="1:21" x14ac:dyDescent="0.3">
      <c r="A320" s="1" t="s">
        <v>42</v>
      </c>
      <c r="B320">
        <v>12</v>
      </c>
      <c r="C320" s="1" t="s">
        <v>22</v>
      </c>
      <c r="D320" s="1" t="s">
        <v>43</v>
      </c>
      <c r="E320">
        <v>701</v>
      </c>
      <c r="F320" s="1" t="s">
        <v>37</v>
      </c>
      <c r="G320" s="1" t="s">
        <v>38</v>
      </c>
      <c r="H320">
        <v>4</v>
      </c>
      <c r="I320" s="1" t="s">
        <v>26</v>
      </c>
      <c r="J320" s="1" t="s">
        <v>27</v>
      </c>
      <c r="K320">
        <v>2</v>
      </c>
      <c r="L320" s="1" t="s">
        <v>55</v>
      </c>
      <c r="M320">
        <v>32</v>
      </c>
      <c r="N320" s="1" t="s">
        <v>29</v>
      </c>
      <c r="O320" s="1" t="s">
        <v>30</v>
      </c>
      <c r="P320">
        <v>2</v>
      </c>
      <c r="Q320" s="1" t="s">
        <v>31</v>
      </c>
      <c r="R320">
        <v>1</v>
      </c>
      <c r="S320" s="1" t="s">
        <v>40</v>
      </c>
      <c r="T320" s="1" t="s">
        <v>33</v>
      </c>
      <c r="U320" s="1" t="s">
        <v>34</v>
      </c>
    </row>
    <row r="321" spans="1:21" x14ac:dyDescent="0.3">
      <c r="A321" s="1" t="s">
        <v>21</v>
      </c>
      <c r="B321">
        <v>15</v>
      </c>
      <c r="C321" s="1" t="s">
        <v>50</v>
      </c>
      <c r="D321" s="1" t="s">
        <v>46</v>
      </c>
      <c r="E321">
        <v>3643</v>
      </c>
      <c r="F321" s="1" t="s">
        <v>37</v>
      </c>
      <c r="G321" s="1" t="s">
        <v>25</v>
      </c>
      <c r="H321">
        <v>1</v>
      </c>
      <c r="I321" s="1" t="s">
        <v>39</v>
      </c>
      <c r="J321" s="1" t="s">
        <v>27</v>
      </c>
      <c r="K321">
        <v>4</v>
      </c>
      <c r="L321" s="1" t="s">
        <v>48</v>
      </c>
      <c r="M321">
        <v>27</v>
      </c>
      <c r="N321" s="1" t="s">
        <v>29</v>
      </c>
      <c r="O321" s="1" t="s">
        <v>30</v>
      </c>
      <c r="P321">
        <v>2</v>
      </c>
      <c r="Q321" s="1" t="s">
        <v>45</v>
      </c>
      <c r="R321">
        <v>1</v>
      </c>
      <c r="S321" s="1" t="s">
        <v>40</v>
      </c>
      <c r="T321" s="1" t="s">
        <v>33</v>
      </c>
      <c r="U321" s="1" t="s">
        <v>34</v>
      </c>
    </row>
    <row r="322" spans="1:21" x14ac:dyDescent="0.3">
      <c r="A322" s="1" t="s">
        <v>35</v>
      </c>
      <c r="B322">
        <v>30</v>
      </c>
      <c r="C322" s="1" t="s">
        <v>22</v>
      </c>
      <c r="D322" s="1" t="s">
        <v>51</v>
      </c>
      <c r="E322">
        <v>4249</v>
      </c>
      <c r="F322" s="1" t="s">
        <v>37</v>
      </c>
      <c r="G322" s="1" t="s">
        <v>60</v>
      </c>
      <c r="H322">
        <v>4</v>
      </c>
      <c r="I322" s="1" t="s">
        <v>61</v>
      </c>
      <c r="J322" s="1" t="s">
        <v>27</v>
      </c>
      <c r="K322">
        <v>2</v>
      </c>
      <c r="L322" s="1" t="s">
        <v>55</v>
      </c>
      <c r="M322">
        <v>28</v>
      </c>
      <c r="N322" s="1" t="s">
        <v>29</v>
      </c>
      <c r="O322" s="1" t="s">
        <v>30</v>
      </c>
      <c r="P322">
        <v>2</v>
      </c>
      <c r="Q322" s="1" t="s">
        <v>57</v>
      </c>
      <c r="R322">
        <v>1</v>
      </c>
      <c r="S322" s="1" t="s">
        <v>40</v>
      </c>
      <c r="T322" s="1" t="s">
        <v>33</v>
      </c>
      <c r="U322" s="1" t="s">
        <v>41</v>
      </c>
    </row>
    <row r="323" spans="1:21" x14ac:dyDescent="0.3">
      <c r="A323" s="1" t="s">
        <v>21</v>
      </c>
      <c r="B323">
        <v>24</v>
      </c>
      <c r="C323" s="1" t="s">
        <v>36</v>
      </c>
      <c r="D323" s="1" t="s">
        <v>23</v>
      </c>
      <c r="E323">
        <v>1938</v>
      </c>
      <c r="F323" s="1" t="s">
        <v>37</v>
      </c>
      <c r="G323" s="1" t="s">
        <v>62</v>
      </c>
      <c r="H323">
        <v>4</v>
      </c>
      <c r="I323" s="1" t="s">
        <v>59</v>
      </c>
      <c r="J323" s="1" t="s">
        <v>27</v>
      </c>
      <c r="K323">
        <v>3</v>
      </c>
      <c r="L323" s="1" t="s">
        <v>48</v>
      </c>
      <c r="M323">
        <v>32</v>
      </c>
      <c r="N323" s="1" t="s">
        <v>29</v>
      </c>
      <c r="O323" s="1" t="s">
        <v>30</v>
      </c>
      <c r="P323">
        <v>1</v>
      </c>
      <c r="Q323" s="1" t="s">
        <v>31</v>
      </c>
      <c r="R323">
        <v>1</v>
      </c>
      <c r="S323" s="1" t="s">
        <v>40</v>
      </c>
      <c r="T323" s="1" t="s">
        <v>33</v>
      </c>
      <c r="U323" s="1" t="s">
        <v>41</v>
      </c>
    </row>
    <row r="324" spans="1:21" x14ac:dyDescent="0.3">
      <c r="A324" s="1" t="s">
        <v>21</v>
      </c>
      <c r="B324">
        <v>24</v>
      </c>
      <c r="C324" s="1" t="s">
        <v>36</v>
      </c>
      <c r="D324" s="1" t="s">
        <v>54</v>
      </c>
      <c r="E324">
        <v>2910</v>
      </c>
      <c r="F324" s="1" t="s">
        <v>37</v>
      </c>
      <c r="G324" s="1" t="s">
        <v>44</v>
      </c>
      <c r="H324">
        <v>2</v>
      </c>
      <c r="I324" s="1" t="s">
        <v>26</v>
      </c>
      <c r="J324" s="1" t="s">
        <v>27</v>
      </c>
      <c r="K324">
        <v>1</v>
      </c>
      <c r="L324" s="1" t="s">
        <v>52</v>
      </c>
      <c r="M324">
        <v>34</v>
      </c>
      <c r="N324" s="1" t="s">
        <v>29</v>
      </c>
      <c r="O324" s="1" t="s">
        <v>49</v>
      </c>
      <c r="P324">
        <v>1</v>
      </c>
      <c r="Q324" s="1" t="s">
        <v>57</v>
      </c>
      <c r="R324">
        <v>1</v>
      </c>
      <c r="S324" s="1" t="s">
        <v>32</v>
      </c>
      <c r="T324" s="1" t="s">
        <v>33</v>
      </c>
      <c r="U324" s="1" t="s">
        <v>34</v>
      </c>
    </row>
    <row r="325" spans="1:21" x14ac:dyDescent="0.3">
      <c r="A325" s="1" t="s">
        <v>21</v>
      </c>
      <c r="B325">
        <v>18</v>
      </c>
      <c r="C325" s="1" t="s">
        <v>36</v>
      </c>
      <c r="D325" s="1" t="s">
        <v>46</v>
      </c>
      <c r="E325">
        <v>2659</v>
      </c>
      <c r="F325" s="1" t="s">
        <v>58</v>
      </c>
      <c r="G325" s="1" t="s">
        <v>38</v>
      </c>
      <c r="H325">
        <v>4</v>
      </c>
      <c r="I325" s="1" t="s">
        <v>26</v>
      </c>
      <c r="J325" s="1" t="s">
        <v>27</v>
      </c>
      <c r="K325">
        <v>2</v>
      </c>
      <c r="L325" s="1" t="s">
        <v>55</v>
      </c>
      <c r="M325">
        <v>28</v>
      </c>
      <c r="N325" s="1" t="s">
        <v>29</v>
      </c>
      <c r="O325" s="1" t="s">
        <v>30</v>
      </c>
      <c r="P325">
        <v>1</v>
      </c>
      <c r="Q325" s="1" t="s">
        <v>31</v>
      </c>
      <c r="R325">
        <v>1</v>
      </c>
      <c r="S325" s="1" t="s">
        <v>40</v>
      </c>
      <c r="T325" s="1" t="s">
        <v>33</v>
      </c>
      <c r="U325" s="1" t="s">
        <v>34</v>
      </c>
    </row>
    <row r="326" spans="1:21" x14ac:dyDescent="0.3">
      <c r="A326" s="1" t="s">
        <v>42</v>
      </c>
      <c r="B326">
        <v>18</v>
      </c>
      <c r="C326" s="1" t="s">
        <v>22</v>
      </c>
      <c r="D326" s="1" t="s">
        <v>51</v>
      </c>
      <c r="E326">
        <v>1028</v>
      </c>
      <c r="F326" s="1" t="s">
        <v>37</v>
      </c>
      <c r="G326" s="1" t="s">
        <v>38</v>
      </c>
      <c r="H326">
        <v>4</v>
      </c>
      <c r="I326" s="1" t="s">
        <v>39</v>
      </c>
      <c r="J326" s="1" t="s">
        <v>27</v>
      </c>
      <c r="K326">
        <v>3</v>
      </c>
      <c r="L326" s="1" t="s">
        <v>28</v>
      </c>
      <c r="M326">
        <v>36</v>
      </c>
      <c r="N326" s="1" t="s">
        <v>29</v>
      </c>
      <c r="O326" s="1" t="s">
        <v>30</v>
      </c>
      <c r="P326">
        <v>2</v>
      </c>
      <c r="Q326" s="1" t="s">
        <v>31</v>
      </c>
      <c r="R326">
        <v>1</v>
      </c>
      <c r="S326" s="1" t="s">
        <v>40</v>
      </c>
      <c r="T326" s="1" t="s">
        <v>33</v>
      </c>
      <c r="U326" s="1" t="s">
        <v>34</v>
      </c>
    </row>
    <row r="327" spans="1:21" x14ac:dyDescent="0.3">
      <c r="A327" s="1" t="s">
        <v>21</v>
      </c>
      <c r="B327">
        <v>8</v>
      </c>
      <c r="C327" s="1" t="s">
        <v>22</v>
      </c>
      <c r="D327" s="1" t="s">
        <v>51</v>
      </c>
      <c r="E327">
        <v>3398</v>
      </c>
      <c r="F327" s="1" t="s">
        <v>37</v>
      </c>
      <c r="G327" s="1" t="s">
        <v>44</v>
      </c>
      <c r="H327">
        <v>1</v>
      </c>
      <c r="I327" s="1" t="s">
        <v>26</v>
      </c>
      <c r="J327" s="1" t="s">
        <v>27</v>
      </c>
      <c r="K327">
        <v>4</v>
      </c>
      <c r="L327" s="1" t="s">
        <v>28</v>
      </c>
      <c r="M327">
        <v>39</v>
      </c>
      <c r="N327" s="1" t="s">
        <v>29</v>
      </c>
      <c r="O327" s="1" t="s">
        <v>30</v>
      </c>
      <c r="P327">
        <v>2</v>
      </c>
      <c r="Q327" s="1" t="s">
        <v>45</v>
      </c>
      <c r="R327">
        <v>1</v>
      </c>
      <c r="S327" s="1" t="s">
        <v>40</v>
      </c>
      <c r="T327" s="1" t="s">
        <v>67</v>
      </c>
      <c r="U327" s="1" t="s">
        <v>34</v>
      </c>
    </row>
    <row r="328" spans="1:21" x14ac:dyDescent="0.3">
      <c r="A328" s="1" t="s">
        <v>42</v>
      </c>
      <c r="B328">
        <v>12</v>
      </c>
      <c r="C328" s="1" t="s">
        <v>22</v>
      </c>
      <c r="D328" s="1" t="s">
        <v>46</v>
      </c>
      <c r="E328">
        <v>5801</v>
      </c>
      <c r="F328" s="1" t="s">
        <v>24</v>
      </c>
      <c r="G328" s="1" t="s">
        <v>25</v>
      </c>
      <c r="H328">
        <v>2</v>
      </c>
      <c r="I328" s="1" t="s">
        <v>26</v>
      </c>
      <c r="J328" s="1" t="s">
        <v>27</v>
      </c>
      <c r="K328">
        <v>4</v>
      </c>
      <c r="L328" s="1" t="s">
        <v>48</v>
      </c>
      <c r="M328">
        <v>49</v>
      </c>
      <c r="N328" s="1" t="s">
        <v>29</v>
      </c>
      <c r="O328" s="1" t="s">
        <v>56</v>
      </c>
      <c r="P328">
        <v>1</v>
      </c>
      <c r="Q328" s="1" t="s">
        <v>31</v>
      </c>
      <c r="R328">
        <v>1</v>
      </c>
      <c r="S328" s="1" t="s">
        <v>32</v>
      </c>
      <c r="T328" s="1" t="s">
        <v>33</v>
      </c>
      <c r="U328" s="1" t="s">
        <v>34</v>
      </c>
    </row>
    <row r="329" spans="1:21" x14ac:dyDescent="0.3">
      <c r="A329" s="1" t="s">
        <v>42</v>
      </c>
      <c r="B329">
        <v>24</v>
      </c>
      <c r="C329" s="1" t="s">
        <v>36</v>
      </c>
      <c r="D329" s="1" t="s">
        <v>51</v>
      </c>
      <c r="E329">
        <v>1525</v>
      </c>
      <c r="F329" s="1" t="s">
        <v>58</v>
      </c>
      <c r="G329" s="1" t="s">
        <v>44</v>
      </c>
      <c r="H329">
        <v>4</v>
      </c>
      <c r="I329" s="1" t="s">
        <v>39</v>
      </c>
      <c r="J329" s="1" t="s">
        <v>27</v>
      </c>
      <c r="K329">
        <v>3</v>
      </c>
      <c r="L329" s="1" t="s">
        <v>55</v>
      </c>
      <c r="M329">
        <v>34</v>
      </c>
      <c r="N329" s="1" t="s">
        <v>29</v>
      </c>
      <c r="O329" s="1" t="s">
        <v>30</v>
      </c>
      <c r="P329">
        <v>1</v>
      </c>
      <c r="Q329" s="1" t="s">
        <v>31</v>
      </c>
      <c r="R329">
        <v>2</v>
      </c>
      <c r="S329" s="1" t="s">
        <v>32</v>
      </c>
      <c r="T329" s="1" t="s">
        <v>33</v>
      </c>
      <c r="U329" s="1" t="s">
        <v>34</v>
      </c>
    </row>
    <row r="330" spans="1:21" x14ac:dyDescent="0.3">
      <c r="A330" s="1" t="s">
        <v>68</v>
      </c>
      <c r="B330">
        <v>36</v>
      </c>
      <c r="C330" s="1" t="s">
        <v>36</v>
      </c>
      <c r="D330" s="1" t="s">
        <v>23</v>
      </c>
      <c r="E330">
        <v>4473</v>
      </c>
      <c r="F330" s="1" t="s">
        <v>37</v>
      </c>
      <c r="G330" s="1" t="s">
        <v>25</v>
      </c>
      <c r="H330">
        <v>4</v>
      </c>
      <c r="I330" s="1" t="s">
        <v>26</v>
      </c>
      <c r="J330" s="1" t="s">
        <v>27</v>
      </c>
      <c r="K330">
        <v>2</v>
      </c>
      <c r="L330" s="1" t="s">
        <v>55</v>
      </c>
      <c r="M330">
        <v>31</v>
      </c>
      <c r="N330" s="1" t="s">
        <v>29</v>
      </c>
      <c r="O330" s="1" t="s">
        <v>30</v>
      </c>
      <c r="P330">
        <v>1</v>
      </c>
      <c r="Q330" s="1" t="s">
        <v>31</v>
      </c>
      <c r="R330">
        <v>1</v>
      </c>
      <c r="S330" s="1" t="s">
        <v>40</v>
      </c>
      <c r="T330" s="1" t="s">
        <v>33</v>
      </c>
      <c r="U330" s="1" t="s">
        <v>34</v>
      </c>
    </row>
    <row r="331" spans="1:21" x14ac:dyDescent="0.3">
      <c r="A331" s="1" t="s">
        <v>35</v>
      </c>
      <c r="B331">
        <v>6</v>
      </c>
      <c r="C331" s="1" t="s">
        <v>36</v>
      </c>
      <c r="D331" s="1" t="s">
        <v>23</v>
      </c>
      <c r="E331">
        <v>1068</v>
      </c>
      <c r="F331" s="1" t="s">
        <v>37</v>
      </c>
      <c r="G331" s="1" t="s">
        <v>25</v>
      </c>
      <c r="H331">
        <v>4</v>
      </c>
      <c r="I331" s="1" t="s">
        <v>26</v>
      </c>
      <c r="J331" s="1" t="s">
        <v>27</v>
      </c>
      <c r="K331">
        <v>4</v>
      </c>
      <c r="L331" s="1" t="s">
        <v>55</v>
      </c>
      <c r="M331">
        <v>28</v>
      </c>
      <c r="N331" s="1" t="s">
        <v>29</v>
      </c>
      <c r="O331" s="1" t="s">
        <v>30</v>
      </c>
      <c r="P331">
        <v>1</v>
      </c>
      <c r="Q331" s="1" t="s">
        <v>31</v>
      </c>
      <c r="R331">
        <v>2</v>
      </c>
      <c r="S331" s="1" t="s">
        <v>40</v>
      </c>
      <c r="T331" s="1" t="s">
        <v>33</v>
      </c>
      <c r="U331" s="1" t="s">
        <v>34</v>
      </c>
    </row>
    <row r="332" spans="1:21" x14ac:dyDescent="0.3">
      <c r="A332" s="1" t="s">
        <v>21</v>
      </c>
      <c r="B332">
        <v>24</v>
      </c>
      <c r="C332" s="1" t="s">
        <v>22</v>
      </c>
      <c r="D332" s="1" t="s">
        <v>54</v>
      </c>
      <c r="E332">
        <v>6615</v>
      </c>
      <c r="F332" s="1" t="s">
        <v>37</v>
      </c>
      <c r="G332" s="1" t="s">
        <v>60</v>
      </c>
      <c r="H332">
        <v>2</v>
      </c>
      <c r="I332" s="1" t="s">
        <v>26</v>
      </c>
      <c r="J332" s="1" t="s">
        <v>27</v>
      </c>
      <c r="K332">
        <v>4</v>
      </c>
      <c r="L332" s="1" t="s">
        <v>52</v>
      </c>
      <c r="M332">
        <v>75</v>
      </c>
      <c r="N332" s="1" t="s">
        <v>29</v>
      </c>
      <c r="O332" s="1" t="s">
        <v>49</v>
      </c>
      <c r="P332">
        <v>2</v>
      </c>
      <c r="Q332" s="1" t="s">
        <v>57</v>
      </c>
      <c r="R332">
        <v>1</v>
      </c>
      <c r="S332" s="1" t="s">
        <v>32</v>
      </c>
      <c r="T332" s="1" t="s">
        <v>33</v>
      </c>
      <c r="U332" s="1" t="s">
        <v>34</v>
      </c>
    </row>
    <row r="333" spans="1:21" x14ac:dyDescent="0.3">
      <c r="A333" s="1" t="s">
        <v>42</v>
      </c>
      <c r="B333">
        <v>18</v>
      </c>
      <c r="C333" s="1" t="s">
        <v>22</v>
      </c>
      <c r="D333" s="1" t="s">
        <v>43</v>
      </c>
      <c r="E333">
        <v>1864</v>
      </c>
      <c r="F333" s="1" t="s">
        <v>64</v>
      </c>
      <c r="G333" s="1" t="s">
        <v>38</v>
      </c>
      <c r="H333">
        <v>4</v>
      </c>
      <c r="I333" s="1" t="s">
        <v>39</v>
      </c>
      <c r="J333" s="1" t="s">
        <v>27</v>
      </c>
      <c r="K333">
        <v>2</v>
      </c>
      <c r="L333" s="1" t="s">
        <v>28</v>
      </c>
      <c r="M333">
        <v>30</v>
      </c>
      <c r="N333" s="1" t="s">
        <v>29</v>
      </c>
      <c r="O333" s="1" t="s">
        <v>30</v>
      </c>
      <c r="P333">
        <v>2</v>
      </c>
      <c r="Q333" s="1" t="s">
        <v>31</v>
      </c>
      <c r="R333">
        <v>1</v>
      </c>
      <c r="S333" s="1" t="s">
        <v>40</v>
      </c>
      <c r="T333" s="1" t="s">
        <v>33</v>
      </c>
      <c r="U333" s="1" t="s">
        <v>41</v>
      </c>
    </row>
    <row r="334" spans="1:21" x14ac:dyDescent="0.3">
      <c r="A334" s="1" t="s">
        <v>35</v>
      </c>
      <c r="B334">
        <v>60</v>
      </c>
      <c r="C334" s="1" t="s">
        <v>36</v>
      </c>
      <c r="D334" s="1" t="s">
        <v>51</v>
      </c>
      <c r="E334">
        <v>7408</v>
      </c>
      <c r="F334" s="1" t="s">
        <v>64</v>
      </c>
      <c r="G334" s="1" t="s">
        <v>62</v>
      </c>
      <c r="H334">
        <v>4</v>
      </c>
      <c r="I334" s="1" t="s">
        <v>39</v>
      </c>
      <c r="J334" s="1" t="s">
        <v>27</v>
      </c>
      <c r="K334">
        <v>2</v>
      </c>
      <c r="L334" s="1" t="s">
        <v>48</v>
      </c>
      <c r="M334">
        <v>24</v>
      </c>
      <c r="N334" s="1" t="s">
        <v>29</v>
      </c>
      <c r="O334" s="1" t="s">
        <v>30</v>
      </c>
      <c r="P334">
        <v>1</v>
      </c>
      <c r="Q334" s="1" t="s">
        <v>57</v>
      </c>
      <c r="R334">
        <v>1</v>
      </c>
      <c r="S334" s="1" t="s">
        <v>40</v>
      </c>
      <c r="T334" s="1" t="s">
        <v>33</v>
      </c>
      <c r="U334" s="1" t="s">
        <v>41</v>
      </c>
    </row>
    <row r="335" spans="1:21" x14ac:dyDescent="0.3">
      <c r="A335" s="1" t="s">
        <v>42</v>
      </c>
      <c r="B335">
        <v>48</v>
      </c>
      <c r="C335" s="1" t="s">
        <v>22</v>
      </c>
      <c r="D335" s="1" t="s">
        <v>54</v>
      </c>
      <c r="E335">
        <v>11590</v>
      </c>
      <c r="F335" s="1" t="s">
        <v>64</v>
      </c>
      <c r="G335" s="1" t="s">
        <v>38</v>
      </c>
      <c r="H335">
        <v>2</v>
      </c>
      <c r="I335" s="1" t="s">
        <v>39</v>
      </c>
      <c r="J335" s="1" t="s">
        <v>27</v>
      </c>
      <c r="K335">
        <v>4</v>
      </c>
      <c r="L335" s="1" t="s">
        <v>55</v>
      </c>
      <c r="M335">
        <v>24</v>
      </c>
      <c r="N335" s="1" t="s">
        <v>66</v>
      </c>
      <c r="O335" s="1" t="s">
        <v>56</v>
      </c>
      <c r="P335">
        <v>2</v>
      </c>
      <c r="Q335" s="1" t="s">
        <v>45</v>
      </c>
      <c r="R335">
        <v>1</v>
      </c>
      <c r="S335" s="1" t="s">
        <v>40</v>
      </c>
      <c r="T335" s="1" t="s">
        <v>33</v>
      </c>
      <c r="U335" s="1" t="s">
        <v>41</v>
      </c>
    </row>
    <row r="336" spans="1:21" x14ac:dyDescent="0.3">
      <c r="A336" s="1" t="s">
        <v>21</v>
      </c>
      <c r="B336">
        <v>24</v>
      </c>
      <c r="C336" s="1" t="s">
        <v>65</v>
      </c>
      <c r="D336" s="1" t="s">
        <v>46</v>
      </c>
      <c r="E336">
        <v>4110</v>
      </c>
      <c r="F336" s="1" t="s">
        <v>37</v>
      </c>
      <c r="G336" s="1" t="s">
        <v>25</v>
      </c>
      <c r="H336">
        <v>3</v>
      </c>
      <c r="I336" s="1" t="s">
        <v>26</v>
      </c>
      <c r="J336" s="1" t="s">
        <v>27</v>
      </c>
      <c r="K336">
        <v>4</v>
      </c>
      <c r="L336" s="1" t="s">
        <v>52</v>
      </c>
      <c r="M336">
        <v>23</v>
      </c>
      <c r="N336" s="1" t="s">
        <v>66</v>
      </c>
      <c r="O336" s="1" t="s">
        <v>56</v>
      </c>
      <c r="P336">
        <v>2</v>
      </c>
      <c r="Q336" s="1" t="s">
        <v>31</v>
      </c>
      <c r="R336">
        <v>2</v>
      </c>
      <c r="S336" s="1" t="s">
        <v>40</v>
      </c>
      <c r="T336" s="1" t="s">
        <v>33</v>
      </c>
      <c r="U336" s="1" t="s">
        <v>41</v>
      </c>
    </row>
    <row r="337" spans="1:21" x14ac:dyDescent="0.3">
      <c r="A337" s="1" t="s">
        <v>21</v>
      </c>
      <c r="B337">
        <v>6</v>
      </c>
      <c r="C337" s="1" t="s">
        <v>22</v>
      </c>
      <c r="D337" s="1" t="s">
        <v>46</v>
      </c>
      <c r="E337">
        <v>3384</v>
      </c>
      <c r="F337" s="1" t="s">
        <v>37</v>
      </c>
      <c r="G337" s="1" t="s">
        <v>38</v>
      </c>
      <c r="H337">
        <v>1</v>
      </c>
      <c r="I337" s="1" t="s">
        <v>59</v>
      </c>
      <c r="J337" s="1" t="s">
        <v>27</v>
      </c>
      <c r="K337">
        <v>4</v>
      </c>
      <c r="L337" s="1" t="s">
        <v>28</v>
      </c>
      <c r="M337">
        <v>44</v>
      </c>
      <c r="N337" s="1" t="s">
        <v>29</v>
      </c>
      <c r="O337" s="1" t="s">
        <v>56</v>
      </c>
      <c r="P337">
        <v>1</v>
      </c>
      <c r="Q337" s="1" t="s">
        <v>57</v>
      </c>
      <c r="R337">
        <v>1</v>
      </c>
      <c r="S337" s="1" t="s">
        <v>32</v>
      </c>
      <c r="T337" s="1" t="s">
        <v>33</v>
      </c>
      <c r="U337" s="1" t="s">
        <v>41</v>
      </c>
    </row>
    <row r="338" spans="1:21" x14ac:dyDescent="0.3">
      <c r="A338" s="1" t="s">
        <v>35</v>
      </c>
      <c r="B338">
        <v>13</v>
      </c>
      <c r="C338" s="1" t="s">
        <v>36</v>
      </c>
      <c r="D338" s="1" t="s">
        <v>23</v>
      </c>
      <c r="E338">
        <v>2101</v>
      </c>
      <c r="F338" s="1" t="s">
        <v>37</v>
      </c>
      <c r="G338" s="1" t="s">
        <v>62</v>
      </c>
      <c r="H338">
        <v>2</v>
      </c>
      <c r="I338" s="1" t="s">
        <v>39</v>
      </c>
      <c r="J338" s="1" t="s">
        <v>47</v>
      </c>
      <c r="K338">
        <v>4</v>
      </c>
      <c r="L338" s="1" t="s">
        <v>48</v>
      </c>
      <c r="M338">
        <v>23</v>
      </c>
      <c r="N338" s="1" t="s">
        <v>29</v>
      </c>
      <c r="O338" s="1" t="s">
        <v>30</v>
      </c>
      <c r="P338">
        <v>1</v>
      </c>
      <c r="Q338" s="1" t="s">
        <v>45</v>
      </c>
      <c r="R338">
        <v>1</v>
      </c>
      <c r="S338" s="1" t="s">
        <v>40</v>
      </c>
      <c r="T338" s="1" t="s">
        <v>33</v>
      </c>
      <c r="U338" s="1" t="s">
        <v>34</v>
      </c>
    </row>
    <row r="339" spans="1:21" x14ac:dyDescent="0.3">
      <c r="A339" s="1" t="s">
        <v>21</v>
      </c>
      <c r="B339">
        <v>15</v>
      </c>
      <c r="C339" s="1" t="s">
        <v>36</v>
      </c>
      <c r="D339" s="1" t="s">
        <v>72</v>
      </c>
      <c r="E339">
        <v>1275</v>
      </c>
      <c r="F339" s="1" t="s">
        <v>24</v>
      </c>
      <c r="G339" s="1" t="s">
        <v>38</v>
      </c>
      <c r="H339">
        <v>4</v>
      </c>
      <c r="I339" s="1" t="s">
        <v>39</v>
      </c>
      <c r="J339" s="1" t="s">
        <v>27</v>
      </c>
      <c r="K339">
        <v>2</v>
      </c>
      <c r="L339" s="1" t="s">
        <v>55</v>
      </c>
      <c r="M339">
        <v>24</v>
      </c>
      <c r="N339" s="1" t="s">
        <v>29</v>
      </c>
      <c r="O339" s="1" t="s">
        <v>56</v>
      </c>
      <c r="P339">
        <v>1</v>
      </c>
      <c r="Q339" s="1" t="s">
        <v>31</v>
      </c>
      <c r="R339">
        <v>1</v>
      </c>
      <c r="S339" s="1" t="s">
        <v>40</v>
      </c>
      <c r="T339" s="1" t="s">
        <v>33</v>
      </c>
      <c r="U339" s="1" t="s">
        <v>41</v>
      </c>
    </row>
    <row r="340" spans="1:21" x14ac:dyDescent="0.3">
      <c r="A340" s="1" t="s">
        <v>21</v>
      </c>
      <c r="B340">
        <v>24</v>
      </c>
      <c r="C340" s="1" t="s">
        <v>36</v>
      </c>
      <c r="D340" s="1" t="s">
        <v>46</v>
      </c>
      <c r="E340">
        <v>4169</v>
      </c>
      <c r="F340" s="1" t="s">
        <v>37</v>
      </c>
      <c r="G340" s="1" t="s">
        <v>38</v>
      </c>
      <c r="H340">
        <v>4</v>
      </c>
      <c r="I340" s="1" t="s">
        <v>26</v>
      </c>
      <c r="J340" s="1" t="s">
        <v>27</v>
      </c>
      <c r="K340">
        <v>4</v>
      </c>
      <c r="L340" s="1" t="s">
        <v>48</v>
      </c>
      <c r="M340">
        <v>28</v>
      </c>
      <c r="N340" s="1" t="s">
        <v>29</v>
      </c>
      <c r="O340" s="1" t="s">
        <v>30</v>
      </c>
      <c r="P340">
        <v>1</v>
      </c>
      <c r="Q340" s="1" t="s">
        <v>31</v>
      </c>
      <c r="R340">
        <v>1</v>
      </c>
      <c r="S340" s="1" t="s">
        <v>40</v>
      </c>
      <c r="T340" s="1" t="s">
        <v>33</v>
      </c>
      <c r="U340" s="1" t="s">
        <v>34</v>
      </c>
    </row>
    <row r="341" spans="1:21" x14ac:dyDescent="0.3">
      <c r="A341" s="1" t="s">
        <v>35</v>
      </c>
      <c r="B341">
        <v>10</v>
      </c>
      <c r="C341" s="1" t="s">
        <v>36</v>
      </c>
      <c r="D341" s="1" t="s">
        <v>46</v>
      </c>
      <c r="E341">
        <v>1521</v>
      </c>
      <c r="F341" s="1" t="s">
        <v>37</v>
      </c>
      <c r="G341" s="1" t="s">
        <v>38</v>
      </c>
      <c r="H341">
        <v>4</v>
      </c>
      <c r="I341" s="1" t="s">
        <v>59</v>
      </c>
      <c r="J341" s="1" t="s">
        <v>27</v>
      </c>
      <c r="K341">
        <v>2</v>
      </c>
      <c r="L341" s="1" t="s">
        <v>55</v>
      </c>
      <c r="M341">
        <v>31</v>
      </c>
      <c r="N341" s="1" t="s">
        <v>29</v>
      </c>
      <c r="O341" s="1" t="s">
        <v>30</v>
      </c>
      <c r="P341">
        <v>1</v>
      </c>
      <c r="Q341" s="1" t="s">
        <v>45</v>
      </c>
      <c r="R341">
        <v>1</v>
      </c>
      <c r="S341" s="1" t="s">
        <v>40</v>
      </c>
      <c r="T341" s="1" t="s">
        <v>33</v>
      </c>
      <c r="U341" s="1" t="s">
        <v>34</v>
      </c>
    </row>
    <row r="342" spans="1:21" x14ac:dyDescent="0.3">
      <c r="A342" s="1" t="s">
        <v>35</v>
      </c>
      <c r="B342">
        <v>24</v>
      </c>
      <c r="C342" s="1" t="s">
        <v>22</v>
      </c>
      <c r="D342" s="1" t="s">
        <v>43</v>
      </c>
      <c r="E342">
        <v>5743</v>
      </c>
      <c r="F342" s="1" t="s">
        <v>37</v>
      </c>
      <c r="G342" s="1" t="s">
        <v>62</v>
      </c>
      <c r="H342">
        <v>2</v>
      </c>
      <c r="I342" s="1" t="s">
        <v>39</v>
      </c>
      <c r="J342" s="1" t="s">
        <v>27</v>
      </c>
      <c r="K342">
        <v>4</v>
      </c>
      <c r="L342" s="1" t="s">
        <v>52</v>
      </c>
      <c r="M342">
        <v>24</v>
      </c>
      <c r="N342" s="1" t="s">
        <v>29</v>
      </c>
      <c r="O342" s="1" t="s">
        <v>49</v>
      </c>
      <c r="P342">
        <v>2</v>
      </c>
      <c r="Q342" s="1" t="s">
        <v>31</v>
      </c>
      <c r="R342">
        <v>1</v>
      </c>
      <c r="S342" s="1" t="s">
        <v>32</v>
      </c>
      <c r="T342" s="1" t="s">
        <v>33</v>
      </c>
      <c r="U342" s="1" t="s">
        <v>34</v>
      </c>
    </row>
    <row r="343" spans="1:21" x14ac:dyDescent="0.3">
      <c r="A343" s="1" t="s">
        <v>21</v>
      </c>
      <c r="B343">
        <v>21</v>
      </c>
      <c r="C343" s="1" t="s">
        <v>36</v>
      </c>
      <c r="D343" s="1" t="s">
        <v>46</v>
      </c>
      <c r="E343">
        <v>3599</v>
      </c>
      <c r="F343" s="1" t="s">
        <v>37</v>
      </c>
      <c r="G343" s="1" t="s">
        <v>44</v>
      </c>
      <c r="H343">
        <v>1</v>
      </c>
      <c r="I343" s="1" t="s">
        <v>39</v>
      </c>
      <c r="J343" s="1" t="s">
        <v>27</v>
      </c>
      <c r="K343">
        <v>4</v>
      </c>
      <c r="L343" s="1" t="s">
        <v>55</v>
      </c>
      <c r="M343">
        <v>26</v>
      </c>
      <c r="N343" s="1" t="s">
        <v>29</v>
      </c>
      <c r="O343" s="1" t="s">
        <v>56</v>
      </c>
      <c r="P343">
        <v>1</v>
      </c>
      <c r="Q343" s="1" t="s">
        <v>45</v>
      </c>
      <c r="R343">
        <v>1</v>
      </c>
      <c r="S343" s="1" t="s">
        <v>40</v>
      </c>
      <c r="T343" s="1" t="s">
        <v>33</v>
      </c>
      <c r="U343" s="1" t="s">
        <v>34</v>
      </c>
    </row>
    <row r="344" spans="1:21" x14ac:dyDescent="0.3">
      <c r="A344" s="1" t="s">
        <v>35</v>
      </c>
      <c r="B344">
        <v>18</v>
      </c>
      <c r="C344" s="1" t="s">
        <v>36</v>
      </c>
      <c r="D344" s="1" t="s">
        <v>23</v>
      </c>
      <c r="E344">
        <v>3213</v>
      </c>
      <c r="F344" s="1" t="s">
        <v>53</v>
      </c>
      <c r="G344" s="1" t="s">
        <v>62</v>
      </c>
      <c r="H344">
        <v>1</v>
      </c>
      <c r="I344" s="1" t="s">
        <v>61</v>
      </c>
      <c r="J344" s="1" t="s">
        <v>27</v>
      </c>
      <c r="K344">
        <v>3</v>
      </c>
      <c r="L344" s="1" t="s">
        <v>28</v>
      </c>
      <c r="M344">
        <v>25</v>
      </c>
      <c r="N344" s="1" t="s">
        <v>29</v>
      </c>
      <c r="O344" s="1" t="s">
        <v>56</v>
      </c>
      <c r="P344">
        <v>1</v>
      </c>
      <c r="Q344" s="1" t="s">
        <v>31</v>
      </c>
      <c r="R344">
        <v>1</v>
      </c>
      <c r="S344" s="1" t="s">
        <v>40</v>
      </c>
      <c r="T344" s="1" t="s">
        <v>33</v>
      </c>
      <c r="U344" s="1" t="s">
        <v>34</v>
      </c>
    </row>
    <row r="345" spans="1:21" x14ac:dyDescent="0.3">
      <c r="A345" s="1" t="s">
        <v>35</v>
      </c>
      <c r="B345">
        <v>18</v>
      </c>
      <c r="C345" s="1" t="s">
        <v>36</v>
      </c>
      <c r="D345" s="1" t="s">
        <v>63</v>
      </c>
      <c r="E345">
        <v>4439</v>
      </c>
      <c r="F345" s="1" t="s">
        <v>37</v>
      </c>
      <c r="G345" s="1" t="s">
        <v>25</v>
      </c>
      <c r="H345">
        <v>1</v>
      </c>
      <c r="I345" s="1" t="s">
        <v>26</v>
      </c>
      <c r="J345" s="1" t="s">
        <v>71</v>
      </c>
      <c r="K345">
        <v>1</v>
      </c>
      <c r="L345" s="1" t="s">
        <v>28</v>
      </c>
      <c r="M345">
        <v>33</v>
      </c>
      <c r="N345" s="1" t="s">
        <v>66</v>
      </c>
      <c r="O345" s="1" t="s">
        <v>30</v>
      </c>
      <c r="P345">
        <v>1</v>
      </c>
      <c r="Q345" s="1" t="s">
        <v>57</v>
      </c>
      <c r="R345">
        <v>1</v>
      </c>
      <c r="S345" s="1" t="s">
        <v>32</v>
      </c>
      <c r="T345" s="1" t="s">
        <v>33</v>
      </c>
      <c r="U345" s="1" t="s">
        <v>34</v>
      </c>
    </row>
    <row r="346" spans="1:21" x14ac:dyDescent="0.3">
      <c r="A346" s="1" t="s">
        <v>68</v>
      </c>
      <c r="B346">
        <v>10</v>
      </c>
      <c r="C346" s="1" t="s">
        <v>36</v>
      </c>
      <c r="D346" s="1" t="s">
        <v>51</v>
      </c>
      <c r="E346">
        <v>3949</v>
      </c>
      <c r="F346" s="1" t="s">
        <v>37</v>
      </c>
      <c r="G346" s="1" t="s">
        <v>62</v>
      </c>
      <c r="H346">
        <v>1</v>
      </c>
      <c r="I346" s="1" t="s">
        <v>26</v>
      </c>
      <c r="J346" s="1" t="s">
        <v>47</v>
      </c>
      <c r="K346">
        <v>1</v>
      </c>
      <c r="L346" s="1" t="s">
        <v>48</v>
      </c>
      <c r="M346">
        <v>37</v>
      </c>
      <c r="N346" s="1" t="s">
        <v>29</v>
      </c>
      <c r="O346" s="1" t="s">
        <v>30</v>
      </c>
      <c r="P346">
        <v>1</v>
      </c>
      <c r="Q346" s="1" t="s">
        <v>45</v>
      </c>
      <c r="R346">
        <v>2</v>
      </c>
      <c r="S346" s="1" t="s">
        <v>40</v>
      </c>
      <c r="T346" s="1" t="s">
        <v>33</v>
      </c>
      <c r="U346" s="1" t="s">
        <v>34</v>
      </c>
    </row>
    <row r="347" spans="1:21" x14ac:dyDescent="0.3">
      <c r="A347" s="1" t="s">
        <v>42</v>
      </c>
      <c r="B347">
        <v>15</v>
      </c>
      <c r="C347" s="1" t="s">
        <v>22</v>
      </c>
      <c r="D347" s="1" t="s">
        <v>23</v>
      </c>
      <c r="E347">
        <v>1459</v>
      </c>
      <c r="F347" s="1" t="s">
        <v>37</v>
      </c>
      <c r="G347" s="1" t="s">
        <v>38</v>
      </c>
      <c r="H347">
        <v>4</v>
      </c>
      <c r="I347" s="1" t="s">
        <v>39</v>
      </c>
      <c r="J347" s="1" t="s">
        <v>27</v>
      </c>
      <c r="K347">
        <v>2</v>
      </c>
      <c r="L347" s="1" t="s">
        <v>55</v>
      </c>
      <c r="M347">
        <v>43</v>
      </c>
      <c r="N347" s="1" t="s">
        <v>29</v>
      </c>
      <c r="O347" s="1" t="s">
        <v>30</v>
      </c>
      <c r="P347">
        <v>1</v>
      </c>
      <c r="Q347" s="1" t="s">
        <v>45</v>
      </c>
      <c r="R347">
        <v>1</v>
      </c>
      <c r="S347" s="1" t="s">
        <v>40</v>
      </c>
      <c r="T347" s="1" t="s">
        <v>33</v>
      </c>
      <c r="U347" s="1" t="s">
        <v>34</v>
      </c>
    </row>
    <row r="348" spans="1:21" x14ac:dyDescent="0.3">
      <c r="A348" s="1" t="s">
        <v>35</v>
      </c>
      <c r="B348">
        <v>13</v>
      </c>
      <c r="C348" s="1" t="s">
        <v>22</v>
      </c>
      <c r="D348" s="1" t="s">
        <v>23</v>
      </c>
      <c r="E348">
        <v>882</v>
      </c>
      <c r="F348" s="1" t="s">
        <v>37</v>
      </c>
      <c r="G348" s="1" t="s">
        <v>62</v>
      </c>
      <c r="H348">
        <v>4</v>
      </c>
      <c r="I348" s="1" t="s">
        <v>26</v>
      </c>
      <c r="J348" s="1" t="s">
        <v>47</v>
      </c>
      <c r="K348">
        <v>4</v>
      </c>
      <c r="L348" s="1" t="s">
        <v>28</v>
      </c>
      <c r="M348">
        <v>23</v>
      </c>
      <c r="N348" s="1" t="s">
        <v>29</v>
      </c>
      <c r="O348" s="1" t="s">
        <v>30</v>
      </c>
      <c r="P348">
        <v>2</v>
      </c>
      <c r="Q348" s="1" t="s">
        <v>31</v>
      </c>
      <c r="R348">
        <v>1</v>
      </c>
      <c r="S348" s="1" t="s">
        <v>40</v>
      </c>
      <c r="T348" s="1" t="s">
        <v>33</v>
      </c>
      <c r="U348" s="1" t="s">
        <v>34</v>
      </c>
    </row>
    <row r="349" spans="1:21" x14ac:dyDescent="0.3">
      <c r="A349" s="1" t="s">
        <v>35</v>
      </c>
      <c r="B349">
        <v>24</v>
      </c>
      <c r="C349" s="1" t="s">
        <v>36</v>
      </c>
      <c r="D349" s="1" t="s">
        <v>23</v>
      </c>
      <c r="E349">
        <v>3758</v>
      </c>
      <c r="F349" s="1" t="s">
        <v>53</v>
      </c>
      <c r="G349" s="1" t="s">
        <v>60</v>
      </c>
      <c r="H349">
        <v>1</v>
      </c>
      <c r="I349" s="1" t="s">
        <v>39</v>
      </c>
      <c r="J349" s="1" t="s">
        <v>27</v>
      </c>
      <c r="K349">
        <v>4</v>
      </c>
      <c r="L349" s="1" t="s">
        <v>52</v>
      </c>
      <c r="M349">
        <v>23</v>
      </c>
      <c r="N349" s="1" t="s">
        <v>29</v>
      </c>
      <c r="O349" s="1" t="s">
        <v>56</v>
      </c>
      <c r="P349">
        <v>1</v>
      </c>
      <c r="Q349" s="1" t="s">
        <v>74</v>
      </c>
      <c r="R349">
        <v>1</v>
      </c>
      <c r="S349" s="1" t="s">
        <v>40</v>
      </c>
      <c r="T349" s="1" t="s">
        <v>33</v>
      </c>
      <c r="U349" s="1" t="s">
        <v>34</v>
      </c>
    </row>
    <row r="350" spans="1:21" x14ac:dyDescent="0.3">
      <c r="A350" s="1" t="s">
        <v>42</v>
      </c>
      <c r="B350">
        <v>6</v>
      </c>
      <c r="C350" s="1" t="s">
        <v>50</v>
      </c>
      <c r="D350" s="1" t="s">
        <v>63</v>
      </c>
      <c r="E350">
        <v>1743</v>
      </c>
      <c r="F350" s="1" t="s">
        <v>64</v>
      </c>
      <c r="G350" s="1" t="s">
        <v>38</v>
      </c>
      <c r="H350">
        <v>1</v>
      </c>
      <c r="I350" s="1" t="s">
        <v>26</v>
      </c>
      <c r="J350" s="1" t="s">
        <v>27</v>
      </c>
      <c r="K350">
        <v>2</v>
      </c>
      <c r="L350" s="1" t="s">
        <v>28</v>
      </c>
      <c r="M350">
        <v>34</v>
      </c>
      <c r="N350" s="1" t="s">
        <v>29</v>
      </c>
      <c r="O350" s="1" t="s">
        <v>30</v>
      </c>
      <c r="P350">
        <v>2</v>
      </c>
      <c r="Q350" s="1" t="s">
        <v>45</v>
      </c>
      <c r="R350">
        <v>1</v>
      </c>
      <c r="S350" s="1" t="s">
        <v>40</v>
      </c>
      <c r="T350" s="1" t="s">
        <v>33</v>
      </c>
      <c r="U350" s="1" t="s">
        <v>34</v>
      </c>
    </row>
    <row r="351" spans="1:21" x14ac:dyDescent="0.3">
      <c r="A351" s="1" t="s">
        <v>35</v>
      </c>
      <c r="B351">
        <v>9</v>
      </c>
      <c r="C351" s="1" t="s">
        <v>22</v>
      </c>
      <c r="D351" s="1" t="s">
        <v>43</v>
      </c>
      <c r="E351">
        <v>1136</v>
      </c>
      <c r="F351" s="1" t="s">
        <v>58</v>
      </c>
      <c r="G351" s="1" t="s">
        <v>25</v>
      </c>
      <c r="H351">
        <v>4</v>
      </c>
      <c r="I351" s="1" t="s">
        <v>26</v>
      </c>
      <c r="J351" s="1" t="s">
        <v>27</v>
      </c>
      <c r="K351">
        <v>3</v>
      </c>
      <c r="L351" s="1" t="s">
        <v>52</v>
      </c>
      <c r="M351">
        <v>32</v>
      </c>
      <c r="N351" s="1" t="s">
        <v>29</v>
      </c>
      <c r="O351" s="1" t="s">
        <v>49</v>
      </c>
      <c r="P351">
        <v>2</v>
      </c>
      <c r="Q351" s="1" t="s">
        <v>31</v>
      </c>
      <c r="R351">
        <v>2</v>
      </c>
      <c r="S351" s="1" t="s">
        <v>40</v>
      </c>
      <c r="T351" s="1" t="s">
        <v>33</v>
      </c>
      <c r="U351" s="1" t="s">
        <v>41</v>
      </c>
    </row>
    <row r="352" spans="1:21" x14ac:dyDescent="0.3">
      <c r="A352" s="1" t="s">
        <v>42</v>
      </c>
      <c r="B352">
        <v>9</v>
      </c>
      <c r="C352" s="1" t="s">
        <v>36</v>
      </c>
      <c r="D352" s="1" t="s">
        <v>72</v>
      </c>
      <c r="E352">
        <v>1236</v>
      </c>
      <c r="F352" s="1" t="s">
        <v>37</v>
      </c>
      <c r="G352" s="1" t="s">
        <v>62</v>
      </c>
      <c r="H352">
        <v>1</v>
      </c>
      <c r="I352" s="1" t="s">
        <v>39</v>
      </c>
      <c r="J352" s="1" t="s">
        <v>27</v>
      </c>
      <c r="K352">
        <v>4</v>
      </c>
      <c r="L352" s="1" t="s">
        <v>28</v>
      </c>
      <c r="M352">
        <v>23</v>
      </c>
      <c r="N352" s="1" t="s">
        <v>29</v>
      </c>
      <c r="O352" s="1" t="s">
        <v>56</v>
      </c>
      <c r="P352">
        <v>1</v>
      </c>
      <c r="Q352" s="1" t="s">
        <v>31</v>
      </c>
      <c r="R352">
        <v>1</v>
      </c>
      <c r="S352" s="1" t="s">
        <v>32</v>
      </c>
      <c r="T352" s="1" t="s">
        <v>33</v>
      </c>
      <c r="U352" s="1" t="s">
        <v>34</v>
      </c>
    </row>
    <row r="353" spans="1:21" x14ac:dyDescent="0.3">
      <c r="A353" s="1" t="s">
        <v>35</v>
      </c>
      <c r="B353">
        <v>9</v>
      </c>
      <c r="C353" s="1" t="s">
        <v>36</v>
      </c>
      <c r="D353" s="1" t="s">
        <v>46</v>
      </c>
      <c r="E353">
        <v>959</v>
      </c>
      <c r="F353" s="1" t="s">
        <v>37</v>
      </c>
      <c r="G353" s="1" t="s">
        <v>38</v>
      </c>
      <c r="H353">
        <v>1</v>
      </c>
      <c r="I353" s="1" t="s">
        <v>39</v>
      </c>
      <c r="J353" s="1" t="s">
        <v>27</v>
      </c>
      <c r="K353">
        <v>2</v>
      </c>
      <c r="L353" s="1" t="s">
        <v>55</v>
      </c>
      <c r="M353">
        <v>29</v>
      </c>
      <c r="N353" s="1" t="s">
        <v>29</v>
      </c>
      <c r="O353" s="1" t="s">
        <v>30</v>
      </c>
      <c r="P353">
        <v>1</v>
      </c>
      <c r="Q353" s="1" t="s">
        <v>31</v>
      </c>
      <c r="R353">
        <v>1</v>
      </c>
      <c r="S353" s="1" t="s">
        <v>40</v>
      </c>
      <c r="T353" s="1" t="s">
        <v>67</v>
      </c>
      <c r="U353" s="1" t="s">
        <v>41</v>
      </c>
    </row>
    <row r="354" spans="1:21" x14ac:dyDescent="0.3">
      <c r="A354" s="1" t="s">
        <v>42</v>
      </c>
      <c r="B354">
        <v>18</v>
      </c>
      <c r="C354" s="1" t="s">
        <v>22</v>
      </c>
      <c r="D354" s="1" t="s">
        <v>54</v>
      </c>
      <c r="E354">
        <v>3229</v>
      </c>
      <c r="F354" s="1" t="s">
        <v>24</v>
      </c>
      <c r="G354" s="1" t="s">
        <v>60</v>
      </c>
      <c r="H354">
        <v>2</v>
      </c>
      <c r="I354" s="1" t="s">
        <v>26</v>
      </c>
      <c r="J354" s="1" t="s">
        <v>27</v>
      </c>
      <c r="K354">
        <v>4</v>
      </c>
      <c r="L354" s="1" t="s">
        <v>52</v>
      </c>
      <c r="M354">
        <v>38</v>
      </c>
      <c r="N354" s="1" t="s">
        <v>29</v>
      </c>
      <c r="O354" s="1" t="s">
        <v>30</v>
      </c>
      <c r="P354">
        <v>1</v>
      </c>
      <c r="Q354" s="1" t="s">
        <v>57</v>
      </c>
      <c r="R354">
        <v>1</v>
      </c>
      <c r="S354" s="1" t="s">
        <v>32</v>
      </c>
      <c r="T354" s="1" t="s">
        <v>33</v>
      </c>
      <c r="U354" s="1" t="s">
        <v>34</v>
      </c>
    </row>
    <row r="355" spans="1:21" x14ac:dyDescent="0.3">
      <c r="A355" s="1" t="s">
        <v>21</v>
      </c>
      <c r="B355">
        <v>12</v>
      </c>
      <c r="C355" s="1" t="s">
        <v>65</v>
      </c>
      <c r="D355" s="1" t="s">
        <v>23</v>
      </c>
      <c r="E355">
        <v>6199</v>
      </c>
      <c r="F355" s="1" t="s">
        <v>37</v>
      </c>
      <c r="G355" s="1" t="s">
        <v>38</v>
      </c>
      <c r="H355">
        <v>4</v>
      </c>
      <c r="I355" s="1" t="s">
        <v>26</v>
      </c>
      <c r="J355" s="1" t="s">
        <v>27</v>
      </c>
      <c r="K355">
        <v>2</v>
      </c>
      <c r="L355" s="1" t="s">
        <v>48</v>
      </c>
      <c r="M355">
        <v>28</v>
      </c>
      <c r="N355" s="1" t="s">
        <v>29</v>
      </c>
      <c r="O355" s="1" t="s">
        <v>56</v>
      </c>
      <c r="P355">
        <v>2</v>
      </c>
      <c r="Q355" s="1" t="s">
        <v>31</v>
      </c>
      <c r="R355">
        <v>1</v>
      </c>
      <c r="S355" s="1" t="s">
        <v>32</v>
      </c>
      <c r="T355" s="1" t="s">
        <v>33</v>
      </c>
      <c r="U355" s="1" t="s">
        <v>41</v>
      </c>
    </row>
    <row r="356" spans="1:21" x14ac:dyDescent="0.3">
      <c r="A356" s="1" t="s">
        <v>42</v>
      </c>
      <c r="B356">
        <v>10</v>
      </c>
      <c r="C356" s="1" t="s">
        <v>36</v>
      </c>
      <c r="D356" s="1" t="s">
        <v>43</v>
      </c>
      <c r="E356">
        <v>727</v>
      </c>
      <c r="F356" s="1" t="s">
        <v>53</v>
      </c>
      <c r="G356" s="1" t="s">
        <v>25</v>
      </c>
      <c r="H356">
        <v>4</v>
      </c>
      <c r="I356" s="1" t="s">
        <v>26</v>
      </c>
      <c r="J356" s="1" t="s">
        <v>27</v>
      </c>
      <c r="K356">
        <v>4</v>
      </c>
      <c r="L356" s="1" t="s">
        <v>52</v>
      </c>
      <c r="M356">
        <v>46</v>
      </c>
      <c r="N356" s="1" t="s">
        <v>29</v>
      </c>
      <c r="O356" s="1" t="s">
        <v>49</v>
      </c>
      <c r="P356">
        <v>1</v>
      </c>
      <c r="Q356" s="1" t="s">
        <v>31</v>
      </c>
      <c r="R356">
        <v>1</v>
      </c>
      <c r="S356" s="1" t="s">
        <v>32</v>
      </c>
      <c r="T356" s="1" t="s">
        <v>33</v>
      </c>
      <c r="U356" s="1" t="s">
        <v>34</v>
      </c>
    </row>
    <row r="357" spans="1:21" x14ac:dyDescent="0.3">
      <c r="A357" s="1" t="s">
        <v>35</v>
      </c>
      <c r="B357">
        <v>24</v>
      </c>
      <c r="C357" s="1" t="s">
        <v>36</v>
      </c>
      <c r="D357" s="1" t="s">
        <v>51</v>
      </c>
      <c r="E357">
        <v>1246</v>
      </c>
      <c r="F357" s="1" t="s">
        <v>37</v>
      </c>
      <c r="G357" s="1" t="s">
        <v>62</v>
      </c>
      <c r="H357">
        <v>4</v>
      </c>
      <c r="I357" s="1" t="s">
        <v>26</v>
      </c>
      <c r="J357" s="1" t="s">
        <v>27</v>
      </c>
      <c r="K357">
        <v>2</v>
      </c>
      <c r="L357" s="1" t="s">
        <v>28</v>
      </c>
      <c r="M357">
        <v>23</v>
      </c>
      <c r="N357" s="1" t="s">
        <v>70</v>
      </c>
      <c r="O357" s="1" t="s">
        <v>30</v>
      </c>
      <c r="P357">
        <v>1</v>
      </c>
      <c r="Q357" s="1" t="s">
        <v>45</v>
      </c>
      <c r="R357">
        <v>1</v>
      </c>
      <c r="S357" s="1" t="s">
        <v>40</v>
      </c>
      <c r="T357" s="1" t="s">
        <v>33</v>
      </c>
      <c r="U357" s="1" t="s">
        <v>41</v>
      </c>
    </row>
    <row r="358" spans="1:21" x14ac:dyDescent="0.3">
      <c r="A358" s="1" t="s">
        <v>42</v>
      </c>
      <c r="B358">
        <v>12</v>
      </c>
      <c r="C358" s="1" t="s">
        <v>22</v>
      </c>
      <c r="D358" s="1" t="s">
        <v>23</v>
      </c>
      <c r="E358">
        <v>2331</v>
      </c>
      <c r="F358" s="1" t="s">
        <v>24</v>
      </c>
      <c r="G358" s="1" t="s">
        <v>25</v>
      </c>
      <c r="H358">
        <v>1</v>
      </c>
      <c r="I358" s="1" t="s">
        <v>26</v>
      </c>
      <c r="J358" s="1" t="s">
        <v>71</v>
      </c>
      <c r="K358">
        <v>4</v>
      </c>
      <c r="L358" s="1" t="s">
        <v>28</v>
      </c>
      <c r="M358">
        <v>49</v>
      </c>
      <c r="N358" s="1" t="s">
        <v>29</v>
      </c>
      <c r="O358" s="1" t="s">
        <v>30</v>
      </c>
      <c r="P358">
        <v>1</v>
      </c>
      <c r="Q358" s="1" t="s">
        <v>31</v>
      </c>
      <c r="R358">
        <v>1</v>
      </c>
      <c r="S358" s="1" t="s">
        <v>32</v>
      </c>
      <c r="T358" s="1" t="s">
        <v>33</v>
      </c>
      <c r="U358" s="1" t="s">
        <v>34</v>
      </c>
    </row>
    <row r="359" spans="1:21" x14ac:dyDescent="0.3">
      <c r="A359" s="1" t="s">
        <v>42</v>
      </c>
      <c r="B359">
        <v>36</v>
      </c>
      <c r="C359" s="1" t="s">
        <v>50</v>
      </c>
      <c r="D359" s="1" t="s">
        <v>23</v>
      </c>
      <c r="E359">
        <v>4463</v>
      </c>
      <c r="F359" s="1" t="s">
        <v>37</v>
      </c>
      <c r="G359" s="1" t="s">
        <v>38</v>
      </c>
      <c r="H359">
        <v>4</v>
      </c>
      <c r="I359" s="1" t="s">
        <v>26</v>
      </c>
      <c r="J359" s="1" t="s">
        <v>27</v>
      </c>
      <c r="K359">
        <v>2</v>
      </c>
      <c r="L359" s="1" t="s">
        <v>55</v>
      </c>
      <c r="M359">
        <v>26</v>
      </c>
      <c r="N359" s="1" t="s">
        <v>29</v>
      </c>
      <c r="O359" s="1" t="s">
        <v>30</v>
      </c>
      <c r="P359">
        <v>2</v>
      </c>
      <c r="Q359" s="1" t="s">
        <v>57</v>
      </c>
      <c r="R359">
        <v>1</v>
      </c>
      <c r="S359" s="1" t="s">
        <v>32</v>
      </c>
      <c r="T359" s="1" t="s">
        <v>33</v>
      </c>
      <c r="U359" s="1" t="s">
        <v>41</v>
      </c>
    </row>
    <row r="360" spans="1:21" x14ac:dyDescent="0.3">
      <c r="A360" s="1" t="s">
        <v>42</v>
      </c>
      <c r="B360">
        <v>12</v>
      </c>
      <c r="C360" s="1" t="s">
        <v>36</v>
      </c>
      <c r="D360" s="1" t="s">
        <v>23</v>
      </c>
      <c r="E360">
        <v>776</v>
      </c>
      <c r="F360" s="1" t="s">
        <v>37</v>
      </c>
      <c r="G360" s="1" t="s">
        <v>38</v>
      </c>
      <c r="H360">
        <v>4</v>
      </c>
      <c r="I360" s="1" t="s">
        <v>61</v>
      </c>
      <c r="J360" s="1" t="s">
        <v>27</v>
      </c>
      <c r="K360">
        <v>2</v>
      </c>
      <c r="L360" s="1" t="s">
        <v>28</v>
      </c>
      <c r="M360">
        <v>28</v>
      </c>
      <c r="N360" s="1" t="s">
        <v>29</v>
      </c>
      <c r="O360" s="1" t="s">
        <v>30</v>
      </c>
      <c r="P360">
        <v>1</v>
      </c>
      <c r="Q360" s="1" t="s">
        <v>31</v>
      </c>
      <c r="R360">
        <v>1</v>
      </c>
      <c r="S360" s="1" t="s">
        <v>40</v>
      </c>
      <c r="T360" s="1" t="s">
        <v>33</v>
      </c>
      <c r="U360" s="1" t="s">
        <v>34</v>
      </c>
    </row>
    <row r="361" spans="1:21" x14ac:dyDescent="0.3">
      <c r="A361" s="1" t="s">
        <v>21</v>
      </c>
      <c r="B361">
        <v>30</v>
      </c>
      <c r="C361" s="1" t="s">
        <v>36</v>
      </c>
      <c r="D361" s="1" t="s">
        <v>46</v>
      </c>
      <c r="E361">
        <v>2406</v>
      </c>
      <c r="F361" s="1" t="s">
        <v>37</v>
      </c>
      <c r="G361" s="1" t="s">
        <v>44</v>
      </c>
      <c r="H361">
        <v>4</v>
      </c>
      <c r="I361" s="1" t="s">
        <v>39</v>
      </c>
      <c r="J361" s="1" t="s">
        <v>27</v>
      </c>
      <c r="K361">
        <v>4</v>
      </c>
      <c r="L361" s="1" t="s">
        <v>28</v>
      </c>
      <c r="M361">
        <v>23</v>
      </c>
      <c r="N361" s="1" t="s">
        <v>29</v>
      </c>
      <c r="O361" s="1" t="s">
        <v>56</v>
      </c>
      <c r="P361">
        <v>1</v>
      </c>
      <c r="Q361" s="1" t="s">
        <v>31</v>
      </c>
      <c r="R361">
        <v>1</v>
      </c>
      <c r="S361" s="1" t="s">
        <v>40</v>
      </c>
      <c r="T361" s="1" t="s">
        <v>33</v>
      </c>
      <c r="U361" s="1" t="s">
        <v>41</v>
      </c>
    </row>
    <row r="362" spans="1:21" x14ac:dyDescent="0.3">
      <c r="A362" s="1" t="s">
        <v>35</v>
      </c>
      <c r="B362">
        <v>18</v>
      </c>
      <c r="C362" s="1" t="s">
        <v>36</v>
      </c>
      <c r="D362" s="1" t="s">
        <v>43</v>
      </c>
      <c r="E362">
        <v>1239</v>
      </c>
      <c r="F362" s="1" t="s">
        <v>24</v>
      </c>
      <c r="G362" s="1" t="s">
        <v>38</v>
      </c>
      <c r="H362">
        <v>4</v>
      </c>
      <c r="I362" s="1" t="s">
        <v>26</v>
      </c>
      <c r="J362" s="1" t="s">
        <v>27</v>
      </c>
      <c r="K362">
        <v>4</v>
      </c>
      <c r="L362" s="1" t="s">
        <v>52</v>
      </c>
      <c r="M362">
        <v>61</v>
      </c>
      <c r="N362" s="1" t="s">
        <v>29</v>
      </c>
      <c r="O362" s="1" t="s">
        <v>49</v>
      </c>
      <c r="P362">
        <v>1</v>
      </c>
      <c r="Q362" s="1" t="s">
        <v>31</v>
      </c>
      <c r="R362">
        <v>1</v>
      </c>
      <c r="S362" s="1" t="s">
        <v>40</v>
      </c>
      <c r="T362" s="1" t="s">
        <v>33</v>
      </c>
      <c r="U362" s="1" t="s">
        <v>34</v>
      </c>
    </row>
    <row r="363" spans="1:21" x14ac:dyDescent="0.3">
      <c r="A363" s="1" t="s">
        <v>68</v>
      </c>
      <c r="B363">
        <v>12</v>
      </c>
      <c r="C363" s="1" t="s">
        <v>36</v>
      </c>
      <c r="D363" s="1" t="s">
        <v>23</v>
      </c>
      <c r="E363">
        <v>3399</v>
      </c>
      <c r="F363" s="1" t="s">
        <v>24</v>
      </c>
      <c r="G363" s="1" t="s">
        <v>25</v>
      </c>
      <c r="H363">
        <v>2</v>
      </c>
      <c r="I363" s="1" t="s">
        <v>26</v>
      </c>
      <c r="J363" s="1" t="s">
        <v>27</v>
      </c>
      <c r="K363">
        <v>3</v>
      </c>
      <c r="L363" s="1" t="s">
        <v>55</v>
      </c>
      <c r="M363">
        <v>37</v>
      </c>
      <c r="N363" s="1" t="s">
        <v>29</v>
      </c>
      <c r="O363" s="1" t="s">
        <v>30</v>
      </c>
      <c r="P363">
        <v>1</v>
      </c>
      <c r="Q363" s="1" t="s">
        <v>57</v>
      </c>
      <c r="R363">
        <v>1</v>
      </c>
      <c r="S363" s="1" t="s">
        <v>40</v>
      </c>
      <c r="T363" s="1" t="s">
        <v>33</v>
      </c>
      <c r="U363" s="1" t="s">
        <v>34</v>
      </c>
    </row>
    <row r="364" spans="1:21" x14ac:dyDescent="0.3">
      <c r="A364" s="1" t="s">
        <v>68</v>
      </c>
      <c r="B364">
        <v>12</v>
      </c>
      <c r="C364" s="1" t="s">
        <v>50</v>
      </c>
      <c r="D364" s="1" t="s">
        <v>51</v>
      </c>
      <c r="E364">
        <v>2247</v>
      </c>
      <c r="F364" s="1" t="s">
        <v>37</v>
      </c>
      <c r="G364" s="1" t="s">
        <v>38</v>
      </c>
      <c r="H364">
        <v>2</v>
      </c>
      <c r="I364" s="1" t="s">
        <v>39</v>
      </c>
      <c r="J364" s="1" t="s">
        <v>27</v>
      </c>
      <c r="K364">
        <v>2</v>
      </c>
      <c r="L364" s="1" t="s">
        <v>55</v>
      </c>
      <c r="M364">
        <v>36</v>
      </c>
      <c r="N364" s="1" t="s">
        <v>70</v>
      </c>
      <c r="O364" s="1" t="s">
        <v>30</v>
      </c>
      <c r="P364">
        <v>2</v>
      </c>
      <c r="Q364" s="1" t="s">
        <v>31</v>
      </c>
      <c r="R364">
        <v>1</v>
      </c>
      <c r="S364" s="1" t="s">
        <v>32</v>
      </c>
      <c r="T364" s="1" t="s">
        <v>33</v>
      </c>
      <c r="U364" s="1" t="s">
        <v>34</v>
      </c>
    </row>
    <row r="365" spans="1:21" x14ac:dyDescent="0.3">
      <c r="A365" s="1" t="s">
        <v>42</v>
      </c>
      <c r="B365">
        <v>6</v>
      </c>
      <c r="C365" s="1" t="s">
        <v>36</v>
      </c>
      <c r="D365" s="1" t="s">
        <v>46</v>
      </c>
      <c r="E365">
        <v>1766</v>
      </c>
      <c r="F365" s="1" t="s">
        <v>37</v>
      </c>
      <c r="G365" s="1" t="s">
        <v>38</v>
      </c>
      <c r="H365">
        <v>1</v>
      </c>
      <c r="I365" s="1" t="s">
        <v>61</v>
      </c>
      <c r="J365" s="1" t="s">
        <v>27</v>
      </c>
      <c r="K365">
        <v>2</v>
      </c>
      <c r="L365" s="1" t="s">
        <v>48</v>
      </c>
      <c r="M365">
        <v>21</v>
      </c>
      <c r="N365" s="1" t="s">
        <v>29</v>
      </c>
      <c r="O365" s="1" t="s">
        <v>56</v>
      </c>
      <c r="P365">
        <v>1</v>
      </c>
      <c r="Q365" s="1" t="s">
        <v>31</v>
      </c>
      <c r="R365">
        <v>1</v>
      </c>
      <c r="S365" s="1" t="s">
        <v>40</v>
      </c>
      <c r="T365" s="1" t="s">
        <v>33</v>
      </c>
      <c r="U365" s="1" t="s">
        <v>34</v>
      </c>
    </row>
    <row r="366" spans="1:21" x14ac:dyDescent="0.3">
      <c r="A366" s="1" t="s">
        <v>21</v>
      </c>
      <c r="B366">
        <v>18</v>
      </c>
      <c r="C366" s="1" t="s">
        <v>36</v>
      </c>
      <c r="D366" s="1" t="s">
        <v>46</v>
      </c>
      <c r="E366">
        <v>2473</v>
      </c>
      <c r="F366" s="1" t="s">
        <v>37</v>
      </c>
      <c r="G366" s="1" t="s">
        <v>60</v>
      </c>
      <c r="H366">
        <v>4</v>
      </c>
      <c r="I366" s="1" t="s">
        <v>26</v>
      </c>
      <c r="J366" s="1" t="s">
        <v>27</v>
      </c>
      <c r="K366">
        <v>1</v>
      </c>
      <c r="L366" s="1" t="s">
        <v>55</v>
      </c>
      <c r="M366">
        <v>25</v>
      </c>
      <c r="N366" s="1" t="s">
        <v>29</v>
      </c>
      <c r="O366" s="1" t="s">
        <v>30</v>
      </c>
      <c r="P366">
        <v>1</v>
      </c>
      <c r="Q366" s="1" t="s">
        <v>74</v>
      </c>
      <c r="R366">
        <v>1</v>
      </c>
      <c r="S366" s="1" t="s">
        <v>40</v>
      </c>
      <c r="T366" s="1" t="s">
        <v>33</v>
      </c>
      <c r="U366" s="1" t="s">
        <v>41</v>
      </c>
    </row>
    <row r="367" spans="1:21" x14ac:dyDescent="0.3">
      <c r="A367" s="1" t="s">
        <v>42</v>
      </c>
      <c r="B367">
        <v>12</v>
      </c>
      <c r="C367" s="1" t="s">
        <v>36</v>
      </c>
      <c r="D367" s="1" t="s">
        <v>63</v>
      </c>
      <c r="E367">
        <v>1542</v>
      </c>
      <c r="F367" s="1" t="s">
        <v>37</v>
      </c>
      <c r="G367" s="1" t="s">
        <v>44</v>
      </c>
      <c r="H367">
        <v>2</v>
      </c>
      <c r="I367" s="1" t="s">
        <v>26</v>
      </c>
      <c r="J367" s="1" t="s">
        <v>27</v>
      </c>
      <c r="K367">
        <v>4</v>
      </c>
      <c r="L367" s="1" t="s">
        <v>55</v>
      </c>
      <c r="M367">
        <v>36</v>
      </c>
      <c r="N367" s="1" t="s">
        <v>29</v>
      </c>
      <c r="O367" s="1" t="s">
        <v>30</v>
      </c>
      <c r="P367">
        <v>1</v>
      </c>
      <c r="Q367" s="1" t="s">
        <v>31</v>
      </c>
      <c r="R367">
        <v>1</v>
      </c>
      <c r="S367" s="1" t="s">
        <v>32</v>
      </c>
      <c r="T367" s="1" t="s">
        <v>33</v>
      </c>
      <c r="U367" s="1" t="s">
        <v>34</v>
      </c>
    </row>
    <row r="368" spans="1:21" x14ac:dyDescent="0.3">
      <c r="A368" s="1" t="s">
        <v>42</v>
      </c>
      <c r="B368">
        <v>18</v>
      </c>
      <c r="C368" s="1" t="s">
        <v>22</v>
      </c>
      <c r="D368" s="1" t="s">
        <v>54</v>
      </c>
      <c r="E368">
        <v>3850</v>
      </c>
      <c r="F368" s="1" t="s">
        <v>37</v>
      </c>
      <c r="G368" s="1" t="s">
        <v>44</v>
      </c>
      <c r="H368">
        <v>3</v>
      </c>
      <c r="I368" s="1" t="s">
        <v>26</v>
      </c>
      <c r="J368" s="1" t="s">
        <v>27</v>
      </c>
      <c r="K368">
        <v>1</v>
      </c>
      <c r="L368" s="1" t="s">
        <v>55</v>
      </c>
      <c r="M368">
        <v>27</v>
      </c>
      <c r="N368" s="1" t="s">
        <v>29</v>
      </c>
      <c r="O368" s="1" t="s">
        <v>30</v>
      </c>
      <c r="P368">
        <v>2</v>
      </c>
      <c r="Q368" s="1" t="s">
        <v>31</v>
      </c>
      <c r="R368">
        <v>1</v>
      </c>
      <c r="S368" s="1" t="s">
        <v>40</v>
      </c>
      <c r="T368" s="1" t="s">
        <v>33</v>
      </c>
      <c r="U368" s="1" t="s">
        <v>34</v>
      </c>
    </row>
    <row r="369" spans="1:21" x14ac:dyDescent="0.3">
      <c r="A369" s="1" t="s">
        <v>21</v>
      </c>
      <c r="B369">
        <v>18</v>
      </c>
      <c r="C369" s="1" t="s">
        <v>36</v>
      </c>
      <c r="D369" s="1" t="s">
        <v>46</v>
      </c>
      <c r="E369">
        <v>3650</v>
      </c>
      <c r="F369" s="1" t="s">
        <v>37</v>
      </c>
      <c r="G369" s="1" t="s">
        <v>62</v>
      </c>
      <c r="H369">
        <v>1</v>
      </c>
      <c r="I369" s="1" t="s">
        <v>39</v>
      </c>
      <c r="J369" s="1" t="s">
        <v>27</v>
      </c>
      <c r="K369">
        <v>4</v>
      </c>
      <c r="L369" s="1" t="s">
        <v>55</v>
      </c>
      <c r="M369">
        <v>22</v>
      </c>
      <c r="N369" s="1" t="s">
        <v>29</v>
      </c>
      <c r="O369" s="1" t="s">
        <v>56</v>
      </c>
      <c r="P369">
        <v>1</v>
      </c>
      <c r="Q369" s="1" t="s">
        <v>31</v>
      </c>
      <c r="R369">
        <v>1</v>
      </c>
      <c r="S369" s="1" t="s">
        <v>40</v>
      </c>
      <c r="T369" s="1" t="s">
        <v>33</v>
      </c>
      <c r="U369" s="1" t="s">
        <v>34</v>
      </c>
    </row>
    <row r="370" spans="1:21" x14ac:dyDescent="0.3">
      <c r="A370" s="1" t="s">
        <v>21</v>
      </c>
      <c r="B370">
        <v>36</v>
      </c>
      <c r="C370" s="1" t="s">
        <v>36</v>
      </c>
      <c r="D370" s="1" t="s">
        <v>46</v>
      </c>
      <c r="E370">
        <v>3446</v>
      </c>
      <c r="F370" s="1" t="s">
        <v>37</v>
      </c>
      <c r="G370" s="1" t="s">
        <v>25</v>
      </c>
      <c r="H370">
        <v>4</v>
      </c>
      <c r="I370" s="1" t="s">
        <v>26</v>
      </c>
      <c r="J370" s="1" t="s">
        <v>27</v>
      </c>
      <c r="K370">
        <v>2</v>
      </c>
      <c r="L370" s="1" t="s">
        <v>55</v>
      </c>
      <c r="M370">
        <v>42</v>
      </c>
      <c r="N370" s="1" t="s">
        <v>29</v>
      </c>
      <c r="O370" s="1" t="s">
        <v>30</v>
      </c>
      <c r="P370">
        <v>1</v>
      </c>
      <c r="Q370" s="1" t="s">
        <v>31</v>
      </c>
      <c r="R370">
        <v>2</v>
      </c>
      <c r="S370" s="1" t="s">
        <v>40</v>
      </c>
      <c r="T370" s="1" t="s">
        <v>33</v>
      </c>
      <c r="U370" s="1" t="s">
        <v>41</v>
      </c>
    </row>
    <row r="371" spans="1:21" x14ac:dyDescent="0.3">
      <c r="A371" s="1" t="s">
        <v>35</v>
      </c>
      <c r="B371">
        <v>18</v>
      </c>
      <c r="C371" s="1" t="s">
        <v>36</v>
      </c>
      <c r="D371" s="1" t="s">
        <v>46</v>
      </c>
      <c r="E371">
        <v>3001</v>
      </c>
      <c r="F371" s="1" t="s">
        <v>37</v>
      </c>
      <c r="G371" s="1" t="s">
        <v>44</v>
      </c>
      <c r="H371">
        <v>2</v>
      </c>
      <c r="I371" s="1" t="s">
        <v>39</v>
      </c>
      <c r="J371" s="1" t="s">
        <v>27</v>
      </c>
      <c r="K371">
        <v>4</v>
      </c>
      <c r="L371" s="1" t="s">
        <v>28</v>
      </c>
      <c r="M371">
        <v>40</v>
      </c>
      <c r="N371" s="1" t="s">
        <v>29</v>
      </c>
      <c r="O371" s="1" t="s">
        <v>56</v>
      </c>
      <c r="P371">
        <v>1</v>
      </c>
      <c r="Q371" s="1" t="s">
        <v>31</v>
      </c>
      <c r="R371">
        <v>1</v>
      </c>
      <c r="S371" s="1" t="s">
        <v>40</v>
      </c>
      <c r="T371" s="1" t="s">
        <v>33</v>
      </c>
      <c r="U371" s="1" t="s">
        <v>34</v>
      </c>
    </row>
    <row r="372" spans="1:21" x14ac:dyDescent="0.3">
      <c r="A372" s="1" t="s">
        <v>42</v>
      </c>
      <c r="B372">
        <v>36</v>
      </c>
      <c r="C372" s="1" t="s">
        <v>36</v>
      </c>
      <c r="D372" s="1" t="s">
        <v>51</v>
      </c>
      <c r="E372">
        <v>3079</v>
      </c>
      <c r="F372" s="1" t="s">
        <v>24</v>
      </c>
      <c r="G372" s="1" t="s">
        <v>38</v>
      </c>
      <c r="H372">
        <v>4</v>
      </c>
      <c r="I372" s="1" t="s">
        <v>26</v>
      </c>
      <c r="J372" s="1" t="s">
        <v>27</v>
      </c>
      <c r="K372">
        <v>4</v>
      </c>
      <c r="L372" s="1" t="s">
        <v>28</v>
      </c>
      <c r="M372">
        <v>36</v>
      </c>
      <c r="N372" s="1" t="s">
        <v>29</v>
      </c>
      <c r="O372" s="1" t="s">
        <v>30</v>
      </c>
      <c r="P372">
        <v>1</v>
      </c>
      <c r="Q372" s="1" t="s">
        <v>31</v>
      </c>
      <c r="R372">
        <v>1</v>
      </c>
      <c r="S372" s="1" t="s">
        <v>40</v>
      </c>
      <c r="T372" s="1" t="s">
        <v>33</v>
      </c>
      <c r="U372" s="1" t="s">
        <v>34</v>
      </c>
    </row>
    <row r="373" spans="1:21" x14ac:dyDescent="0.3">
      <c r="A373" s="1" t="s">
        <v>42</v>
      </c>
      <c r="B373">
        <v>18</v>
      </c>
      <c r="C373" s="1" t="s">
        <v>22</v>
      </c>
      <c r="D373" s="1" t="s">
        <v>23</v>
      </c>
      <c r="E373">
        <v>6070</v>
      </c>
      <c r="F373" s="1" t="s">
        <v>37</v>
      </c>
      <c r="G373" s="1" t="s">
        <v>25</v>
      </c>
      <c r="H373">
        <v>3</v>
      </c>
      <c r="I373" s="1" t="s">
        <v>26</v>
      </c>
      <c r="J373" s="1" t="s">
        <v>27</v>
      </c>
      <c r="K373">
        <v>4</v>
      </c>
      <c r="L373" s="1" t="s">
        <v>55</v>
      </c>
      <c r="M373">
        <v>33</v>
      </c>
      <c r="N373" s="1" t="s">
        <v>29</v>
      </c>
      <c r="O373" s="1" t="s">
        <v>30</v>
      </c>
      <c r="P373">
        <v>2</v>
      </c>
      <c r="Q373" s="1" t="s">
        <v>31</v>
      </c>
      <c r="R373">
        <v>1</v>
      </c>
      <c r="S373" s="1" t="s">
        <v>32</v>
      </c>
      <c r="T373" s="1" t="s">
        <v>33</v>
      </c>
      <c r="U373" s="1" t="s">
        <v>34</v>
      </c>
    </row>
    <row r="374" spans="1:21" x14ac:dyDescent="0.3">
      <c r="A374" s="1" t="s">
        <v>42</v>
      </c>
      <c r="B374">
        <v>10</v>
      </c>
      <c r="C374" s="1" t="s">
        <v>22</v>
      </c>
      <c r="D374" s="1" t="s">
        <v>46</v>
      </c>
      <c r="E374">
        <v>2146</v>
      </c>
      <c r="F374" s="1" t="s">
        <v>37</v>
      </c>
      <c r="G374" s="1" t="s">
        <v>62</v>
      </c>
      <c r="H374">
        <v>1</v>
      </c>
      <c r="I374" s="1" t="s">
        <v>39</v>
      </c>
      <c r="J374" s="1" t="s">
        <v>27</v>
      </c>
      <c r="K374">
        <v>3</v>
      </c>
      <c r="L374" s="1" t="s">
        <v>28</v>
      </c>
      <c r="M374">
        <v>23</v>
      </c>
      <c r="N374" s="1" t="s">
        <v>29</v>
      </c>
      <c r="O374" s="1" t="s">
        <v>56</v>
      </c>
      <c r="P374">
        <v>2</v>
      </c>
      <c r="Q374" s="1" t="s">
        <v>31</v>
      </c>
      <c r="R374">
        <v>1</v>
      </c>
      <c r="S374" s="1" t="s">
        <v>40</v>
      </c>
      <c r="T374" s="1" t="s">
        <v>33</v>
      </c>
      <c r="U374" s="1" t="s">
        <v>34</v>
      </c>
    </row>
    <row r="375" spans="1:21" x14ac:dyDescent="0.3">
      <c r="A375" s="1" t="s">
        <v>42</v>
      </c>
      <c r="B375">
        <v>60</v>
      </c>
      <c r="C375" s="1" t="s">
        <v>22</v>
      </c>
      <c r="D375" s="1" t="s">
        <v>51</v>
      </c>
      <c r="E375">
        <v>13756</v>
      </c>
      <c r="F375" s="1" t="s">
        <v>24</v>
      </c>
      <c r="G375" s="1" t="s">
        <v>25</v>
      </c>
      <c r="H375">
        <v>2</v>
      </c>
      <c r="I375" s="1" t="s">
        <v>26</v>
      </c>
      <c r="J375" s="1" t="s">
        <v>27</v>
      </c>
      <c r="K375">
        <v>4</v>
      </c>
      <c r="L375" s="1" t="s">
        <v>52</v>
      </c>
      <c r="M375">
        <v>63</v>
      </c>
      <c r="N375" s="1" t="s">
        <v>66</v>
      </c>
      <c r="O375" s="1" t="s">
        <v>49</v>
      </c>
      <c r="P375">
        <v>1</v>
      </c>
      <c r="Q375" s="1" t="s">
        <v>57</v>
      </c>
      <c r="R375">
        <v>1</v>
      </c>
      <c r="S375" s="1" t="s">
        <v>32</v>
      </c>
      <c r="T375" s="1" t="s">
        <v>33</v>
      </c>
      <c r="U375" s="1" t="s">
        <v>34</v>
      </c>
    </row>
    <row r="376" spans="1:21" x14ac:dyDescent="0.3">
      <c r="A376" s="1" t="s">
        <v>35</v>
      </c>
      <c r="B376">
        <v>60</v>
      </c>
      <c r="C376" s="1" t="s">
        <v>69</v>
      </c>
      <c r="D376" s="1" t="s">
        <v>75</v>
      </c>
      <c r="E376">
        <v>14782</v>
      </c>
      <c r="F376" s="1" t="s">
        <v>64</v>
      </c>
      <c r="G376" s="1" t="s">
        <v>25</v>
      </c>
      <c r="H376">
        <v>3</v>
      </c>
      <c r="I376" s="1" t="s">
        <v>39</v>
      </c>
      <c r="J376" s="1" t="s">
        <v>27</v>
      </c>
      <c r="K376">
        <v>4</v>
      </c>
      <c r="L376" s="1" t="s">
        <v>52</v>
      </c>
      <c r="M376">
        <v>60</v>
      </c>
      <c r="N376" s="1" t="s">
        <v>66</v>
      </c>
      <c r="O376" s="1" t="s">
        <v>49</v>
      </c>
      <c r="P376">
        <v>2</v>
      </c>
      <c r="Q376" s="1" t="s">
        <v>57</v>
      </c>
      <c r="R376">
        <v>1</v>
      </c>
      <c r="S376" s="1" t="s">
        <v>32</v>
      </c>
      <c r="T376" s="1" t="s">
        <v>33</v>
      </c>
      <c r="U376" s="1" t="s">
        <v>41</v>
      </c>
    </row>
    <row r="377" spans="1:21" x14ac:dyDescent="0.3">
      <c r="A377" s="1" t="s">
        <v>21</v>
      </c>
      <c r="B377">
        <v>48</v>
      </c>
      <c r="C377" s="1" t="s">
        <v>69</v>
      </c>
      <c r="D377" s="1" t="s">
        <v>63</v>
      </c>
      <c r="E377">
        <v>7685</v>
      </c>
      <c r="F377" s="1" t="s">
        <v>37</v>
      </c>
      <c r="G377" s="1" t="s">
        <v>44</v>
      </c>
      <c r="H377">
        <v>2</v>
      </c>
      <c r="I377" s="1" t="s">
        <v>39</v>
      </c>
      <c r="J377" s="1" t="s">
        <v>47</v>
      </c>
      <c r="K377">
        <v>4</v>
      </c>
      <c r="L377" s="1" t="s">
        <v>55</v>
      </c>
      <c r="M377">
        <v>37</v>
      </c>
      <c r="N377" s="1" t="s">
        <v>29</v>
      </c>
      <c r="O377" s="1" t="s">
        <v>56</v>
      </c>
      <c r="P377">
        <v>1</v>
      </c>
      <c r="Q377" s="1" t="s">
        <v>31</v>
      </c>
      <c r="R377">
        <v>1</v>
      </c>
      <c r="S377" s="1" t="s">
        <v>40</v>
      </c>
      <c r="T377" s="1" t="s">
        <v>33</v>
      </c>
      <c r="U377" s="1" t="s">
        <v>41</v>
      </c>
    </row>
    <row r="378" spans="1:21" x14ac:dyDescent="0.3">
      <c r="A378" s="1" t="s">
        <v>42</v>
      </c>
      <c r="B378">
        <v>18</v>
      </c>
      <c r="C378" s="1" t="s">
        <v>50</v>
      </c>
      <c r="D378" s="1" t="s">
        <v>23</v>
      </c>
      <c r="E378">
        <v>2320</v>
      </c>
      <c r="F378" s="1" t="s">
        <v>37</v>
      </c>
      <c r="G378" s="1" t="s">
        <v>60</v>
      </c>
      <c r="H378">
        <v>2</v>
      </c>
      <c r="I378" s="1" t="s">
        <v>61</v>
      </c>
      <c r="J378" s="1" t="s">
        <v>27</v>
      </c>
      <c r="K378">
        <v>3</v>
      </c>
      <c r="L378" s="1" t="s">
        <v>28</v>
      </c>
      <c r="M378">
        <v>34</v>
      </c>
      <c r="N378" s="1" t="s">
        <v>29</v>
      </c>
      <c r="O378" s="1" t="s">
        <v>30</v>
      </c>
      <c r="P378">
        <v>2</v>
      </c>
      <c r="Q378" s="1" t="s">
        <v>31</v>
      </c>
      <c r="R378">
        <v>1</v>
      </c>
      <c r="S378" s="1" t="s">
        <v>40</v>
      </c>
      <c r="T378" s="1" t="s">
        <v>33</v>
      </c>
      <c r="U378" s="1" t="s">
        <v>34</v>
      </c>
    </row>
    <row r="379" spans="1:21" x14ac:dyDescent="0.3">
      <c r="A379" s="1" t="s">
        <v>42</v>
      </c>
      <c r="B379">
        <v>7</v>
      </c>
      <c r="C379" s="1" t="s">
        <v>50</v>
      </c>
      <c r="D379" s="1" t="s">
        <v>23</v>
      </c>
      <c r="E379">
        <v>846</v>
      </c>
      <c r="F379" s="1" t="s">
        <v>24</v>
      </c>
      <c r="G379" s="1" t="s">
        <v>25</v>
      </c>
      <c r="H379">
        <v>3</v>
      </c>
      <c r="I379" s="1" t="s">
        <v>26</v>
      </c>
      <c r="J379" s="1" t="s">
        <v>27</v>
      </c>
      <c r="K379">
        <v>4</v>
      </c>
      <c r="L379" s="1" t="s">
        <v>52</v>
      </c>
      <c r="M379">
        <v>36</v>
      </c>
      <c r="N379" s="1" t="s">
        <v>29</v>
      </c>
      <c r="O379" s="1" t="s">
        <v>49</v>
      </c>
      <c r="P379">
        <v>1</v>
      </c>
      <c r="Q379" s="1" t="s">
        <v>31</v>
      </c>
      <c r="R379">
        <v>1</v>
      </c>
      <c r="S379" s="1" t="s">
        <v>40</v>
      </c>
      <c r="T379" s="1" t="s">
        <v>33</v>
      </c>
      <c r="U379" s="1" t="s">
        <v>34</v>
      </c>
    </row>
    <row r="380" spans="1:21" x14ac:dyDescent="0.3">
      <c r="A380" s="1" t="s">
        <v>35</v>
      </c>
      <c r="B380">
        <v>36</v>
      </c>
      <c r="C380" s="1" t="s">
        <v>36</v>
      </c>
      <c r="D380" s="1" t="s">
        <v>51</v>
      </c>
      <c r="E380">
        <v>14318</v>
      </c>
      <c r="F380" s="1" t="s">
        <v>37</v>
      </c>
      <c r="G380" s="1" t="s">
        <v>25</v>
      </c>
      <c r="H380">
        <v>4</v>
      </c>
      <c r="I380" s="1" t="s">
        <v>26</v>
      </c>
      <c r="J380" s="1" t="s">
        <v>27</v>
      </c>
      <c r="K380">
        <v>2</v>
      </c>
      <c r="L380" s="1" t="s">
        <v>52</v>
      </c>
      <c r="M380">
        <v>57</v>
      </c>
      <c r="N380" s="1" t="s">
        <v>29</v>
      </c>
      <c r="O380" s="1" t="s">
        <v>49</v>
      </c>
      <c r="P380">
        <v>1</v>
      </c>
      <c r="Q380" s="1" t="s">
        <v>57</v>
      </c>
      <c r="R380">
        <v>1</v>
      </c>
      <c r="S380" s="1" t="s">
        <v>32</v>
      </c>
      <c r="T380" s="1" t="s">
        <v>33</v>
      </c>
      <c r="U380" s="1" t="s">
        <v>41</v>
      </c>
    </row>
    <row r="381" spans="1:21" x14ac:dyDescent="0.3">
      <c r="A381" s="1" t="s">
        <v>42</v>
      </c>
      <c r="B381">
        <v>6</v>
      </c>
      <c r="C381" s="1" t="s">
        <v>22</v>
      </c>
      <c r="D381" s="1" t="s">
        <v>51</v>
      </c>
      <c r="E381">
        <v>362</v>
      </c>
      <c r="F381" s="1" t="s">
        <v>64</v>
      </c>
      <c r="G381" s="1" t="s">
        <v>38</v>
      </c>
      <c r="H381">
        <v>4</v>
      </c>
      <c r="I381" s="1" t="s">
        <v>39</v>
      </c>
      <c r="J381" s="1" t="s">
        <v>27</v>
      </c>
      <c r="K381">
        <v>4</v>
      </c>
      <c r="L381" s="1" t="s">
        <v>55</v>
      </c>
      <c r="M381">
        <v>52</v>
      </c>
      <c r="N381" s="1" t="s">
        <v>29</v>
      </c>
      <c r="O381" s="1" t="s">
        <v>30</v>
      </c>
      <c r="P381">
        <v>2</v>
      </c>
      <c r="Q381" s="1" t="s">
        <v>45</v>
      </c>
      <c r="R381">
        <v>1</v>
      </c>
      <c r="S381" s="1" t="s">
        <v>40</v>
      </c>
      <c r="T381" s="1" t="s">
        <v>33</v>
      </c>
      <c r="U381" s="1" t="s">
        <v>34</v>
      </c>
    </row>
    <row r="382" spans="1:21" x14ac:dyDescent="0.3">
      <c r="A382" s="1" t="s">
        <v>21</v>
      </c>
      <c r="B382">
        <v>20</v>
      </c>
      <c r="C382" s="1" t="s">
        <v>36</v>
      </c>
      <c r="D382" s="1" t="s">
        <v>46</v>
      </c>
      <c r="E382">
        <v>2212</v>
      </c>
      <c r="F382" s="1" t="s">
        <v>24</v>
      </c>
      <c r="G382" s="1" t="s">
        <v>44</v>
      </c>
      <c r="H382">
        <v>4</v>
      </c>
      <c r="I382" s="1" t="s">
        <v>26</v>
      </c>
      <c r="J382" s="1" t="s">
        <v>27</v>
      </c>
      <c r="K382">
        <v>4</v>
      </c>
      <c r="L382" s="1" t="s">
        <v>55</v>
      </c>
      <c r="M382">
        <v>39</v>
      </c>
      <c r="N382" s="1" t="s">
        <v>29</v>
      </c>
      <c r="O382" s="1" t="s">
        <v>30</v>
      </c>
      <c r="P382">
        <v>1</v>
      </c>
      <c r="Q382" s="1" t="s">
        <v>31</v>
      </c>
      <c r="R382">
        <v>1</v>
      </c>
      <c r="S382" s="1" t="s">
        <v>32</v>
      </c>
      <c r="T382" s="1" t="s">
        <v>33</v>
      </c>
      <c r="U382" s="1" t="s">
        <v>34</v>
      </c>
    </row>
    <row r="383" spans="1:21" x14ac:dyDescent="0.3">
      <c r="A383" s="1" t="s">
        <v>35</v>
      </c>
      <c r="B383">
        <v>18</v>
      </c>
      <c r="C383" s="1" t="s">
        <v>36</v>
      </c>
      <c r="D383" s="1" t="s">
        <v>54</v>
      </c>
      <c r="E383">
        <v>12976</v>
      </c>
      <c r="F383" s="1" t="s">
        <v>37</v>
      </c>
      <c r="G383" s="1" t="s">
        <v>60</v>
      </c>
      <c r="H383">
        <v>3</v>
      </c>
      <c r="I383" s="1" t="s">
        <v>39</v>
      </c>
      <c r="J383" s="1" t="s">
        <v>27</v>
      </c>
      <c r="K383">
        <v>4</v>
      </c>
      <c r="L383" s="1" t="s">
        <v>52</v>
      </c>
      <c r="M383">
        <v>38</v>
      </c>
      <c r="N383" s="1" t="s">
        <v>29</v>
      </c>
      <c r="O383" s="1" t="s">
        <v>49</v>
      </c>
      <c r="P383">
        <v>1</v>
      </c>
      <c r="Q383" s="1" t="s">
        <v>57</v>
      </c>
      <c r="R383">
        <v>1</v>
      </c>
      <c r="S383" s="1" t="s">
        <v>32</v>
      </c>
      <c r="T383" s="1" t="s">
        <v>33</v>
      </c>
      <c r="U383" s="1" t="s">
        <v>41</v>
      </c>
    </row>
    <row r="384" spans="1:21" x14ac:dyDescent="0.3">
      <c r="A384" s="1" t="s">
        <v>42</v>
      </c>
      <c r="B384">
        <v>22</v>
      </c>
      <c r="C384" s="1" t="s">
        <v>36</v>
      </c>
      <c r="D384" s="1" t="s">
        <v>51</v>
      </c>
      <c r="E384">
        <v>1283</v>
      </c>
      <c r="F384" s="1" t="s">
        <v>24</v>
      </c>
      <c r="G384" s="1" t="s">
        <v>44</v>
      </c>
      <c r="H384">
        <v>4</v>
      </c>
      <c r="I384" s="1" t="s">
        <v>39</v>
      </c>
      <c r="J384" s="1" t="s">
        <v>27</v>
      </c>
      <c r="K384">
        <v>4</v>
      </c>
      <c r="L384" s="1" t="s">
        <v>48</v>
      </c>
      <c r="M384">
        <v>25</v>
      </c>
      <c r="N384" s="1" t="s">
        <v>29</v>
      </c>
      <c r="O384" s="1" t="s">
        <v>56</v>
      </c>
      <c r="P384">
        <v>1</v>
      </c>
      <c r="Q384" s="1" t="s">
        <v>31</v>
      </c>
      <c r="R384">
        <v>1</v>
      </c>
      <c r="S384" s="1" t="s">
        <v>40</v>
      </c>
      <c r="T384" s="1" t="s">
        <v>33</v>
      </c>
      <c r="U384" s="1" t="s">
        <v>34</v>
      </c>
    </row>
    <row r="385" spans="1:21" x14ac:dyDescent="0.3">
      <c r="A385" s="1" t="s">
        <v>68</v>
      </c>
      <c r="B385">
        <v>12</v>
      </c>
      <c r="C385" s="1" t="s">
        <v>36</v>
      </c>
      <c r="D385" s="1" t="s">
        <v>51</v>
      </c>
      <c r="E385">
        <v>1330</v>
      </c>
      <c r="F385" s="1" t="s">
        <v>37</v>
      </c>
      <c r="G385" s="1" t="s">
        <v>62</v>
      </c>
      <c r="H385">
        <v>4</v>
      </c>
      <c r="I385" s="1" t="s">
        <v>26</v>
      </c>
      <c r="J385" s="1" t="s">
        <v>27</v>
      </c>
      <c r="K385">
        <v>1</v>
      </c>
      <c r="L385" s="1" t="s">
        <v>28</v>
      </c>
      <c r="M385">
        <v>26</v>
      </c>
      <c r="N385" s="1" t="s">
        <v>29</v>
      </c>
      <c r="O385" s="1" t="s">
        <v>30</v>
      </c>
      <c r="P385">
        <v>1</v>
      </c>
      <c r="Q385" s="1" t="s">
        <v>31</v>
      </c>
      <c r="R385">
        <v>1</v>
      </c>
      <c r="S385" s="1" t="s">
        <v>40</v>
      </c>
      <c r="T385" s="1" t="s">
        <v>33</v>
      </c>
      <c r="U385" s="1" t="s">
        <v>34</v>
      </c>
    </row>
    <row r="386" spans="1:21" x14ac:dyDescent="0.3">
      <c r="A386" s="1" t="s">
        <v>42</v>
      </c>
      <c r="B386">
        <v>30</v>
      </c>
      <c r="C386" s="1" t="s">
        <v>50</v>
      </c>
      <c r="D386" s="1" t="s">
        <v>63</v>
      </c>
      <c r="E386">
        <v>4272</v>
      </c>
      <c r="F386" s="1" t="s">
        <v>64</v>
      </c>
      <c r="G386" s="1" t="s">
        <v>38</v>
      </c>
      <c r="H386">
        <v>2</v>
      </c>
      <c r="I386" s="1" t="s">
        <v>26</v>
      </c>
      <c r="J386" s="1" t="s">
        <v>27</v>
      </c>
      <c r="K386">
        <v>2</v>
      </c>
      <c r="L386" s="1" t="s">
        <v>48</v>
      </c>
      <c r="M386">
        <v>26</v>
      </c>
      <c r="N386" s="1" t="s">
        <v>29</v>
      </c>
      <c r="O386" s="1" t="s">
        <v>30</v>
      </c>
      <c r="P386">
        <v>2</v>
      </c>
      <c r="Q386" s="1" t="s">
        <v>45</v>
      </c>
      <c r="R386">
        <v>1</v>
      </c>
      <c r="S386" s="1" t="s">
        <v>40</v>
      </c>
      <c r="T386" s="1" t="s">
        <v>33</v>
      </c>
      <c r="U386" s="1" t="s">
        <v>34</v>
      </c>
    </row>
    <row r="387" spans="1:21" x14ac:dyDescent="0.3">
      <c r="A387" s="1" t="s">
        <v>42</v>
      </c>
      <c r="B387">
        <v>18</v>
      </c>
      <c r="C387" s="1" t="s">
        <v>22</v>
      </c>
      <c r="D387" s="1" t="s">
        <v>23</v>
      </c>
      <c r="E387">
        <v>2238</v>
      </c>
      <c r="F387" s="1" t="s">
        <v>37</v>
      </c>
      <c r="G387" s="1" t="s">
        <v>38</v>
      </c>
      <c r="H387">
        <v>2</v>
      </c>
      <c r="I387" s="1" t="s">
        <v>39</v>
      </c>
      <c r="J387" s="1" t="s">
        <v>27</v>
      </c>
      <c r="K387">
        <v>1</v>
      </c>
      <c r="L387" s="1" t="s">
        <v>55</v>
      </c>
      <c r="M387">
        <v>25</v>
      </c>
      <c r="N387" s="1" t="s">
        <v>29</v>
      </c>
      <c r="O387" s="1" t="s">
        <v>30</v>
      </c>
      <c r="P387">
        <v>2</v>
      </c>
      <c r="Q387" s="1" t="s">
        <v>31</v>
      </c>
      <c r="R387">
        <v>1</v>
      </c>
      <c r="S387" s="1" t="s">
        <v>40</v>
      </c>
      <c r="T387" s="1" t="s">
        <v>33</v>
      </c>
      <c r="U387" s="1" t="s">
        <v>34</v>
      </c>
    </row>
    <row r="388" spans="1:21" x14ac:dyDescent="0.3">
      <c r="A388" s="1" t="s">
        <v>42</v>
      </c>
      <c r="B388">
        <v>18</v>
      </c>
      <c r="C388" s="1" t="s">
        <v>36</v>
      </c>
      <c r="D388" s="1" t="s">
        <v>23</v>
      </c>
      <c r="E388">
        <v>1126</v>
      </c>
      <c r="F388" s="1" t="s">
        <v>24</v>
      </c>
      <c r="G388" s="1" t="s">
        <v>62</v>
      </c>
      <c r="H388">
        <v>4</v>
      </c>
      <c r="I388" s="1" t="s">
        <v>39</v>
      </c>
      <c r="J388" s="1" t="s">
        <v>27</v>
      </c>
      <c r="K388">
        <v>2</v>
      </c>
      <c r="L388" s="1" t="s">
        <v>28</v>
      </c>
      <c r="M388">
        <v>21</v>
      </c>
      <c r="N388" s="1" t="s">
        <v>29</v>
      </c>
      <c r="O388" s="1" t="s">
        <v>56</v>
      </c>
      <c r="P388">
        <v>1</v>
      </c>
      <c r="Q388" s="1" t="s">
        <v>31</v>
      </c>
      <c r="R388">
        <v>1</v>
      </c>
      <c r="S388" s="1" t="s">
        <v>32</v>
      </c>
      <c r="T388" s="1" t="s">
        <v>33</v>
      </c>
      <c r="U388" s="1" t="s">
        <v>34</v>
      </c>
    </row>
    <row r="389" spans="1:21" x14ac:dyDescent="0.3">
      <c r="A389" s="1" t="s">
        <v>35</v>
      </c>
      <c r="B389">
        <v>18</v>
      </c>
      <c r="C389" s="1" t="s">
        <v>22</v>
      </c>
      <c r="D389" s="1" t="s">
        <v>46</v>
      </c>
      <c r="E389">
        <v>7374</v>
      </c>
      <c r="F389" s="1" t="s">
        <v>37</v>
      </c>
      <c r="G389" s="1" t="s">
        <v>60</v>
      </c>
      <c r="H389">
        <v>4</v>
      </c>
      <c r="I389" s="1" t="s">
        <v>26</v>
      </c>
      <c r="J389" s="1" t="s">
        <v>27</v>
      </c>
      <c r="K389">
        <v>4</v>
      </c>
      <c r="L389" s="1" t="s">
        <v>48</v>
      </c>
      <c r="M389">
        <v>40</v>
      </c>
      <c r="N389" s="1" t="s">
        <v>70</v>
      </c>
      <c r="O389" s="1" t="s">
        <v>30</v>
      </c>
      <c r="P389">
        <v>2</v>
      </c>
      <c r="Q389" s="1" t="s">
        <v>57</v>
      </c>
      <c r="R389">
        <v>1</v>
      </c>
      <c r="S389" s="1" t="s">
        <v>32</v>
      </c>
      <c r="T389" s="1" t="s">
        <v>33</v>
      </c>
      <c r="U389" s="1" t="s">
        <v>34</v>
      </c>
    </row>
    <row r="390" spans="1:21" x14ac:dyDescent="0.3">
      <c r="A390" s="1" t="s">
        <v>35</v>
      </c>
      <c r="B390">
        <v>15</v>
      </c>
      <c r="C390" s="1" t="s">
        <v>22</v>
      </c>
      <c r="D390" s="1" t="s">
        <v>63</v>
      </c>
      <c r="E390">
        <v>2326</v>
      </c>
      <c r="F390" s="1" t="s">
        <v>53</v>
      </c>
      <c r="G390" s="1" t="s">
        <v>38</v>
      </c>
      <c r="H390">
        <v>2</v>
      </c>
      <c r="I390" s="1" t="s">
        <v>26</v>
      </c>
      <c r="J390" s="1" t="s">
        <v>27</v>
      </c>
      <c r="K390">
        <v>4</v>
      </c>
      <c r="L390" s="1" t="s">
        <v>55</v>
      </c>
      <c r="M390">
        <v>27</v>
      </c>
      <c r="N390" s="1" t="s">
        <v>66</v>
      </c>
      <c r="O390" s="1" t="s">
        <v>30</v>
      </c>
      <c r="P390">
        <v>1</v>
      </c>
      <c r="Q390" s="1" t="s">
        <v>31</v>
      </c>
      <c r="R390">
        <v>1</v>
      </c>
      <c r="S390" s="1" t="s">
        <v>40</v>
      </c>
      <c r="T390" s="1" t="s">
        <v>33</v>
      </c>
      <c r="U390" s="1" t="s">
        <v>34</v>
      </c>
    </row>
    <row r="391" spans="1:21" x14ac:dyDescent="0.3">
      <c r="A391" s="1" t="s">
        <v>42</v>
      </c>
      <c r="B391">
        <v>9</v>
      </c>
      <c r="C391" s="1" t="s">
        <v>36</v>
      </c>
      <c r="D391" s="1" t="s">
        <v>63</v>
      </c>
      <c r="E391">
        <v>1449</v>
      </c>
      <c r="F391" s="1" t="s">
        <v>37</v>
      </c>
      <c r="G391" s="1" t="s">
        <v>44</v>
      </c>
      <c r="H391">
        <v>3</v>
      </c>
      <c r="I391" s="1" t="s">
        <v>39</v>
      </c>
      <c r="J391" s="1" t="s">
        <v>27</v>
      </c>
      <c r="K391">
        <v>2</v>
      </c>
      <c r="L391" s="1" t="s">
        <v>55</v>
      </c>
      <c r="M391">
        <v>27</v>
      </c>
      <c r="N391" s="1" t="s">
        <v>29</v>
      </c>
      <c r="O391" s="1" t="s">
        <v>30</v>
      </c>
      <c r="P391">
        <v>2</v>
      </c>
      <c r="Q391" s="1" t="s">
        <v>31</v>
      </c>
      <c r="R391">
        <v>1</v>
      </c>
      <c r="S391" s="1" t="s">
        <v>40</v>
      </c>
      <c r="T391" s="1" t="s">
        <v>33</v>
      </c>
      <c r="U391" s="1" t="s">
        <v>34</v>
      </c>
    </row>
    <row r="392" spans="1:21" x14ac:dyDescent="0.3">
      <c r="A392" s="1" t="s">
        <v>42</v>
      </c>
      <c r="B392">
        <v>18</v>
      </c>
      <c r="C392" s="1" t="s">
        <v>36</v>
      </c>
      <c r="D392" s="1" t="s">
        <v>51</v>
      </c>
      <c r="E392">
        <v>1820</v>
      </c>
      <c r="F392" s="1" t="s">
        <v>37</v>
      </c>
      <c r="G392" s="1" t="s">
        <v>38</v>
      </c>
      <c r="H392">
        <v>2</v>
      </c>
      <c r="I392" s="1" t="s">
        <v>61</v>
      </c>
      <c r="J392" s="1" t="s">
        <v>27</v>
      </c>
      <c r="K392">
        <v>2</v>
      </c>
      <c r="L392" s="1" t="s">
        <v>48</v>
      </c>
      <c r="M392">
        <v>30</v>
      </c>
      <c r="N392" s="1" t="s">
        <v>29</v>
      </c>
      <c r="O392" s="1" t="s">
        <v>30</v>
      </c>
      <c r="P392">
        <v>1</v>
      </c>
      <c r="Q392" s="1" t="s">
        <v>57</v>
      </c>
      <c r="R392">
        <v>1</v>
      </c>
      <c r="S392" s="1" t="s">
        <v>32</v>
      </c>
      <c r="T392" s="1" t="s">
        <v>33</v>
      </c>
      <c r="U392" s="1" t="s">
        <v>34</v>
      </c>
    </row>
    <row r="393" spans="1:21" x14ac:dyDescent="0.3">
      <c r="A393" s="1" t="s">
        <v>35</v>
      </c>
      <c r="B393">
        <v>12</v>
      </c>
      <c r="C393" s="1" t="s">
        <v>36</v>
      </c>
      <c r="D393" s="1" t="s">
        <v>46</v>
      </c>
      <c r="E393">
        <v>983</v>
      </c>
      <c r="F393" s="1" t="s">
        <v>58</v>
      </c>
      <c r="G393" s="1" t="s">
        <v>62</v>
      </c>
      <c r="H393">
        <v>1</v>
      </c>
      <c r="I393" s="1" t="s">
        <v>39</v>
      </c>
      <c r="J393" s="1" t="s">
        <v>27</v>
      </c>
      <c r="K393">
        <v>4</v>
      </c>
      <c r="L393" s="1" t="s">
        <v>28</v>
      </c>
      <c r="M393">
        <v>19</v>
      </c>
      <c r="N393" s="1" t="s">
        <v>29</v>
      </c>
      <c r="O393" s="1" t="s">
        <v>56</v>
      </c>
      <c r="P393">
        <v>1</v>
      </c>
      <c r="Q393" s="1" t="s">
        <v>45</v>
      </c>
      <c r="R393">
        <v>1</v>
      </c>
      <c r="S393" s="1" t="s">
        <v>40</v>
      </c>
      <c r="T393" s="1" t="s">
        <v>33</v>
      </c>
      <c r="U393" s="1" t="s">
        <v>34</v>
      </c>
    </row>
    <row r="394" spans="1:21" x14ac:dyDescent="0.3">
      <c r="A394" s="1" t="s">
        <v>21</v>
      </c>
      <c r="B394">
        <v>36</v>
      </c>
      <c r="C394" s="1" t="s">
        <v>36</v>
      </c>
      <c r="D394" s="1" t="s">
        <v>51</v>
      </c>
      <c r="E394">
        <v>3249</v>
      </c>
      <c r="F394" s="1" t="s">
        <v>37</v>
      </c>
      <c r="G394" s="1" t="s">
        <v>44</v>
      </c>
      <c r="H394">
        <v>2</v>
      </c>
      <c r="I394" s="1" t="s">
        <v>26</v>
      </c>
      <c r="J394" s="1" t="s">
        <v>27</v>
      </c>
      <c r="K394">
        <v>4</v>
      </c>
      <c r="L394" s="1" t="s">
        <v>52</v>
      </c>
      <c r="M394">
        <v>39</v>
      </c>
      <c r="N394" s="1" t="s">
        <v>66</v>
      </c>
      <c r="O394" s="1" t="s">
        <v>49</v>
      </c>
      <c r="P394">
        <v>1</v>
      </c>
      <c r="Q394" s="1" t="s">
        <v>57</v>
      </c>
      <c r="R394">
        <v>2</v>
      </c>
      <c r="S394" s="1" t="s">
        <v>32</v>
      </c>
      <c r="T394" s="1" t="s">
        <v>33</v>
      </c>
      <c r="U394" s="1" t="s">
        <v>34</v>
      </c>
    </row>
    <row r="395" spans="1:21" x14ac:dyDescent="0.3">
      <c r="A395" s="1" t="s">
        <v>21</v>
      </c>
      <c r="B395">
        <v>6</v>
      </c>
      <c r="C395" s="1" t="s">
        <v>22</v>
      </c>
      <c r="D395" s="1" t="s">
        <v>23</v>
      </c>
      <c r="E395">
        <v>1957</v>
      </c>
      <c r="F395" s="1" t="s">
        <v>37</v>
      </c>
      <c r="G395" s="1" t="s">
        <v>44</v>
      </c>
      <c r="H395">
        <v>1</v>
      </c>
      <c r="I395" s="1" t="s">
        <v>39</v>
      </c>
      <c r="J395" s="1" t="s">
        <v>27</v>
      </c>
      <c r="K395">
        <v>4</v>
      </c>
      <c r="L395" s="1" t="s">
        <v>55</v>
      </c>
      <c r="M395">
        <v>31</v>
      </c>
      <c r="N395" s="1" t="s">
        <v>29</v>
      </c>
      <c r="O395" s="1" t="s">
        <v>30</v>
      </c>
      <c r="P395">
        <v>1</v>
      </c>
      <c r="Q395" s="1" t="s">
        <v>31</v>
      </c>
      <c r="R395">
        <v>1</v>
      </c>
      <c r="S395" s="1" t="s">
        <v>40</v>
      </c>
      <c r="T395" s="1" t="s">
        <v>33</v>
      </c>
      <c r="U395" s="1" t="s">
        <v>34</v>
      </c>
    </row>
    <row r="396" spans="1:21" x14ac:dyDescent="0.3">
      <c r="A396" s="1" t="s">
        <v>42</v>
      </c>
      <c r="B396">
        <v>9</v>
      </c>
      <c r="C396" s="1" t="s">
        <v>22</v>
      </c>
      <c r="D396" s="1" t="s">
        <v>46</v>
      </c>
      <c r="E396">
        <v>2406</v>
      </c>
      <c r="F396" s="1" t="s">
        <v>37</v>
      </c>
      <c r="G396" s="1" t="s">
        <v>60</v>
      </c>
      <c r="H396">
        <v>2</v>
      </c>
      <c r="I396" s="1" t="s">
        <v>26</v>
      </c>
      <c r="J396" s="1" t="s">
        <v>27</v>
      </c>
      <c r="K396">
        <v>3</v>
      </c>
      <c r="L396" s="1" t="s">
        <v>55</v>
      </c>
      <c r="M396">
        <v>31</v>
      </c>
      <c r="N396" s="1" t="s">
        <v>29</v>
      </c>
      <c r="O396" s="1" t="s">
        <v>30</v>
      </c>
      <c r="P396">
        <v>1</v>
      </c>
      <c r="Q396" s="1" t="s">
        <v>57</v>
      </c>
      <c r="R396">
        <v>1</v>
      </c>
      <c r="S396" s="1" t="s">
        <v>40</v>
      </c>
      <c r="T396" s="1" t="s">
        <v>33</v>
      </c>
      <c r="U396" s="1" t="s">
        <v>34</v>
      </c>
    </row>
    <row r="397" spans="1:21" x14ac:dyDescent="0.3">
      <c r="A397" s="1" t="s">
        <v>35</v>
      </c>
      <c r="B397">
        <v>39</v>
      </c>
      <c r="C397" s="1" t="s">
        <v>50</v>
      </c>
      <c r="D397" s="1" t="s">
        <v>43</v>
      </c>
      <c r="E397">
        <v>11760</v>
      </c>
      <c r="F397" s="1" t="s">
        <v>64</v>
      </c>
      <c r="G397" s="1" t="s">
        <v>44</v>
      </c>
      <c r="H397">
        <v>2</v>
      </c>
      <c r="I397" s="1" t="s">
        <v>26</v>
      </c>
      <c r="J397" s="1" t="s">
        <v>27</v>
      </c>
      <c r="K397">
        <v>3</v>
      </c>
      <c r="L397" s="1" t="s">
        <v>52</v>
      </c>
      <c r="M397">
        <v>32</v>
      </c>
      <c r="N397" s="1" t="s">
        <v>29</v>
      </c>
      <c r="O397" s="1" t="s">
        <v>56</v>
      </c>
      <c r="P397">
        <v>1</v>
      </c>
      <c r="Q397" s="1" t="s">
        <v>31</v>
      </c>
      <c r="R397">
        <v>1</v>
      </c>
      <c r="S397" s="1" t="s">
        <v>32</v>
      </c>
      <c r="T397" s="1" t="s">
        <v>33</v>
      </c>
      <c r="U397" s="1" t="s">
        <v>34</v>
      </c>
    </row>
    <row r="398" spans="1:21" x14ac:dyDescent="0.3">
      <c r="A398" s="1" t="s">
        <v>21</v>
      </c>
      <c r="B398">
        <v>12</v>
      </c>
      <c r="C398" s="1" t="s">
        <v>36</v>
      </c>
      <c r="D398" s="1" t="s">
        <v>46</v>
      </c>
      <c r="E398">
        <v>2578</v>
      </c>
      <c r="F398" s="1" t="s">
        <v>37</v>
      </c>
      <c r="G398" s="1" t="s">
        <v>60</v>
      </c>
      <c r="H398">
        <v>3</v>
      </c>
      <c r="I398" s="1" t="s">
        <v>39</v>
      </c>
      <c r="J398" s="1" t="s">
        <v>27</v>
      </c>
      <c r="K398">
        <v>4</v>
      </c>
      <c r="L398" s="1" t="s">
        <v>52</v>
      </c>
      <c r="M398">
        <v>55</v>
      </c>
      <c r="N398" s="1" t="s">
        <v>29</v>
      </c>
      <c r="O398" s="1" t="s">
        <v>49</v>
      </c>
      <c r="P398">
        <v>1</v>
      </c>
      <c r="Q398" s="1" t="s">
        <v>57</v>
      </c>
      <c r="R398">
        <v>1</v>
      </c>
      <c r="S398" s="1" t="s">
        <v>40</v>
      </c>
      <c r="T398" s="1" t="s">
        <v>33</v>
      </c>
      <c r="U398" s="1" t="s">
        <v>34</v>
      </c>
    </row>
    <row r="399" spans="1:21" x14ac:dyDescent="0.3">
      <c r="A399" s="1" t="s">
        <v>21</v>
      </c>
      <c r="B399">
        <v>36</v>
      </c>
      <c r="C399" s="1" t="s">
        <v>22</v>
      </c>
      <c r="D399" s="1" t="s">
        <v>46</v>
      </c>
      <c r="E399">
        <v>2348</v>
      </c>
      <c r="F399" s="1" t="s">
        <v>37</v>
      </c>
      <c r="G399" s="1" t="s">
        <v>38</v>
      </c>
      <c r="H399">
        <v>3</v>
      </c>
      <c r="I399" s="1" t="s">
        <v>61</v>
      </c>
      <c r="J399" s="1" t="s">
        <v>27</v>
      </c>
      <c r="K399">
        <v>2</v>
      </c>
      <c r="L399" s="1" t="s">
        <v>48</v>
      </c>
      <c r="M399">
        <v>46</v>
      </c>
      <c r="N399" s="1" t="s">
        <v>29</v>
      </c>
      <c r="O399" s="1" t="s">
        <v>30</v>
      </c>
      <c r="P399">
        <v>2</v>
      </c>
      <c r="Q399" s="1" t="s">
        <v>31</v>
      </c>
      <c r="R399">
        <v>1</v>
      </c>
      <c r="S399" s="1" t="s">
        <v>32</v>
      </c>
      <c r="T399" s="1" t="s">
        <v>33</v>
      </c>
      <c r="U399" s="1" t="s">
        <v>34</v>
      </c>
    </row>
    <row r="400" spans="1:21" x14ac:dyDescent="0.3">
      <c r="A400" s="1" t="s">
        <v>35</v>
      </c>
      <c r="B400">
        <v>12</v>
      </c>
      <c r="C400" s="1" t="s">
        <v>36</v>
      </c>
      <c r="D400" s="1" t="s">
        <v>51</v>
      </c>
      <c r="E400">
        <v>1223</v>
      </c>
      <c r="F400" s="1" t="s">
        <v>37</v>
      </c>
      <c r="G400" s="1" t="s">
        <v>25</v>
      </c>
      <c r="H400">
        <v>1</v>
      </c>
      <c r="I400" s="1" t="s">
        <v>59</v>
      </c>
      <c r="J400" s="1" t="s">
        <v>27</v>
      </c>
      <c r="K400">
        <v>1</v>
      </c>
      <c r="L400" s="1" t="s">
        <v>28</v>
      </c>
      <c r="M400">
        <v>46</v>
      </c>
      <c r="N400" s="1" t="s">
        <v>29</v>
      </c>
      <c r="O400" s="1" t="s">
        <v>56</v>
      </c>
      <c r="P400">
        <v>2</v>
      </c>
      <c r="Q400" s="1" t="s">
        <v>31</v>
      </c>
      <c r="R400">
        <v>1</v>
      </c>
      <c r="S400" s="1" t="s">
        <v>40</v>
      </c>
      <c r="T400" s="1" t="s">
        <v>33</v>
      </c>
      <c r="U400" s="1" t="s">
        <v>41</v>
      </c>
    </row>
    <row r="401" spans="1:21" x14ac:dyDescent="0.3">
      <c r="A401" s="1" t="s">
        <v>42</v>
      </c>
      <c r="B401">
        <v>24</v>
      </c>
      <c r="C401" s="1" t="s">
        <v>22</v>
      </c>
      <c r="D401" s="1" t="s">
        <v>23</v>
      </c>
      <c r="E401">
        <v>1516</v>
      </c>
      <c r="F401" s="1" t="s">
        <v>58</v>
      </c>
      <c r="G401" s="1" t="s">
        <v>38</v>
      </c>
      <c r="H401">
        <v>4</v>
      </c>
      <c r="I401" s="1" t="s">
        <v>39</v>
      </c>
      <c r="J401" s="1" t="s">
        <v>27</v>
      </c>
      <c r="K401">
        <v>1</v>
      </c>
      <c r="L401" s="1" t="s">
        <v>28</v>
      </c>
      <c r="M401">
        <v>43</v>
      </c>
      <c r="N401" s="1" t="s">
        <v>29</v>
      </c>
      <c r="O401" s="1" t="s">
        <v>30</v>
      </c>
      <c r="P401">
        <v>2</v>
      </c>
      <c r="Q401" s="1" t="s">
        <v>45</v>
      </c>
      <c r="R401">
        <v>1</v>
      </c>
      <c r="S401" s="1" t="s">
        <v>40</v>
      </c>
      <c r="T401" s="1" t="s">
        <v>33</v>
      </c>
      <c r="U401" s="1" t="s">
        <v>34</v>
      </c>
    </row>
    <row r="402" spans="1:21" x14ac:dyDescent="0.3">
      <c r="A402" s="1" t="s">
        <v>42</v>
      </c>
      <c r="B402">
        <v>18</v>
      </c>
      <c r="C402" s="1" t="s">
        <v>36</v>
      </c>
      <c r="D402" s="1" t="s">
        <v>23</v>
      </c>
      <c r="E402">
        <v>1473</v>
      </c>
      <c r="F402" s="1" t="s">
        <v>37</v>
      </c>
      <c r="G402" s="1" t="s">
        <v>62</v>
      </c>
      <c r="H402">
        <v>3</v>
      </c>
      <c r="I402" s="1" t="s">
        <v>61</v>
      </c>
      <c r="J402" s="1" t="s">
        <v>27</v>
      </c>
      <c r="K402">
        <v>4</v>
      </c>
      <c r="L402" s="1" t="s">
        <v>28</v>
      </c>
      <c r="M402">
        <v>39</v>
      </c>
      <c r="N402" s="1" t="s">
        <v>29</v>
      </c>
      <c r="O402" s="1" t="s">
        <v>30</v>
      </c>
      <c r="P402">
        <v>1</v>
      </c>
      <c r="Q402" s="1" t="s">
        <v>31</v>
      </c>
      <c r="R402">
        <v>1</v>
      </c>
      <c r="S402" s="1" t="s">
        <v>32</v>
      </c>
      <c r="T402" s="1" t="s">
        <v>33</v>
      </c>
      <c r="U402" s="1" t="s">
        <v>34</v>
      </c>
    </row>
    <row r="403" spans="1:21" x14ac:dyDescent="0.3">
      <c r="A403" s="1" t="s">
        <v>35</v>
      </c>
      <c r="B403">
        <v>18</v>
      </c>
      <c r="C403" s="1" t="s">
        <v>22</v>
      </c>
      <c r="D403" s="1" t="s">
        <v>63</v>
      </c>
      <c r="E403">
        <v>1887</v>
      </c>
      <c r="F403" s="1" t="s">
        <v>24</v>
      </c>
      <c r="G403" s="1" t="s">
        <v>38</v>
      </c>
      <c r="H403">
        <v>4</v>
      </c>
      <c r="I403" s="1" t="s">
        <v>61</v>
      </c>
      <c r="J403" s="1" t="s">
        <v>27</v>
      </c>
      <c r="K403">
        <v>4</v>
      </c>
      <c r="L403" s="1" t="s">
        <v>28</v>
      </c>
      <c r="M403">
        <v>28</v>
      </c>
      <c r="N403" s="1" t="s">
        <v>66</v>
      </c>
      <c r="O403" s="1" t="s">
        <v>30</v>
      </c>
      <c r="P403">
        <v>2</v>
      </c>
      <c r="Q403" s="1" t="s">
        <v>31</v>
      </c>
      <c r="R403">
        <v>1</v>
      </c>
      <c r="S403" s="1" t="s">
        <v>40</v>
      </c>
      <c r="T403" s="1" t="s">
        <v>33</v>
      </c>
      <c r="U403" s="1" t="s">
        <v>34</v>
      </c>
    </row>
    <row r="404" spans="1:21" x14ac:dyDescent="0.3">
      <c r="A404" s="1" t="s">
        <v>42</v>
      </c>
      <c r="B404">
        <v>24</v>
      </c>
      <c r="C404" s="1" t="s">
        <v>50</v>
      </c>
      <c r="D404" s="1" t="s">
        <v>63</v>
      </c>
      <c r="E404">
        <v>8648</v>
      </c>
      <c r="F404" s="1" t="s">
        <v>37</v>
      </c>
      <c r="G404" s="1" t="s">
        <v>62</v>
      </c>
      <c r="H404">
        <v>2</v>
      </c>
      <c r="I404" s="1" t="s">
        <v>26</v>
      </c>
      <c r="J404" s="1" t="s">
        <v>27</v>
      </c>
      <c r="K404">
        <v>2</v>
      </c>
      <c r="L404" s="1" t="s">
        <v>55</v>
      </c>
      <c r="M404">
        <v>27</v>
      </c>
      <c r="N404" s="1" t="s">
        <v>66</v>
      </c>
      <c r="O404" s="1" t="s">
        <v>30</v>
      </c>
      <c r="P404">
        <v>2</v>
      </c>
      <c r="Q404" s="1" t="s">
        <v>31</v>
      </c>
      <c r="R404">
        <v>1</v>
      </c>
      <c r="S404" s="1" t="s">
        <v>32</v>
      </c>
      <c r="T404" s="1" t="s">
        <v>33</v>
      </c>
      <c r="U404" s="1" t="s">
        <v>41</v>
      </c>
    </row>
    <row r="405" spans="1:21" x14ac:dyDescent="0.3">
      <c r="A405" s="1" t="s">
        <v>42</v>
      </c>
      <c r="B405">
        <v>14</v>
      </c>
      <c r="C405" s="1" t="s">
        <v>50</v>
      </c>
      <c r="D405" s="1" t="s">
        <v>51</v>
      </c>
      <c r="E405">
        <v>802</v>
      </c>
      <c r="F405" s="1" t="s">
        <v>37</v>
      </c>
      <c r="G405" s="1" t="s">
        <v>38</v>
      </c>
      <c r="H405">
        <v>4</v>
      </c>
      <c r="I405" s="1" t="s">
        <v>26</v>
      </c>
      <c r="J405" s="1" t="s">
        <v>27</v>
      </c>
      <c r="K405">
        <v>2</v>
      </c>
      <c r="L405" s="1" t="s">
        <v>55</v>
      </c>
      <c r="M405">
        <v>27</v>
      </c>
      <c r="N405" s="1" t="s">
        <v>29</v>
      </c>
      <c r="O405" s="1" t="s">
        <v>30</v>
      </c>
      <c r="P405">
        <v>2</v>
      </c>
      <c r="Q405" s="1" t="s">
        <v>45</v>
      </c>
      <c r="R405">
        <v>1</v>
      </c>
      <c r="S405" s="1" t="s">
        <v>40</v>
      </c>
      <c r="T405" s="1" t="s">
        <v>33</v>
      </c>
      <c r="U405" s="1" t="s">
        <v>34</v>
      </c>
    </row>
    <row r="406" spans="1:21" x14ac:dyDescent="0.3">
      <c r="A406" s="1" t="s">
        <v>35</v>
      </c>
      <c r="B406">
        <v>18</v>
      </c>
      <c r="C406" s="1" t="s">
        <v>50</v>
      </c>
      <c r="D406" s="1" t="s">
        <v>51</v>
      </c>
      <c r="E406">
        <v>2899</v>
      </c>
      <c r="F406" s="1" t="s">
        <v>24</v>
      </c>
      <c r="G406" s="1" t="s">
        <v>25</v>
      </c>
      <c r="H406">
        <v>4</v>
      </c>
      <c r="I406" s="1" t="s">
        <v>26</v>
      </c>
      <c r="J406" s="1" t="s">
        <v>27</v>
      </c>
      <c r="K406">
        <v>4</v>
      </c>
      <c r="L406" s="1" t="s">
        <v>55</v>
      </c>
      <c r="M406">
        <v>43</v>
      </c>
      <c r="N406" s="1" t="s">
        <v>29</v>
      </c>
      <c r="O406" s="1" t="s">
        <v>30</v>
      </c>
      <c r="P406">
        <v>1</v>
      </c>
      <c r="Q406" s="1" t="s">
        <v>31</v>
      </c>
      <c r="R406">
        <v>2</v>
      </c>
      <c r="S406" s="1" t="s">
        <v>40</v>
      </c>
      <c r="T406" s="1" t="s">
        <v>33</v>
      </c>
      <c r="U406" s="1" t="s">
        <v>34</v>
      </c>
    </row>
    <row r="407" spans="1:21" x14ac:dyDescent="0.3">
      <c r="A407" s="1" t="s">
        <v>35</v>
      </c>
      <c r="B407">
        <v>24</v>
      </c>
      <c r="C407" s="1" t="s">
        <v>36</v>
      </c>
      <c r="D407" s="1" t="s">
        <v>23</v>
      </c>
      <c r="E407">
        <v>2039</v>
      </c>
      <c r="F407" s="1" t="s">
        <v>37</v>
      </c>
      <c r="G407" s="1" t="s">
        <v>62</v>
      </c>
      <c r="H407">
        <v>1</v>
      </c>
      <c r="I407" s="1" t="s">
        <v>61</v>
      </c>
      <c r="J407" s="1" t="s">
        <v>27</v>
      </c>
      <c r="K407">
        <v>1</v>
      </c>
      <c r="L407" s="1" t="s">
        <v>48</v>
      </c>
      <c r="M407">
        <v>22</v>
      </c>
      <c r="N407" s="1" t="s">
        <v>29</v>
      </c>
      <c r="O407" s="1" t="s">
        <v>30</v>
      </c>
      <c r="P407">
        <v>1</v>
      </c>
      <c r="Q407" s="1" t="s">
        <v>31</v>
      </c>
      <c r="R407">
        <v>1</v>
      </c>
      <c r="S407" s="1" t="s">
        <v>32</v>
      </c>
      <c r="T407" s="1" t="s">
        <v>33</v>
      </c>
      <c r="U407" s="1" t="s">
        <v>41</v>
      </c>
    </row>
    <row r="408" spans="1:21" x14ac:dyDescent="0.3">
      <c r="A408" s="1" t="s">
        <v>42</v>
      </c>
      <c r="B408">
        <v>24</v>
      </c>
      <c r="C408" s="1" t="s">
        <v>22</v>
      </c>
      <c r="D408" s="1" t="s">
        <v>54</v>
      </c>
      <c r="E408">
        <v>2197</v>
      </c>
      <c r="F408" s="1" t="s">
        <v>24</v>
      </c>
      <c r="G408" s="1" t="s">
        <v>44</v>
      </c>
      <c r="H408">
        <v>4</v>
      </c>
      <c r="I408" s="1" t="s">
        <v>26</v>
      </c>
      <c r="J408" s="1" t="s">
        <v>27</v>
      </c>
      <c r="K408">
        <v>4</v>
      </c>
      <c r="L408" s="1" t="s">
        <v>55</v>
      </c>
      <c r="M408">
        <v>43</v>
      </c>
      <c r="N408" s="1" t="s">
        <v>29</v>
      </c>
      <c r="O408" s="1" t="s">
        <v>30</v>
      </c>
      <c r="P408">
        <v>2</v>
      </c>
      <c r="Q408" s="1" t="s">
        <v>31</v>
      </c>
      <c r="R408">
        <v>2</v>
      </c>
      <c r="S408" s="1" t="s">
        <v>32</v>
      </c>
      <c r="T408" s="1" t="s">
        <v>33</v>
      </c>
      <c r="U408" s="1" t="s">
        <v>34</v>
      </c>
    </row>
    <row r="409" spans="1:21" x14ac:dyDescent="0.3">
      <c r="A409" s="1" t="s">
        <v>21</v>
      </c>
      <c r="B409">
        <v>15</v>
      </c>
      <c r="C409" s="1" t="s">
        <v>36</v>
      </c>
      <c r="D409" s="1" t="s">
        <v>23</v>
      </c>
      <c r="E409">
        <v>1053</v>
      </c>
      <c r="F409" s="1" t="s">
        <v>37</v>
      </c>
      <c r="G409" s="1" t="s">
        <v>62</v>
      </c>
      <c r="H409">
        <v>4</v>
      </c>
      <c r="I409" s="1" t="s">
        <v>61</v>
      </c>
      <c r="J409" s="1" t="s">
        <v>27</v>
      </c>
      <c r="K409">
        <v>2</v>
      </c>
      <c r="L409" s="1" t="s">
        <v>28</v>
      </c>
      <c r="M409">
        <v>27</v>
      </c>
      <c r="N409" s="1" t="s">
        <v>29</v>
      </c>
      <c r="O409" s="1" t="s">
        <v>30</v>
      </c>
      <c r="P409">
        <v>1</v>
      </c>
      <c r="Q409" s="1" t="s">
        <v>31</v>
      </c>
      <c r="R409">
        <v>1</v>
      </c>
      <c r="S409" s="1" t="s">
        <v>40</v>
      </c>
      <c r="T409" s="1" t="s">
        <v>67</v>
      </c>
      <c r="U409" s="1" t="s">
        <v>34</v>
      </c>
    </row>
    <row r="410" spans="1:21" x14ac:dyDescent="0.3">
      <c r="A410" s="1" t="s">
        <v>42</v>
      </c>
      <c r="B410">
        <v>24</v>
      </c>
      <c r="C410" s="1" t="s">
        <v>36</v>
      </c>
      <c r="D410" s="1" t="s">
        <v>23</v>
      </c>
      <c r="E410">
        <v>3235</v>
      </c>
      <c r="F410" s="1" t="s">
        <v>53</v>
      </c>
      <c r="G410" s="1" t="s">
        <v>25</v>
      </c>
      <c r="H410">
        <v>3</v>
      </c>
      <c r="I410" s="1" t="s">
        <v>59</v>
      </c>
      <c r="J410" s="1" t="s">
        <v>27</v>
      </c>
      <c r="K410">
        <v>2</v>
      </c>
      <c r="L410" s="1" t="s">
        <v>55</v>
      </c>
      <c r="M410">
        <v>26</v>
      </c>
      <c r="N410" s="1" t="s">
        <v>29</v>
      </c>
      <c r="O410" s="1" t="s">
        <v>30</v>
      </c>
      <c r="P410">
        <v>1</v>
      </c>
      <c r="Q410" s="1" t="s">
        <v>57</v>
      </c>
      <c r="R410">
        <v>1</v>
      </c>
      <c r="S410" s="1" t="s">
        <v>32</v>
      </c>
      <c r="T410" s="1" t="s">
        <v>33</v>
      </c>
      <c r="U410" s="1" t="s">
        <v>34</v>
      </c>
    </row>
    <row r="411" spans="1:21" x14ac:dyDescent="0.3">
      <c r="A411" s="1" t="s">
        <v>68</v>
      </c>
      <c r="B411">
        <v>12</v>
      </c>
      <c r="C411" s="1" t="s">
        <v>22</v>
      </c>
      <c r="D411" s="1" t="s">
        <v>51</v>
      </c>
      <c r="E411">
        <v>939</v>
      </c>
      <c r="F411" s="1" t="s">
        <v>53</v>
      </c>
      <c r="G411" s="1" t="s">
        <v>44</v>
      </c>
      <c r="H411">
        <v>4</v>
      </c>
      <c r="I411" s="1" t="s">
        <v>61</v>
      </c>
      <c r="J411" s="1" t="s">
        <v>27</v>
      </c>
      <c r="K411">
        <v>2</v>
      </c>
      <c r="L411" s="1" t="s">
        <v>28</v>
      </c>
      <c r="M411">
        <v>28</v>
      </c>
      <c r="N411" s="1" t="s">
        <v>29</v>
      </c>
      <c r="O411" s="1" t="s">
        <v>30</v>
      </c>
      <c r="P411">
        <v>3</v>
      </c>
      <c r="Q411" s="1" t="s">
        <v>31</v>
      </c>
      <c r="R411">
        <v>1</v>
      </c>
      <c r="S411" s="1" t="s">
        <v>32</v>
      </c>
      <c r="T411" s="1" t="s">
        <v>33</v>
      </c>
      <c r="U411" s="1" t="s">
        <v>41</v>
      </c>
    </row>
    <row r="412" spans="1:21" x14ac:dyDescent="0.3">
      <c r="A412" s="1" t="s">
        <v>35</v>
      </c>
      <c r="B412">
        <v>24</v>
      </c>
      <c r="C412" s="1" t="s">
        <v>36</v>
      </c>
      <c r="D412" s="1" t="s">
        <v>23</v>
      </c>
      <c r="E412">
        <v>1967</v>
      </c>
      <c r="F412" s="1" t="s">
        <v>37</v>
      </c>
      <c r="G412" s="1" t="s">
        <v>25</v>
      </c>
      <c r="H412">
        <v>4</v>
      </c>
      <c r="I412" s="1" t="s">
        <v>39</v>
      </c>
      <c r="J412" s="1" t="s">
        <v>27</v>
      </c>
      <c r="K412">
        <v>4</v>
      </c>
      <c r="L412" s="1" t="s">
        <v>55</v>
      </c>
      <c r="M412">
        <v>20</v>
      </c>
      <c r="N412" s="1" t="s">
        <v>29</v>
      </c>
      <c r="O412" s="1" t="s">
        <v>30</v>
      </c>
      <c r="P412">
        <v>1</v>
      </c>
      <c r="Q412" s="1" t="s">
        <v>31</v>
      </c>
      <c r="R412">
        <v>1</v>
      </c>
      <c r="S412" s="1" t="s">
        <v>32</v>
      </c>
      <c r="T412" s="1" t="s">
        <v>33</v>
      </c>
      <c r="U412" s="1" t="s">
        <v>34</v>
      </c>
    </row>
    <row r="413" spans="1:21" x14ac:dyDescent="0.3">
      <c r="A413" s="1" t="s">
        <v>42</v>
      </c>
      <c r="B413">
        <v>33</v>
      </c>
      <c r="C413" s="1" t="s">
        <v>22</v>
      </c>
      <c r="D413" s="1" t="s">
        <v>54</v>
      </c>
      <c r="E413">
        <v>7253</v>
      </c>
      <c r="F413" s="1" t="s">
        <v>37</v>
      </c>
      <c r="G413" s="1" t="s">
        <v>44</v>
      </c>
      <c r="H413">
        <v>3</v>
      </c>
      <c r="I413" s="1" t="s">
        <v>26</v>
      </c>
      <c r="J413" s="1" t="s">
        <v>27</v>
      </c>
      <c r="K413">
        <v>2</v>
      </c>
      <c r="L413" s="1" t="s">
        <v>55</v>
      </c>
      <c r="M413">
        <v>35</v>
      </c>
      <c r="N413" s="1" t="s">
        <v>29</v>
      </c>
      <c r="O413" s="1" t="s">
        <v>30</v>
      </c>
      <c r="P413">
        <v>2</v>
      </c>
      <c r="Q413" s="1" t="s">
        <v>57</v>
      </c>
      <c r="R413">
        <v>1</v>
      </c>
      <c r="S413" s="1" t="s">
        <v>32</v>
      </c>
      <c r="T413" s="1" t="s">
        <v>33</v>
      </c>
      <c r="U413" s="1" t="s">
        <v>34</v>
      </c>
    </row>
    <row r="414" spans="1:21" x14ac:dyDescent="0.3">
      <c r="A414" s="1" t="s">
        <v>42</v>
      </c>
      <c r="B414">
        <v>12</v>
      </c>
      <c r="C414" s="1" t="s">
        <v>22</v>
      </c>
      <c r="D414" s="1" t="s">
        <v>63</v>
      </c>
      <c r="E414">
        <v>2292</v>
      </c>
      <c r="F414" s="1" t="s">
        <v>37</v>
      </c>
      <c r="G414" s="1" t="s">
        <v>60</v>
      </c>
      <c r="H414">
        <v>4</v>
      </c>
      <c r="I414" s="1" t="s">
        <v>26</v>
      </c>
      <c r="J414" s="1" t="s">
        <v>27</v>
      </c>
      <c r="K414">
        <v>2</v>
      </c>
      <c r="L414" s="1" t="s">
        <v>55</v>
      </c>
      <c r="M414">
        <v>42</v>
      </c>
      <c r="N414" s="1" t="s">
        <v>70</v>
      </c>
      <c r="O414" s="1" t="s">
        <v>30</v>
      </c>
      <c r="P414">
        <v>2</v>
      </c>
      <c r="Q414" s="1" t="s">
        <v>57</v>
      </c>
      <c r="R414">
        <v>1</v>
      </c>
      <c r="S414" s="1" t="s">
        <v>32</v>
      </c>
      <c r="T414" s="1" t="s">
        <v>33</v>
      </c>
      <c r="U414" s="1" t="s">
        <v>41</v>
      </c>
    </row>
    <row r="415" spans="1:21" x14ac:dyDescent="0.3">
      <c r="A415" s="1" t="s">
        <v>42</v>
      </c>
      <c r="B415">
        <v>10</v>
      </c>
      <c r="C415" s="1" t="s">
        <v>36</v>
      </c>
      <c r="D415" s="1" t="s">
        <v>51</v>
      </c>
      <c r="E415">
        <v>1597</v>
      </c>
      <c r="F415" s="1" t="s">
        <v>53</v>
      </c>
      <c r="G415" s="1" t="s">
        <v>38</v>
      </c>
      <c r="H415">
        <v>3</v>
      </c>
      <c r="I415" s="1" t="s">
        <v>26</v>
      </c>
      <c r="J415" s="1" t="s">
        <v>27</v>
      </c>
      <c r="K415">
        <v>2</v>
      </c>
      <c r="L415" s="1" t="s">
        <v>52</v>
      </c>
      <c r="M415">
        <v>40</v>
      </c>
      <c r="N415" s="1" t="s">
        <v>29</v>
      </c>
      <c r="O415" s="1" t="s">
        <v>56</v>
      </c>
      <c r="P415">
        <v>1</v>
      </c>
      <c r="Q415" s="1" t="s">
        <v>45</v>
      </c>
      <c r="R415">
        <v>2</v>
      </c>
      <c r="S415" s="1" t="s">
        <v>40</v>
      </c>
      <c r="T415" s="1" t="s">
        <v>67</v>
      </c>
      <c r="U415" s="1" t="s">
        <v>34</v>
      </c>
    </row>
    <row r="416" spans="1:21" x14ac:dyDescent="0.3">
      <c r="A416" s="1" t="s">
        <v>21</v>
      </c>
      <c r="B416">
        <v>24</v>
      </c>
      <c r="C416" s="1" t="s">
        <v>36</v>
      </c>
      <c r="D416" s="1" t="s">
        <v>51</v>
      </c>
      <c r="E416">
        <v>1381</v>
      </c>
      <c r="F416" s="1" t="s">
        <v>24</v>
      </c>
      <c r="G416" s="1" t="s">
        <v>38</v>
      </c>
      <c r="H416">
        <v>4</v>
      </c>
      <c r="I416" s="1" t="s">
        <v>39</v>
      </c>
      <c r="J416" s="1" t="s">
        <v>27</v>
      </c>
      <c r="K416">
        <v>2</v>
      </c>
      <c r="L416" s="1" t="s">
        <v>48</v>
      </c>
      <c r="M416">
        <v>35</v>
      </c>
      <c r="N416" s="1" t="s">
        <v>29</v>
      </c>
      <c r="O416" s="1" t="s">
        <v>30</v>
      </c>
      <c r="P416">
        <v>1</v>
      </c>
      <c r="Q416" s="1" t="s">
        <v>31</v>
      </c>
      <c r="R416">
        <v>1</v>
      </c>
      <c r="S416" s="1" t="s">
        <v>40</v>
      </c>
      <c r="T416" s="1" t="s">
        <v>33</v>
      </c>
      <c r="U416" s="1" t="s">
        <v>41</v>
      </c>
    </row>
    <row r="417" spans="1:21" x14ac:dyDescent="0.3">
      <c r="A417" s="1" t="s">
        <v>42</v>
      </c>
      <c r="B417">
        <v>36</v>
      </c>
      <c r="C417" s="1" t="s">
        <v>22</v>
      </c>
      <c r="D417" s="1" t="s">
        <v>54</v>
      </c>
      <c r="E417">
        <v>5842</v>
      </c>
      <c r="F417" s="1" t="s">
        <v>37</v>
      </c>
      <c r="G417" s="1" t="s">
        <v>25</v>
      </c>
      <c r="H417">
        <v>2</v>
      </c>
      <c r="I417" s="1" t="s">
        <v>26</v>
      </c>
      <c r="J417" s="1" t="s">
        <v>27</v>
      </c>
      <c r="K417">
        <v>2</v>
      </c>
      <c r="L417" s="1" t="s">
        <v>48</v>
      </c>
      <c r="M417">
        <v>35</v>
      </c>
      <c r="N417" s="1" t="s">
        <v>29</v>
      </c>
      <c r="O417" s="1" t="s">
        <v>30</v>
      </c>
      <c r="P417">
        <v>2</v>
      </c>
      <c r="Q417" s="1" t="s">
        <v>31</v>
      </c>
      <c r="R417">
        <v>2</v>
      </c>
      <c r="S417" s="1" t="s">
        <v>32</v>
      </c>
      <c r="T417" s="1" t="s">
        <v>33</v>
      </c>
      <c r="U417" s="1" t="s">
        <v>34</v>
      </c>
    </row>
    <row r="418" spans="1:21" x14ac:dyDescent="0.3">
      <c r="A418" s="1" t="s">
        <v>21</v>
      </c>
      <c r="B418">
        <v>12</v>
      </c>
      <c r="C418" s="1" t="s">
        <v>36</v>
      </c>
      <c r="D418" s="1" t="s">
        <v>51</v>
      </c>
      <c r="E418">
        <v>2579</v>
      </c>
      <c r="F418" s="1" t="s">
        <v>37</v>
      </c>
      <c r="G418" s="1" t="s">
        <v>62</v>
      </c>
      <c r="H418">
        <v>4</v>
      </c>
      <c r="I418" s="1" t="s">
        <v>26</v>
      </c>
      <c r="J418" s="1" t="s">
        <v>27</v>
      </c>
      <c r="K418">
        <v>1</v>
      </c>
      <c r="L418" s="1" t="s">
        <v>28</v>
      </c>
      <c r="M418">
        <v>33</v>
      </c>
      <c r="N418" s="1" t="s">
        <v>29</v>
      </c>
      <c r="O418" s="1" t="s">
        <v>30</v>
      </c>
      <c r="P418">
        <v>1</v>
      </c>
      <c r="Q418" s="1" t="s">
        <v>45</v>
      </c>
      <c r="R418">
        <v>2</v>
      </c>
      <c r="S418" s="1" t="s">
        <v>40</v>
      </c>
      <c r="T418" s="1" t="s">
        <v>33</v>
      </c>
      <c r="U418" s="1" t="s">
        <v>41</v>
      </c>
    </row>
    <row r="419" spans="1:21" x14ac:dyDescent="0.3">
      <c r="A419" s="1" t="s">
        <v>21</v>
      </c>
      <c r="B419">
        <v>18</v>
      </c>
      <c r="C419" s="1" t="s">
        <v>50</v>
      </c>
      <c r="D419" s="1" t="s">
        <v>43</v>
      </c>
      <c r="E419">
        <v>8471</v>
      </c>
      <c r="F419" s="1" t="s">
        <v>24</v>
      </c>
      <c r="G419" s="1" t="s">
        <v>38</v>
      </c>
      <c r="H419">
        <v>1</v>
      </c>
      <c r="I419" s="1" t="s">
        <v>39</v>
      </c>
      <c r="J419" s="1" t="s">
        <v>27</v>
      </c>
      <c r="K419">
        <v>2</v>
      </c>
      <c r="L419" s="1" t="s">
        <v>55</v>
      </c>
      <c r="M419">
        <v>23</v>
      </c>
      <c r="N419" s="1" t="s">
        <v>29</v>
      </c>
      <c r="O419" s="1" t="s">
        <v>56</v>
      </c>
      <c r="P419">
        <v>2</v>
      </c>
      <c r="Q419" s="1" t="s">
        <v>31</v>
      </c>
      <c r="R419">
        <v>1</v>
      </c>
      <c r="S419" s="1" t="s">
        <v>32</v>
      </c>
      <c r="T419" s="1" t="s">
        <v>33</v>
      </c>
      <c r="U419" s="1" t="s">
        <v>34</v>
      </c>
    </row>
    <row r="420" spans="1:21" x14ac:dyDescent="0.3">
      <c r="A420" s="1" t="s">
        <v>42</v>
      </c>
      <c r="B420">
        <v>21</v>
      </c>
      <c r="C420" s="1" t="s">
        <v>36</v>
      </c>
      <c r="D420" s="1" t="s">
        <v>51</v>
      </c>
      <c r="E420">
        <v>2782</v>
      </c>
      <c r="F420" s="1" t="s">
        <v>53</v>
      </c>
      <c r="G420" s="1" t="s">
        <v>44</v>
      </c>
      <c r="H420">
        <v>1</v>
      </c>
      <c r="I420" s="1" t="s">
        <v>39</v>
      </c>
      <c r="J420" s="1" t="s">
        <v>27</v>
      </c>
      <c r="K420">
        <v>2</v>
      </c>
      <c r="L420" s="1" t="s">
        <v>55</v>
      </c>
      <c r="M420">
        <v>31</v>
      </c>
      <c r="N420" s="1" t="s">
        <v>66</v>
      </c>
      <c r="O420" s="1" t="s">
        <v>30</v>
      </c>
      <c r="P420">
        <v>1</v>
      </c>
      <c r="Q420" s="1" t="s">
        <v>57</v>
      </c>
      <c r="R420">
        <v>1</v>
      </c>
      <c r="S420" s="1" t="s">
        <v>40</v>
      </c>
      <c r="T420" s="1" t="s">
        <v>33</v>
      </c>
      <c r="U420" s="1" t="s">
        <v>34</v>
      </c>
    </row>
    <row r="421" spans="1:21" x14ac:dyDescent="0.3">
      <c r="A421" s="1" t="s">
        <v>35</v>
      </c>
      <c r="B421">
        <v>18</v>
      </c>
      <c r="C421" s="1" t="s">
        <v>36</v>
      </c>
      <c r="D421" s="1" t="s">
        <v>51</v>
      </c>
      <c r="E421">
        <v>1042</v>
      </c>
      <c r="F421" s="1" t="s">
        <v>24</v>
      </c>
      <c r="G421" s="1" t="s">
        <v>38</v>
      </c>
      <c r="H421">
        <v>4</v>
      </c>
      <c r="I421" s="1" t="s">
        <v>39</v>
      </c>
      <c r="J421" s="1" t="s">
        <v>27</v>
      </c>
      <c r="K421">
        <v>2</v>
      </c>
      <c r="L421" s="1" t="s">
        <v>48</v>
      </c>
      <c r="M421">
        <v>33</v>
      </c>
      <c r="N421" s="1" t="s">
        <v>29</v>
      </c>
      <c r="O421" s="1" t="s">
        <v>30</v>
      </c>
      <c r="P421">
        <v>1</v>
      </c>
      <c r="Q421" s="1" t="s">
        <v>31</v>
      </c>
      <c r="R421">
        <v>1</v>
      </c>
      <c r="S421" s="1" t="s">
        <v>40</v>
      </c>
      <c r="T421" s="1" t="s">
        <v>33</v>
      </c>
      <c r="U421" s="1" t="s">
        <v>41</v>
      </c>
    </row>
    <row r="422" spans="1:21" x14ac:dyDescent="0.3">
      <c r="A422" s="1" t="s">
        <v>42</v>
      </c>
      <c r="B422">
        <v>15</v>
      </c>
      <c r="C422" s="1" t="s">
        <v>36</v>
      </c>
      <c r="D422" s="1" t="s">
        <v>51</v>
      </c>
      <c r="E422">
        <v>3186</v>
      </c>
      <c r="F422" s="1" t="s">
        <v>58</v>
      </c>
      <c r="G422" s="1" t="s">
        <v>44</v>
      </c>
      <c r="H422">
        <v>2</v>
      </c>
      <c r="I422" s="1" t="s">
        <v>39</v>
      </c>
      <c r="J422" s="1" t="s">
        <v>27</v>
      </c>
      <c r="K422">
        <v>3</v>
      </c>
      <c r="L422" s="1" t="s">
        <v>55</v>
      </c>
      <c r="M422">
        <v>20</v>
      </c>
      <c r="N422" s="1" t="s">
        <v>29</v>
      </c>
      <c r="O422" s="1" t="s">
        <v>56</v>
      </c>
      <c r="P422">
        <v>1</v>
      </c>
      <c r="Q422" s="1" t="s">
        <v>31</v>
      </c>
      <c r="R422">
        <v>1</v>
      </c>
      <c r="S422" s="1" t="s">
        <v>40</v>
      </c>
      <c r="T422" s="1" t="s">
        <v>33</v>
      </c>
      <c r="U422" s="1" t="s">
        <v>34</v>
      </c>
    </row>
    <row r="423" spans="1:21" x14ac:dyDescent="0.3">
      <c r="A423" s="1" t="s">
        <v>35</v>
      </c>
      <c r="B423">
        <v>12</v>
      </c>
      <c r="C423" s="1" t="s">
        <v>36</v>
      </c>
      <c r="D423" s="1" t="s">
        <v>54</v>
      </c>
      <c r="E423">
        <v>2028</v>
      </c>
      <c r="F423" s="1" t="s">
        <v>24</v>
      </c>
      <c r="G423" s="1" t="s">
        <v>38</v>
      </c>
      <c r="H423">
        <v>4</v>
      </c>
      <c r="I423" s="1" t="s">
        <v>26</v>
      </c>
      <c r="J423" s="1" t="s">
        <v>27</v>
      </c>
      <c r="K423">
        <v>2</v>
      </c>
      <c r="L423" s="1" t="s">
        <v>55</v>
      </c>
      <c r="M423">
        <v>30</v>
      </c>
      <c r="N423" s="1" t="s">
        <v>29</v>
      </c>
      <c r="O423" s="1" t="s">
        <v>30</v>
      </c>
      <c r="P423">
        <v>1</v>
      </c>
      <c r="Q423" s="1" t="s">
        <v>31</v>
      </c>
      <c r="R423">
        <v>1</v>
      </c>
      <c r="S423" s="1" t="s">
        <v>40</v>
      </c>
      <c r="T423" s="1" t="s">
        <v>33</v>
      </c>
      <c r="U423" s="1" t="s">
        <v>34</v>
      </c>
    </row>
    <row r="424" spans="1:21" x14ac:dyDescent="0.3">
      <c r="A424" s="1" t="s">
        <v>35</v>
      </c>
      <c r="B424">
        <v>12</v>
      </c>
      <c r="C424" s="1" t="s">
        <v>22</v>
      </c>
      <c r="D424" s="1" t="s">
        <v>51</v>
      </c>
      <c r="E424">
        <v>958</v>
      </c>
      <c r="F424" s="1" t="s">
        <v>37</v>
      </c>
      <c r="G424" s="1" t="s">
        <v>44</v>
      </c>
      <c r="H424">
        <v>2</v>
      </c>
      <c r="I424" s="1" t="s">
        <v>26</v>
      </c>
      <c r="J424" s="1" t="s">
        <v>27</v>
      </c>
      <c r="K424">
        <v>3</v>
      </c>
      <c r="L424" s="1" t="s">
        <v>28</v>
      </c>
      <c r="M424">
        <v>47</v>
      </c>
      <c r="N424" s="1" t="s">
        <v>29</v>
      </c>
      <c r="O424" s="1" t="s">
        <v>30</v>
      </c>
      <c r="P424">
        <v>2</v>
      </c>
      <c r="Q424" s="1" t="s">
        <v>45</v>
      </c>
      <c r="R424">
        <v>2</v>
      </c>
      <c r="S424" s="1" t="s">
        <v>40</v>
      </c>
      <c r="T424" s="1" t="s">
        <v>33</v>
      </c>
      <c r="U424" s="1" t="s">
        <v>34</v>
      </c>
    </row>
    <row r="425" spans="1:21" x14ac:dyDescent="0.3">
      <c r="A425" s="1" t="s">
        <v>42</v>
      </c>
      <c r="B425">
        <v>21</v>
      </c>
      <c r="C425" s="1" t="s">
        <v>50</v>
      </c>
      <c r="D425" s="1" t="s">
        <v>46</v>
      </c>
      <c r="E425">
        <v>1591</v>
      </c>
      <c r="F425" s="1" t="s">
        <v>64</v>
      </c>
      <c r="G425" s="1" t="s">
        <v>44</v>
      </c>
      <c r="H425">
        <v>4</v>
      </c>
      <c r="I425" s="1" t="s">
        <v>26</v>
      </c>
      <c r="J425" s="1" t="s">
        <v>27</v>
      </c>
      <c r="K425">
        <v>3</v>
      </c>
      <c r="L425" s="1" t="s">
        <v>28</v>
      </c>
      <c r="M425">
        <v>34</v>
      </c>
      <c r="N425" s="1" t="s">
        <v>29</v>
      </c>
      <c r="O425" s="1" t="s">
        <v>30</v>
      </c>
      <c r="P425">
        <v>2</v>
      </c>
      <c r="Q425" s="1" t="s">
        <v>57</v>
      </c>
      <c r="R425">
        <v>1</v>
      </c>
      <c r="S425" s="1" t="s">
        <v>40</v>
      </c>
      <c r="T425" s="1" t="s">
        <v>33</v>
      </c>
      <c r="U425" s="1" t="s">
        <v>34</v>
      </c>
    </row>
    <row r="426" spans="1:21" x14ac:dyDescent="0.3">
      <c r="A426" s="1" t="s">
        <v>35</v>
      </c>
      <c r="B426">
        <v>12</v>
      </c>
      <c r="C426" s="1" t="s">
        <v>36</v>
      </c>
      <c r="D426" s="1" t="s">
        <v>46</v>
      </c>
      <c r="E426">
        <v>2762</v>
      </c>
      <c r="F426" s="1" t="s">
        <v>24</v>
      </c>
      <c r="G426" s="1" t="s">
        <v>25</v>
      </c>
      <c r="H426">
        <v>1</v>
      </c>
      <c r="I426" s="1" t="s">
        <v>39</v>
      </c>
      <c r="J426" s="1" t="s">
        <v>27</v>
      </c>
      <c r="K426">
        <v>2</v>
      </c>
      <c r="L426" s="1" t="s">
        <v>48</v>
      </c>
      <c r="M426">
        <v>25</v>
      </c>
      <c r="N426" s="1" t="s">
        <v>66</v>
      </c>
      <c r="O426" s="1" t="s">
        <v>30</v>
      </c>
      <c r="P426">
        <v>1</v>
      </c>
      <c r="Q426" s="1" t="s">
        <v>31</v>
      </c>
      <c r="R426">
        <v>1</v>
      </c>
      <c r="S426" s="1" t="s">
        <v>32</v>
      </c>
      <c r="T426" s="1" t="s">
        <v>33</v>
      </c>
      <c r="U426" s="1" t="s">
        <v>41</v>
      </c>
    </row>
    <row r="427" spans="1:21" x14ac:dyDescent="0.3">
      <c r="A427" s="1" t="s">
        <v>35</v>
      </c>
      <c r="B427">
        <v>18</v>
      </c>
      <c r="C427" s="1" t="s">
        <v>36</v>
      </c>
      <c r="D427" s="1" t="s">
        <v>54</v>
      </c>
      <c r="E427">
        <v>2779</v>
      </c>
      <c r="F427" s="1" t="s">
        <v>37</v>
      </c>
      <c r="G427" s="1" t="s">
        <v>38</v>
      </c>
      <c r="H427">
        <v>1</v>
      </c>
      <c r="I427" s="1" t="s">
        <v>61</v>
      </c>
      <c r="J427" s="1" t="s">
        <v>27</v>
      </c>
      <c r="K427">
        <v>3</v>
      </c>
      <c r="L427" s="1" t="s">
        <v>55</v>
      </c>
      <c r="M427">
        <v>21</v>
      </c>
      <c r="N427" s="1" t="s">
        <v>29</v>
      </c>
      <c r="O427" s="1" t="s">
        <v>56</v>
      </c>
      <c r="P427">
        <v>1</v>
      </c>
      <c r="Q427" s="1" t="s">
        <v>31</v>
      </c>
      <c r="R427">
        <v>1</v>
      </c>
      <c r="S427" s="1" t="s">
        <v>32</v>
      </c>
      <c r="T427" s="1" t="s">
        <v>33</v>
      </c>
      <c r="U427" s="1" t="s">
        <v>34</v>
      </c>
    </row>
    <row r="428" spans="1:21" x14ac:dyDescent="0.3">
      <c r="A428" s="1" t="s">
        <v>42</v>
      </c>
      <c r="B428">
        <v>28</v>
      </c>
      <c r="C428" s="1" t="s">
        <v>22</v>
      </c>
      <c r="D428" s="1" t="s">
        <v>23</v>
      </c>
      <c r="E428">
        <v>2743</v>
      </c>
      <c r="F428" s="1" t="s">
        <v>37</v>
      </c>
      <c r="G428" s="1" t="s">
        <v>25</v>
      </c>
      <c r="H428">
        <v>4</v>
      </c>
      <c r="I428" s="1" t="s">
        <v>26</v>
      </c>
      <c r="J428" s="1" t="s">
        <v>27</v>
      </c>
      <c r="K428">
        <v>2</v>
      </c>
      <c r="L428" s="1" t="s">
        <v>55</v>
      </c>
      <c r="M428">
        <v>29</v>
      </c>
      <c r="N428" s="1" t="s">
        <v>29</v>
      </c>
      <c r="O428" s="1" t="s">
        <v>30</v>
      </c>
      <c r="P428">
        <v>2</v>
      </c>
      <c r="Q428" s="1" t="s">
        <v>31</v>
      </c>
      <c r="R428">
        <v>1</v>
      </c>
      <c r="S428" s="1" t="s">
        <v>40</v>
      </c>
      <c r="T428" s="1" t="s">
        <v>33</v>
      </c>
      <c r="U428" s="1" t="s">
        <v>34</v>
      </c>
    </row>
    <row r="429" spans="1:21" x14ac:dyDescent="0.3">
      <c r="A429" s="1" t="s">
        <v>42</v>
      </c>
      <c r="B429">
        <v>18</v>
      </c>
      <c r="C429" s="1" t="s">
        <v>22</v>
      </c>
      <c r="D429" s="1" t="s">
        <v>23</v>
      </c>
      <c r="E429">
        <v>1149</v>
      </c>
      <c r="F429" s="1" t="s">
        <v>58</v>
      </c>
      <c r="G429" s="1" t="s">
        <v>38</v>
      </c>
      <c r="H429">
        <v>4</v>
      </c>
      <c r="I429" s="1" t="s">
        <v>26</v>
      </c>
      <c r="J429" s="1" t="s">
        <v>27</v>
      </c>
      <c r="K429">
        <v>3</v>
      </c>
      <c r="L429" s="1" t="s">
        <v>28</v>
      </c>
      <c r="M429">
        <v>46</v>
      </c>
      <c r="N429" s="1" t="s">
        <v>29</v>
      </c>
      <c r="O429" s="1" t="s">
        <v>30</v>
      </c>
      <c r="P429">
        <v>2</v>
      </c>
      <c r="Q429" s="1" t="s">
        <v>31</v>
      </c>
      <c r="R429">
        <v>1</v>
      </c>
      <c r="S429" s="1" t="s">
        <v>40</v>
      </c>
      <c r="T429" s="1" t="s">
        <v>33</v>
      </c>
      <c r="U429" s="1" t="s">
        <v>34</v>
      </c>
    </row>
    <row r="430" spans="1:21" x14ac:dyDescent="0.3">
      <c r="A430" s="1" t="s">
        <v>42</v>
      </c>
      <c r="B430">
        <v>9</v>
      </c>
      <c r="C430" s="1" t="s">
        <v>36</v>
      </c>
      <c r="D430" s="1" t="s">
        <v>46</v>
      </c>
      <c r="E430">
        <v>1313</v>
      </c>
      <c r="F430" s="1" t="s">
        <v>37</v>
      </c>
      <c r="G430" s="1" t="s">
        <v>25</v>
      </c>
      <c r="H430">
        <v>1</v>
      </c>
      <c r="I430" s="1" t="s">
        <v>26</v>
      </c>
      <c r="J430" s="1" t="s">
        <v>27</v>
      </c>
      <c r="K430">
        <v>4</v>
      </c>
      <c r="L430" s="1" t="s">
        <v>55</v>
      </c>
      <c r="M430">
        <v>20</v>
      </c>
      <c r="N430" s="1" t="s">
        <v>29</v>
      </c>
      <c r="O430" s="1" t="s">
        <v>30</v>
      </c>
      <c r="P430">
        <v>1</v>
      </c>
      <c r="Q430" s="1" t="s">
        <v>31</v>
      </c>
      <c r="R430">
        <v>1</v>
      </c>
      <c r="S430" s="1" t="s">
        <v>40</v>
      </c>
      <c r="T430" s="1" t="s">
        <v>33</v>
      </c>
      <c r="U430" s="1" t="s">
        <v>34</v>
      </c>
    </row>
    <row r="431" spans="1:21" x14ac:dyDescent="0.3">
      <c r="A431" s="1" t="s">
        <v>21</v>
      </c>
      <c r="B431">
        <v>18</v>
      </c>
      <c r="C431" s="1" t="s">
        <v>22</v>
      </c>
      <c r="D431" s="1" t="s">
        <v>73</v>
      </c>
      <c r="E431">
        <v>1190</v>
      </c>
      <c r="F431" s="1" t="s">
        <v>37</v>
      </c>
      <c r="G431" s="1" t="s">
        <v>60</v>
      </c>
      <c r="H431">
        <v>2</v>
      </c>
      <c r="I431" s="1" t="s">
        <v>39</v>
      </c>
      <c r="J431" s="1" t="s">
        <v>27</v>
      </c>
      <c r="K431">
        <v>4</v>
      </c>
      <c r="L431" s="1" t="s">
        <v>52</v>
      </c>
      <c r="M431">
        <v>55</v>
      </c>
      <c r="N431" s="1" t="s">
        <v>29</v>
      </c>
      <c r="O431" s="1" t="s">
        <v>49</v>
      </c>
      <c r="P431">
        <v>3</v>
      </c>
      <c r="Q431" s="1" t="s">
        <v>74</v>
      </c>
      <c r="R431">
        <v>2</v>
      </c>
      <c r="S431" s="1" t="s">
        <v>40</v>
      </c>
      <c r="T431" s="1" t="s">
        <v>33</v>
      </c>
      <c r="U431" s="1" t="s">
        <v>41</v>
      </c>
    </row>
    <row r="432" spans="1:21" x14ac:dyDescent="0.3">
      <c r="A432" s="1" t="s">
        <v>42</v>
      </c>
      <c r="B432">
        <v>5</v>
      </c>
      <c r="C432" s="1" t="s">
        <v>36</v>
      </c>
      <c r="D432" s="1" t="s">
        <v>63</v>
      </c>
      <c r="E432">
        <v>3448</v>
      </c>
      <c r="F432" s="1" t="s">
        <v>37</v>
      </c>
      <c r="G432" s="1" t="s">
        <v>44</v>
      </c>
      <c r="H432">
        <v>1</v>
      </c>
      <c r="I432" s="1" t="s">
        <v>26</v>
      </c>
      <c r="J432" s="1" t="s">
        <v>27</v>
      </c>
      <c r="K432">
        <v>4</v>
      </c>
      <c r="L432" s="1" t="s">
        <v>28</v>
      </c>
      <c r="M432">
        <v>74</v>
      </c>
      <c r="N432" s="1" t="s">
        <v>29</v>
      </c>
      <c r="O432" s="1" t="s">
        <v>30</v>
      </c>
      <c r="P432">
        <v>1</v>
      </c>
      <c r="Q432" s="1" t="s">
        <v>45</v>
      </c>
      <c r="R432">
        <v>1</v>
      </c>
      <c r="S432" s="1" t="s">
        <v>40</v>
      </c>
      <c r="T432" s="1" t="s">
        <v>33</v>
      </c>
      <c r="U432" s="1" t="s">
        <v>34</v>
      </c>
    </row>
    <row r="433" spans="1:21" x14ac:dyDescent="0.3">
      <c r="A433" s="1" t="s">
        <v>35</v>
      </c>
      <c r="B433">
        <v>24</v>
      </c>
      <c r="C433" s="1" t="s">
        <v>36</v>
      </c>
      <c r="D433" s="1" t="s">
        <v>75</v>
      </c>
      <c r="E433">
        <v>11328</v>
      </c>
      <c r="F433" s="1" t="s">
        <v>37</v>
      </c>
      <c r="G433" s="1" t="s">
        <v>38</v>
      </c>
      <c r="H433">
        <v>2</v>
      </c>
      <c r="I433" s="1" t="s">
        <v>26</v>
      </c>
      <c r="J433" s="1" t="s">
        <v>71</v>
      </c>
      <c r="K433">
        <v>3</v>
      </c>
      <c r="L433" s="1" t="s">
        <v>55</v>
      </c>
      <c r="M433">
        <v>29</v>
      </c>
      <c r="N433" s="1" t="s">
        <v>66</v>
      </c>
      <c r="O433" s="1" t="s">
        <v>30</v>
      </c>
      <c r="P433">
        <v>2</v>
      </c>
      <c r="Q433" s="1" t="s">
        <v>57</v>
      </c>
      <c r="R433">
        <v>1</v>
      </c>
      <c r="S433" s="1" t="s">
        <v>32</v>
      </c>
      <c r="T433" s="1" t="s">
        <v>33</v>
      </c>
      <c r="U433" s="1" t="s">
        <v>41</v>
      </c>
    </row>
    <row r="434" spans="1:21" x14ac:dyDescent="0.3">
      <c r="A434" s="1" t="s">
        <v>21</v>
      </c>
      <c r="B434">
        <v>6</v>
      </c>
      <c r="C434" s="1" t="s">
        <v>22</v>
      </c>
      <c r="D434" s="1" t="s">
        <v>46</v>
      </c>
      <c r="E434">
        <v>1872</v>
      </c>
      <c r="F434" s="1" t="s">
        <v>37</v>
      </c>
      <c r="G434" s="1" t="s">
        <v>60</v>
      </c>
      <c r="H434">
        <v>4</v>
      </c>
      <c r="I434" s="1" t="s">
        <v>26</v>
      </c>
      <c r="J434" s="1" t="s">
        <v>27</v>
      </c>
      <c r="K434">
        <v>4</v>
      </c>
      <c r="L434" s="1" t="s">
        <v>52</v>
      </c>
      <c r="M434">
        <v>36</v>
      </c>
      <c r="N434" s="1" t="s">
        <v>29</v>
      </c>
      <c r="O434" s="1" t="s">
        <v>49</v>
      </c>
      <c r="P434">
        <v>3</v>
      </c>
      <c r="Q434" s="1" t="s">
        <v>57</v>
      </c>
      <c r="R434">
        <v>1</v>
      </c>
      <c r="S434" s="1" t="s">
        <v>32</v>
      </c>
      <c r="T434" s="1" t="s">
        <v>33</v>
      </c>
      <c r="U434" s="1" t="s">
        <v>34</v>
      </c>
    </row>
    <row r="435" spans="1:21" x14ac:dyDescent="0.3">
      <c r="A435" s="1" t="s">
        <v>42</v>
      </c>
      <c r="B435">
        <v>24</v>
      </c>
      <c r="C435" s="1" t="s">
        <v>22</v>
      </c>
      <c r="D435" s="1" t="s">
        <v>73</v>
      </c>
      <c r="E435">
        <v>2058</v>
      </c>
      <c r="F435" s="1" t="s">
        <v>37</v>
      </c>
      <c r="G435" s="1" t="s">
        <v>38</v>
      </c>
      <c r="H435">
        <v>4</v>
      </c>
      <c r="I435" s="1" t="s">
        <v>59</v>
      </c>
      <c r="J435" s="1" t="s">
        <v>27</v>
      </c>
      <c r="K435">
        <v>2</v>
      </c>
      <c r="L435" s="1" t="s">
        <v>28</v>
      </c>
      <c r="M435">
        <v>33</v>
      </c>
      <c r="N435" s="1" t="s">
        <v>29</v>
      </c>
      <c r="O435" s="1" t="s">
        <v>30</v>
      </c>
      <c r="P435">
        <v>2</v>
      </c>
      <c r="Q435" s="1" t="s">
        <v>31</v>
      </c>
      <c r="R435">
        <v>1</v>
      </c>
      <c r="S435" s="1" t="s">
        <v>32</v>
      </c>
      <c r="T435" s="1" t="s">
        <v>33</v>
      </c>
      <c r="U435" s="1" t="s">
        <v>34</v>
      </c>
    </row>
    <row r="436" spans="1:21" x14ac:dyDescent="0.3">
      <c r="A436" s="1" t="s">
        <v>21</v>
      </c>
      <c r="B436">
        <v>9</v>
      </c>
      <c r="C436" s="1" t="s">
        <v>36</v>
      </c>
      <c r="D436" s="1" t="s">
        <v>46</v>
      </c>
      <c r="E436">
        <v>2136</v>
      </c>
      <c r="F436" s="1" t="s">
        <v>37</v>
      </c>
      <c r="G436" s="1" t="s">
        <v>38</v>
      </c>
      <c r="H436">
        <v>3</v>
      </c>
      <c r="I436" s="1" t="s">
        <v>26</v>
      </c>
      <c r="J436" s="1" t="s">
        <v>27</v>
      </c>
      <c r="K436">
        <v>2</v>
      </c>
      <c r="L436" s="1" t="s">
        <v>28</v>
      </c>
      <c r="M436">
        <v>25</v>
      </c>
      <c r="N436" s="1" t="s">
        <v>29</v>
      </c>
      <c r="O436" s="1" t="s">
        <v>30</v>
      </c>
      <c r="P436">
        <v>1</v>
      </c>
      <c r="Q436" s="1" t="s">
        <v>31</v>
      </c>
      <c r="R436">
        <v>1</v>
      </c>
      <c r="S436" s="1" t="s">
        <v>40</v>
      </c>
      <c r="T436" s="1" t="s">
        <v>33</v>
      </c>
      <c r="U436" s="1" t="s">
        <v>34</v>
      </c>
    </row>
    <row r="437" spans="1:21" x14ac:dyDescent="0.3">
      <c r="A437" s="1" t="s">
        <v>35</v>
      </c>
      <c r="B437">
        <v>12</v>
      </c>
      <c r="C437" s="1" t="s">
        <v>36</v>
      </c>
      <c r="D437" s="1" t="s">
        <v>23</v>
      </c>
      <c r="E437">
        <v>1484</v>
      </c>
      <c r="F437" s="1" t="s">
        <v>24</v>
      </c>
      <c r="G437" s="1" t="s">
        <v>38</v>
      </c>
      <c r="H437">
        <v>2</v>
      </c>
      <c r="I437" s="1" t="s">
        <v>61</v>
      </c>
      <c r="J437" s="1" t="s">
        <v>27</v>
      </c>
      <c r="K437">
        <v>1</v>
      </c>
      <c r="L437" s="1" t="s">
        <v>28</v>
      </c>
      <c r="M437">
        <v>25</v>
      </c>
      <c r="N437" s="1" t="s">
        <v>29</v>
      </c>
      <c r="O437" s="1" t="s">
        <v>30</v>
      </c>
      <c r="P437">
        <v>1</v>
      </c>
      <c r="Q437" s="1" t="s">
        <v>31</v>
      </c>
      <c r="R437">
        <v>1</v>
      </c>
      <c r="S437" s="1" t="s">
        <v>32</v>
      </c>
      <c r="T437" s="1" t="s">
        <v>33</v>
      </c>
      <c r="U437" s="1" t="s">
        <v>41</v>
      </c>
    </row>
    <row r="438" spans="1:21" x14ac:dyDescent="0.3">
      <c r="A438" s="1" t="s">
        <v>42</v>
      </c>
      <c r="B438">
        <v>6</v>
      </c>
      <c r="C438" s="1" t="s">
        <v>36</v>
      </c>
      <c r="D438" s="1" t="s">
        <v>73</v>
      </c>
      <c r="E438">
        <v>660</v>
      </c>
      <c r="F438" s="1" t="s">
        <v>53</v>
      </c>
      <c r="G438" s="1" t="s">
        <v>44</v>
      </c>
      <c r="H438">
        <v>2</v>
      </c>
      <c r="I438" s="1" t="s">
        <v>61</v>
      </c>
      <c r="J438" s="1" t="s">
        <v>27</v>
      </c>
      <c r="K438">
        <v>4</v>
      </c>
      <c r="L438" s="1" t="s">
        <v>28</v>
      </c>
      <c r="M438">
        <v>23</v>
      </c>
      <c r="N438" s="1" t="s">
        <v>29</v>
      </c>
      <c r="O438" s="1" t="s">
        <v>56</v>
      </c>
      <c r="P438">
        <v>1</v>
      </c>
      <c r="Q438" s="1" t="s">
        <v>45</v>
      </c>
      <c r="R438">
        <v>1</v>
      </c>
      <c r="S438" s="1" t="s">
        <v>40</v>
      </c>
      <c r="T438" s="1" t="s">
        <v>33</v>
      </c>
      <c r="U438" s="1" t="s">
        <v>34</v>
      </c>
    </row>
    <row r="439" spans="1:21" x14ac:dyDescent="0.3">
      <c r="A439" s="1" t="s">
        <v>42</v>
      </c>
      <c r="B439">
        <v>24</v>
      </c>
      <c r="C439" s="1" t="s">
        <v>22</v>
      </c>
      <c r="D439" s="1" t="s">
        <v>51</v>
      </c>
      <c r="E439">
        <v>1287</v>
      </c>
      <c r="F439" s="1" t="s">
        <v>58</v>
      </c>
      <c r="G439" s="1" t="s">
        <v>25</v>
      </c>
      <c r="H439">
        <v>4</v>
      </c>
      <c r="I439" s="1" t="s">
        <v>39</v>
      </c>
      <c r="J439" s="1" t="s">
        <v>27</v>
      </c>
      <c r="K439">
        <v>4</v>
      </c>
      <c r="L439" s="1" t="s">
        <v>28</v>
      </c>
      <c r="M439">
        <v>37</v>
      </c>
      <c r="N439" s="1" t="s">
        <v>29</v>
      </c>
      <c r="O439" s="1" t="s">
        <v>30</v>
      </c>
      <c r="P439">
        <v>2</v>
      </c>
      <c r="Q439" s="1" t="s">
        <v>31</v>
      </c>
      <c r="R439">
        <v>1</v>
      </c>
      <c r="S439" s="1" t="s">
        <v>32</v>
      </c>
      <c r="T439" s="1" t="s">
        <v>33</v>
      </c>
      <c r="U439" s="1" t="s">
        <v>34</v>
      </c>
    </row>
    <row r="440" spans="1:21" x14ac:dyDescent="0.3">
      <c r="A440" s="1" t="s">
        <v>21</v>
      </c>
      <c r="B440">
        <v>42</v>
      </c>
      <c r="C440" s="1" t="s">
        <v>22</v>
      </c>
      <c r="D440" s="1" t="s">
        <v>73</v>
      </c>
      <c r="E440">
        <v>3394</v>
      </c>
      <c r="F440" s="1" t="s">
        <v>37</v>
      </c>
      <c r="G440" s="1" t="s">
        <v>60</v>
      </c>
      <c r="H440">
        <v>4</v>
      </c>
      <c r="I440" s="1" t="s">
        <v>26</v>
      </c>
      <c r="J440" s="1" t="s">
        <v>71</v>
      </c>
      <c r="K440">
        <v>4</v>
      </c>
      <c r="L440" s="1" t="s">
        <v>55</v>
      </c>
      <c r="M440">
        <v>65</v>
      </c>
      <c r="N440" s="1" t="s">
        <v>29</v>
      </c>
      <c r="O440" s="1" t="s">
        <v>30</v>
      </c>
      <c r="P440">
        <v>2</v>
      </c>
      <c r="Q440" s="1" t="s">
        <v>74</v>
      </c>
      <c r="R440">
        <v>1</v>
      </c>
      <c r="S440" s="1" t="s">
        <v>40</v>
      </c>
      <c r="T440" s="1" t="s">
        <v>33</v>
      </c>
      <c r="U440" s="1" t="s">
        <v>34</v>
      </c>
    </row>
    <row r="441" spans="1:21" x14ac:dyDescent="0.3">
      <c r="A441" s="1" t="s">
        <v>68</v>
      </c>
      <c r="B441">
        <v>12</v>
      </c>
      <c r="C441" s="1" t="s">
        <v>69</v>
      </c>
      <c r="D441" s="1" t="s">
        <v>63</v>
      </c>
      <c r="E441">
        <v>609</v>
      </c>
      <c r="F441" s="1" t="s">
        <v>37</v>
      </c>
      <c r="G441" s="1" t="s">
        <v>62</v>
      </c>
      <c r="H441">
        <v>4</v>
      </c>
      <c r="I441" s="1" t="s">
        <v>39</v>
      </c>
      <c r="J441" s="1" t="s">
        <v>27</v>
      </c>
      <c r="K441">
        <v>1</v>
      </c>
      <c r="L441" s="1" t="s">
        <v>28</v>
      </c>
      <c r="M441">
        <v>26</v>
      </c>
      <c r="N441" s="1" t="s">
        <v>29</v>
      </c>
      <c r="O441" s="1" t="s">
        <v>30</v>
      </c>
      <c r="P441">
        <v>1</v>
      </c>
      <c r="Q441" s="1" t="s">
        <v>74</v>
      </c>
      <c r="R441">
        <v>1</v>
      </c>
      <c r="S441" s="1" t="s">
        <v>40</v>
      </c>
      <c r="T441" s="1" t="s">
        <v>33</v>
      </c>
      <c r="U441" s="1" t="s">
        <v>41</v>
      </c>
    </row>
    <row r="442" spans="1:21" x14ac:dyDescent="0.3">
      <c r="A442" s="1" t="s">
        <v>42</v>
      </c>
      <c r="B442">
        <v>12</v>
      </c>
      <c r="C442" s="1" t="s">
        <v>36</v>
      </c>
      <c r="D442" s="1" t="s">
        <v>51</v>
      </c>
      <c r="E442">
        <v>1884</v>
      </c>
      <c r="F442" s="1" t="s">
        <v>37</v>
      </c>
      <c r="G442" s="1" t="s">
        <v>25</v>
      </c>
      <c r="H442">
        <v>4</v>
      </c>
      <c r="I442" s="1" t="s">
        <v>26</v>
      </c>
      <c r="J442" s="1" t="s">
        <v>27</v>
      </c>
      <c r="K442">
        <v>4</v>
      </c>
      <c r="L442" s="1" t="s">
        <v>55</v>
      </c>
      <c r="M442">
        <v>39</v>
      </c>
      <c r="N442" s="1" t="s">
        <v>29</v>
      </c>
      <c r="O442" s="1" t="s">
        <v>30</v>
      </c>
      <c r="P442">
        <v>1</v>
      </c>
      <c r="Q442" s="1" t="s">
        <v>57</v>
      </c>
      <c r="R442">
        <v>1</v>
      </c>
      <c r="S442" s="1" t="s">
        <v>32</v>
      </c>
      <c r="T442" s="1" t="s">
        <v>33</v>
      </c>
      <c r="U442" s="1" t="s">
        <v>34</v>
      </c>
    </row>
    <row r="443" spans="1:21" x14ac:dyDescent="0.3">
      <c r="A443" s="1" t="s">
        <v>21</v>
      </c>
      <c r="B443">
        <v>12</v>
      </c>
      <c r="C443" s="1" t="s">
        <v>36</v>
      </c>
      <c r="D443" s="1" t="s">
        <v>46</v>
      </c>
      <c r="E443">
        <v>1620</v>
      </c>
      <c r="F443" s="1" t="s">
        <v>37</v>
      </c>
      <c r="G443" s="1" t="s">
        <v>38</v>
      </c>
      <c r="H443">
        <v>2</v>
      </c>
      <c r="I443" s="1" t="s">
        <v>39</v>
      </c>
      <c r="J443" s="1" t="s">
        <v>71</v>
      </c>
      <c r="K443">
        <v>3</v>
      </c>
      <c r="L443" s="1" t="s">
        <v>48</v>
      </c>
      <c r="M443">
        <v>30</v>
      </c>
      <c r="N443" s="1" t="s">
        <v>29</v>
      </c>
      <c r="O443" s="1" t="s">
        <v>30</v>
      </c>
      <c r="P443">
        <v>1</v>
      </c>
      <c r="Q443" s="1" t="s">
        <v>31</v>
      </c>
      <c r="R443">
        <v>1</v>
      </c>
      <c r="S443" s="1" t="s">
        <v>40</v>
      </c>
      <c r="T443" s="1" t="s">
        <v>33</v>
      </c>
      <c r="U443" s="1" t="s">
        <v>34</v>
      </c>
    </row>
    <row r="444" spans="1:21" x14ac:dyDescent="0.3">
      <c r="A444" s="1" t="s">
        <v>35</v>
      </c>
      <c r="B444">
        <v>20</v>
      </c>
      <c r="C444" s="1" t="s">
        <v>50</v>
      </c>
      <c r="D444" s="1" t="s">
        <v>75</v>
      </c>
      <c r="E444">
        <v>2629</v>
      </c>
      <c r="F444" s="1" t="s">
        <v>37</v>
      </c>
      <c r="G444" s="1" t="s">
        <v>38</v>
      </c>
      <c r="H444">
        <v>2</v>
      </c>
      <c r="I444" s="1" t="s">
        <v>26</v>
      </c>
      <c r="J444" s="1" t="s">
        <v>27</v>
      </c>
      <c r="K444">
        <v>3</v>
      </c>
      <c r="L444" s="1" t="s">
        <v>55</v>
      </c>
      <c r="M444">
        <v>29</v>
      </c>
      <c r="N444" s="1" t="s">
        <v>66</v>
      </c>
      <c r="O444" s="1" t="s">
        <v>30</v>
      </c>
      <c r="P444">
        <v>2</v>
      </c>
      <c r="Q444" s="1" t="s">
        <v>31</v>
      </c>
      <c r="R444">
        <v>1</v>
      </c>
      <c r="S444" s="1" t="s">
        <v>32</v>
      </c>
      <c r="T444" s="1" t="s">
        <v>33</v>
      </c>
      <c r="U444" s="1" t="s">
        <v>34</v>
      </c>
    </row>
    <row r="445" spans="1:21" x14ac:dyDescent="0.3">
      <c r="A445" s="1" t="s">
        <v>42</v>
      </c>
      <c r="B445">
        <v>12</v>
      </c>
      <c r="C445" s="1" t="s">
        <v>36</v>
      </c>
      <c r="D445" s="1" t="s">
        <v>43</v>
      </c>
      <c r="E445">
        <v>719</v>
      </c>
      <c r="F445" s="1" t="s">
        <v>37</v>
      </c>
      <c r="G445" s="1" t="s">
        <v>25</v>
      </c>
      <c r="H445">
        <v>4</v>
      </c>
      <c r="I445" s="1" t="s">
        <v>26</v>
      </c>
      <c r="J445" s="1" t="s">
        <v>27</v>
      </c>
      <c r="K445">
        <v>4</v>
      </c>
      <c r="L445" s="1" t="s">
        <v>55</v>
      </c>
      <c r="M445">
        <v>41</v>
      </c>
      <c r="N445" s="1" t="s">
        <v>66</v>
      </c>
      <c r="O445" s="1" t="s">
        <v>30</v>
      </c>
      <c r="P445">
        <v>1</v>
      </c>
      <c r="Q445" s="1" t="s">
        <v>45</v>
      </c>
      <c r="R445">
        <v>2</v>
      </c>
      <c r="S445" s="1" t="s">
        <v>40</v>
      </c>
      <c r="T445" s="1" t="s">
        <v>33</v>
      </c>
      <c r="U445" s="1" t="s">
        <v>41</v>
      </c>
    </row>
    <row r="446" spans="1:21" x14ac:dyDescent="0.3">
      <c r="A446" s="1" t="s">
        <v>35</v>
      </c>
      <c r="B446">
        <v>48</v>
      </c>
      <c r="C446" s="1" t="s">
        <v>22</v>
      </c>
      <c r="D446" s="1" t="s">
        <v>46</v>
      </c>
      <c r="E446">
        <v>5096</v>
      </c>
      <c r="F446" s="1" t="s">
        <v>37</v>
      </c>
      <c r="G446" s="1" t="s">
        <v>38</v>
      </c>
      <c r="H446">
        <v>2</v>
      </c>
      <c r="I446" s="1" t="s">
        <v>39</v>
      </c>
      <c r="J446" s="1" t="s">
        <v>27</v>
      </c>
      <c r="K446">
        <v>3</v>
      </c>
      <c r="L446" s="1" t="s">
        <v>55</v>
      </c>
      <c r="M446">
        <v>30</v>
      </c>
      <c r="N446" s="1" t="s">
        <v>29</v>
      </c>
      <c r="O446" s="1" t="s">
        <v>30</v>
      </c>
      <c r="P446">
        <v>1</v>
      </c>
      <c r="Q446" s="1" t="s">
        <v>57</v>
      </c>
      <c r="R446">
        <v>1</v>
      </c>
      <c r="S446" s="1" t="s">
        <v>32</v>
      </c>
      <c r="T446" s="1" t="s">
        <v>33</v>
      </c>
      <c r="U446" s="1" t="s">
        <v>41</v>
      </c>
    </row>
    <row r="447" spans="1:21" x14ac:dyDescent="0.3">
      <c r="A447" s="1" t="s">
        <v>42</v>
      </c>
      <c r="B447">
        <v>9</v>
      </c>
      <c r="C447" s="1" t="s">
        <v>22</v>
      </c>
      <c r="D447" s="1" t="s">
        <v>43</v>
      </c>
      <c r="E447">
        <v>1244</v>
      </c>
      <c r="F447" s="1" t="s">
        <v>24</v>
      </c>
      <c r="G447" s="1" t="s">
        <v>25</v>
      </c>
      <c r="H447">
        <v>4</v>
      </c>
      <c r="I447" s="1" t="s">
        <v>39</v>
      </c>
      <c r="J447" s="1" t="s">
        <v>27</v>
      </c>
      <c r="K447">
        <v>4</v>
      </c>
      <c r="L447" s="1" t="s">
        <v>48</v>
      </c>
      <c r="M447">
        <v>41</v>
      </c>
      <c r="N447" s="1" t="s">
        <v>29</v>
      </c>
      <c r="O447" s="1" t="s">
        <v>56</v>
      </c>
      <c r="P447">
        <v>2</v>
      </c>
      <c r="Q447" s="1" t="s">
        <v>45</v>
      </c>
      <c r="R447">
        <v>1</v>
      </c>
      <c r="S447" s="1" t="s">
        <v>40</v>
      </c>
      <c r="T447" s="1" t="s">
        <v>33</v>
      </c>
      <c r="U447" s="1" t="s">
        <v>34</v>
      </c>
    </row>
    <row r="448" spans="1:21" x14ac:dyDescent="0.3">
      <c r="A448" s="1" t="s">
        <v>21</v>
      </c>
      <c r="B448">
        <v>36</v>
      </c>
      <c r="C448" s="1" t="s">
        <v>36</v>
      </c>
      <c r="D448" s="1" t="s">
        <v>51</v>
      </c>
      <c r="E448">
        <v>1842</v>
      </c>
      <c r="F448" s="1" t="s">
        <v>37</v>
      </c>
      <c r="G448" s="1" t="s">
        <v>62</v>
      </c>
      <c r="H448">
        <v>4</v>
      </c>
      <c r="I448" s="1" t="s">
        <v>39</v>
      </c>
      <c r="J448" s="1" t="s">
        <v>27</v>
      </c>
      <c r="K448">
        <v>4</v>
      </c>
      <c r="L448" s="1" t="s">
        <v>55</v>
      </c>
      <c r="M448">
        <v>34</v>
      </c>
      <c r="N448" s="1" t="s">
        <v>29</v>
      </c>
      <c r="O448" s="1" t="s">
        <v>30</v>
      </c>
      <c r="P448">
        <v>1</v>
      </c>
      <c r="Q448" s="1" t="s">
        <v>31</v>
      </c>
      <c r="R448">
        <v>1</v>
      </c>
      <c r="S448" s="1" t="s">
        <v>32</v>
      </c>
      <c r="T448" s="1" t="s">
        <v>33</v>
      </c>
      <c r="U448" s="1" t="s">
        <v>41</v>
      </c>
    </row>
    <row r="449" spans="1:21" x14ac:dyDescent="0.3">
      <c r="A449" s="1" t="s">
        <v>35</v>
      </c>
      <c r="B449">
        <v>7</v>
      </c>
      <c r="C449" s="1" t="s">
        <v>36</v>
      </c>
      <c r="D449" s="1" t="s">
        <v>23</v>
      </c>
      <c r="E449">
        <v>2576</v>
      </c>
      <c r="F449" s="1" t="s">
        <v>37</v>
      </c>
      <c r="G449" s="1" t="s">
        <v>38</v>
      </c>
      <c r="H449">
        <v>2</v>
      </c>
      <c r="I449" s="1" t="s">
        <v>26</v>
      </c>
      <c r="J449" s="1" t="s">
        <v>47</v>
      </c>
      <c r="K449">
        <v>2</v>
      </c>
      <c r="L449" s="1" t="s">
        <v>28</v>
      </c>
      <c r="M449">
        <v>35</v>
      </c>
      <c r="N449" s="1" t="s">
        <v>29</v>
      </c>
      <c r="O449" s="1" t="s">
        <v>30</v>
      </c>
      <c r="P449">
        <v>1</v>
      </c>
      <c r="Q449" s="1" t="s">
        <v>31</v>
      </c>
      <c r="R449">
        <v>1</v>
      </c>
      <c r="S449" s="1" t="s">
        <v>40</v>
      </c>
      <c r="T449" s="1" t="s">
        <v>33</v>
      </c>
      <c r="U449" s="1" t="s">
        <v>34</v>
      </c>
    </row>
    <row r="450" spans="1:21" x14ac:dyDescent="0.3">
      <c r="A450" s="1" t="s">
        <v>68</v>
      </c>
      <c r="B450">
        <v>12</v>
      </c>
      <c r="C450" s="1" t="s">
        <v>36</v>
      </c>
      <c r="D450" s="1" t="s">
        <v>46</v>
      </c>
      <c r="E450">
        <v>1424</v>
      </c>
      <c r="F450" s="1" t="s">
        <v>24</v>
      </c>
      <c r="G450" s="1" t="s">
        <v>25</v>
      </c>
      <c r="H450">
        <v>3</v>
      </c>
      <c r="I450" s="1" t="s">
        <v>39</v>
      </c>
      <c r="J450" s="1" t="s">
        <v>27</v>
      </c>
      <c r="K450">
        <v>4</v>
      </c>
      <c r="L450" s="1" t="s">
        <v>28</v>
      </c>
      <c r="M450">
        <v>55</v>
      </c>
      <c r="N450" s="1" t="s">
        <v>29</v>
      </c>
      <c r="O450" s="1" t="s">
        <v>30</v>
      </c>
      <c r="P450">
        <v>1</v>
      </c>
      <c r="Q450" s="1" t="s">
        <v>57</v>
      </c>
      <c r="R450">
        <v>1</v>
      </c>
      <c r="S450" s="1" t="s">
        <v>32</v>
      </c>
      <c r="T450" s="1" t="s">
        <v>33</v>
      </c>
      <c r="U450" s="1" t="s">
        <v>34</v>
      </c>
    </row>
    <row r="451" spans="1:21" x14ac:dyDescent="0.3">
      <c r="A451" s="1" t="s">
        <v>35</v>
      </c>
      <c r="B451">
        <v>15</v>
      </c>
      <c r="C451" s="1" t="s">
        <v>50</v>
      </c>
      <c r="D451" s="1" t="s">
        <v>73</v>
      </c>
      <c r="E451">
        <v>1512</v>
      </c>
      <c r="F451" s="1" t="s">
        <v>58</v>
      </c>
      <c r="G451" s="1" t="s">
        <v>38</v>
      </c>
      <c r="H451">
        <v>3</v>
      </c>
      <c r="I451" s="1" t="s">
        <v>61</v>
      </c>
      <c r="J451" s="1" t="s">
        <v>27</v>
      </c>
      <c r="K451">
        <v>3</v>
      </c>
      <c r="L451" s="1" t="s">
        <v>48</v>
      </c>
      <c r="M451">
        <v>61</v>
      </c>
      <c r="N451" s="1" t="s">
        <v>70</v>
      </c>
      <c r="O451" s="1" t="s">
        <v>30</v>
      </c>
      <c r="P451">
        <v>2</v>
      </c>
      <c r="Q451" s="1" t="s">
        <v>31</v>
      </c>
      <c r="R451">
        <v>1</v>
      </c>
      <c r="S451" s="1" t="s">
        <v>40</v>
      </c>
      <c r="T451" s="1" t="s">
        <v>33</v>
      </c>
      <c r="U451" s="1" t="s">
        <v>41</v>
      </c>
    </row>
    <row r="452" spans="1:21" x14ac:dyDescent="0.3">
      <c r="A452" s="1" t="s">
        <v>42</v>
      </c>
      <c r="B452">
        <v>36</v>
      </c>
      <c r="C452" s="1" t="s">
        <v>22</v>
      </c>
      <c r="D452" s="1" t="s">
        <v>54</v>
      </c>
      <c r="E452">
        <v>11054</v>
      </c>
      <c r="F452" s="1" t="s">
        <v>24</v>
      </c>
      <c r="G452" s="1" t="s">
        <v>38</v>
      </c>
      <c r="H452">
        <v>4</v>
      </c>
      <c r="I452" s="1" t="s">
        <v>26</v>
      </c>
      <c r="J452" s="1" t="s">
        <v>27</v>
      </c>
      <c r="K452">
        <v>2</v>
      </c>
      <c r="L452" s="1" t="s">
        <v>55</v>
      </c>
      <c r="M452">
        <v>30</v>
      </c>
      <c r="N452" s="1" t="s">
        <v>29</v>
      </c>
      <c r="O452" s="1" t="s">
        <v>30</v>
      </c>
      <c r="P452">
        <v>1</v>
      </c>
      <c r="Q452" s="1" t="s">
        <v>57</v>
      </c>
      <c r="R452">
        <v>1</v>
      </c>
      <c r="S452" s="1" t="s">
        <v>32</v>
      </c>
      <c r="T452" s="1" t="s">
        <v>33</v>
      </c>
      <c r="U452" s="1" t="s">
        <v>34</v>
      </c>
    </row>
    <row r="453" spans="1:21" x14ac:dyDescent="0.3">
      <c r="A453" s="1" t="s">
        <v>42</v>
      </c>
      <c r="B453">
        <v>6</v>
      </c>
      <c r="C453" s="1" t="s">
        <v>36</v>
      </c>
      <c r="D453" s="1" t="s">
        <v>23</v>
      </c>
      <c r="E453">
        <v>518</v>
      </c>
      <c r="F453" s="1" t="s">
        <v>37</v>
      </c>
      <c r="G453" s="1" t="s">
        <v>38</v>
      </c>
      <c r="H453">
        <v>3</v>
      </c>
      <c r="I453" s="1" t="s">
        <v>39</v>
      </c>
      <c r="J453" s="1" t="s">
        <v>27</v>
      </c>
      <c r="K453">
        <v>1</v>
      </c>
      <c r="L453" s="1" t="s">
        <v>28</v>
      </c>
      <c r="M453">
        <v>29</v>
      </c>
      <c r="N453" s="1" t="s">
        <v>29</v>
      </c>
      <c r="O453" s="1" t="s">
        <v>30</v>
      </c>
      <c r="P453">
        <v>1</v>
      </c>
      <c r="Q453" s="1" t="s">
        <v>31</v>
      </c>
      <c r="R453">
        <v>1</v>
      </c>
      <c r="S453" s="1" t="s">
        <v>40</v>
      </c>
      <c r="T453" s="1" t="s">
        <v>33</v>
      </c>
      <c r="U453" s="1" t="s">
        <v>34</v>
      </c>
    </row>
    <row r="454" spans="1:21" x14ac:dyDescent="0.3">
      <c r="A454" s="1" t="s">
        <v>42</v>
      </c>
      <c r="B454">
        <v>12</v>
      </c>
      <c r="C454" s="1" t="s">
        <v>65</v>
      </c>
      <c r="D454" s="1" t="s">
        <v>46</v>
      </c>
      <c r="E454">
        <v>2759</v>
      </c>
      <c r="F454" s="1" t="s">
        <v>37</v>
      </c>
      <c r="G454" s="1" t="s">
        <v>25</v>
      </c>
      <c r="H454">
        <v>2</v>
      </c>
      <c r="I454" s="1" t="s">
        <v>26</v>
      </c>
      <c r="J454" s="1" t="s">
        <v>27</v>
      </c>
      <c r="K454">
        <v>4</v>
      </c>
      <c r="L454" s="1" t="s">
        <v>48</v>
      </c>
      <c r="M454">
        <v>34</v>
      </c>
      <c r="N454" s="1" t="s">
        <v>29</v>
      </c>
      <c r="O454" s="1" t="s">
        <v>30</v>
      </c>
      <c r="P454">
        <v>2</v>
      </c>
      <c r="Q454" s="1" t="s">
        <v>31</v>
      </c>
      <c r="R454">
        <v>1</v>
      </c>
      <c r="S454" s="1" t="s">
        <v>40</v>
      </c>
      <c r="T454" s="1" t="s">
        <v>33</v>
      </c>
      <c r="U454" s="1" t="s">
        <v>34</v>
      </c>
    </row>
    <row r="455" spans="1:21" x14ac:dyDescent="0.3">
      <c r="A455" s="1" t="s">
        <v>42</v>
      </c>
      <c r="B455">
        <v>24</v>
      </c>
      <c r="C455" s="1" t="s">
        <v>36</v>
      </c>
      <c r="D455" s="1" t="s">
        <v>54</v>
      </c>
      <c r="E455">
        <v>2670</v>
      </c>
      <c r="F455" s="1" t="s">
        <v>37</v>
      </c>
      <c r="G455" s="1" t="s">
        <v>25</v>
      </c>
      <c r="H455">
        <v>4</v>
      </c>
      <c r="I455" s="1" t="s">
        <v>26</v>
      </c>
      <c r="J455" s="1" t="s">
        <v>27</v>
      </c>
      <c r="K455">
        <v>4</v>
      </c>
      <c r="L455" s="1" t="s">
        <v>55</v>
      </c>
      <c r="M455">
        <v>35</v>
      </c>
      <c r="N455" s="1" t="s">
        <v>29</v>
      </c>
      <c r="O455" s="1" t="s">
        <v>30</v>
      </c>
      <c r="P455">
        <v>1</v>
      </c>
      <c r="Q455" s="1" t="s">
        <v>57</v>
      </c>
      <c r="R455">
        <v>1</v>
      </c>
      <c r="S455" s="1" t="s">
        <v>32</v>
      </c>
      <c r="T455" s="1" t="s">
        <v>33</v>
      </c>
      <c r="U455" s="1" t="s">
        <v>34</v>
      </c>
    </row>
    <row r="456" spans="1:21" x14ac:dyDescent="0.3">
      <c r="A456" s="1" t="s">
        <v>21</v>
      </c>
      <c r="B456">
        <v>24</v>
      </c>
      <c r="C456" s="1" t="s">
        <v>36</v>
      </c>
      <c r="D456" s="1" t="s">
        <v>51</v>
      </c>
      <c r="E456">
        <v>4817</v>
      </c>
      <c r="F456" s="1" t="s">
        <v>37</v>
      </c>
      <c r="G456" s="1" t="s">
        <v>44</v>
      </c>
      <c r="H456">
        <v>2</v>
      </c>
      <c r="I456" s="1" t="s">
        <v>26</v>
      </c>
      <c r="J456" s="1" t="s">
        <v>71</v>
      </c>
      <c r="K456">
        <v>3</v>
      </c>
      <c r="L456" s="1" t="s">
        <v>48</v>
      </c>
      <c r="M456">
        <v>31</v>
      </c>
      <c r="N456" s="1" t="s">
        <v>29</v>
      </c>
      <c r="O456" s="1" t="s">
        <v>30</v>
      </c>
      <c r="P456">
        <v>1</v>
      </c>
      <c r="Q456" s="1" t="s">
        <v>31</v>
      </c>
      <c r="R456">
        <v>1</v>
      </c>
      <c r="S456" s="1" t="s">
        <v>32</v>
      </c>
      <c r="T456" s="1" t="s">
        <v>33</v>
      </c>
      <c r="U456" s="1" t="s">
        <v>41</v>
      </c>
    </row>
    <row r="457" spans="1:21" x14ac:dyDescent="0.3">
      <c r="A457" s="1" t="s">
        <v>42</v>
      </c>
      <c r="B457">
        <v>24</v>
      </c>
      <c r="C457" s="1" t="s">
        <v>36</v>
      </c>
      <c r="D457" s="1" t="s">
        <v>54</v>
      </c>
      <c r="E457">
        <v>2679</v>
      </c>
      <c r="F457" s="1" t="s">
        <v>37</v>
      </c>
      <c r="G457" s="1" t="s">
        <v>62</v>
      </c>
      <c r="H457">
        <v>4</v>
      </c>
      <c r="I457" s="1" t="s">
        <v>39</v>
      </c>
      <c r="J457" s="1" t="s">
        <v>27</v>
      </c>
      <c r="K457">
        <v>1</v>
      </c>
      <c r="L457" s="1" t="s">
        <v>52</v>
      </c>
      <c r="M457">
        <v>29</v>
      </c>
      <c r="N457" s="1" t="s">
        <v>29</v>
      </c>
      <c r="O457" s="1" t="s">
        <v>30</v>
      </c>
      <c r="P457">
        <v>1</v>
      </c>
      <c r="Q457" s="1" t="s">
        <v>57</v>
      </c>
      <c r="R457">
        <v>1</v>
      </c>
      <c r="S457" s="1" t="s">
        <v>32</v>
      </c>
      <c r="T457" s="1" t="s">
        <v>33</v>
      </c>
      <c r="U457" s="1" t="s">
        <v>34</v>
      </c>
    </row>
    <row r="458" spans="1:21" x14ac:dyDescent="0.3">
      <c r="A458" s="1" t="s">
        <v>21</v>
      </c>
      <c r="B458">
        <v>11</v>
      </c>
      <c r="C458" s="1" t="s">
        <v>22</v>
      </c>
      <c r="D458" s="1" t="s">
        <v>51</v>
      </c>
      <c r="E458">
        <v>3905</v>
      </c>
      <c r="F458" s="1" t="s">
        <v>37</v>
      </c>
      <c r="G458" s="1" t="s">
        <v>38</v>
      </c>
      <c r="H458">
        <v>2</v>
      </c>
      <c r="I458" s="1" t="s">
        <v>26</v>
      </c>
      <c r="J458" s="1" t="s">
        <v>27</v>
      </c>
      <c r="K458">
        <v>2</v>
      </c>
      <c r="L458" s="1" t="s">
        <v>28</v>
      </c>
      <c r="M458">
        <v>36</v>
      </c>
      <c r="N458" s="1" t="s">
        <v>29</v>
      </c>
      <c r="O458" s="1" t="s">
        <v>56</v>
      </c>
      <c r="P458">
        <v>2</v>
      </c>
      <c r="Q458" s="1" t="s">
        <v>31</v>
      </c>
      <c r="R458">
        <v>2</v>
      </c>
      <c r="S458" s="1" t="s">
        <v>40</v>
      </c>
      <c r="T458" s="1" t="s">
        <v>33</v>
      </c>
      <c r="U458" s="1" t="s">
        <v>34</v>
      </c>
    </row>
    <row r="459" spans="1:21" x14ac:dyDescent="0.3">
      <c r="A459" s="1" t="s">
        <v>21</v>
      </c>
      <c r="B459">
        <v>12</v>
      </c>
      <c r="C459" s="1" t="s">
        <v>36</v>
      </c>
      <c r="D459" s="1" t="s">
        <v>54</v>
      </c>
      <c r="E459">
        <v>3386</v>
      </c>
      <c r="F459" s="1" t="s">
        <v>37</v>
      </c>
      <c r="G459" s="1" t="s">
        <v>25</v>
      </c>
      <c r="H459">
        <v>3</v>
      </c>
      <c r="I459" s="1" t="s">
        <v>26</v>
      </c>
      <c r="J459" s="1" t="s">
        <v>27</v>
      </c>
      <c r="K459">
        <v>4</v>
      </c>
      <c r="L459" s="1" t="s">
        <v>52</v>
      </c>
      <c r="M459">
        <v>35</v>
      </c>
      <c r="N459" s="1" t="s">
        <v>29</v>
      </c>
      <c r="O459" s="1" t="s">
        <v>49</v>
      </c>
      <c r="P459">
        <v>1</v>
      </c>
      <c r="Q459" s="1" t="s">
        <v>31</v>
      </c>
      <c r="R459">
        <v>1</v>
      </c>
      <c r="S459" s="1" t="s">
        <v>32</v>
      </c>
      <c r="T459" s="1" t="s">
        <v>33</v>
      </c>
      <c r="U459" s="1" t="s">
        <v>41</v>
      </c>
    </row>
    <row r="460" spans="1:21" x14ac:dyDescent="0.3">
      <c r="A460" s="1" t="s">
        <v>21</v>
      </c>
      <c r="B460">
        <v>6</v>
      </c>
      <c r="C460" s="1" t="s">
        <v>36</v>
      </c>
      <c r="D460" s="1" t="s">
        <v>72</v>
      </c>
      <c r="E460">
        <v>343</v>
      </c>
      <c r="F460" s="1" t="s">
        <v>37</v>
      </c>
      <c r="G460" s="1" t="s">
        <v>62</v>
      </c>
      <c r="H460">
        <v>4</v>
      </c>
      <c r="I460" s="1" t="s">
        <v>39</v>
      </c>
      <c r="J460" s="1" t="s">
        <v>27</v>
      </c>
      <c r="K460">
        <v>1</v>
      </c>
      <c r="L460" s="1" t="s">
        <v>28</v>
      </c>
      <c r="M460">
        <v>27</v>
      </c>
      <c r="N460" s="1" t="s">
        <v>29</v>
      </c>
      <c r="O460" s="1" t="s">
        <v>30</v>
      </c>
      <c r="P460">
        <v>1</v>
      </c>
      <c r="Q460" s="1" t="s">
        <v>31</v>
      </c>
      <c r="R460">
        <v>1</v>
      </c>
      <c r="S460" s="1" t="s">
        <v>40</v>
      </c>
      <c r="T460" s="1" t="s">
        <v>33</v>
      </c>
      <c r="U460" s="1" t="s">
        <v>34</v>
      </c>
    </row>
    <row r="461" spans="1:21" x14ac:dyDescent="0.3">
      <c r="A461" s="1" t="s">
        <v>42</v>
      </c>
      <c r="B461">
        <v>18</v>
      </c>
      <c r="C461" s="1" t="s">
        <v>36</v>
      </c>
      <c r="D461" s="1" t="s">
        <v>23</v>
      </c>
      <c r="E461">
        <v>4594</v>
      </c>
      <c r="F461" s="1" t="s">
        <v>37</v>
      </c>
      <c r="G461" s="1" t="s">
        <v>62</v>
      </c>
      <c r="H461">
        <v>3</v>
      </c>
      <c r="I461" s="1" t="s">
        <v>26</v>
      </c>
      <c r="J461" s="1" t="s">
        <v>27</v>
      </c>
      <c r="K461">
        <v>2</v>
      </c>
      <c r="L461" s="1" t="s">
        <v>55</v>
      </c>
      <c r="M461">
        <v>32</v>
      </c>
      <c r="N461" s="1" t="s">
        <v>29</v>
      </c>
      <c r="O461" s="1" t="s">
        <v>30</v>
      </c>
      <c r="P461">
        <v>1</v>
      </c>
      <c r="Q461" s="1" t="s">
        <v>31</v>
      </c>
      <c r="R461">
        <v>1</v>
      </c>
      <c r="S461" s="1" t="s">
        <v>32</v>
      </c>
      <c r="T461" s="1" t="s">
        <v>33</v>
      </c>
      <c r="U461" s="1" t="s">
        <v>34</v>
      </c>
    </row>
    <row r="462" spans="1:21" x14ac:dyDescent="0.3">
      <c r="A462" s="1" t="s">
        <v>21</v>
      </c>
      <c r="B462">
        <v>36</v>
      </c>
      <c r="C462" s="1" t="s">
        <v>36</v>
      </c>
      <c r="D462" s="1" t="s">
        <v>46</v>
      </c>
      <c r="E462">
        <v>3620</v>
      </c>
      <c r="F462" s="1" t="s">
        <v>37</v>
      </c>
      <c r="G462" s="1" t="s">
        <v>38</v>
      </c>
      <c r="H462">
        <v>1</v>
      </c>
      <c r="I462" s="1" t="s">
        <v>26</v>
      </c>
      <c r="J462" s="1" t="s">
        <v>47</v>
      </c>
      <c r="K462">
        <v>2</v>
      </c>
      <c r="L462" s="1" t="s">
        <v>48</v>
      </c>
      <c r="M462">
        <v>37</v>
      </c>
      <c r="N462" s="1" t="s">
        <v>29</v>
      </c>
      <c r="O462" s="1" t="s">
        <v>30</v>
      </c>
      <c r="P462">
        <v>1</v>
      </c>
      <c r="Q462" s="1" t="s">
        <v>31</v>
      </c>
      <c r="R462">
        <v>2</v>
      </c>
      <c r="S462" s="1" t="s">
        <v>40</v>
      </c>
      <c r="T462" s="1" t="s">
        <v>33</v>
      </c>
      <c r="U462" s="1" t="s">
        <v>34</v>
      </c>
    </row>
    <row r="463" spans="1:21" x14ac:dyDescent="0.3">
      <c r="A463" s="1" t="s">
        <v>21</v>
      </c>
      <c r="B463">
        <v>15</v>
      </c>
      <c r="C463" s="1" t="s">
        <v>36</v>
      </c>
      <c r="D463" s="1" t="s">
        <v>51</v>
      </c>
      <c r="E463">
        <v>1721</v>
      </c>
      <c r="F463" s="1" t="s">
        <v>37</v>
      </c>
      <c r="G463" s="1" t="s">
        <v>62</v>
      </c>
      <c r="H463">
        <v>2</v>
      </c>
      <c r="I463" s="1" t="s">
        <v>26</v>
      </c>
      <c r="J463" s="1" t="s">
        <v>27</v>
      </c>
      <c r="K463">
        <v>3</v>
      </c>
      <c r="L463" s="1" t="s">
        <v>28</v>
      </c>
      <c r="M463">
        <v>36</v>
      </c>
      <c r="N463" s="1" t="s">
        <v>29</v>
      </c>
      <c r="O463" s="1" t="s">
        <v>30</v>
      </c>
      <c r="P463">
        <v>1</v>
      </c>
      <c r="Q463" s="1" t="s">
        <v>31</v>
      </c>
      <c r="R463">
        <v>1</v>
      </c>
      <c r="S463" s="1" t="s">
        <v>40</v>
      </c>
      <c r="T463" s="1" t="s">
        <v>33</v>
      </c>
      <c r="U463" s="1" t="s">
        <v>34</v>
      </c>
    </row>
    <row r="464" spans="1:21" x14ac:dyDescent="0.3">
      <c r="A464" s="1" t="s">
        <v>35</v>
      </c>
      <c r="B464">
        <v>12</v>
      </c>
      <c r="C464" s="1" t="s">
        <v>36</v>
      </c>
      <c r="D464" s="1" t="s">
        <v>46</v>
      </c>
      <c r="E464">
        <v>3017</v>
      </c>
      <c r="F464" s="1" t="s">
        <v>37</v>
      </c>
      <c r="G464" s="1" t="s">
        <v>62</v>
      </c>
      <c r="H464">
        <v>3</v>
      </c>
      <c r="I464" s="1" t="s">
        <v>39</v>
      </c>
      <c r="J464" s="1" t="s">
        <v>27</v>
      </c>
      <c r="K464">
        <v>1</v>
      </c>
      <c r="L464" s="1" t="s">
        <v>28</v>
      </c>
      <c r="M464">
        <v>34</v>
      </c>
      <c r="N464" s="1" t="s">
        <v>29</v>
      </c>
      <c r="O464" s="1" t="s">
        <v>56</v>
      </c>
      <c r="P464">
        <v>1</v>
      </c>
      <c r="Q464" s="1" t="s">
        <v>57</v>
      </c>
      <c r="R464">
        <v>1</v>
      </c>
      <c r="S464" s="1" t="s">
        <v>40</v>
      </c>
      <c r="T464" s="1" t="s">
        <v>33</v>
      </c>
      <c r="U464" s="1" t="s">
        <v>34</v>
      </c>
    </row>
    <row r="465" spans="1:21" x14ac:dyDescent="0.3">
      <c r="A465" s="1" t="s">
        <v>35</v>
      </c>
      <c r="B465">
        <v>12</v>
      </c>
      <c r="C465" s="1" t="s">
        <v>36</v>
      </c>
      <c r="D465" s="1" t="s">
        <v>76</v>
      </c>
      <c r="E465">
        <v>754</v>
      </c>
      <c r="F465" s="1" t="s">
        <v>24</v>
      </c>
      <c r="G465" s="1" t="s">
        <v>25</v>
      </c>
      <c r="H465">
        <v>4</v>
      </c>
      <c r="I465" s="1" t="s">
        <v>26</v>
      </c>
      <c r="J465" s="1" t="s">
        <v>27</v>
      </c>
      <c r="K465">
        <v>4</v>
      </c>
      <c r="L465" s="1" t="s">
        <v>48</v>
      </c>
      <c r="M465">
        <v>38</v>
      </c>
      <c r="N465" s="1" t="s">
        <v>29</v>
      </c>
      <c r="O465" s="1" t="s">
        <v>30</v>
      </c>
      <c r="P465">
        <v>2</v>
      </c>
      <c r="Q465" s="1" t="s">
        <v>31</v>
      </c>
      <c r="R465">
        <v>1</v>
      </c>
      <c r="S465" s="1" t="s">
        <v>40</v>
      </c>
      <c r="T465" s="1" t="s">
        <v>33</v>
      </c>
      <c r="U465" s="1" t="s">
        <v>34</v>
      </c>
    </row>
    <row r="466" spans="1:21" x14ac:dyDescent="0.3">
      <c r="A466" s="1" t="s">
        <v>42</v>
      </c>
      <c r="B466">
        <v>18</v>
      </c>
      <c r="C466" s="1" t="s">
        <v>36</v>
      </c>
      <c r="D466" s="1" t="s">
        <v>63</v>
      </c>
      <c r="E466">
        <v>1950</v>
      </c>
      <c r="F466" s="1" t="s">
        <v>37</v>
      </c>
      <c r="G466" s="1" t="s">
        <v>44</v>
      </c>
      <c r="H466">
        <v>4</v>
      </c>
      <c r="I466" s="1" t="s">
        <v>26</v>
      </c>
      <c r="J466" s="1" t="s">
        <v>27</v>
      </c>
      <c r="K466">
        <v>1</v>
      </c>
      <c r="L466" s="1" t="s">
        <v>55</v>
      </c>
      <c r="M466">
        <v>34</v>
      </c>
      <c r="N466" s="1" t="s">
        <v>70</v>
      </c>
      <c r="O466" s="1" t="s">
        <v>30</v>
      </c>
      <c r="P466">
        <v>2</v>
      </c>
      <c r="Q466" s="1" t="s">
        <v>31</v>
      </c>
      <c r="R466">
        <v>1</v>
      </c>
      <c r="S466" s="1" t="s">
        <v>32</v>
      </c>
      <c r="T466" s="1" t="s">
        <v>33</v>
      </c>
      <c r="U466" s="1" t="s">
        <v>34</v>
      </c>
    </row>
    <row r="467" spans="1:21" x14ac:dyDescent="0.3">
      <c r="A467" s="1" t="s">
        <v>21</v>
      </c>
      <c r="B467">
        <v>24</v>
      </c>
      <c r="C467" s="1" t="s">
        <v>36</v>
      </c>
      <c r="D467" s="1" t="s">
        <v>54</v>
      </c>
      <c r="E467">
        <v>2924</v>
      </c>
      <c r="F467" s="1" t="s">
        <v>37</v>
      </c>
      <c r="G467" s="1" t="s">
        <v>38</v>
      </c>
      <c r="H467">
        <v>3</v>
      </c>
      <c r="I467" s="1" t="s">
        <v>26</v>
      </c>
      <c r="J467" s="1" t="s">
        <v>47</v>
      </c>
      <c r="K467">
        <v>4</v>
      </c>
      <c r="L467" s="1" t="s">
        <v>52</v>
      </c>
      <c r="M467">
        <v>63</v>
      </c>
      <c r="N467" s="1" t="s">
        <v>66</v>
      </c>
      <c r="O467" s="1" t="s">
        <v>30</v>
      </c>
      <c r="P467">
        <v>1</v>
      </c>
      <c r="Q467" s="1" t="s">
        <v>31</v>
      </c>
      <c r="R467">
        <v>2</v>
      </c>
      <c r="S467" s="1" t="s">
        <v>32</v>
      </c>
      <c r="T467" s="1" t="s">
        <v>33</v>
      </c>
      <c r="U467" s="1" t="s">
        <v>34</v>
      </c>
    </row>
    <row r="468" spans="1:21" x14ac:dyDescent="0.3">
      <c r="A468" s="1" t="s">
        <v>21</v>
      </c>
      <c r="B468">
        <v>24</v>
      </c>
      <c r="C468" s="1" t="s">
        <v>50</v>
      </c>
      <c r="D468" s="1" t="s">
        <v>23</v>
      </c>
      <c r="E468">
        <v>1659</v>
      </c>
      <c r="F468" s="1" t="s">
        <v>37</v>
      </c>
      <c r="G468" s="1" t="s">
        <v>62</v>
      </c>
      <c r="H468">
        <v>4</v>
      </c>
      <c r="I468" s="1" t="s">
        <v>39</v>
      </c>
      <c r="J468" s="1" t="s">
        <v>27</v>
      </c>
      <c r="K468">
        <v>2</v>
      </c>
      <c r="L468" s="1" t="s">
        <v>55</v>
      </c>
      <c r="M468">
        <v>29</v>
      </c>
      <c r="N468" s="1" t="s">
        <v>29</v>
      </c>
      <c r="O468" s="1" t="s">
        <v>56</v>
      </c>
      <c r="P468">
        <v>1</v>
      </c>
      <c r="Q468" s="1" t="s">
        <v>45</v>
      </c>
      <c r="R468">
        <v>1</v>
      </c>
      <c r="S468" s="1" t="s">
        <v>32</v>
      </c>
      <c r="T468" s="1" t="s">
        <v>33</v>
      </c>
      <c r="U468" s="1" t="s">
        <v>41</v>
      </c>
    </row>
    <row r="469" spans="1:21" x14ac:dyDescent="0.3">
      <c r="A469" s="1" t="s">
        <v>42</v>
      </c>
      <c r="B469">
        <v>48</v>
      </c>
      <c r="C469" s="1" t="s">
        <v>50</v>
      </c>
      <c r="D469" s="1" t="s">
        <v>23</v>
      </c>
      <c r="E469">
        <v>7238</v>
      </c>
      <c r="F469" s="1" t="s">
        <v>24</v>
      </c>
      <c r="G469" s="1" t="s">
        <v>25</v>
      </c>
      <c r="H469">
        <v>3</v>
      </c>
      <c r="I469" s="1" t="s">
        <v>26</v>
      </c>
      <c r="J469" s="1" t="s">
        <v>27</v>
      </c>
      <c r="K469">
        <v>3</v>
      </c>
      <c r="L469" s="1" t="s">
        <v>55</v>
      </c>
      <c r="M469">
        <v>32</v>
      </c>
      <c r="N469" s="1" t="s">
        <v>66</v>
      </c>
      <c r="O469" s="1" t="s">
        <v>30</v>
      </c>
      <c r="P469">
        <v>2</v>
      </c>
      <c r="Q469" s="1" t="s">
        <v>31</v>
      </c>
      <c r="R469">
        <v>2</v>
      </c>
      <c r="S469" s="1" t="s">
        <v>40</v>
      </c>
      <c r="T469" s="1" t="s">
        <v>33</v>
      </c>
      <c r="U469" s="1" t="s">
        <v>34</v>
      </c>
    </row>
    <row r="470" spans="1:21" x14ac:dyDescent="0.3">
      <c r="A470" s="1" t="s">
        <v>42</v>
      </c>
      <c r="B470">
        <v>33</v>
      </c>
      <c r="C470" s="1" t="s">
        <v>50</v>
      </c>
      <c r="D470" s="1" t="s">
        <v>63</v>
      </c>
      <c r="E470">
        <v>2764</v>
      </c>
      <c r="F470" s="1" t="s">
        <v>37</v>
      </c>
      <c r="G470" s="1" t="s">
        <v>38</v>
      </c>
      <c r="H470">
        <v>2</v>
      </c>
      <c r="I470" s="1" t="s">
        <v>39</v>
      </c>
      <c r="J470" s="1" t="s">
        <v>27</v>
      </c>
      <c r="K470">
        <v>2</v>
      </c>
      <c r="L470" s="1" t="s">
        <v>55</v>
      </c>
      <c r="M470">
        <v>26</v>
      </c>
      <c r="N470" s="1" t="s">
        <v>29</v>
      </c>
      <c r="O470" s="1" t="s">
        <v>30</v>
      </c>
      <c r="P470">
        <v>2</v>
      </c>
      <c r="Q470" s="1" t="s">
        <v>31</v>
      </c>
      <c r="R470">
        <v>1</v>
      </c>
      <c r="S470" s="1" t="s">
        <v>32</v>
      </c>
      <c r="T470" s="1" t="s">
        <v>33</v>
      </c>
      <c r="U470" s="1" t="s">
        <v>34</v>
      </c>
    </row>
    <row r="471" spans="1:21" x14ac:dyDescent="0.3">
      <c r="A471" s="1" t="s">
        <v>42</v>
      </c>
      <c r="B471">
        <v>24</v>
      </c>
      <c r="C471" s="1" t="s">
        <v>50</v>
      </c>
      <c r="D471" s="1" t="s">
        <v>54</v>
      </c>
      <c r="E471">
        <v>4679</v>
      </c>
      <c r="F471" s="1" t="s">
        <v>37</v>
      </c>
      <c r="G471" s="1" t="s">
        <v>44</v>
      </c>
      <c r="H471">
        <v>3</v>
      </c>
      <c r="I471" s="1" t="s">
        <v>26</v>
      </c>
      <c r="J471" s="1" t="s">
        <v>27</v>
      </c>
      <c r="K471">
        <v>3</v>
      </c>
      <c r="L471" s="1" t="s">
        <v>55</v>
      </c>
      <c r="M471">
        <v>35</v>
      </c>
      <c r="N471" s="1" t="s">
        <v>29</v>
      </c>
      <c r="O471" s="1" t="s">
        <v>30</v>
      </c>
      <c r="P471">
        <v>2</v>
      </c>
      <c r="Q471" s="1" t="s">
        <v>45</v>
      </c>
      <c r="R471">
        <v>1</v>
      </c>
      <c r="S471" s="1" t="s">
        <v>32</v>
      </c>
      <c r="T471" s="1" t="s">
        <v>33</v>
      </c>
      <c r="U471" s="1" t="s">
        <v>34</v>
      </c>
    </row>
    <row r="472" spans="1:21" x14ac:dyDescent="0.3">
      <c r="A472" s="1" t="s">
        <v>35</v>
      </c>
      <c r="B472">
        <v>24</v>
      </c>
      <c r="C472" s="1" t="s">
        <v>36</v>
      </c>
      <c r="D472" s="1" t="s">
        <v>23</v>
      </c>
      <c r="E472">
        <v>3092</v>
      </c>
      <c r="F472" s="1" t="s">
        <v>64</v>
      </c>
      <c r="G472" s="1" t="s">
        <v>62</v>
      </c>
      <c r="H472">
        <v>3</v>
      </c>
      <c r="I472" s="1" t="s">
        <v>61</v>
      </c>
      <c r="J472" s="1" t="s">
        <v>27</v>
      </c>
      <c r="K472">
        <v>2</v>
      </c>
      <c r="L472" s="1" t="s">
        <v>55</v>
      </c>
      <c r="M472">
        <v>22</v>
      </c>
      <c r="N472" s="1" t="s">
        <v>29</v>
      </c>
      <c r="O472" s="1" t="s">
        <v>56</v>
      </c>
      <c r="P472">
        <v>1</v>
      </c>
      <c r="Q472" s="1" t="s">
        <v>31</v>
      </c>
      <c r="R472">
        <v>1</v>
      </c>
      <c r="S472" s="1" t="s">
        <v>32</v>
      </c>
      <c r="T472" s="1" t="s">
        <v>33</v>
      </c>
      <c r="U472" s="1" t="s">
        <v>41</v>
      </c>
    </row>
    <row r="473" spans="1:21" x14ac:dyDescent="0.3">
      <c r="A473" s="1" t="s">
        <v>21</v>
      </c>
      <c r="B473">
        <v>6</v>
      </c>
      <c r="C473" s="1" t="s">
        <v>36</v>
      </c>
      <c r="D473" s="1" t="s">
        <v>43</v>
      </c>
      <c r="E473">
        <v>448</v>
      </c>
      <c r="F473" s="1" t="s">
        <v>37</v>
      </c>
      <c r="G473" s="1" t="s">
        <v>62</v>
      </c>
      <c r="H473">
        <v>4</v>
      </c>
      <c r="I473" s="1" t="s">
        <v>39</v>
      </c>
      <c r="J473" s="1" t="s">
        <v>27</v>
      </c>
      <c r="K473">
        <v>4</v>
      </c>
      <c r="L473" s="1" t="s">
        <v>48</v>
      </c>
      <c r="M473">
        <v>23</v>
      </c>
      <c r="N473" s="1" t="s">
        <v>29</v>
      </c>
      <c r="O473" s="1" t="s">
        <v>30</v>
      </c>
      <c r="P473">
        <v>1</v>
      </c>
      <c r="Q473" s="1" t="s">
        <v>31</v>
      </c>
      <c r="R473">
        <v>1</v>
      </c>
      <c r="S473" s="1" t="s">
        <v>40</v>
      </c>
      <c r="T473" s="1" t="s">
        <v>33</v>
      </c>
      <c r="U473" s="1" t="s">
        <v>41</v>
      </c>
    </row>
    <row r="474" spans="1:21" x14ac:dyDescent="0.3">
      <c r="A474" s="1" t="s">
        <v>21</v>
      </c>
      <c r="B474">
        <v>9</v>
      </c>
      <c r="C474" s="1" t="s">
        <v>36</v>
      </c>
      <c r="D474" s="1" t="s">
        <v>51</v>
      </c>
      <c r="E474">
        <v>654</v>
      </c>
      <c r="F474" s="1" t="s">
        <v>37</v>
      </c>
      <c r="G474" s="1" t="s">
        <v>38</v>
      </c>
      <c r="H474">
        <v>4</v>
      </c>
      <c r="I474" s="1" t="s">
        <v>26</v>
      </c>
      <c r="J474" s="1" t="s">
        <v>27</v>
      </c>
      <c r="K474">
        <v>3</v>
      </c>
      <c r="L474" s="1" t="s">
        <v>55</v>
      </c>
      <c r="M474">
        <v>28</v>
      </c>
      <c r="N474" s="1" t="s">
        <v>29</v>
      </c>
      <c r="O474" s="1" t="s">
        <v>30</v>
      </c>
      <c r="P474">
        <v>1</v>
      </c>
      <c r="Q474" s="1" t="s">
        <v>45</v>
      </c>
      <c r="R474">
        <v>1</v>
      </c>
      <c r="S474" s="1" t="s">
        <v>40</v>
      </c>
      <c r="T474" s="1" t="s">
        <v>33</v>
      </c>
      <c r="U474" s="1" t="s">
        <v>41</v>
      </c>
    </row>
    <row r="475" spans="1:21" x14ac:dyDescent="0.3">
      <c r="A475" s="1" t="s">
        <v>42</v>
      </c>
      <c r="B475">
        <v>6</v>
      </c>
      <c r="C475" s="1" t="s">
        <v>36</v>
      </c>
      <c r="D475" s="1" t="s">
        <v>76</v>
      </c>
      <c r="E475">
        <v>1238</v>
      </c>
      <c r="F475" s="1" t="s">
        <v>24</v>
      </c>
      <c r="G475" s="1" t="s">
        <v>60</v>
      </c>
      <c r="H475">
        <v>4</v>
      </c>
      <c r="I475" s="1" t="s">
        <v>26</v>
      </c>
      <c r="J475" s="1" t="s">
        <v>27</v>
      </c>
      <c r="K475">
        <v>4</v>
      </c>
      <c r="L475" s="1" t="s">
        <v>48</v>
      </c>
      <c r="M475">
        <v>36</v>
      </c>
      <c r="N475" s="1" t="s">
        <v>29</v>
      </c>
      <c r="O475" s="1" t="s">
        <v>30</v>
      </c>
      <c r="P475">
        <v>1</v>
      </c>
      <c r="Q475" s="1" t="s">
        <v>57</v>
      </c>
      <c r="R475">
        <v>2</v>
      </c>
      <c r="S475" s="1" t="s">
        <v>32</v>
      </c>
      <c r="T475" s="1" t="s">
        <v>33</v>
      </c>
      <c r="U475" s="1" t="s">
        <v>34</v>
      </c>
    </row>
    <row r="476" spans="1:21" x14ac:dyDescent="0.3">
      <c r="A476" s="1" t="s">
        <v>35</v>
      </c>
      <c r="B476">
        <v>18</v>
      </c>
      <c r="C476" s="1" t="s">
        <v>22</v>
      </c>
      <c r="D476" s="1" t="s">
        <v>23</v>
      </c>
      <c r="E476">
        <v>1245</v>
      </c>
      <c r="F476" s="1" t="s">
        <v>37</v>
      </c>
      <c r="G476" s="1" t="s">
        <v>38</v>
      </c>
      <c r="H476">
        <v>4</v>
      </c>
      <c r="I476" s="1" t="s">
        <v>61</v>
      </c>
      <c r="J476" s="1" t="s">
        <v>27</v>
      </c>
      <c r="K476">
        <v>2</v>
      </c>
      <c r="L476" s="1" t="s">
        <v>55</v>
      </c>
      <c r="M476">
        <v>33</v>
      </c>
      <c r="N476" s="1" t="s">
        <v>29</v>
      </c>
      <c r="O476" s="1" t="s">
        <v>30</v>
      </c>
      <c r="P476">
        <v>1</v>
      </c>
      <c r="Q476" s="1" t="s">
        <v>31</v>
      </c>
      <c r="R476">
        <v>1</v>
      </c>
      <c r="S476" s="1" t="s">
        <v>40</v>
      </c>
      <c r="T476" s="1" t="s">
        <v>33</v>
      </c>
      <c r="U476" s="1" t="s">
        <v>41</v>
      </c>
    </row>
    <row r="477" spans="1:21" x14ac:dyDescent="0.3">
      <c r="A477" s="1" t="s">
        <v>21</v>
      </c>
      <c r="B477">
        <v>18</v>
      </c>
      <c r="C477" s="1" t="s">
        <v>65</v>
      </c>
      <c r="D477" s="1" t="s">
        <v>46</v>
      </c>
      <c r="E477">
        <v>3114</v>
      </c>
      <c r="F477" s="1" t="s">
        <v>37</v>
      </c>
      <c r="G477" s="1" t="s">
        <v>62</v>
      </c>
      <c r="H477">
        <v>1</v>
      </c>
      <c r="I477" s="1" t="s">
        <v>39</v>
      </c>
      <c r="J477" s="1" t="s">
        <v>27</v>
      </c>
      <c r="K477">
        <v>4</v>
      </c>
      <c r="L477" s="1" t="s">
        <v>48</v>
      </c>
      <c r="M477">
        <v>26</v>
      </c>
      <c r="N477" s="1" t="s">
        <v>29</v>
      </c>
      <c r="O477" s="1" t="s">
        <v>56</v>
      </c>
      <c r="P477">
        <v>1</v>
      </c>
      <c r="Q477" s="1" t="s">
        <v>31</v>
      </c>
      <c r="R477">
        <v>1</v>
      </c>
      <c r="S477" s="1" t="s">
        <v>40</v>
      </c>
      <c r="T477" s="1" t="s">
        <v>33</v>
      </c>
      <c r="U477" s="1" t="s">
        <v>41</v>
      </c>
    </row>
    <row r="478" spans="1:21" x14ac:dyDescent="0.3">
      <c r="A478" s="1" t="s">
        <v>42</v>
      </c>
      <c r="B478">
        <v>39</v>
      </c>
      <c r="C478" s="1" t="s">
        <v>36</v>
      </c>
      <c r="D478" s="1" t="s">
        <v>54</v>
      </c>
      <c r="E478">
        <v>2569</v>
      </c>
      <c r="F478" s="1" t="s">
        <v>53</v>
      </c>
      <c r="G478" s="1" t="s">
        <v>38</v>
      </c>
      <c r="H478">
        <v>4</v>
      </c>
      <c r="I478" s="1" t="s">
        <v>26</v>
      </c>
      <c r="J478" s="1" t="s">
        <v>27</v>
      </c>
      <c r="K478">
        <v>4</v>
      </c>
      <c r="L478" s="1" t="s">
        <v>55</v>
      </c>
      <c r="M478">
        <v>24</v>
      </c>
      <c r="N478" s="1" t="s">
        <v>29</v>
      </c>
      <c r="O478" s="1" t="s">
        <v>30</v>
      </c>
      <c r="P478">
        <v>1</v>
      </c>
      <c r="Q478" s="1" t="s">
        <v>31</v>
      </c>
      <c r="R478">
        <v>1</v>
      </c>
      <c r="S478" s="1" t="s">
        <v>40</v>
      </c>
      <c r="T478" s="1" t="s">
        <v>33</v>
      </c>
      <c r="U478" s="1" t="s">
        <v>34</v>
      </c>
    </row>
    <row r="479" spans="1:21" x14ac:dyDescent="0.3">
      <c r="A479" s="1" t="s">
        <v>68</v>
      </c>
      <c r="B479">
        <v>24</v>
      </c>
      <c r="C479" s="1" t="s">
        <v>36</v>
      </c>
      <c r="D479" s="1" t="s">
        <v>23</v>
      </c>
      <c r="E479">
        <v>5152</v>
      </c>
      <c r="F479" s="1" t="s">
        <v>37</v>
      </c>
      <c r="G479" s="1" t="s">
        <v>44</v>
      </c>
      <c r="H479">
        <v>4</v>
      </c>
      <c r="I479" s="1" t="s">
        <v>26</v>
      </c>
      <c r="J479" s="1" t="s">
        <v>27</v>
      </c>
      <c r="K479">
        <v>2</v>
      </c>
      <c r="L479" s="1" t="s">
        <v>55</v>
      </c>
      <c r="M479">
        <v>25</v>
      </c>
      <c r="N479" s="1" t="s">
        <v>66</v>
      </c>
      <c r="O479" s="1" t="s">
        <v>30</v>
      </c>
      <c r="P479">
        <v>1</v>
      </c>
      <c r="Q479" s="1" t="s">
        <v>31</v>
      </c>
      <c r="R479">
        <v>1</v>
      </c>
      <c r="S479" s="1" t="s">
        <v>40</v>
      </c>
      <c r="T479" s="1" t="s">
        <v>33</v>
      </c>
      <c r="U479" s="1" t="s">
        <v>34</v>
      </c>
    </row>
    <row r="480" spans="1:21" x14ac:dyDescent="0.3">
      <c r="A480" s="1" t="s">
        <v>35</v>
      </c>
      <c r="B480">
        <v>12</v>
      </c>
      <c r="C480" s="1" t="s">
        <v>36</v>
      </c>
      <c r="D480" s="1" t="s">
        <v>63</v>
      </c>
      <c r="E480">
        <v>1037</v>
      </c>
      <c r="F480" s="1" t="s">
        <v>64</v>
      </c>
      <c r="G480" s="1" t="s">
        <v>44</v>
      </c>
      <c r="H480">
        <v>3</v>
      </c>
      <c r="I480" s="1" t="s">
        <v>26</v>
      </c>
      <c r="J480" s="1" t="s">
        <v>27</v>
      </c>
      <c r="K480">
        <v>4</v>
      </c>
      <c r="L480" s="1" t="s">
        <v>28</v>
      </c>
      <c r="M480">
        <v>39</v>
      </c>
      <c r="N480" s="1" t="s">
        <v>29</v>
      </c>
      <c r="O480" s="1" t="s">
        <v>30</v>
      </c>
      <c r="P480">
        <v>1</v>
      </c>
      <c r="Q480" s="1" t="s">
        <v>45</v>
      </c>
      <c r="R480">
        <v>1</v>
      </c>
      <c r="S480" s="1" t="s">
        <v>40</v>
      </c>
      <c r="T480" s="1" t="s">
        <v>33</v>
      </c>
      <c r="U480" s="1" t="s">
        <v>34</v>
      </c>
    </row>
    <row r="481" spans="1:21" x14ac:dyDescent="0.3">
      <c r="A481" s="1" t="s">
        <v>21</v>
      </c>
      <c r="B481">
        <v>15</v>
      </c>
      <c r="C481" s="1" t="s">
        <v>22</v>
      </c>
      <c r="D481" s="1" t="s">
        <v>46</v>
      </c>
      <c r="E481">
        <v>1478</v>
      </c>
      <c r="F481" s="1" t="s">
        <v>37</v>
      </c>
      <c r="G481" s="1" t="s">
        <v>25</v>
      </c>
      <c r="H481">
        <v>4</v>
      </c>
      <c r="I481" s="1" t="s">
        <v>26</v>
      </c>
      <c r="J481" s="1" t="s">
        <v>27</v>
      </c>
      <c r="K481">
        <v>4</v>
      </c>
      <c r="L481" s="1" t="s">
        <v>55</v>
      </c>
      <c r="M481">
        <v>44</v>
      </c>
      <c r="N481" s="1" t="s">
        <v>29</v>
      </c>
      <c r="O481" s="1" t="s">
        <v>30</v>
      </c>
      <c r="P481">
        <v>2</v>
      </c>
      <c r="Q481" s="1" t="s">
        <v>31</v>
      </c>
      <c r="R481">
        <v>2</v>
      </c>
      <c r="S481" s="1" t="s">
        <v>32</v>
      </c>
      <c r="T481" s="1" t="s">
        <v>33</v>
      </c>
      <c r="U481" s="1" t="s">
        <v>34</v>
      </c>
    </row>
    <row r="482" spans="1:21" x14ac:dyDescent="0.3">
      <c r="A482" s="1" t="s">
        <v>35</v>
      </c>
      <c r="B482">
        <v>12</v>
      </c>
      <c r="C482" s="1" t="s">
        <v>22</v>
      </c>
      <c r="D482" s="1" t="s">
        <v>23</v>
      </c>
      <c r="E482">
        <v>3573</v>
      </c>
      <c r="F482" s="1" t="s">
        <v>37</v>
      </c>
      <c r="G482" s="1" t="s">
        <v>38</v>
      </c>
      <c r="H482">
        <v>1</v>
      </c>
      <c r="I482" s="1" t="s">
        <v>39</v>
      </c>
      <c r="J482" s="1" t="s">
        <v>27</v>
      </c>
      <c r="K482">
        <v>1</v>
      </c>
      <c r="L482" s="1" t="s">
        <v>28</v>
      </c>
      <c r="M482">
        <v>23</v>
      </c>
      <c r="N482" s="1" t="s">
        <v>29</v>
      </c>
      <c r="O482" s="1" t="s">
        <v>30</v>
      </c>
      <c r="P482">
        <v>1</v>
      </c>
      <c r="Q482" s="1" t="s">
        <v>45</v>
      </c>
      <c r="R482">
        <v>1</v>
      </c>
      <c r="S482" s="1" t="s">
        <v>40</v>
      </c>
      <c r="T482" s="1" t="s">
        <v>33</v>
      </c>
      <c r="U482" s="1" t="s">
        <v>34</v>
      </c>
    </row>
    <row r="483" spans="1:21" x14ac:dyDescent="0.3">
      <c r="A483" s="1" t="s">
        <v>35</v>
      </c>
      <c r="B483">
        <v>24</v>
      </c>
      <c r="C483" s="1" t="s">
        <v>36</v>
      </c>
      <c r="D483" s="1" t="s">
        <v>51</v>
      </c>
      <c r="E483">
        <v>1201</v>
      </c>
      <c r="F483" s="1" t="s">
        <v>37</v>
      </c>
      <c r="G483" s="1" t="s">
        <v>62</v>
      </c>
      <c r="H483">
        <v>4</v>
      </c>
      <c r="I483" s="1" t="s">
        <v>26</v>
      </c>
      <c r="J483" s="1" t="s">
        <v>27</v>
      </c>
      <c r="K483">
        <v>1</v>
      </c>
      <c r="L483" s="1" t="s">
        <v>48</v>
      </c>
      <c r="M483">
        <v>26</v>
      </c>
      <c r="N483" s="1" t="s">
        <v>29</v>
      </c>
      <c r="O483" s="1" t="s">
        <v>30</v>
      </c>
      <c r="P483">
        <v>1</v>
      </c>
      <c r="Q483" s="1" t="s">
        <v>31</v>
      </c>
      <c r="R483">
        <v>1</v>
      </c>
      <c r="S483" s="1" t="s">
        <v>40</v>
      </c>
      <c r="T483" s="1" t="s">
        <v>33</v>
      </c>
      <c r="U483" s="1" t="s">
        <v>34</v>
      </c>
    </row>
    <row r="484" spans="1:21" x14ac:dyDescent="0.3">
      <c r="A484" s="1" t="s">
        <v>21</v>
      </c>
      <c r="B484">
        <v>30</v>
      </c>
      <c r="C484" s="1" t="s">
        <v>36</v>
      </c>
      <c r="D484" s="1" t="s">
        <v>46</v>
      </c>
      <c r="E484">
        <v>3622</v>
      </c>
      <c r="F484" s="1" t="s">
        <v>58</v>
      </c>
      <c r="G484" s="1" t="s">
        <v>25</v>
      </c>
      <c r="H484">
        <v>4</v>
      </c>
      <c r="I484" s="1" t="s">
        <v>39</v>
      </c>
      <c r="J484" s="1" t="s">
        <v>27</v>
      </c>
      <c r="K484">
        <v>4</v>
      </c>
      <c r="L484" s="1" t="s">
        <v>48</v>
      </c>
      <c r="M484">
        <v>57</v>
      </c>
      <c r="N484" s="1" t="s">
        <v>29</v>
      </c>
      <c r="O484" s="1" t="s">
        <v>56</v>
      </c>
      <c r="P484">
        <v>2</v>
      </c>
      <c r="Q484" s="1" t="s">
        <v>31</v>
      </c>
      <c r="R484">
        <v>1</v>
      </c>
      <c r="S484" s="1" t="s">
        <v>32</v>
      </c>
      <c r="T484" s="1" t="s">
        <v>33</v>
      </c>
      <c r="U484" s="1" t="s">
        <v>34</v>
      </c>
    </row>
    <row r="485" spans="1:21" x14ac:dyDescent="0.3">
      <c r="A485" s="1" t="s">
        <v>42</v>
      </c>
      <c r="B485">
        <v>15</v>
      </c>
      <c r="C485" s="1" t="s">
        <v>50</v>
      </c>
      <c r="D485" s="1" t="s">
        <v>46</v>
      </c>
      <c r="E485">
        <v>960</v>
      </c>
      <c r="F485" s="1" t="s">
        <v>58</v>
      </c>
      <c r="G485" s="1" t="s">
        <v>44</v>
      </c>
      <c r="H485">
        <v>3</v>
      </c>
      <c r="I485" s="1" t="s">
        <v>39</v>
      </c>
      <c r="J485" s="1" t="s">
        <v>27</v>
      </c>
      <c r="K485">
        <v>2</v>
      </c>
      <c r="L485" s="1" t="s">
        <v>48</v>
      </c>
      <c r="M485">
        <v>30</v>
      </c>
      <c r="N485" s="1" t="s">
        <v>29</v>
      </c>
      <c r="O485" s="1" t="s">
        <v>30</v>
      </c>
      <c r="P485">
        <v>2</v>
      </c>
      <c r="Q485" s="1" t="s">
        <v>31</v>
      </c>
      <c r="R485">
        <v>1</v>
      </c>
      <c r="S485" s="1" t="s">
        <v>40</v>
      </c>
      <c r="T485" s="1" t="s">
        <v>33</v>
      </c>
      <c r="U485" s="1" t="s">
        <v>34</v>
      </c>
    </row>
    <row r="486" spans="1:21" x14ac:dyDescent="0.3">
      <c r="A486" s="1" t="s">
        <v>42</v>
      </c>
      <c r="B486">
        <v>12</v>
      </c>
      <c r="C486" s="1" t="s">
        <v>22</v>
      </c>
      <c r="D486" s="1" t="s">
        <v>51</v>
      </c>
      <c r="E486">
        <v>1163</v>
      </c>
      <c r="F486" s="1" t="s">
        <v>53</v>
      </c>
      <c r="G486" s="1" t="s">
        <v>38</v>
      </c>
      <c r="H486">
        <v>4</v>
      </c>
      <c r="I486" s="1" t="s">
        <v>26</v>
      </c>
      <c r="J486" s="1" t="s">
        <v>27</v>
      </c>
      <c r="K486">
        <v>4</v>
      </c>
      <c r="L486" s="1" t="s">
        <v>28</v>
      </c>
      <c r="M486">
        <v>44</v>
      </c>
      <c r="N486" s="1" t="s">
        <v>29</v>
      </c>
      <c r="O486" s="1" t="s">
        <v>30</v>
      </c>
      <c r="P486">
        <v>1</v>
      </c>
      <c r="Q486" s="1" t="s">
        <v>31</v>
      </c>
      <c r="R486">
        <v>1</v>
      </c>
      <c r="S486" s="1" t="s">
        <v>32</v>
      </c>
      <c r="T486" s="1" t="s">
        <v>33</v>
      </c>
      <c r="U486" s="1" t="s">
        <v>34</v>
      </c>
    </row>
    <row r="487" spans="1:21" x14ac:dyDescent="0.3">
      <c r="A487" s="1" t="s">
        <v>35</v>
      </c>
      <c r="B487">
        <v>6</v>
      </c>
      <c r="C487" s="1" t="s">
        <v>50</v>
      </c>
      <c r="D487" s="1" t="s">
        <v>51</v>
      </c>
      <c r="E487">
        <v>1209</v>
      </c>
      <c r="F487" s="1" t="s">
        <v>37</v>
      </c>
      <c r="G487" s="1" t="s">
        <v>60</v>
      </c>
      <c r="H487">
        <v>4</v>
      </c>
      <c r="I487" s="1" t="s">
        <v>26</v>
      </c>
      <c r="J487" s="1" t="s">
        <v>27</v>
      </c>
      <c r="K487">
        <v>4</v>
      </c>
      <c r="L487" s="1" t="s">
        <v>48</v>
      </c>
      <c r="M487">
        <v>47</v>
      </c>
      <c r="N487" s="1" t="s">
        <v>29</v>
      </c>
      <c r="O487" s="1" t="s">
        <v>30</v>
      </c>
      <c r="P487">
        <v>1</v>
      </c>
      <c r="Q487" s="1" t="s">
        <v>57</v>
      </c>
      <c r="R487">
        <v>1</v>
      </c>
      <c r="S487" s="1" t="s">
        <v>32</v>
      </c>
      <c r="T487" s="1" t="s">
        <v>33</v>
      </c>
      <c r="U487" s="1" t="s">
        <v>41</v>
      </c>
    </row>
    <row r="488" spans="1:21" x14ac:dyDescent="0.3">
      <c r="A488" s="1" t="s">
        <v>42</v>
      </c>
      <c r="B488">
        <v>12</v>
      </c>
      <c r="C488" s="1" t="s">
        <v>36</v>
      </c>
      <c r="D488" s="1" t="s">
        <v>23</v>
      </c>
      <c r="E488">
        <v>3077</v>
      </c>
      <c r="F488" s="1" t="s">
        <v>37</v>
      </c>
      <c r="G488" s="1" t="s">
        <v>38</v>
      </c>
      <c r="H488">
        <v>2</v>
      </c>
      <c r="I488" s="1" t="s">
        <v>26</v>
      </c>
      <c r="J488" s="1" t="s">
        <v>27</v>
      </c>
      <c r="K488">
        <v>4</v>
      </c>
      <c r="L488" s="1" t="s">
        <v>55</v>
      </c>
      <c r="M488">
        <v>52</v>
      </c>
      <c r="N488" s="1" t="s">
        <v>29</v>
      </c>
      <c r="O488" s="1" t="s">
        <v>30</v>
      </c>
      <c r="P488">
        <v>1</v>
      </c>
      <c r="Q488" s="1" t="s">
        <v>31</v>
      </c>
      <c r="R488">
        <v>1</v>
      </c>
      <c r="S488" s="1" t="s">
        <v>32</v>
      </c>
      <c r="T488" s="1" t="s">
        <v>33</v>
      </c>
      <c r="U488" s="1" t="s">
        <v>34</v>
      </c>
    </row>
    <row r="489" spans="1:21" x14ac:dyDescent="0.3">
      <c r="A489" s="1" t="s">
        <v>42</v>
      </c>
      <c r="B489">
        <v>24</v>
      </c>
      <c r="C489" s="1" t="s">
        <v>36</v>
      </c>
      <c r="D489" s="1" t="s">
        <v>51</v>
      </c>
      <c r="E489">
        <v>3757</v>
      </c>
      <c r="F489" s="1" t="s">
        <v>37</v>
      </c>
      <c r="G489" s="1" t="s">
        <v>25</v>
      </c>
      <c r="H489">
        <v>4</v>
      </c>
      <c r="I489" s="1" t="s">
        <v>39</v>
      </c>
      <c r="J489" s="1" t="s">
        <v>71</v>
      </c>
      <c r="K489">
        <v>4</v>
      </c>
      <c r="L489" s="1" t="s">
        <v>52</v>
      </c>
      <c r="M489">
        <v>62</v>
      </c>
      <c r="N489" s="1" t="s">
        <v>29</v>
      </c>
      <c r="O489" s="1" t="s">
        <v>49</v>
      </c>
      <c r="P489">
        <v>1</v>
      </c>
      <c r="Q489" s="1" t="s">
        <v>31</v>
      </c>
      <c r="R489">
        <v>1</v>
      </c>
      <c r="S489" s="1" t="s">
        <v>32</v>
      </c>
      <c r="T489" s="1" t="s">
        <v>33</v>
      </c>
      <c r="U489" s="1" t="s">
        <v>34</v>
      </c>
    </row>
    <row r="490" spans="1:21" x14ac:dyDescent="0.3">
      <c r="A490" s="1" t="s">
        <v>42</v>
      </c>
      <c r="B490">
        <v>10</v>
      </c>
      <c r="C490" s="1" t="s">
        <v>36</v>
      </c>
      <c r="D490" s="1" t="s">
        <v>51</v>
      </c>
      <c r="E490">
        <v>1418</v>
      </c>
      <c r="F490" s="1" t="s">
        <v>64</v>
      </c>
      <c r="G490" s="1" t="s">
        <v>38</v>
      </c>
      <c r="H490">
        <v>3</v>
      </c>
      <c r="I490" s="1" t="s">
        <v>26</v>
      </c>
      <c r="J490" s="1" t="s">
        <v>27</v>
      </c>
      <c r="K490">
        <v>2</v>
      </c>
      <c r="L490" s="1" t="s">
        <v>28</v>
      </c>
      <c r="M490">
        <v>35</v>
      </c>
      <c r="N490" s="1" t="s">
        <v>29</v>
      </c>
      <c r="O490" s="1" t="s">
        <v>56</v>
      </c>
      <c r="P490">
        <v>1</v>
      </c>
      <c r="Q490" s="1" t="s">
        <v>45</v>
      </c>
      <c r="R490">
        <v>1</v>
      </c>
      <c r="S490" s="1" t="s">
        <v>40</v>
      </c>
      <c r="T490" s="1" t="s">
        <v>67</v>
      </c>
      <c r="U490" s="1" t="s">
        <v>34</v>
      </c>
    </row>
    <row r="491" spans="1:21" x14ac:dyDescent="0.3">
      <c r="A491" s="1" t="s">
        <v>42</v>
      </c>
      <c r="B491">
        <v>6</v>
      </c>
      <c r="C491" s="1" t="s">
        <v>36</v>
      </c>
      <c r="D491" s="1" t="s">
        <v>51</v>
      </c>
      <c r="E491">
        <v>3518</v>
      </c>
      <c r="F491" s="1" t="s">
        <v>37</v>
      </c>
      <c r="G491" s="1" t="s">
        <v>38</v>
      </c>
      <c r="H491">
        <v>2</v>
      </c>
      <c r="I491" s="1" t="s">
        <v>26</v>
      </c>
      <c r="J491" s="1" t="s">
        <v>47</v>
      </c>
      <c r="K491">
        <v>3</v>
      </c>
      <c r="L491" s="1" t="s">
        <v>48</v>
      </c>
      <c r="M491">
        <v>26</v>
      </c>
      <c r="N491" s="1" t="s">
        <v>29</v>
      </c>
      <c r="O491" s="1" t="s">
        <v>56</v>
      </c>
      <c r="P491">
        <v>1</v>
      </c>
      <c r="Q491" s="1" t="s">
        <v>31</v>
      </c>
      <c r="R491">
        <v>1</v>
      </c>
      <c r="S491" s="1" t="s">
        <v>40</v>
      </c>
      <c r="T491" s="1" t="s">
        <v>33</v>
      </c>
      <c r="U491" s="1" t="s">
        <v>34</v>
      </c>
    </row>
    <row r="492" spans="1:21" x14ac:dyDescent="0.3">
      <c r="A492" s="1" t="s">
        <v>42</v>
      </c>
      <c r="B492">
        <v>12</v>
      </c>
      <c r="C492" s="1" t="s">
        <v>22</v>
      </c>
      <c r="D492" s="1" t="s">
        <v>23</v>
      </c>
      <c r="E492">
        <v>1934</v>
      </c>
      <c r="F492" s="1" t="s">
        <v>37</v>
      </c>
      <c r="G492" s="1" t="s">
        <v>25</v>
      </c>
      <c r="H492">
        <v>2</v>
      </c>
      <c r="I492" s="1" t="s">
        <v>26</v>
      </c>
      <c r="J492" s="1" t="s">
        <v>27</v>
      </c>
      <c r="K492">
        <v>2</v>
      </c>
      <c r="L492" s="1" t="s">
        <v>52</v>
      </c>
      <c r="M492">
        <v>26</v>
      </c>
      <c r="N492" s="1" t="s">
        <v>29</v>
      </c>
      <c r="O492" s="1" t="s">
        <v>30</v>
      </c>
      <c r="P492">
        <v>2</v>
      </c>
      <c r="Q492" s="1" t="s">
        <v>31</v>
      </c>
      <c r="R492">
        <v>1</v>
      </c>
      <c r="S492" s="1" t="s">
        <v>40</v>
      </c>
      <c r="T492" s="1" t="s">
        <v>33</v>
      </c>
      <c r="U492" s="1" t="s">
        <v>34</v>
      </c>
    </row>
    <row r="493" spans="1:21" x14ac:dyDescent="0.3">
      <c r="A493" s="1" t="s">
        <v>35</v>
      </c>
      <c r="B493">
        <v>27</v>
      </c>
      <c r="C493" s="1" t="s">
        <v>65</v>
      </c>
      <c r="D493" s="1" t="s">
        <v>63</v>
      </c>
      <c r="E493">
        <v>8318</v>
      </c>
      <c r="F493" s="1" t="s">
        <v>37</v>
      </c>
      <c r="G493" s="1" t="s">
        <v>25</v>
      </c>
      <c r="H493">
        <v>2</v>
      </c>
      <c r="I493" s="1" t="s">
        <v>39</v>
      </c>
      <c r="J493" s="1" t="s">
        <v>27</v>
      </c>
      <c r="K493">
        <v>4</v>
      </c>
      <c r="L493" s="1" t="s">
        <v>52</v>
      </c>
      <c r="M493">
        <v>42</v>
      </c>
      <c r="N493" s="1" t="s">
        <v>29</v>
      </c>
      <c r="O493" s="1" t="s">
        <v>49</v>
      </c>
      <c r="P493">
        <v>2</v>
      </c>
      <c r="Q493" s="1" t="s">
        <v>57</v>
      </c>
      <c r="R493">
        <v>1</v>
      </c>
      <c r="S493" s="1" t="s">
        <v>32</v>
      </c>
      <c r="T493" s="1" t="s">
        <v>33</v>
      </c>
      <c r="U493" s="1" t="s">
        <v>41</v>
      </c>
    </row>
    <row r="494" spans="1:21" x14ac:dyDescent="0.3">
      <c r="A494" s="1" t="s">
        <v>42</v>
      </c>
      <c r="B494">
        <v>6</v>
      </c>
      <c r="C494" s="1" t="s">
        <v>22</v>
      </c>
      <c r="D494" s="1" t="s">
        <v>23</v>
      </c>
      <c r="E494">
        <v>1237</v>
      </c>
      <c r="F494" s="1" t="s">
        <v>64</v>
      </c>
      <c r="G494" s="1" t="s">
        <v>38</v>
      </c>
      <c r="H494">
        <v>1</v>
      </c>
      <c r="I494" s="1" t="s">
        <v>39</v>
      </c>
      <c r="J494" s="1" t="s">
        <v>27</v>
      </c>
      <c r="K494">
        <v>1</v>
      </c>
      <c r="L494" s="1" t="s">
        <v>48</v>
      </c>
      <c r="M494">
        <v>27</v>
      </c>
      <c r="N494" s="1" t="s">
        <v>29</v>
      </c>
      <c r="O494" s="1" t="s">
        <v>30</v>
      </c>
      <c r="P494">
        <v>2</v>
      </c>
      <c r="Q494" s="1" t="s">
        <v>31</v>
      </c>
      <c r="R494">
        <v>1</v>
      </c>
      <c r="S494" s="1" t="s">
        <v>40</v>
      </c>
      <c r="T494" s="1" t="s">
        <v>33</v>
      </c>
      <c r="U494" s="1" t="s">
        <v>34</v>
      </c>
    </row>
    <row r="495" spans="1:21" x14ac:dyDescent="0.3">
      <c r="A495" s="1" t="s">
        <v>35</v>
      </c>
      <c r="B495">
        <v>6</v>
      </c>
      <c r="C495" s="1" t="s">
        <v>36</v>
      </c>
      <c r="D495" s="1" t="s">
        <v>23</v>
      </c>
      <c r="E495">
        <v>368</v>
      </c>
      <c r="F495" s="1" t="s">
        <v>24</v>
      </c>
      <c r="G495" s="1" t="s">
        <v>25</v>
      </c>
      <c r="H495">
        <v>4</v>
      </c>
      <c r="I495" s="1" t="s">
        <v>26</v>
      </c>
      <c r="J495" s="1" t="s">
        <v>27</v>
      </c>
      <c r="K495">
        <v>4</v>
      </c>
      <c r="L495" s="1" t="s">
        <v>48</v>
      </c>
      <c r="M495">
        <v>38</v>
      </c>
      <c r="N495" s="1" t="s">
        <v>29</v>
      </c>
      <c r="O495" s="1" t="s">
        <v>30</v>
      </c>
      <c r="P495">
        <v>1</v>
      </c>
      <c r="Q495" s="1" t="s">
        <v>31</v>
      </c>
      <c r="R495">
        <v>1</v>
      </c>
      <c r="S495" s="1" t="s">
        <v>40</v>
      </c>
      <c r="T495" s="1" t="s">
        <v>33</v>
      </c>
      <c r="U495" s="1" t="s">
        <v>34</v>
      </c>
    </row>
    <row r="496" spans="1:21" x14ac:dyDescent="0.3">
      <c r="A496" s="1" t="s">
        <v>21</v>
      </c>
      <c r="B496">
        <v>12</v>
      </c>
      <c r="C496" s="1" t="s">
        <v>22</v>
      </c>
      <c r="D496" s="1" t="s">
        <v>51</v>
      </c>
      <c r="E496">
        <v>2122</v>
      </c>
      <c r="F496" s="1" t="s">
        <v>37</v>
      </c>
      <c r="G496" s="1" t="s">
        <v>38</v>
      </c>
      <c r="H496">
        <v>3</v>
      </c>
      <c r="I496" s="1" t="s">
        <v>26</v>
      </c>
      <c r="J496" s="1" t="s">
        <v>27</v>
      </c>
      <c r="K496">
        <v>2</v>
      </c>
      <c r="L496" s="1" t="s">
        <v>28</v>
      </c>
      <c r="M496">
        <v>39</v>
      </c>
      <c r="N496" s="1" t="s">
        <v>29</v>
      </c>
      <c r="O496" s="1" t="s">
        <v>56</v>
      </c>
      <c r="P496">
        <v>2</v>
      </c>
      <c r="Q496" s="1" t="s">
        <v>45</v>
      </c>
      <c r="R496">
        <v>2</v>
      </c>
      <c r="S496" s="1" t="s">
        <v>40</v>
      </c>
      <c r="T496" s="1" t="s">
        <v>67</v>
      </c>
      <c r="U496" s="1" t="s">
        <v>34</v>
      </c>
    </row>
    <row r="497" spans="1:21" x14ac:dyDescent="0.3">
      <c r="A497" s="1" t="s">
        <v>21</v>
      </c>
      <c r="B497">
        <v>24</v>
      </c>
      <c r="C497" s="1" t="s">
        <v>36</v>
      </c>
      <c r="D497" s="1" t="s">
        <v>46</v>
      </c>
      <c r="E497">
        <v>2996</v>
      </c>
      <c r="F497" s="1" t="s">
        <v>24</v>
      </c>
      <c r="G497" s="1" t="s">
        <v>38</v>
      </c>
      <c r="H497">
        <v>2</v>
      </c>
      <c r="I497" s="1" t="s">
        <v>61</v>
      </c>
      <c r="J497" s="1" t="s">
        <v>27</v>
      </c>
      <c r="K497">
        <v>4</v>
      </c>
      <c r="L497" s="1" t="s">
        <v>55</v>
      </c>
      <c r="M497">
        <v>20</v>
      </c>
      <c r="N497" s="1" t="s">
        <v>29</v>
      </c>
      <c r="O497" s="1" t="s">
        <v>30</v>
      </c>
      <c r="P497">
        <v>1</v>
      </c>
      <c r="Q497" s="1" t="s">
        <v>31</v>
      </c>
      <c r="R497">
        <v>1</v>
      </c>
      <c r="S497" s="1" t="s">
        <v>40</v>
      </c>
      <c r="T497" s="1" t="s">
        <v>33</v>
      </c>
      <c r="U497" s="1" t="s">
        <v>41</v>
      </c>
    </row>
    <row r="498" spans="1:21" x14ac:dyDescent="0.3">
      <c r="A498" s="1" t="s">
        <v>35</v>
      </c>
      <c r="B498">
        <v>36</v>
      </c>
      <c r="C498" s="1" t="s">
        <v>36</v>
      </c>
      <c r="D498" s="1" t="s">
        <v>46</v>
      </c>
      <c r="E498">
        <v>9034</v>
      </c>
      <c r="F498" s="1" t="s">
        <v>64</v>
      </c>
      <c r="G498" s="1" t="s">
        <v>62</v>
      </c>
      <c r="H498">
        <v>4</v>
      </c>
      <c r="I498" s="1" t="s">
        <v>26</v>
      </c>
      <c r="J498" s="1" t="s">
        <v>71</v>
      </c>
      <c r="K498">
        <v>1</v>
      </c>
      <c r="L498" s="1" t="s">
        <v>52</v>
      </c>
      <c r="M498">
        <v>29</v>
      </c>
      <c r="N498" s="1" t="s">
        <v>29</v>
      </c>
      <c r="O498" s="1" t="s">
        <v>56</v>
      </c>
      <c r="P498">
        <v>1</v>
      </c>
      <c r="Q498" s="1" t="s">
        <v>57</v>
      </c>
      <c r="R498">
        <v>1</v>
      </c>
      <c r="S498" s="1" t="s">
        <v>32</v>
      </c>
      <c r="T498" s="1" t="s">
        <v>33</v>
      </c>
      <c r="U498" s="1" t="s">
        <v>41</v>
      </c>
    </row>
    <row r="499" spans="1:21" x14ac:dyDescent="0.3">
      <c r="A499" s="1" t="s">
        <v>42</v>
      </c>
      <c r="B499">
        <v>24</v>
      </c>
      <c r="C499" s="1" t="s">
        <v>22</v>
      </c>
      <c r="D499" s="1" t="s">
        <v>46</v>
      </c>
      <c r="E499">
        <v>1585</v>
      </c>
      <c r="F499" s="1" t="s">
        <v>37</v>
      </c>
      <c r="G499" s="1" t="s">
        <v>44</v>
      </c>
      <c r="H499">
        <v>4</v>
      </c>
      <c r="I499" s="1" t="s">
        <v>26</v>
      </c>
      <c r="J499" s="1" t="s">
        <v>27</v>
      </c>
      <c r="K499">
        <v>3</v>
      </c>
      <c r="L499" s="1" t="s">
        <v>48</v>
      </c>
      <c r="M499">
        <v>40</v>
      </c>
      <c r="N499" s="1" t="s">
        <v>29</v>
      </c>
      <c r="O499" s="1" t="s">
        <v>30</v>
      </c>
      <c r="P499">
        <v>2</v>
      </c>
      <c r="Q499" s="1" t="s">
        <v>31</v>
      </c>
      <c r="R499">
        <v>1</v>
      </c>
      <c r="S499" s="1" t="s">
        <v>40</v>
      </c>
      <c r="T499" s="1" t="s">
        <v>33</v>
      </c>
      <c r="U499" s="1" t="s">
        <v>34</v>
      </c>
    </row>
    <row r="500" spans="1:21" x14ac:dyDescent="0.3">
      <c r="A500" s="1" t="s">
        <v>35</v>
      </c>
      <c r="B500">
        <v>18</v>
      </c>
      <c r="C500" s="1" t="s">
        <v>36</v>
      </c>
      <c r="D500" s="1" t="s">
        <v>23</v>
      </c>
      <c r="E500">
        <v>1301</v>
      </c>
      <c r="F500" s="1" t="s">
        <v>37</v>
      </c>
      <c r="G500" s="1" t="s">
        <v>25</v>
      </c>
      <c r="H500">
        <v>4</v>
      </c>
      <c r="I500" s="1" t="s">
        <v>61</v>
      </c>
      <c r="J500" s="1" t="s">
        <v>47</v>
      </c>
      <c r="K500">
        <v>2</v>
      </c>
      <c r="L500" s="1" t="s">
        <v>28</v>
      </c>
      <c r="M500">
        <v>32</v>
      </c>
      <c r="N500" s="1" t="s">
        <v>29</v>
      </c>
      <c r="O500" s="1" t="s">
        <v>30</v>
      </c>
      <c r="P500">
        <v>1</v>
      </c>
      <c r="Q500" s="1" t="s">
        <v>45</v>
      </c>
      <c r="R500">
        <v>1</v>
      </c>
      <c r="S500" s="1" t="s">
        <v>40</v>
      </c>
      <c r="T500" s="1" t="s">
        <v>33</v>
      </c>
      <c r="U500" s="1" t="s">
        <v>34</v>
      </c>
    </row>
    <row r="501" spans="1:21" x14ac:dyDescent="0.3">
      <c r="A501" s="1" t="s">
        <v>68</v>
      </c>
      <c r="B501">
        <v>6</v>
      </c>
      <c r="C501" s="1" t="s">
        <v>22</v>
      </c>
      <c r="D501" s="1" t="s">
        <v>51</v>
      </c>
      <c r="E501">
        <v>1323</v>
      </c>
      <c r="F501" s="1" t="s">
        <v>64</v>
      </c>
      <c r="G501" s="1" t="s">
        <v>25</v>
      </c>
      <c r="H501">
        <v>2</v>
      </c>
      <c r="I501" s="1" t="s">
        <v>59</v>
      </c>
      <c r="J501" s="1" t="s">
        <v>27</v>
      </c>
      <c r="K501">
        <v>4</v>
      </c>
      <c r="L501" s="1" t="s">
        <v>55</v>
      </c>
      <c r="M501">
        <v>28</v>
      </c>
      <c r="N501" s="1" t="s">
        <v>29</v>
      </c>
      <c r="O501" s="1" t="s">
        <v>30</v>
      </c>
      <c r="P501">
        <v>2</v>
      </c>
      <c r="Q501" s="1" t="s">
        <v>31</v>
      </c>
      <c r="R501">
        <v>2</v>
      </c>
      <c r="S501" s="1" t="s">
        <v>32</v>
      </c>
      <c r="T501" s="1" t="s">
        <v>33</v>
      </c>
      <c r="U501" s="1" t="s">
        <v>34</v>
      </c>
    </row>
    <row r="502" spans="1:21" x14ac:dyDescent="0.3">
      <c r="A502" s="1" t="s">
        <v>21</v>
      </c>
      <c r="B502">
        <v>24</v>
      </c>
      <c r="C502" s="1" t="s">
        <v>36</v>
      </c>
      <c r="D502" s="1" t="s">
        <v>51</v>
      </c>
      <c r="E502">
        <v>3123</v>
      </c>
      <c r="F502" s="1" t="s">
        <v>37</v>
      </c>
      <c r="G502" s="1" t="s">
        <v>62</v>
      </c>
      <c r="H502">
        <v>4</v>
      </c>
      <c r="I502" s="1" t="s">
        <v>39</v>
      </c>
      <c r="J502" s="1" t="s">
        <v>27</v>
      </c>
      <c r="K502">
        <v>1</v>
      </c>
      <c r="L502" s="1" t="s">
        <v>48</v>
      </c>
      <c r="M502">
        <v>27</v>
      </c>
      <c r="N502" s="1" t="s">
        <v>29</v>
      </c>
      <c r="O502" s="1" t="s">
        <v>30</v>
      </c>
      <c r="P502">
        <v>1</v>
      </c>
      <c r="Q502" s="1" t="s">
        <v>31</v>
      </c>
      <c r="R502">
        <v>1</v>
      </c>
      <c r="S502" s="1" t="s">
        <v>40</v>
      </c>
      <c r="T502" s="1" t="s">
        <v>33</v>
      </c>
      <c r="U502" s="1" t="s">
        <v>41</v>
      </c>
    </row>
    <row r="503" spans="1:21" x14ac:dyDescent="0.3">
      <c r="A503" s="1" t="s">
        <v>21</v>
      </c>
      <c r="B503">
        <v>36</v>
      </c>
      <c r="C503" s="1" t="s">
        <v>36</v>
      </c>
      <c r="D503" s="1" t="s">
        <v>54</v>
      </c>
      <c r="E503">
        <v>5493</v>
      </c>
      <c r="F503" s="1" t="s">
        <v>37</v>
      </c>
      <c r="G503" s="1" t="s">
        <v>25</v>
      </c>
      <c r="H503">
        <v>2</v>
      </c>
      <c r="I503" s="1" t="s">
        <v>26</v>
      </c>
      <c r="J503" s="1" t="s">
        <v>27</v>
      </c>
      <c r="K503">
        <v>4</v>
      </c>
      <c r="L503" s="1" t="s">
        <v>52</v>
      </c>
      <c r="M503">
        <v>42</v>
      </c>
      <c r="N503" s="1" t="s">
        <v>29</v>
      </c>
      <c r="O503" s="1" t="s">
        <v>49</v>
      </c>
      <c r="P503">
        <v>1</v>
      </c>
      <c r="Q503" s="1" t="s">
        <v>31</v>
      </c>
      <c r="R503">
        <v>2</v>
      </c>
      <c r="S503" s="1" t="s">
        <v>40</v>
      </c>
      <c r="T503" s="1" t="s">
        <v>33</v>
      </c>
      <c r="U503" s="1" t="s">
        <v>34</v>
      </c>
    </row>
    <row r="504" spans="1:21" x14ac:dyDescent="0.3">
      <c r="A504" s="1" t="s">
        <v>68</v>
      </c>
      <c r="B504">
        <v>9</v>
      </c>
      <c r="C504" s="1" t="s">
        <v>36</v>
      </c>
      <c r="D504" s="1" t="s">
        <v>23</v>
      </c>
      <c r="E504">
        <v>1126</v>
      </c>
      <c r="F504" s="1" t="s">
        <v>64</v>
      </c>
      <c r="G504" s="1" t="s">
        <v>25</v>
      </c>
      <c r="H504">
        <v>2</v>
      </c>
      <c r="I504" s="1" t="s">
        <v>59</v>
      </c>
      <c r="J504" s="1" t="s">
        <v>27</v>
      </c>
      <c r="K504">
        <v>4</v>
      </c>
      <c r="L504" s="1" t="s">
        <v>28</v>
      </c>
      <c r="M504">
        <v>49</v>
      </c>
      <c r="N504" s="1" t="s">
        <v>29</v>
      </c>
      <c r="O504" s="1" t="s">
        <v>30</v>
      </c>
      <c r="P504">
        <v>1</v>
      </c>
      <c r="Q504" s="1" t="s">
        <v>31</v>
      </c>
      <c r="R504">
        <v>1</v>
      </c>
      <c r="S504" s="1" t="s">
        <v>40</v>
      </c>
      <c r="T504" s="1" t="s">
        <v>33</v>
      </c>
      <c r="U504" s="1" t="s">
        <v>34</v>
      </c>
    </row>
    <row r="505" spans="1:21" x14ac:dyDescent="0.3">
      <c r="A505" s="1" t="s">
        <v>35</v>
      </c>
      <c r="B505">
        <v>24</v>
      </c>
      <c r="C505" s="1" t="s">
        <v>22</v>
      </c>
      <c r="D505" s="1" t="s">
        <v>23</v>
      </c>
      <c r="E505">
        <v>1216</v>
      </c>
      <c r="F505" s="1" t="s">
        <v>64</v>
      </c>
      <c r="G505" s="1" t="s">
        <v>62</v>
      </c>
      <c r="H505">
        <v>4</v>
      </c>
      <c r="I505" s="1" t="s">
        <v>26</v>
      </c>
      <c r="J505" s="1" t="s">
        <v>27</v>
      </c>
      <c r="K505">
        <v>4</v>
      </c>
      <c r="L505" s="1" t="s">
        <v>52</v>
      </c>
      <c r="M505">
        <v>38</v>
      </c>
      <c r="N505" s="1" t="s">
        <v>66</v>
      </c>
      <c r="O505" s="1" t="s">
        <v>30</v>
      </c>
      <c r="P505">
        <v>2</v>
      </c>
      <c r="Q505" s="1" t="s">
        <v>31</v>
      </c>
      <c r="R505">
        <v>2</v>
      </c>
      <c r="S505" s="1" t="s">
        <v>40</v>
      </c>
      <c r="T505" s="1" t="s">
        <v>33</v>
      </c>
      <c r="U505" s="1" t="s">
        <v>41</v>
      </c>
    </row>
    <row r="506" spans="1:21" x14ac:dyDescent="0.3">
      <c r="A506" s="1" t="s">
        <v>21</v>
      </c>
      <c r="B506">
        <v>24</v>
      </c>
      <c r="C506" s="1" t="s">
        <v>36</v>
      </c>
      <c r="D506" s="1" t="s">
        <v>51</v>
      </c>
      <c r="E506">
        <v>1207</v>
      </c>
      <c r="F506" s="1" t="s">
        <v>37</v>
      </c>
      <c r="G506" s="1" t="s">
        <v>62</v>
      </c>
      <c r="H506">
        <v>4</v>
      </c>
      <c r="I506" s="1" t="s">
        <v>39</v>
      </c>
      <c r="J506" s="1" t="s">
        <v>27</v>
      </c>
      <c r="K506">
        <v>4</v>
      </c>
      <c r="L506" s="1" t="s">
        <v>48</v>
      </c>
      <c r="M506">
        <v>24</v>
      </c>
      <c r="N506" s="1" t="s">
        <v>29</v>
      </c>
      <c r="O506" s="1" t="s">
        <v>56</v>
      </c>
      <c r="P506">
        <v>1</v>
      </c>
      <c r="Q506" s="1" t="s">
        <v>31</v>
      </c>
      <c r="R506">
        <v>1</v>
      </c>
      <c r="S506" s="1" t="s">
        <v>40</v>
      </c>
      <c r="T506" s="1" t="s">
        <v>33</v>
      </c>
      <c r="U506" s="1" t="s">
        <v>41</v>
      </c>
    </row>
    <row r="507" spans="1:21" x14ac:dyDescent="0.3">
      <c r="A507" s="1" t="s">
        <v>42</v>
      </c>
      <c r="B507">
        <v>10</v>
      </c>
      <c r="C507" s="1" t="s">
        <v>36</v>
      </c>
      <c r="D507" s="1" t="s">
        <v>51</v>
      </c>
      <c r="E507">
        <v>1309</v>
      </c>
      <c r="F507" s="1" t="s">
        <v>24</v>
      </c>
      <c r="G507" s="1" t="s">
        <v>38</v>
      </c>
      <c r="H507">
        <v>4</v>
      </c>
      <c r="I507" s="1" t="s">
        <v>26</v>
      </c>
      <c r="J507" s="1" t="s">
        <v>47</v>
      </c>
      <c r="K507">
        <v>4</v>
      </c>
      <c r="L507" s="1" t="s">
        <v>48</v>
      </c>
      <c r="M507">
        <v>27</v>
      </c>
      <c r="N507" s="1" t="s">
        <v>29</v>
      </c>
      <c r="O507" s="1" t="s">
        <v>30</v>
      </c>
      <c r="P507">
        <v>1</v>
      </c>
      <c r="Q507" s="1" t="s">
        <v>45</v>
      </c>
      <c r="R507">
        <v>1</v>
      </c>
      <c r="S507" s="1" t="s">
        <v>40</v>
      </c>
      <c r="T507" s="1" t="s">
        <v>33</v>
      </c>
      <c r="U507" s="1" t="s">
        <v>41</v>
      </c>
    </row>
    <row r="508" spans="1:21" x14ac:dyDescent="0.3">
      <c r="A508" s="1" t="s">
        <v>68</v>
      </c>
      <c r="B508">
        <v>15</v>
      </c>
      <c r="C508" s="1" t="s">
        <v>22</v>
      </c>
      <c r="D508" s="1" t="s">
        <v>54</v>
      </c>
      <c r="E508">
        <v>2360</v>
      </c>
      <c r="F508" s="1" t="s">
        <v>53</v>
      </c>
      <c r="G508" s="1" t="s">
        <v>38</v>
      </c>
      <c r="H508">
        <v>2</v>
      </c>
      <c r="I508" s="1" t="s">
        <v>26</v>
      </c>
      <c r="J508" s="1" t="s">
        <v>27</v>
      </c>
      <c r="K508">
        <v>2</v>
      </c>
      <c r="L508" s="1" t="s">
        <v>55</v>
      </c>
      <c r="M508">
        <v>36</v>
      </c>
      <c r="N508" s="1" t="s">
        <v>29</v>
      </c>
      <c r="O508" s="1" t="s">
        <v>30</v>
      </c>
      <c r="P508">
        <v>1</v>
      </c>
      <c r="Q508" s="1" t="s">
        <v>31</v>
      </c>
      <c r="R508">
        <v>1</v>
      </c>
      <c r="S508" s="1" t="s">
        <v>32</v>
      </c>
      <c r="T508" s="1" t="s">
        <v>33</v>
      </c>
      <c r="U508" s="1" t="s">
        <v>34</v>
      </c>
    </row>
    <row r="509" spans="1:21" x14ac:dyDescent="0.3">
      <c r="A509" s="1" t="s">
        <v>35</v>
      </c>
      <c r="B509">
        <v>15</v>
      </c>
      <c r="C509" s="1" t="s">
        <v>69</v>
      </c>
      <c r="D509" s="1" t="s">
        <v>51</v>
      </c>
      <c r="E509">
        <v>6850</v>
      </c>
      <c r="F509" s="1" t="s">
        <v>64</v>
      </c>
      <c r="G509" s="1" t="s">
        <v>60</v>
      </c>
      <c r="H509">
        <v>1</v>
      </c>
      <c r="I509" s="1" t="s">
        <v>26</v>
      </c>
      <c r="J509" s="1" t="s">
        <v>27</v>
      </c>
      <c r="K509">
        <v>2</v>
      </c>
      <c r="L509" s="1" t="s">
        <v>48</v>
      </c>
      <c r="M509">
        <v>34</v>
      </c>
      <c r="N509" s="1" t="s">
        <v>29</v>
      </c>
      <c r="O509" s="1" t="s">
        <v>30</v>
      </c>
      <c r="P509">
        <v>1</v>
      </c>
      <c r="Q509" s="1" t="s">
        <v>57</v>
      </c>
      <c r="R509">
        <v>2</v>
      </c>
      <c r="S509" s="1" t="s">
        <v>32</v>
      </c>
      <c r="T509" s="1" t="s">
        <v>33</v>
      </c>
      <c r="U509" s="1" t="s">
        <v>41</v>
      </c>
    </row>
    <row r="510" spans="1:21" x14ac:dyDescent="0.3">
      <c r="A510" s="1" t="s">
        <v>42</v>
      </c>
      <c r="B510">
        <v>24</v>
      </c>
      <c r="C510" s="1" t="s">
        <v>36</v>
      </c>
      <c r="D510" s="1" t="s">
        <v>23</v>
      </c>
      <c r="E510">
        <v>1413</v>
      </c>
      <c r="F510" s="1" t="s">
        <v>37</v>
      </c>
      <c r="G510" s="1" t="s">
        <v>38</v>
      </c>
      <c r="H510">
        <v>4</v>
      </c>
      <c r="I510" s="1" t="s">
        <v>61</v>
      </c>
      <c r="J510" s="1" t="s">
        <v>27</v>
      </c>
      <c r="K510">
        <v>2</v>
      </c>
      <c r="L510" s="1" t="s">
        <v>48</v>
      </c>
      <c r="M510">
        <v>28</v>
      </c>
      <c r="N510" s="1" t="s">
        <v>29</v>
      </c>
      <c r="O510" s="1" t="s">
        <v>30</v>
      </c>
      <c r="P510">
        <v>1</v>
      </c>
      <c r="Q510" s="1" t="s">
        <v>31</v>
      </c>
      <c r="R510">
        <v>1</v>
      </c>
      <c r="S510" s="1" t="s">
        <v>40</v>
      </c>
      <c r="T510" s="1" t="s">
        <v>33</v>
      </c>
      <c r="U510" s="1" t="s">
        <v>34</v>
      </c>
    </row>
    <row r="511" spans="1:21" x14ac:dyDescent="0.3">
      <c r="A511" s="1" t="s">
        <v>42</v>
      </c>
      <c r="B511">
        <v>39</v>
      </c>
      <c r="C511" s="1" t="s">
        <v>36</v>
      </c>
      <c r="D511" s="1" t="s">
        <v>54</v>
      </c>
      <c r="E511">
        <v>8588</v>
      </c>
      <c r="F511" s="1" t="s">
        <v>64</v>
      </c>
      <c r="G511" s="1" t="s">
        <v>25</v>
      </c>
      <c r="H511">
        <v>4</v>
      </c>
      <c r="I511" s="1" t="s">
        <v>26</v>
      </c>
      <c r="J511" s="1" t="s">
        <v>27</v>
      </c>
      <c r="K511">
        <v>2</v>
      </c>
      <c r="L511" s="1" t="s">
        <v>55</v>
      </c>
      <c r="M511">
        <v>45</v>
      </c>
      <c r="N511" s="1" t="s">
        <v>29</v>
      </c>
      <c r="O511" s="1" t="s">
        <v>30</v>
      </c>
      <c r="P511">
        <v>1</v>
      </c>
      <c r="Q511" s="1" t="s">
        <v>57</v>
      </c>
      <c r="R511">
        <v>1</v>
      </c>
      <c r="S511" s="1" t="s">
        <v>32</v>
      </c>
      <c r="T511" s="1" t="s">
        <v>33</v>
      </c>
      <c r="U511" s="1" t="s">
        <v>34</v>
      </c>
    </row>
    <row r="512" spans="1:21" x14ac:dyDescent="0.3">
      <c r="A512" s="1" t="s">
        <v>21</v>
      </c>
      <c r="B512">
        <v>12</v>
      </c>
      <c r="C512" s="1" t="s">
        <v>36</v>
      </c>
      <c r="D512" s="1" t="s">
        <v>51</v>
      </c>
      <c r="E512">
        <v>759</v>
      </c>
      <c r="F512" s="1" t="s">
        <v>37</v>
      </c>
      <c r="G512" s="1" t="s">
        <v>44</v>
      </c>
      <c r="H512">
        <v>4</v>
      </c>
      <c r="I512" s="1" t="s">
        <v>26</v>
      </c>
      <c r="J512" s="1" t="s">
        <v>27</v>
      </c>
      <c r="K512">
        <v>2</v>
      </c>
      <c r="L512" s="1" t="s">
        <v>28</v>
      </c>
      <c r="M512">
        <v>26</v>
      </c>
      <c r="N512" s="1" t="s">
        <v>29</v>
      </c>
      <c r="O512" s="1" t="s">
        <v>30</v>
      </c>
      <c r="P512">
        <v>1</v>
      </c>
      <c r="Q512" s="1" t="s">
        <v>31</v>
      </c>
      <c r="R512">
        <v>1</v>
      </c>
      <c r="S512" s="1" t="s">
        <v>40</v>
      </c>
      <c r="T512" s="1" t="s">
        <v>33</v>
      </c>
      <c r="U512" s="1" t="s">
        <v>41</v>
      </c>
    </row>
    <row r="513" spans="1:21" x14ac:dyDescent="0.3">
      <c r="A513" s="1" t="s">
        <v>42</v>
      </c>
      <c r="B513">
        <v>36</v>
      </c>
      <c r="C513" s="1" t="s">
        <v>36</v>
      </c>
      <c r="D513" s="1" t="s">
        <v>54</v>
      </c>
      <c r="E513">
        <v>4686</v>
      </c>
      <c r="F513" s="1" t="s">
        <v>37</v>
      </c>
      <c r="G513" s="1" t="s">
        <v>38</v>
      </c>
      <c r="H513">
        <v>2</v>
      </c>
      <c r="I513" s="1" t="s">
        <v>26</v>
      </c>
      <c r="J513" s="1" t="s">
        <v>27</v>
      </c>
      <c r="K513">
        <v>2</v>
      </c>
      <c r="L513" s="1" t="s">
        <v>52</v>
      </c>
      <c r="M513">
        <v>32</v>
      </c>
      <c r="N513" s="1" t="s">
        <v>29</v>
      </c>
      <c r="O513" s="1" t="s">
        <v>49</v>
      </c>
      <c r="P513">
        <v>1</v>
      </c>
      <c r="Q513" s="1" t="s">
        <v>57</v>
      </c>
      <c r="R513">
        <v>1</v>
      </c>
      <c r="S513" s="1" t="s">
        <v>32</v>
      </c>
      <c r="T513" s="1" t="s">
        <v>33</v>
      </c>
      <c r="U513" s="1" t="s">
        <v>34</v>
      </c>
    </row>
    <row r="514" spans="1:21" x14ac:dyDescent="0.3">
      <c r="A514" s="1" t="s">
        <v>68</v>
      </c>
      <c r="B514">
        <v>15</v>
      </c>
      <c r="C514" s="1" t="s">
        <v>36</v>
      </c>
      <c r="D514" s="1" t="s">
        <v>63</v>
      </c>
      <c r="E514">
        <v>2687</v>
      </c>
      <c r="F514" s="1" t="s">
        <v>37</v>
      </c>
      <c r="G514" s="1" t="s">
        <v>44</v>
      </c>
      <c r="H514">
        <v>2</v>
      </c>
      <c r="I514" s="1" t="s">
        <v>26</v>
      </c>
      <c r="J514" s="1" t="s">
        <v>27</v>
      </c>
      <c r="K514">
        <v>4</v>
      </c>
      <c r="L514" s="1" t="s">
        <v>48</v>
      </c>
      <c r="M514">
        <v>26</v>
      </c>
      <c r="N514" s="1" t="s">
        <v>29</v>
      </c>
      <c r="O514" s="1" t="s">
        <v>56</v>
      </c>
      <c r="P514">
        <v>1</v>
      </c>
      <c r="Q514" s="1" t="s">
        <v>31</v>
      </c>
      <c r="R514">
        <v>1</v>
      </c>
      <c r="S514" s="1" t="s">
        <v>32</v>
      </c>
      <c r="T514" s="1" t="s">
        <v>33</v>
      </c>
      <c r="U514" s="1" t="s">
        <v>34</v>
      </c>
    </row>
    <row r="515" spans="1:21" x14ac:dyDescent="0.3">
      <c r="A515" s="1" t="s">
        <v>35</v>
      </c>
      <c r="B515">
        <v>12</v>
      </c>
      <c r="C515" s="1" t="s">
        <v>50</v>
      </c>
      <c r="D515" s="1" t="s">
        <v>23</v>
      </c>
      <c r="E515">
        <v>585</v>
      </c>
      <c r="F515" s="1" t="s">
        <v>37</v>
      </c>
      <c r="G515" s="1" t="s">
        <v>38</v>
      </c>
      <c r="H515">
        <v>4</v>
      </c>
      <c r="I515" s="1" t="s">
        <v>61</v>
      </c>
      <c r="J515" s="1" t="s">
        <v>71</v>
      </c>
      <c r="K515">
        <v>4</v>
      </c>
      <c r="L515" s="1" t="s">
        <v>28</v>
      </c>
      <c r="M515">
        <v>20</v>
      </c>
      <c r="N515" s="1" t="s">
        <v>29</v>
      </c>
      <c r="O515" s="1" t="s">
        <v>56</v>
      </c>
      <c r="P515">
        <v>2</v>
      </c>
      <c r="Q515" s="1" t="s">
        <v>31</v>
      </c>
      <c r="R515">
        <v>1</v>
      </c>
      <c r="S515" s="1" t="s">
        <v>40</v>
      </c>
      <c r="T515" s="1" t="s">
        <v>33</v>
      </c>
      <c r="U515" s="1" t="s">
        <v>34</v>
      </c>
    </row>
    <row r="516" spans="1:21" x14ac:dyDescent="0.3">
      <c r="A516" s="1" t="s">
        <v>42</v>
      </c>
      <c r="B516">
        <v>24</v>
      </c>
      <c r="C516" s="1" t="s">
        <v>36</v>
      </c>
      <c r="D516" s="1" t="s">
        <v>51</v>
      </c>
      <c r="E516">
        <v>2255</v>
      </c>
      <c r="F516" s="1" t="s">
        <v>24</v>
      </c>
      <c r="G516" s="1" t="s">
        <v>62</v>
      </c>
      <c r="H516">
        <v>4</v>
      </c>
      <c r="I516" s="1" t="s">
        <v>26</v>
      </c>
      <c r="J516" s="1" t="s">
        <v>27</v>
      </c>
      <c r="K516">
        <v>1</v>
      </c>
      <c r="L516" s="1" t="s">
        <v>48</v>
      </c>
      <c r="M516">
        <v>54</v>
      </c>
      <c r="N516" s="1" t="s">
        <v>29</v>
      </c>
      <c r="O516" s="1" t="s">
        <v>30</v>
      </c>
      <c r="P516">
        <v>1</v>
      </c>
      <c r="Q516" s="1" t="s">
        <v>31</v>
      </c>
      <c r="R516">
        <v>1</v>
      </c>
      <c r="S516" s="1" t="s">
        <v>40</v>
      </c>
      <c r="T516" s="1" t="s">
        <v>33</v>
      </c>
      <c r="U516" s="1" t="s">
        <v>34</v>
      </c>
    </row>
    <row r="517" spans="1:21" x14ac:dyDescent="0.3">
      <c r="A517" s="1" t="s">
        <v>21</v>
      </c>
      <c r="B517">
        <v>6</v>
      </c>
      <c r="C517" s="1" t="s">
        <v>22</v>
      </c>
      <c r="D517" s="1" t="s">
        <v>51</v>
      </c>
      <c r="E517">
        <v>609</v>
      </c>
      <c r="F517" s="1" t="s">
        <v>37</v>
      </c>
      <c r="G517" s="1" t="s">
        <v>44</v>
      </c>
      <c r="H517">
        <v>4</v>
      </c>
      <c r="I517" s="1" t="s">
        <v>39</v>
      </c>
      <c r="J517" s="1" t="s">
        <v>27</v>
      </c>
      <c r="K517">
        <v>3</v>
      </c>
      <c r="L517" s="1" t="s">
        <v>48</v>
      </c>
      <c r="M517">
        <v>37</v>
      </c>
      <c r="N517" s="1" t="s">
        <v>29</v>
      </c>
      <c r="O517" s="1" t="s">
        <v>30</v>
      </c>
      <c r="P517">
        <v>2</v>
      </c>
      <c r="Q517" s="1" t="s">
        <v>31</v>
      </c>
      <c r="R517">
        <v>1</v>
      </c>
      <c r="S517" s="1" t="s">
        <v>40</v>
      </c>
      <c r="T517" s="1" t="s">
        <v>67</v>
      </c>
      <c r="U517" s="1" t="s">
        <v>34</v>
      </c>
    </row>
    <row r="518" spans="1:21" x14ac:dyDescent="0.3">
      <c r="A518" s="1" t="s">
        <v>21</v>
      </c>
      <c r="B518">
        <v>6</v>
      </c>
      <c r="C518" s="1" t="s">
        <v>22</v>
      </c>
      <c r="D518" s="1" t="s">
        <v>51</v>
      </c>
      <c r="E518">
        <v>1361</v>
      </c>
      <c r="F518" s="1" t="s">
        <v>37</v>
      </c>
      <c r="G518" s="1" t="s">
        <v>62</v>
      </c>
      <c r="H518">
        <v>2</v>
      </c>
      <c r="I518" s="1" t="s">
        <v>26</v>
      </c>
      <c r="J518" s="1" t="s">
        <v>27</v>
      </c>
      <c r="K518">
        <v>4</v>
      </c>
      <c r="L518" s="1" t="s">
        <v>28</v>
      </c>
      <c r="M518">
        <v>40</v>
      </c>
      <c r="N518" s="1" t="s">
        <v>29</v>
      </c>
      <c r="O518" s="1" t="s">
        <v>30</v>
      </c>
      <c r="P518">
        <v>1</v>
      </c>
      <c r="Q518" s="1" t="s">
        <v>45</v>
      </c>
      <c r="R518">
        <v>2</v>
      </c>
      <c r="S518" s="1" t="s">
        <v>40</v>
      </c>
      <c r="T518" s="1" t="s">
        <v>67</v>
      </c>
      <c r="U518" s="1" t="s">
        <v>34</v>
      </c>
    </row>
    <row r="519" spans="1:21" x14ac:dyDescent="0.3">
      <c r="A519" s="1" t="s">
        <v>42</v>
      </c>
      <c r="B519">
        <v>36</v>
      </c>
      <c r="C519" s="1" t="s">
        <v>22</v>
      </c>
      <c r="D519" s="1" t="s">
        <v>46</v>
      </c>
      <c r="E519">
        <v>7127</v>
      </c>
      <c r="F519" s="1" t="s">
        <v>37</v>
      </c>
      <c r="G519" s="1" t="s">
        <v>62</v>
      </c>
      <c r="H519">
        <v>2</v>
      </c>
      <c r="I519" s="1" t="s">
        <v>39</v>
      </c>
      <c r="J519" s="1" t="s">
        <v>27</v>
      </c>
      <c r="K519">
        <v>4</v>
      </c>
      <c r="L519" s="1" t="s">
        <v>48</v>
      </c>
      <c r="M519">
        <v>23</v>
      </c>
      <c r="N519" s="1" t="s">
        <v>29</v>
      </c>
      <c r="O519" s="1" t="s">
        <v>56</v>
      </c>
      <c r="P519">
        <v>2</v>
      </c>
      <c r="Q519" s="1" t="s">
        <v>31</v>
      </c>
      <c r="R519">
        <v>1</v>
      </c>
      <c r="S519" s="1" t="s">
        <v>32</v>
      </c>
      <c r="T519" s="1" t="s">
        <v>33</v>
      </c>
      <c r="U519" s="1" t="s">
        <v>41</v>
      </c>
    </row>
    <row r="520" spans="1:21" x14ac:dyDescent="0.3">
      <c r="A520" s="1" t="s">
        <v>21</v>
      </c>
      <c r="B520">
        <v>6</v>
      </c>
      <c r="C520" s="1" t="s">
        <v>36</v>
      </c>
      <c r="D520" s="1" t="s">
        <v>51</v>
      </c>
      <c r="E520">
        <v>1203</v>
      </c>
      <c r="F520" s="1" t="s">
        <v>64</v>
      </c>
      <c r="G520" s="1" t="s">
        <v>25</v>
      </c>
      <c r="H520">
        <v>3</v>
      </c>
      <c r="I520" s="1" t="s">
        <v>26</v>
      </c>
      <c r="J520" s="1" t="s">
        <v>27</v>
      </c>
      <c r="K520">
        <v>2</v>
      </c>
      <c r="L520" s="1" t="s">
        <v>48</v>
      </c>
      <c r="M520">
        <v>43</v>
      </c>
      <c r="N520" s="1" t="s">
        <v>29</v>
      </c>
      <c r="O520" s="1" t="s">
        <v>30</v>
      </c>
      <c r="P520">
        <v>1</v>
      </c>
      <c r="Q520" s="1" t="s">
        <v>31</v>
      </c>
      <c r="R520">
        <v>1</v>
      </c>
      <c r="S520" s="1" t="s">
        <v>32</v>
      </c>
      <c r="T520" s="1" t="s">
        <v>33</v>
      </c>
      <c r="U520" s="1" t="s">
        <v>34</v>
      </c>
    </row>
    <row r="521" spans="1:21" x14ac:dyDescent="0.3">
      <c r="A521" s="1" t="s">
        <v>42</v>
      </c>
      <c r="B521">
        <v>6</v>
      </c>
      <c r="C521" s="1" t="s">
        <v>22</v>
      </c>
      <c r="D521" s="1" t="s">
        <v>23</v>
      </c>
      <c r="E521">
        <v>700</v>
      </c>
      <c r="F521" s="1" t="s">
        <v>24</v>
      </c>
      <c r="G521" s="1" t="s">
        <v>25</v>
      </c>
      <c r="H521">
        <v>4</v>
      </c>
      <c r="I521" s="1" t="s">
        <v>26</v>
      </c>
      <c r="J521" s="1" t="s">
        <v>27</v>
      </c>
      <c r="K521">
        <v>4</v>
      </c>
      <c r="L521" s="1" t="s">
        <v>52</v>
      </c>
      <c r="M521">
        <v>36</v>
      </c>
      <c r="N521" s="1" t="s">
        <v>29</v>
      </c>
      <c r="O521" s="1" t="s">
        <v>49</v>
      </c>
      <c r="P521">
        <v>2</v>
      </c>
      <c r="Q521" s="1" t="s">
        <v>31</v>
      </c>
      <c r="R521">
        <v>1</v>
      </c>
      <c r="S521" s="1" t="s">
        <v>40</v>
      </c>
      <c r="T521" s="1" t="s">
        <v>33</v>
      </c>
      <c r="U521" s="1" t="s">
        <v>34</v>
      </c>
    </row>
    <row r="522" spans="1:21" x14ac:dyDescent="0.3">
      <c r="A522" s="1" t="s">
        <v>42</v>
      </c>
      <c r="B522">
        <v>24</v>
      </c>
      <c r="C522" s="1" t="s">
        <v>22</v>
      </c>
      <c r="D522" s="1" t="s">
        <v>73</v>
      </c>
      <c r="E522">
        <v>5507</v>
      </c>
      <c r="F522" s="1" t="s">
        <v>37</v>
      </c>
      <c r="G522" s="1" t="s">
        <v>25</v>
      </c>
      <c r="H522">
        <v>3</v>
      </c>
      <c r="I522" s="1" t="s">
        <v>26</v>
      </c>
      <c r="J522" s="1" t="s">
        <v>27</v>
      </c>
      <c r="K522">
        <v>4</v>
      </c>
      <c r="L522" s="1" t="s">
        <v>52</v>
      </c>
      <c r="M522">
        <v>44</v>
      </c>
      <c r="N522" s="1" t="s">
        <v>29</v>
      </c>
      <c r="O522" s="1" t="s">
        <v>49</v>
      </c>
      <c r="P522">
        <v>2</v>
      </c>
      <c r="Q522" s="1" t="s">
        <v>31</v>
      </c>
      <c r="R522">
        <v>1</v>
      </c>
      <c r="S522" s="1" t="s">
        <v>40</v>
      </c>
      <c r="T522" s="1" t="s">
        <v>33</v>
      </c>
      <c r="U522" s="1" t="s">
        <v>34</v>
      </c>
    </row>
    <row r="523" spans="1:21" x14ac:dyDescent="0.3">
      <c r="A523" s="1" t="s">
        <v>21</v>
      </c>
      <c r="B523">
        <v>18</v>
      </c>
      <c r="C523" s="1" t="s">
        <v>36</v>
      </c>
      <c r="D523" s="1" t="s">
        <v>23</v>
      </c>
      <c r="E523">
        <v>3190</v>
      </c>
      <c r="F523" s="1" t="s">
        <v>37</v>
      </c>
      <c r="G523" s="1" t="s">
        <v>38</v>
      </c>
      <c r="H523">
        <v>2</v>
      </c>
      <c r="I523" s="1" t="s">
        <v>39</v>
      </c>
      <c r="J523" s="1" t="s">
        <v>27</v>
      </c>
      <c r="K523">
        <v>2</v>
      </c>
      <c r="L523" s="1" t="s">
        <v>28</v>
      </c>
      <c r="M523">
        <v>24</v>
      </c>
      <c r="N523" s="1" t="s">
        <v>29</v>
      </c>
      <c r="O523" s="1" t="s">
        <v>30</v>
      </c>
      <c r="P523">
        <v>1</v>
      </c>
      <c r="Q523" s="1" t="s">
        <v>31</v>
      </c>
      <c r="R523">
        <v>1</v>
      </c>
      <c r="S523" s="1" t="s">
        <v>40</v>
      </c>
      <c r="T523" s="1" t="s">
        <v>33</v>
      </c>
      <c r="U523" s="1" t="s">
        <v>41</v>
      </c>
    </row>
    <row r="524" spans="1:21" x14ac:dyDescent="0.3">
      <c r="A524" s="1" t="s">
        <v>21</v>
      </c>
      <c r="B524">
        <v>48</v>
      </c>
      <c r="C524" s="1" t="s">
        <v>65</v>
      </c>
      <c r="D524" s="1" t="s">
        <v>46</v>
      </c>
      <c r="E524">
        <v>7119</v>
      </c>
      <c r="F524" s="1" t="s">
        <v>37</v>
      </c>
      <c r="G524" s="1" t="s">
        <v>38</v>
      </c>
      <c r="H524">
        <v>3</v>
      </c>
      <c r="I524" s="1" t="s">
        <v>26</v>
      </c>
      <c r="J524" s="1" t="s">
        <v>27</v>
      </c>
      <c r="K524">
        <v>4</v>
      </c>
      <c r="L524" s="1" t="s">
        <v>52</v>
      </c>
      <c r="M524">
        <v>53</v>
      </c>
      <c r="N524" s="1" t="s">
        <v>29</v>
      </c>
      <c r="O524" s="1" t="s">
        <v>49</v>
      </c>
      <c r="P524">
        <v>2</v>
      </c>
      <c r="Q524" s="1" t="s">
        <v>31</v>
      </c>
      <c r="R524">
        <v>2</v>
      </c>
      <c r="S524" s="1" t="s">
        <v>40</v>
      </c>
      <c r="T524" s="1" t="s">
        <v>33</v>
      </c>
      <c r="U524" s="1" t="s">
        <v>41</v>
      </c>
    </row>
    <row r="525" spans="1:21" x14ac:dyDescent="0.3">
      <c r="A525" s="1" t="s">
        <v>42</v>
      </c>
      <c r="B525">
        <v>24</v>
      </c>
      <c r="C525" s="1" t="s">
        <v>36</v>
      </c>
      <c r="D525" s="1" t="s">
        <v>54</v>
      </c>
      <c r="E525">
        <v>3488</v>
      </c>
      <c r="F525" s="1" t="s">
        <v>64</v>
      </c>
      <c r="G525" s="1" t="s">
        <v>44</v>
      </c>
      <c r="H525">
        <v>3</v>
      </c>
      <c r="I525" s="1" t="s">
        <v>39</v>
      </c>
      <c r="J525" s="1" t="s">
        <v>27</v>
      </c>
      <c r="K525">
        <v>4</v>
      </c>
      <c r="L525" s="1" t="s">
        <v>55</v>
      </c>
      <c r="M525">
        <v>23</v>
      </c>
      <c r="N525" s="1" t="s">
        <v>29</v>
      </c>
      <c r="O525" s="1" t="s">
        <v>30</v>
      </c>
      <c r="P525">
        <v>1</v>
      </c>
      <c r="Q525" s="1" t="s">
        <v>31</v>
      </c>
      <c r="R525">
        <v>1</v>
      </c>
      <c r="S525" s="1" t="s">
        <v>40</v>
      </c>
      <c r="T525" s="1" t="s">
        <v>33</v>
      </c>
      <c r="U525" s="1" t="s">
        <v>34</v>
      </c>
    </row>
    <row r="526" spans="1:21" x14ac:dyDescent="0.3">
      <c r="A526" s="1" t="s">
        <v>35</v>
      </c>
      <c r="B526">
        <v>18</v>
      </c>
      <c r="C526" s="1" t="s">
        <v>36</v>
      </c>
      <c r="D526" s="1" t="s">
        <v>23</v>
      </c>
      <c r="E526">
        <v>1113</v>
      </c>
      <c r="F526" s="1" t="s">
        <v>37</v>
      </c>
      <c r="G526" s="1" t="s">
        <v>38</v>
      </c>
      <c r="H526">
        <v>4</v>
      </c>
      <c r="I526" s="1" t="s">
        <v>39</v>
      </c>
      <c r="J526" s="1" t="s">
        <v>47</v>
      </c>
      <c r="K526">
        <v>4</v>
      </c>
      <c r="L526" s="1" t="s">
        <v>28</v>
      </c>
      <c r="M526">
        <v>26</v>
      </c>
      <c r="N526" s="1" t="s">
        <v>29</v>
      </c>
      <c r="O526" s="1" t="s">
        <v>30</v>
      </c>
      <c r="P526">
        <v>1</v>
      </c>
      <c r="Q526" s="1" t="s">
        <v>45</v>
      </c>
      <c r="R526">
        <v>2</v>
      </c>
      <c r="S526" s="1" t="s">
        <v>40</v>
      </c>
      <c r="T526" s="1" t="s">
        <v>33</v>
      </c>
      <c r="U526" s="1" t="s">
        <v>34</v>
      </c>
    </row>
    <row r="527" spans="1:21" x14ac:dyDescent="0.3">
      <c r="A527" s="1" t="s">
        <v>35</v>
      </c>
      <c r="B527">
        <v>26</v>
      </c>
      <c r="C527" s="1" t="s">
        <v>36</v>
      </c>
      <c r="D527" s="1" t="s">
        <v>54</v>
      </c>
      <c r="E527">
        <v>7966</v>
      </c>
      <c r="F527" s="1" t="s">
        <v>37</v>
      </c>
      <c r="G527" s="1" t="s">
        <v>62</v>
      </c>
      <c r="H527">
        <v>2</v>
      </c>
      <c r="I527" s="1" t="s">
        <v>26</v>
      </c>
      <c r="J527" s="1" t="s">
        <v>27</v>
      </c>
      <c r="K527">
        <v>3</v>
      </c>
      <c r="L527" s="1" t="s">
        <v>55</v>
      </c>
      <c r="M527">
        <v>30</v>
      </c>
      <c r="N527" s="1" t="s">
        <v>29</v>
      </c>
      <c r="O527" s="1" t="s">
        <v>30</v>
      </c>
      <c r="P527">
        <v>2</v>
      </c>
      <c r="Q527" s="1" t="s">
        <v>31</v>
      </c>
      <c r="R527">
        <v>1</v>
      </c>
      <c r="S527" s="1" t="s">
        <v>40</v>
      </c>
      <c r="T527" s="1" t="s">
        <v>33</v>
      </c>
      <c r="U527" s="1" t="s">
        <v>34</v>
      </c>
    </row>
    <row r="528" spans="1:21" x14ac:dyDescent="0.3">
      <c r="A528" s="1" t="s">
        <v>42</v>
      </c>
      <c r="B528">
        <v>15</v>
      </c>
      <c r="C528" s="1" t="s">
        <v>22</v>
      </c>
      <c r="D528" s="1" t="s">
        <v>43</v>
      </c>
      <c r="E528">
        <v>1532</v>
      </c>
      <c r="F528" s="1" t="s">
        <v>64</v>
      </c>
      <c r="G528" s="1" t="s">
        <v>38</v>
      </c>
      <c r="H528">
        <v>4</v>
      </c>
      <c r="I528" s="1" t="s">
        <v>39</v>
      </c>
      <c r="J528" s="1" t="s">
        <v>27</v>
      </c>
      <c r="K528">
        <v>3</v>
      </c>
      <c r="L528" s="1" t="s">
        <v>55</v>
      </c>
      <c r="M528">
        <v>31</v>
      </c>
      <c r="N528" s="1" t="s">
        <v>29</v>
      </c>
      <c r="O528" s="1" t="s">
        <v>30</v>
      </c>
      <c r="P528">
        <v>1</v>
      </c>
      <c r="Q528" s="1" t="s">
        <v>31</v>
      </c>
      <c r="R528">
        <v>1</v>
      </c>
      <c r="S528" s="1" t="s">
        <v>40</v>
      </c>
      <c r="T528" s="1" t="s">
        <v>33</v>
      </c>
      <c r="U528" s="1" t="s">
        <v>34</v>
      </c>
    </row>
    <row r="529" spans="1:21" x14ac:dyDescent="0.3">
      <c r="A529" s="1" t="s">
        <v>42</v>
      </c>
      <c r="B529">
        <v>4</v>
      </c>
      <c r="C529" s="1" t="s">
        <v>22</v>
      </c>
      <c r="D529" s="1" t="s">
        <v>23</v>
      </c>
      <c r="E529">
        <v>1503</v>
      </c>
      <c r="F529" s="1" t="s">
        <v>37</v>
      </c>
      <c r="G529" s="1" t="s">
        <v>44</v>
      </c>
      <c r="H529">
        <v>2</v>
      </c>
      <c r="I529" s="1" t="s">
        <v>26</v>
      </c>
      <c r="J529" s="1" t="s">
        <v>27</v>
      </c>
      <c r="K529">
        <v>1</v>
      </c>
      <c r="L529" s="1" t="s">
        <v>28</v>
      </c>
      <c r="M529">
        <v>42</v>
      </c>
      <c r="N529" s="1" t="s">
        <v>29</v>
      </c>
      <c r="O529" s="1" t="s">
        <v>30</v>
      </c>
      <c r="P529">
        <v>2</v>
      </c>
      <c r="Q529" s="1" t="s">
        <v>45</v>
      </c>
      <c r="R529">
        <v>2</v>
      </c>
      <c r="S529" s="1" t="s">
        <v>40</v>
      </c>
      <c r="T529" s="1" t="s">
        <v>33</v>
      </c>
      <c r="U529" s="1" t="s">
        <v>34</v>
      </c>
    </row>
    <row r="530" spans="1:21" x14ac:dyDescent="0.3">
      <c r="A530" s="1" t="s">
        <v>21</v>
      </c>
      <c r="B530">
        <v>36</v>
      </c>
      <c r="C530" s="1" t="s">
        <v>36</v>
      </c>
      <c r="D530" s="1" t="s">
        <v>23</v>
      </c>
      <c r="E530">
        <v>2302</v>
      </c>
      <c r="F530" s="1" t="s">
        <v>37</v>
      </c>
      <c r="G530" s="1" t="s">
        <v>38</v>
      </c>
      <c r="H530">
        <v>4</v>
      </c>
      <c r="I530" s="1" t="s">
        <v>59</v>
      </c>
      <c r="J530" s="1" t="s">
        <v>27</v>
      </c>
      <c r="K530">
        <v>4</v>
      </c>
      <c r="L530" s="1" t="s">
        <v>55</v>
      </c>
      <c r="M530">
        <v>31</v>
      </c>
      <c r="N530" s="1" t="s">
        <v>29</v>
      </c>
      <c r="O530" s="1" t="s">
        <v>56</v>
      </c>
      <c r="P530">
        <v>1</v>
      </c>
      <c r="Q530" s="1" t="s">
        <v>31</v>
      </c>
      <c r="R530">
        <v>1</v>
      </c>
      <c r="S530" s="1" t="s">
        <v>40</v>
      </c>
      <c r="T530" s="1" t="s">
        <v>33</v>
      </c>
      <c r="U530" s="1" t="s">
        <v>41</v>
      </c>
    </row>
    <row r="531" spans="1:21" x14ac:dyDescent="0.3">
      <c r="A531" s="1" t="s">
        <v>21</v>
      </c>
      <c r="B531">
        <v>6</v>
      </c>
      <c r="C531" s="1" t="s">
        <v>36</v>
      </c>
      <c r="D531" s="1" t="s">
        <v>51</v>
      </c>
      <c r="E531">
        <v>662</v>
      </c>
      <c r="F531" s="1" t="s">
        <v>37</v>
      </c>
      <c r="G531" s="1" t="s">
        <v>62</v>
      </c>
      <c r="H531">
        <v>3</v>
      </c>
      <c r="I531" s="1" t="s">
        <v>26</v>
      </c>
      <c r="J531" s="1" t="s">
        <v>27</v>
      </c>
      <c r="K531">
        <v>4</v>
      </c>
      <c r="L531" s="1" t="s">
        <v>28</v>
      </c>
      <c r="M531">
        <v>41</v>
      </c>
      <c r="N531" s="1" t="s">
        <v>29</v>
      </c>
      <c r="O531" s="1" t="s">
        <v>30</v>
      </c>
      <c r="P531">
        <v>1</v>
      </c>
      <c r="Q531" s="1" t="s">
        <v>45</v>
      </c>
      <c r="R531">
        <v>2</v>
      </c>
      <c r="S531" s="1" t="s">
        <v>32</v>
      </c>
      <c r="T531" s="1" t="s">
        <v>33</v>
      </c>
      <c r="U531" s="1" t="s">
        <v>34</v>
      </c>
    </row>
    <row r="532" spans="1:21" x14ac:dyDescent="0.3">
      <c r="A532" s="1" t="s">
        <v>35</v>
      </c>
      <c r="B532">
        <v>36</v>
      </c>
      <c r="C532" s="1" t="s">
        <v>36</v>
      </c>
      <c r="D532" s="1" t="s">
        <v>43</v>
      </c>
      <c r="E532">
        <v>2273</v>
      </c>
      <c r="F532" s="1" t="s">
        <v>37</v>
      </c>
      <c r="G532" s="1" t="s">
        <v>44</v>
      </c>
      <c r="H532">
        <v>3</v>
      </c>
      <c r="I532" s="1" t="s">
        <v>26</v>
      </c>
      <c r="J532" s="1" t="s">
        <v>27</v>
      </c>
      <c r="K532">
        <v>1</v>
      </c>
      <c r="L532" s="1" t="s">
        <v>55</v>
      </c>
      <c r="M532">
        <v>32</v>
      </c>
      <c r="N532" s="1" t="s">
        <v>29</v>
      </c>
      <c r="O532" s="1" t="s">
        <v>30</v>
      </c>
      <c r="P532">
        <v>2</v>
      </c>
      <c r="Q532" s="1" t="s">
        <v>31</v>
      </c>
      <c r="R532">
        <v>2</v>
      </c>
      <c r="S532" s="1" t="s">
        <v>40</v>
      </c>
      <c r="T532" s="1" t="s">
        <v>33</v>
      </c>
      <c r="U532" s="1" t="s">
        <v>34</v>
      </c>
    </row>
    <row r="533" spans="1:21" x14ac:dyDescent="0.3">
      <c r="A533" s="1" t="s">
        <v>35</v>
      </c>
      <c r="B533">
        <v>15</v>
      </c>
      <c r="C533" s="1" t="s">
        <v>36</v>
      </c>
      <c r="D533" s="1" t="s">
        <v>51</v>
      </c>
      <c r="E533">
        <v>2631</v>
      </c>
      <c r="F533" s="1" t="s">
        <v>64</v>
      </c>
      <c r="G533" s="1" t="s">
        <v>38</v>
      </c>
      <c r="H533">
        <v>2</v>
      </c>
      <c r="I533" s="1" t="s">
        <v>39</v>
      </c>
      <c r="J533" s="1" t="s">
        <v>27</v>
      </c>
      <c r="K533">
        <v>4</v>
      </c>
      <c r="L533" s="1" t="s">
        <v>55</v>
      </c>
      <c r="M533">
        <v>28</v>
      </c>
      <c r="N533" s="1" t="s">
        <v>29</v>
      </c>
      <c r="O533" s="1" t="s">
        <v>56</v>
      </c>
      <c r="P533">
        <v>2</v>
      </c>
      <c r="Q533" s="1" t="s">
        <v>31</v>
      </c>
      <c r="R533">
        <v>1</v>
      </c>
      <c r="S533" s="1" t="s">
        <v>32</v>
      </c>
      <c r="T533" s="1" t="s">
        <v>33</v>
      </c>
      <c r="U533" s="1" t="s">
        <v>41</v>
      </c>
    </row>
    <row r="534" spans="1:21" x14ac:dyDescent="0.3">
      <c r="A534" s="1" t="s">
        <v>42</v>
      </c>
      <c r="B534">
        <v>12</v>
      </c>
      <c r="C534" s="1" t="s">
        <v>50</v>
      </c>
      <c r="D534" s="1" t="s">
        <v>54</v>
      </c>
      <c r="E534">
        <v>1503</v>
      </c>
      <c r="F534" s="1" t="s">
        <v>37</v>
      </c>
      <c r="G534" s="1" t="s">
        <v>38</v>
      </c>
      <c r="H534">
        <v>4</v>
      </c>
      <c r="I534" s="1" t="s">
        <v>61</v>
      </c>
      <c r="J534" s="1" t="s">
        <v>27</v>
      </c>
      <c r="K534">
        <v>4</v>
      </c>
      <c r="L534" s="1" t="s">
        <v>28</v>
      </c>
      <c r="M534">
        <v>41</v>
      </c>
      <c r="N534" s="1" t="s">
        <v>29</v>
      </c>
      <c r="O534" s="1" t="s">
        <v>56</v>
      </c>
      <c r="P534">
        <v>1</v>
      </c>
      <c r="Q534" s="1" t="s">
        <v>31</v>
      </c>
      <c r="R534">
        <v>1</v>
      </c>
      <c r="S534" s="1" t="s">
        <v>40</v>
      </c>
      <c r="T534" s="1" t="s">
        <v>33</v>
      </c>
      <c r="U534" s="1" t="s">
        <v>34</v>
      </c>
    </row>
    <row r="535" spans="1:21" x14ac:dyDescent="0.3">
      <c r="A535" s="1" t="s">
        <v>42</v>
      </c>
      <c r="B535">
        <v>24</v>
      </c>
      <c r="C535" s="1" t="s">
        <v>36</v>
      </c>
      <c r="D535" s="1" t="s">
        <v>23</v>
      </c>
      <c r="E535">
        <v>1311</v>
      </c>
      <c r="F535" s="1" t="s">
        <v>64</v>
      </c>
      <c r="G535" s="1" t="s">
        <v>44</v>
      </c>
      <c r="H535">
        <v>4</v>
      </c>
      <c r="I535" s="1" t="s">
        <v>61</v>
      </c>
      <c r="J535" s="1" t="s">
        <v>27</v>
      </c>
      <c r="K535">
        <v>3</v>
      </c>
      <c r="L535" s="1" t="s">
        <v>48</v>
      </c>
      <c r="M535">
        <v>26</v>
      </c>
      <c r="N535" s="1" t="s">
        <v>29</v>
      </c>
      <c r="O535" s="1" t="s">
        <v>30</v>
      </c>
      <c r="P535">
        <v>1</v>
      </c>
      <c r="Q535" s="1" t="s">
        <v>31</v>
      </c>
      <c r="R535">
        <v>1</v>
      </c>
      <c r="S535" s="1" t="s">
        <v>32</v>
      </c>
      <c r="T535" s="1" t="s">
        <v>33</v>
      </c>
      <c r="U535" s="1" t="s">
        <v>34</v>
      </c>
    </row>
    <row r="536" spans="1:21" x14ac:dyDescent="0.3">
      <c r="A536" s="1" t="s">
        <v>42</v>
      </c>
      <c r="B536">
        <v>24</v>
      </c>
      <c r="C536" s="1" t="s">
        <v>36</v>
      </c>
      <c r="D536" s="1" t="s">
        <v>23</v>
      </c>
      <c r="E536">
        <v>3105</v>
      </c>
      <c r="F536" s="1" t="s">
        <v>24</v>
      </c>
      <c r="G536" s="1" t="s">
        <v>62</v>
      </c>
      <c r="H536">
        <v>4</v>
      </c>
      <c r="I536" s="1" t="s">
        <v>26</v>
      </c>
      <c r="J536" s="1" t="s">
        <v>27</v>
      </c>
      <c r="K536">
        <v>2</v>
      </c>
      <c r="L536" s="1" t="s">
        <v>55</v>
      </c>
      <c r="M536">
        <v>25</v>
      </c>
      <c r="N536" s="1" t="s">
        <v>29</v>
      </c>
      <c r="O536" s="1" t="s">
        <v>30</v>
      </c>
      <c r="P536">
        <v>2</v>
      </c>
      <c r="Q536" s="1" t="s">
        <v>31</v>
      </c>
      <c r="R536">
        <v>1</v>
      </c>
      <c r="S536" s="1" t="s">
        <v>40</v>
      </c>
      <c r="T536" s="1" t="s">
        <v>33</v>
      </c>
      <c r="U536" s="1" t="s">
        <v>34</v>
      </c>
    </row>
    <row r="537" spans="1:21" x14ac:dyDescent="0.3">
      <c r="A537" s="1" t="s">
        <v>68</v>
      </c>
      <c r="B537">
        <v>21</v>
      </c>
      <c r="C537" s="1" t="s">
        <v>22</v>
      </c>
      <c r="D537" s="1" t="s">
        <v>43</v>
      </c>
      <c r="E537">
        <v>2319</v>
      </c>
      <c r="F537" s="1" t="s">
        <v>37</v>
      </c>
      <c r="G537" s="1" t="s">
        <v>62</v>
      </c>
      <c r="H537">
        <v>2</v>
      </c>
      <c r="I537" s="1" t="s">
        <v>59</v>
      </c>
      <c r="J537" s="1" t="s">
        <v>27</v>
      </c>
      <c r="K537">
        <v>1</v>
      </c>
      <c r="L537" s="1" t="s">
        <v>55</v>
      </c>
      <c r="M537">
        <v>33</v>
      </c>
      <c r="N537" s="1" t="s">
        <v>29</v>
      </c>
      <c r="O537" s="1" t="s">
        <v>56</v>
      </c>
      <c r="P537">
        <v>1</v>
      </c>
      <c r="Q537" s="1" t="s">
        <v>31</v>
      </c>
      <c r="R537">
        <v>1</v>
      </c>
      <c r="S537" s="1" t="s">
        <v>40</v>
      </c>
      <c r="T537" s="1" t="s">
        <v>33</v>
      </c>
      <c r="U537" s="1" t="s">
        <v>41</v>
      </c>
    </row>
    <row r="538" spans="1:21" x14ac:dyDescent="0.3">
      <c r="A538" s="1" t="s">
        <v>21</v>
      </c>
      <c r="B538">
        <v>6</v>
      </c>
      <c r="C538" s="1" t="s">
        <v>36</v>
      </c>
      <c r="D538" s="1" t="s">
        <v>51</v>
      </c>
      <c r="E538">
        <v>1374</v>
      </c>
      <c r="F538" s="1" t="s">
        <v>24</v>
      </c>
      <c r="G538" s="1" t="s">
        <v>60</v>
      </c>
      <c r="H538">
        <v>4</v>
      </c>
      <c r="I538" s="1" t="s">
        <v>39</v>
      </c>
      <c r="J538" s="1" t="s">
        <v>27</v>
      </c>
      <c r="K538">
        <v>3</v>
      </c>
      <c r="L538" s="1" t="s">
        <v>48</v>
      </c>
      <c r="M538">
        <v>75</v>
      </c>
      <c r="N538" s="1" t="s">
        <v>29</v>
      </c>
      <c r="O538" s="1" t="s">
        <v>30</v>
      </c>
      <c r="P538">
        <v>1</v>
      </c>
      <c r="Q538" s="1" t="s">
        <v>57</v>
      </c>
      <c r="R538">
        <v>1</v>
      </c>
      <c r="S538" s="1" t="s">
        <v>32</v>
      </c>
      <c r="T538" s="1" t="s">
        <v>33</v>
      </c>
      <c r="U538" s="1" t="s">
        <v>34</v>
      </c>
    </row>
    <row r="539" spans="1:21" x14ac:dyDescent="0.3">
      <c r="A539" s="1" t="s">
        <v>35</v>
      </c>
      <c r="B539">
        <v>18</v>
      </c>
      <c r="C539" s="1" t="s">
        <v>22</v>
      </c>
      <c r="D539" s="1" t="s">
        <v>46</v>
      </c>
      <c r="E539">
        <v>3612</v>
      </c>
      <c r="F539" s="1" t="s">
        <v>37</v>
      </c>
      <c r="G539" s="1" t="s">
        <v>25</v>
      </c>
      <c r="H539">
        <v>3</v>
      </c>
      <c r="I539" s="1" t="s">
        <v>39</v>
      </c>
      <c r="J539" s="1" t="s">
        <v>27</v>
      </c>
      <c r="K539">
        <v>4</v>
      </c>
      <c r="L539" s="1" t="s">
        <v>48</v>
      </c>
      <c r="M539">
        <v>37</v>
      </c>
      <c r="N539" s="1" t="s">
        <v>29</v>
      </c>
      <c r="O539" s="1" t="s">
        <v>30</v>
      </c>
      <c r="P539">
        <v>1</v>
      </c>
      <c r="Q539" s="1" t="s">
        <v>31</v>
      </c>
      <c r="R539">
        <v>1</v>
      </c>
      <c r="S539" s="1" t="s">
        <v>32</v>
      </c>
      <c r="T539" s="1" t="s">
        <v>33</v>
      </c>
      <c r="U539" s="1" t="s">
        <v>34</v>
      </c>
    </row>
    <row r="540" spans="1:21" x14ac:dyDescent="0.3">
      <c r="A540" s="1" t="s">
        <v>21</v>
      </c>
      <c r="B540">
        <v>48</v>
      </c>
      <c r="C540" s="1" t="s">
        <v>36</v>
      </c>
      <c r="D540" s="1" t="s">
        <v>51</v>
      </c>
      <c r="E540">
        <v>7763</v>
      </c>
      <c r="F540" s="1" t="s">
        <v>37</v>
      </c>
      <c r="G540" s="1" t="s">
        <v>25</v>
      </c>
      <c r="H540">
        <v>4</v>
      </c>
      <c r="I540" s="1" t="s">
        <v>26</v>
      </c>
      <c r="J540" s="1" t="s">
        <v>27</v>
      </c>
      <c r="K540">
        <v>4</v>
      </c>
      <c r="L540" s="1" t="s">
        <v>52</v>
      </c>
      <c r="M540">
        <v>42</v>
      </c>
      <c r="N540" s="1" t="s">
        <v>66</v>
      </c>
      <c r="O540" s="1" t="s">
        <v>49</v>
      </c>
      <c r="P540">
        <v>1</v>
      </c>
      <c r="Q540" s="1" t="s">
        <v>57</v>
      </c>
      <c r="R540">
        <v>1</v>
      </c>
      <c r="S540" s="1" t="s">
        <v>40</v>
      </c>
      <c r="T540" s="1" t="s">
        <v>33</v>
      </c>
      <c r="U540" s="1" t="s">
        <v>41</v>
      </c>
    </row>
    <row r="541" spans="1:21" x14ac:dyDescent="0.3">
      <c r="A541" s="1" t="s">
        <v>68</v>
      </c>
      <c r="B541">
        <v>18</v>
      </c>
      <c r="C541" s="1" t="s">
        <v>36</v>
      </c>
      <c r="D541" s="1" t="s">
        <v>46</v>
      </c>
      <c r="E541">
        <v>3049</v>
      </c>
      <c r="F541" s="1" t="s">
        <v>37</v>
      </c>
      <c r="G541" s="1" t="s">
        <v>62</v>
      </c>
      <c r="H541">
        <v>1</v>
      </c>
      <c r="I541" s="1" t="s">
        <v>39</v>
      </c>
      <c r="J541" s="1" t="s">
        <v>27</v>
      </c>
      <c r="K541">
        <v>1</v>
      </c>
      <c r="L541" s="1" t="s">
        <v>48</v>
      </c>
      <c r="M541">
        <v>45</v>
      </c>
      <c r="N541" s="1" t="s">
        <v>70</v>
      </c>
      <c r="O541" s="1" t="s">
        <v>30</v>
      </c>
      <c r="P541">
        <v>1</v>
      </c>
      <c r="Q541" s="1" t="s">
        <v>45</v>
      </c>
      <c r="R541">
        <v>1</v>
      </c>
      <c r="S541" s="1" t="s">
        <v>40</v>
      </c>
      <c r="T541" s="1" t="s">
        <v>33</v>
      </c>
      <c r="U541" s="1" t="s">
        <v>34</v>
      </c>
    </row>
    <row r="542" spans="1:21" x14ac:dyDescent="0.3">
      <c r="A542" s="1" t="s">
        <v>35</v>
      </c>
      <c r="B542">
        <v>12</v>
      </c>
      <c r="C542" s="1" t="s">
        <v>36</v>
      </c>
      <c r="D542" s="1" t="s">
        <v>23</v>
      </c>
      <c r="E542">
        <v>1534</v>
      </c>
      <c r="F542" s="1" t="s">
        <v>37</v>
      </c>
      <c r="G542" s="1" t="s">
        <v>62</v>
      </c>
      <c r="H542">
        <v>1</v>
      </c>
      <c r="I542" s="1" t="s">
        <v>61</v>
      </c>
      <c r="J542" s="1" t="s">
        <v>27</v>
      </c>
      <c r="K542">
        <v>1</v>
      </c>
      <c r="L542" s="1" t="s">
        <v>28</v>
      </c>
      <c r="M542">
        <v>23</v>
      </c>
      <c r="N542" s="1" t="s">
        <v>29</v>
      </c>
      <c r="O542" s="1" t="s">
        <v>56</v>
      </c>
      <c r="P542">
        <v>1</v>
      </c>
      <c r="Q542" s="1" t="s">
        <v>31</v>
      </c>
      <c r="R542">
        <v>1</v>
      </c>
      <c r="S542" s="1" t="s">
        <v>40</v>
      </c>
      <c r="T542" s="1" t="s">
        <v>33</v>
      </c>
      <c r="U542" s="1" t="s">
        <v>41</v>
      </c>
    </row>
    <row r="543" spans="1:21" x14ac:dyDescent="0.3">
      <c r="A543" s="1" t="s">
        <v>42</v>
      </c>
      <c r="B543">
        <v>24</v>
      </c>
      <c r="C543" s="1" t="s">
        <v>50</v>
      </c>
      <c r="D543" s="1" t="s">
        <v>51</v>
      </c>
      <c r="E543">
        <v>2032</v>
      </c>
      <c r="F543" s="1" t="s">
        <v>37</v>
      </c>
      <c r="G543" s="1" t="s">
        <v>25</v>
      </c>
      <c r="H543">
        <v>4</v>
      </c>
      <c r="I543" s="1" t="s">
        <v>26</v>
      </c>
      <c r="J543" s="1" t="s">
        <v>27</v>
      </c>
      <c r="K543">
        <v>4</v>
      </c>
      <c r="L543" s="1" t="s">
        <v>52</v>
      </c>
      <c r="M543">
        <v>60</v>
      </c>
      <c r="N543" s="1" t="s">
        <v>29</v>
      </c>
      <c r="O543" s="1" t="s">
        <v>49</v>
      </c>
      <c r="P543">
        <v>2</v>
      </c>
      <c r="Q543" s="1" t="s">
        <v>31</v>
      </c>
      <c r="R543">
        <v>1</v>
      </c>
      <c r="S543" s="1" t="s">
        <v>32</v>
      </c>
      <c r="T543" s="1" t="s">
        <v>33</v>
      </c>
      <c r="U543" s="1" t="s">
        <v>34</v>
      </c>
    </row>
    <row r="544" spans="1:21" x14ac:dyDescent="0.3">
      <c r="A544" s="1" t="s">
        <v>21</v>
      </c>
      <c r="B544">
        <v>30</v>
      </c>
      <c r="C544" s="1" t="s">
        <v>36</v>
      </c>
      <c r="D544" s="1" t="s">
        <v>46</v>
      </c>
      <c r="E544">
        <v>6350</v>
      </c>
      <c r="F544" s="1" t="s">
        <v>24</v>
      </c>
      <c r="G544" s="1" t="s">
        <v>25</v>
      </c>
      <c r="H544">
        <v>4</v>
      </c>
      <c r="I544" s="1" t="s">
        <v>26</v>
      </c>
      <c r="J544" s="1" t="s">
        <v>27</v>
      </c>
      <c r="K544">
        <v>4</v>
      </c>
      <c r="L544" s="1" t="s">
        <v>48</v>
      </c>
      <c r="M544">
        <v>31</v>
      </c>
      <c r="N544" s="1" t="s">
        <v>29</v>
      </c>
      <c r="O544" s="1" t="s">
        <v>30</v>
      </c>
      <c r="P544">
        <v>1</v>
      </c>
      <c r="Q544" s="1" t="s">
        <v>31</v>
      </c>
      <c r="R544">
        <v>1</v>
      </c>
      <c r="S544" s="1" t="s">
        <v>40</v>
      </c>
      <c r="T544" s="1" t="s">
        <v>33</v>
      </c>
      <c r="U544" s="1" t="s">
        <v>41</v>
      </c>
    </row>
    <row r="545" spans="1:21" x14ac:dyDescent="0.3">
      <c r="A545" s="1" t="s">
        <v>68</v>
      </c>
      <c r="B545">
        <v>18</v>
      </c>
      <c r="C545" s="1" t="s">
        <v>36</v>
      </c>
      <c r="D545" s="1" t="s">
        <v>46</v>
      </c>
      <c r="E545">
        <v>2864</v>
      </c>
      <c r="F545" s="1" t="s">
        <v>37</v>
      </c>
      <c r="G545" s="1" t="s">
        <v>38</v>
      </c>
      <c r="H545">
        <v>2</v>
      </c>
      <c r="I545" s="1" t="s">
        <v>26</v>
      </c>
      <c r="J545" s="1" t="s">
        <v>27</v>
      </c>
      <c r="K545">
        <v>1</v>
      </c>
      <c r="L545" s="1" t="s">
        <v>28</v>
      </c>
      <c r="M545">
        <v>34</v>
      </c>
      <c r="N545" s="1" t="s">
        <v>29</v>
      </c>
      <c r="O545" s="1" t="s">
        <v>30</v>
      </c>
      <c r="P545">
        <v>1</v>
      </c>
      <c r="Q545" s="1" t="s">
        <v>45</v>
      </c>
      <c r="R545">
        <v>2</v>
      </c>
      <c r="S545" s="1" t="s">
        <v>40</v>
      </c>
      <c r="T545" s="1" t="s">
        <v>33</v>
      </c>
      <c r="U545" s="1" t="s">
        <v>41</v>
      </c>
    </row>
    <row r="546" spans="1:21" x14ac:dyDescent="0.3">
      <c r="A546" s="1" t="s">
        <v>42</v>
      </c>
      <c r="B546">
        <v>12</v>
      </c>
      <c r="C546" s="1" t="s">
        <v>22</v>
      </c>
      <c r="D546" s="1" t="s">
        <v>51</v>
      </c>
      <c r="E546">
        <v>1255</v>
      </c>
      <c r="F546" s="1" t="s">
        <v>37</v>
      </c>
      <c r="G546" s="1" t="s">
        <v>25</v>
      </c>
      <c r="H546">
        <v>4</v>
      </c>
      <c r="I546" s="1" t="s">
        <v>26</v>
      </c>
      <c r="J546" s="1" t="s">
        <v>27</v>
      </c>
      <c r="K546">
        <v>4</v>
      </c>
      <c r="L546" s="1" t="s">
        <v>28</v>
      </c>
      <c r="M546">
        <v>61</v>
      </c>
      <c r="N546" s="1" t="s">
        <v>29</v>
      </c>
      <c r="O546" s="1" t="s">
        <v>30</v>
      </c>
      <c r="P546">
        <v>2</v>
      </c>
      <c r="Q546" s="1" t="s">
        <v>45</v>
      </c>
      <c r="R546">
        <v>1</v>
      </c>
      <c r="S546" s="1" t="s">
        <v>40</v>
      </c>
      <c r="T546" s="1" t="s">
        <v>33</v>
      </c>
      <c r="U546" s="1" t="s">
        <v>34</v>
      </c>
    </row>
    <row r="547" spans="1:21" x14ac:dyDescent="0.3">
      <c r="A547" s="1" t="s">
        <v>21</v>
      </c>
      <c r="B547">
        <v>24</v>
      </c>
      <c r="C547" s="1" t="s">
        <v>50</v>
      </c>
      <c r="D547" s="1" t="s">
        <v>51</v>
      </c>
      <c r="E547">
        <v>1333</v>
      </c>
      <c r="F547" s="1" t="s">
        <v>37</v>
      </c>
      <c r="G547" s="1" t="s">
        <v>60</v>
      </c>
      <c r="H547">
        <v>4</v>
      </c>
      <c r="I547" s="1" t="s">
        <v>26</v>
      </c>
      <c r="J547" s="1" t="s">
        <v>27</v>
      </c>
      <c r="K547">
        <v>2</v>
      </c>
      <c r="L547" s="1" t="s">
        <v>28</v>
      </c>
      <c r="M547">
        <v>43</v>
      </c>
      <c r="N547" s="1" t="s">
        <v>29</v>
      </c>
      <c r="O547" s="1" t="s">
        <v>49</v>
      </c>
      <c r="P547">
        <v>2</v>
      </c>
      <c r="Q547" s="1" t="s">
        <v>31</v>
      </c>
      <c r="R547">
        <v>2</v>
      </c>
      <c r="S547" s="1" t="s">
        <v>40</v>
      </c>
      <c r="T547" s="1" t="s">
        <v>33</v>
      </c>
      <c r="U547" s="1" t="s">
        <v>41</v>
      </c>
    </row>
    <row r="548" spans="1:21" x14ac:dyDescent="0.3">
      <c r="A548" s="1" t="s">
        <v>42</v>
      </c>
      <c r="B548">
        <v>24</v>
      </c>
      <c r="C548" s="1" t="s">
        <v>22</v>
      </c>
      <c r="D548" s="1" t="s">
        <v>51</v>
      </c>
      <c r="E548">
        <v>2022</v>
      </c>
      <c r="F548" s="1" t="s">
        <v>37</v>
      </c>
      <c r="G548" s="1" t="s">
        <v>38</v>
      </c>
      <c r="H548">
        <v>4</v>
      </c>
      <c r="I548" s="1" t="s">
        <v>39</v>
      </c>
      <c r="J548" s="1" t="s">
        <v>27</v>
      </c>
      <c r="K548">
        <v>4</v>
      </c>
      <c r="L548" s="1" t="s">
        <v>55</v>
      </c>
      <c r="M548">
        <v>37</v>
      </c>
      <c r="N548" s="1" t="s">
        <v>29</v>
      </c>
      <c r="O548" s="1" t="s">
        <v>30</v>
      </c>
      <c r="P548">
        <v>1</v>
      </c>
      <c r="Q548" s="1" t="s">
        <v>31</v>
      </c>
      <c r="R548">
        <v>1</v>
      </c>
      <c r="S548" s="1" t="s">
        <v>32</v>
      </c>
      <c r="T548" s="1" t="s">
        <v>33</v>
      </c>
      <c r="U548" s="1" t="s">
        <v>34</v>
      </c>
    </row>
    <row r="549" spans="1:21" x14ac:dyDescent="0.3">
      <c r="A549" s="1" t="s">
        <v>42</v>
      </c>
      <c r="B549">
        <v>24</v>
      </c>
      <c r="C549" s="1" t="s">
        <v>36</v>
      </c>
      <c r="D549" s="1" t="s">
        <v>23</v>
      </c>
      <c r="E549">
        <v>1552</v>
      </c>
      <c r="F549" s="1" t="s">
        <v>37</v>
      </c>
      <c r="G549" s="1" t="s">
        <v>44</v>
      </c>
      <c r="H549">
        <v>3</v>
      </c>
      <c r="I549" s="1" t="s">
        <v>26</v>
      </c>
      <c r="J549" s="1" t="s">
        <v>27</v>
      </c>
      <c r="K549">
        <v>1</v>
      </c>
      <c r="L549" s="1" t="s">
        <v>55</v>
      </c>
      <c r="M549">
        <v>32</v>
      </c>
      <c r="N549" s="1" t="s">
        <v>66</v>
      </c>
      <c r="O549" s="1" t="s">
        <v>30</v>
      </c>
      <c r="P549">
        <v>1</v>
      </c>
      <c r="Q549" s="1" t="s">
        <v>31</v>
      </c>
      <c r="R549">
        <v>2</v>
      </c>
      <c r="S549" s="1" t="s">
        <v>40</v>
      </c>
      <c r="T549" s="1" t="s">
        <v>33</v>
      </c>
      <c r="U549" s="1" t="s">
        <v>34</v>
      </c>
    </row>
    <row r="550" spans="1:21" x14ac:dyDescent="0.3">
      <c r="A550" s="1" t="s">
        <v>21</v>
      </c>
      <c r="B550">
        <v>12</v>
      </c>
      <c r="C550" s="1" t="s">
        <v>69</v>
      </c>
      <c r="D550" s="1" t="s">
        <v>23</v>
      </c>
      <c r="E550">
        <v>626</v>
      </c>
      <c r="F550" s="1" t="s">
        <v>37</v>
      </c>
      <c r="G550" s="1" t="s">
        <v>38</v>
      </c>
      <c r="H550">
        <v>4</v>
      </c>
      <c r="I550" s="1" t="s">
        <v>39</v>
      </c>
      <c r="J550" s="1" t="s">
        <v>27</v>
      </c>
      <c r="K550">
        <v>4</v>
      </c>
      <c r="L550" s="1" t="s">
        <v>28</v>
      </c>
      <c r="M550">
        <v>24</v>
      </c>
      <c r="N550" s="1" t="s">
        <v>66</v>
      </c>
      <c r="O550" s="1" t="s">
        <v>30</v>
      </c>
      <c r="P550">
        <v>1</v>
      </c>
      <c r="Q550" s="1" t="s">
        <v>45</v>
      </c>
      <c r="R550">
        <v>1</v>
      </c>
      <c r="S550" s="1" t="s">
        <v>40</v>
      </c>
      <c r="T550" s="1" t="s">
        <v>33</v>
      </c>
      <c r="U550" s="1" t="s">
        <v>41</v>
      </c>
    </row>
    <row r="551" spans="1:21" x14ac:dyDescent="0.3">
      <c r="A551" s="1" t="s">
        <v>42</v>
      </c>
      <c r="B551">
        <v>48</v>
      </c>
      <c r="C551" s="1" t="s">
        <v>22</v>
      </c>
      <c r="D551" s="1" t="s">
        <v>54</v>
      </c>
      <c r="E551">
        <v>8858</v>
      </c>
      <c r="F551" s="1" t="s">
        <v>24</v>
      </c>
      <c r="G551" s="1" t="s">
        <v>44</v>
      </c>
      <c r="H551">
        <v>2</v>
      </c>
      <c r="I551" s="1" t="s">
        <v>26</v>
      </c>
      <c r="J551" s="1" t="s">
        <v>27</v>
      </c>
      <c r="K551">
        <v>1</v>
      </c>
      <c r="L551" s="1" t="s">
        <v>52</v>
      </c>
      <c r="M551">
        <v>35</v>
      </c>
      <c r="N551" s="1" t="s">
        <v>29</v>
      </c>
      <c r="O551" s="1" t="s">
        <v>49</v>
      </c>
      <c r="P551">
        <v>2</v>
      </c>
      <c r="Q551" s="1" t="s">
        <v>31</v>
      </c>
      <c r="R551">
        <v>1</v>
      </c>
      <c r="S551" s="1" t="s">
        <v>32</v>
      </c>
      <c r="T551" s="1" t="s">
        <v>33</v>
      </c>
      <c r="U551" s="1" t="s">
        <v>34</v>
      </c>
    </row>
    <row r="552" spans="1:21" x14ac:dyDescent="0.3">
      <c r="A552" s="1" t="s">
        <v>42</v>
      </c>
      <c r="B552">
        <v>12</v>
      </c>
      <c r="C552" s="1" t="s">
        <v>22</v>
      </c>
      <c r="D552" s="1" t="s">
        <v>73</v>
      </c>
      <c r="E552">
        <v>996</v>
      </c>
      <c r="F552" s="1" t="s">
        <v>24</v>
      </c>
      <c r="G552" s="1" t="s">
        <v>44</v>
      </c>
      <c r="H552">
        <v>4</v>
      </c>
      <c r="I552" s="1" t="s">
        <v>39</v>
      </c>
      <c r="J552" s="1" t="s">
        <v>27</v>
      </c>
      <c r="K552">
        <v>4</v>
      </c>
      <c r="L552" s="1" t="s">
        <v>28</v>
      </c>
      <c r="M552">
        <v>23</v>
      </c>
      <c r="N552" s="1" t="s">
        <v>29</v>
      </c>
      <c r="O552" s="1" t="s">
        <v>30</v>
      </c>
      <c r="P552">
        <v>2</v>
      </c>
      <c r="Q552" s="1" t="s">
        <v>31</v>
      </c>
      <c r="R552">
        <v>1</v>
      </c>
      <c r="S552" s="1" t="s">
        <v>40</v>
      </c>
      <c r="T552" s="1" t="s">
        <v>33</v>
      </c>
      <c r="U552" s="1" t="s">
        <v>34</v>
      </c>
    </row>
    <row r="553" spans="1:21" x14ac:dyDescent="0.3">
      <c r="A553" s="1" t="s">
        <v>42</v>
      </c>
      <c r="B553">
        <v>6</v>
      </c>
      <c r="C553" s="1" t="s">
        <v>69</v>
      </c>
      <c r="D553" s="1" t="s">
        <v>23</v>
      </c>
      <c r="E553">
        <v>1750</v>
      </c>
      <c r="F553" s="1" t="s">
        <v>53</v>
      </c>
      <c r="G553" s="1" t="s">
        <v>25</v>
      </c>
      <c r="H553">
        <v>2</v>
      </c>
      <c r="I553" s="1" t="s">
        <v>26</v>
      </c>
      <c r="J553" s="1" t="s">
        <v>27</v>
      </c>
      <c r="K553">
        <v>4</v>
      </c>
      <c r="L553" s="1" t="s">
        <v>48</v>
      </c>
      <c r="M553">
        <v>45</v>
      </c>
      <c r="N553" s="1" t="s">
        <v>66</v>
      </c>
      <c r="O553" s="1" t="s">
        <v>30</v>
      </c>
      <c r="P553">
        <v>1</v>
      </c>
      <c r="Q553" s="1" t="s">
        <v>45</v>
      </c>
      <c r="R553">
        <v>2</v>
      </c>
      <c r="S553" s="1" t="s">
        <v>40</v>
      </c>
      <c r="T553" s="1" t="s">
        <v>33</v>
      </c>
      <c r="U553" s="1" t="s">
        <v>34</v>
      </c>
    </row>
    <row r="554" spans="1:21" x14ac:dyDescent="0.3">
      <c r="A554" s="1" t="s">
        <v>21</v>
      </c>
      <c r="B554">
        <v>48</v>
      </c>
      <c r="C554" s="1" t="s">
        <v>36</v>
      </c>
      <c r="D554" s="1" t="s">
        <v>23</v>
      </c>
      <c r="E554">
        <v>6999</v>
      </c>
      <c r="F554" s="1" t="s">
        <v>37</v>
      </c>
      <c r="G554" s="1" t="s">
        <v>44</v>
      </c>
      <c r="H554">
        <v>1</v>
      </c>
      <c r="I554" s="1" t="s">
        <v>61</v>
      </c>
      <c r="J554" s="1" t="s">
        <v>47</v>
      </c>
      <c r="K554">
        <v>1</v>
      </c>
      <c r="L554" s="1" t="s">
        <v>28</v>
      </c>
      <c r="M554">
        <v>34</v>
      </c>
      <c r="N554" s="1" t="s">
        <v>29</v>
      </c>
      <c r="O554" s="1" t="s">
        <v>30</v>
      </c>
      <c r="P554">
        <v>2</v>
      </c>
      <c r="Q554" s="1" t="s">
        <v>31</v>
      </c>
      <c r="R554">
        <v>1</v>
      </c>
      <c r="S554" s="1" t="s">
        <v>32</v>
      </c>
      <c r="T554" s="1" t="s">
        <v>33</v>
      </c>
      <c r="U554" s="1" t="s">
        <v>41</v>
      </c>
    </row>
    <row r="555" spans="1:21" x14ac:dyDescent="0.3">
      <c r="A555" s="1" t="s">
        <v>35</v>
      </c>
      <c r="B555">
        <v>12</v>
      </c>
      <c r="C555" s="1" t="s">
        <v>22</v>
      </c>
      <c r="D555" s="1" t="s">
        <v>51</v>
      </c>
      <c r="E555">
        <v>1995</v>
      </c>
      <c r="F555" s="1" t="s">
        <v>64</v>
      </c>
      <c r="G555" s="1" t="s">
        <v>62</v>
      </c>
      <c r="H555">
        <v>4</v>
      </c>
      <c r="I555" s="1" t="s">
        <v>26</v>
      </c>
      <c r="J555" s="1" t="s">
        <v>27</v>
      </c>
      <c r="K555">
        <v>1</v>
      </c>
      <c r="L555" s="1" t="s">
        <v>55</v>
      </c>
      <c r="M555">
        <v>27</v>
      </c>
      <c r="N555" s="1" t="s">
        <v>29</v>
      </c>
      <c r="O555" s="1" t="s">
        <v>30</v>
      </c>
      <c r="P555">
        <v>1</v>
      </c>
      <c r="Q555" s="1" t="s">
        <v>31</v>
      </c>
      <c r="R555">
        <v>1</v>
      </c>
      <c r="S555" s="1" t="s">
        <v>40</v>
      </c>
      <c r="T555" s="1" t="s">
        <v>33</v>
      </c>
      <c r="U555" s="1" t="s">
        <v>34</v>
      </c>
    </row>
    <row r="556" spans="1:21" x14ac:dyDescent="0.3">
      <c r="A556" s="1" t="s">
        <v>35</v>
      </c>
      <c r="B556">
        <v>9</v>
      </c>
      <c r="C556" s="1" t="s">
        <v>36</v>
      </c>
      <c r="D556" s="1" t="s">
        <v>43</v>
      </c>
      <c r="E556">
        <v>1199</v>
      </c>
      <c r="F556" s="1" t="s">
        <v>37</v>
      </c>
      <c r="G556" s="1" t="s">
        <v>44</v>
      </c>
      <c r="H556">
        <v>4</v>
      </c>
      <c r="I556" s="1" t="s">
        <v>39</v>
      </c>
      <c r="J556" s="1" t="s">
        <v>27</v>
      </c>
      <c r="K556">
        <v>4</v>
      </c>
      <c r="L556" s="1" t="s">
        <v>48</v>
      </c>
      <c r="M556">
        <v>67</v>
      </c>
      <c r="N556" s="1" t="s">
        <v>29</v>
      </c>
      <c r="O556" s="1" t="s">
        <v>30</v>
      </c>
      <c r="P556">
        <v>2</v>
      </c>
      <c r="Q556" s="1" t="s">
        <v>57</v>
      </c>
      <c r="R556">
        <v>1</v>
      </c>
      <c r="S556" s="1" t="s">
        <v>32</v>
      </c>
      <c r="T556" s="1" t="s">
        <v>33</v>
      </c>
      <c r="U556" s="1" t="s">
        <v>34</v>
      </c>
    </row>
    <row r="557" spans="1:21" x14ac:dyDescent="0.3">
      <c r="A557" s="1" t="s">
        <v>35</v>
      </c>
      <c r="B557">
        <v>12</v>
      </c>
      <c r="C557" s="1" t="s">
        <v>36</v>
      </c>
      <c r="D557" s="1" t="s">
        <v>23</v>
      </c>
      <c r="E557">
        <v>1331</v>
      </c>
      <c r="F557" s="1" t="s">
        <v>37</v>
      </c>
      <c r="G557" s="1" t="s">
        <v>62</v>
      </c>
      <c r="H557">
        <v>2</v>
      </c>
      <c r="I557" s="1" t="s">
        <v>26</v>
      </c>
      <c r="J557" s="1" t="s">
        <v>27</v>
      </c>
      <c r="K557">
        <v>1</v>
      </c>
      <c r="L557" s="1" t="s">
        <v>55</v>
      </c>
      <c r="M557">
        <v>22</v>
      </c>
      <c r="N557" s="1" t="s">
        <v>70</v>
      </c>
      <c r="O557" s="1" t="s">
        <v>30</v>
      </c>
      <c r="P557">
        <v>1</v>
      </c>
      <c r="Q557" s="1" t="s">
        <v>31</v>
      </c>
      <c r="R557">
        <v>1</v>
      </c>
      <c r="S557" s="1" t="s">
        <v>40</v>
      </c>
      <c r="T557" s="1" t="s">
        <v>33</v>
      </c>
      <c r="U557" s="1" t="s">
        <v>41</v>
      </c>
    </row>
    <row r="558" spans="1:21" x14ac:dyDescent="0.3">
      <c r="A558" s="1" t="s">
        <v>35</v>
      </c>
      <c r="B558">
        <v>18</v>
      </c>
      <c r="C558" s="1" t="s">
        <v>65</v>
      </c>
      <c r="D558" s="1" t="s">
        <v>51</v>
      </c>
      <c r="E558">
        <v>2278</v>
      </c>
      <c r="F558" s="1" t="s">
        <v>64</v>
      </c>
      <c r="G558" s="1" t="s">
        <v>62</v>
      </c>
      <c r="H558">
        <v>3</v>
      </c>
      <c r="I558" s="1" t="s">
        <v>39</v>
      </c>
      <c r="J558" s="1" t="s">
        <v>27</v>
      </c>
      <c r="K558">
        <v>3</v>
      </c>
      <c r="L558" s="1" t="s">
        <v>55</v>
      </c>
      <c r="M558">
        <v>28</v>
      </c>
      <c r="N558" s="1" t="s">
        <v>29</v>
      </c>
      <c r="O558" s="1" t="s">
        <v>30</v>
      </c>
      <c r="P558">
        <v>2</v>
      </c>
      <c r="Q558" s="1" t="s">
        <v>31</v>
      </c>
      <c r="R558">
        <v>1</v>
      </c>
      <c r="S558" s="1" t="s">
        <v>40</v>
      </c>
      <c r="T558" s="1" t="s">
        <v>33</v>
      </c>
      <c r="U558" s="1" t="s">
        <v>41</v>
      </c>
    </row>
    <row r="559" spans="1:21" x14ac:dyDescent="0.3">
      <c r="A559" s="1" t="s">
        <v>42</v>
      </c>
      <c r="B559">
        <v>21</v>
      </c>
      <c r="C559" s="1" t="s">
        <v>65</v>
      </c>
      <c r="D559" s="1" t="s">
        <v>51</v>
      </c>
      <c r="E559">
        <v>5003</v>
      </c>
      <c r="F559" s="1" t="s">
        <v>24</v>
      </c>
      <c r="G559" s="1" t="s">
        <v>38</v>
      </c>
      <c r="H559">
        <v>1</v>
      </c>
      <c r="I559" s="1" t="s">
        <v>39</v>
      </c>
      <c r="J559" s="1" t="s">
        <v>27</v>
      </c>
      <c r="K559">
        <v>4</v>
      </c>
      <c r="L559" s="1" t="s">
        <v>48</v>
      </c>
      <c r="M559">
        <v>29</v>
      </c>
      <c r="N559" s="1" t="s">
        <v>66</v>
      </c>
      <c r="O559" s="1" t="s">
        <v>30</v>
      </c>
      <c r="P559">
        <v>2</v>
      </c>
      <c r="Q559" s="1" t="s">
        <v>31</v>
      </c>
      <c r="R559">
        <v>1</v>
      </c>
      <c r="S559" s="1" t="s">
        <v>32</v>
      </c>
      <c r="T559" s="1" t="s">
        <v>33</v>
      </c>
      <c r="U559" s="1" t="s">
        <v>41</v>
      </c>
    </row>
    <row r="560" spans="1:21" x14ac:dyDescent="0.3">
      <c r="A560" s="1" t="s">
        <v>21</v>
      </c>
      <c r="B560">
        <v>24</v>
      </c>
      <c r="C560" s="1" t="s">
        <v>69</v>
      </c>
      <c r="D560" s="1" t="s">
        <v>46</v>
      </c>
      <c r="E560">
        <v>3552</v>
      </c>
      <c r="F560" s="1" t="s">
        <v>37</v>
      </c>
      <c r="G560" s="1" t="s">
        <v>44</v>
      </c>
      <c r="H560">
        <v>3</v>
      </c>
      <c r="I560" s="1" t="s">
        <v>26</v>
      </c>
      <c r="J560" s="1" t="s">
        <v>27</v>
      </c>
      <c r="K560">
        <v>4</v>
      </c>
      <c r="L560" s="1" t="s">
        <v>55</v>
      </c>
      <c r="M560">
        <v>27</v>
      </c>
      <c r="N560" s="1" t="s">
        <v>66</v>
      </c>
      <c r="O560" s="1" t="s">
        <v>30</v>
      </c>
      <c r="P560">
        <v>1</v>
      </c>
      <c r="Q560" s="1" t="s">
        <v>31</v>
      </c>
      <c r="R560">
        <v>1</v>
      </c>
      <c r="S560" s="1" t="s">
        <v>40</v>
      </c>
      <c r="T560" s="1" t="s">
        <v>33</v>
      </c>
      <c r="U560" s="1" t="s">
        <v>41</v>
      </c>
    </row>
    <row r="561" spans="1:21" x14ac:dyDescent="0.3">
      <c r="A561" s="1" t="s">
        <v>35</v>
      </c>
      <c r="B561">
        <v>18</v>
      </c>
      <c r="C561" s="1" t="s">
        <v>22</v>
      </c>
      <c r="D561" s="1" t="s">
        <v>46</v>
      </c>
      <c r="E561">
        <v>1928</v>
      </c>
      <c r="F561" s="1" t="s">
        <v>37</v>
      </c>
      <c r="G561" s="1" t="s">
        <v>62</v>
      </c>
      <c r="H561">
        <v>2</v>
      </c>
      <c r="I561" s="1" t="s">
        <v>26</v>
      </c>
      <c r="J561" s="1" t="s">
        <v>27</v>
      </c>
      <c r="K561">
        <v>2</v>
      </c>
      <c r="L561" s="1" t="s">
        <v>28</v>
      </c>
      <c r="M561">
        <v>31</v>
      </c>
      <c r="N561" s="1" t="s">
        <v>29</v>
      </c>
      <c r="O561" s="1" t="s">
        <v>30</v>
      </c>
      <c r="P561">
        <v>2</v>
      </c>
      <c r="Q561" s="1" t="s">
        <v>45</v>
      </c>
      <c r="R561">
        <v>1</v>
      </c>
      <c r="S561" s="1" t="s">
        <v>40</v>
      </c>
      <c r="T561" s="1" t="s">
        <v>33</v>
      </c>
      <c r="U561" s="1" t="s">
        <v>41</v>
      </c>
    </row>
    <row r="562" spans="1:21" x14ac:dyDescent="0.3">
      <c r="A562" s="1" t="s">
        <v>21</v>
      </c>
      <c r="B562">
        <v>24</v>
      </c>
      <c r="C562" s="1" t="s">
        <v>36</v>
      </c>
      <c r="D562" s="1" t="s">
        <v>54</v>
      </c>
      <c r="E562">
        <v>2964</v>
      </c>
      <c r="F562" s="1" t="s">
        <v>24</v>
      </c>
      <c r="G562" s="1" t="s">
        <v>25</v>
      </c>
      <c r="H562">
        <v>4</v>
      </c>
      <c r="I562" s="1" t="s">
        <v>26</v>
      </c>
      <c r="J562" s="1" t="s">
        <v>27</v>
      </c>
      <c r="K562">
        <v>4</v>
      </c>
      <c r="L562" s="1" t="s">
        <v>52</v>
      </c>
      <c r="M562">
        <v>49</v>
      </c>
      <c r="N562" s="1" t="s">
        <v>66</v>
      </c>
      <c r="O562" s="1" t="s">
        <v>49</v>
      </c>
      <c r="P562">
        <v>1</v>
      </c>
      <c r="Q562" s="1" t="s">
        <v>31</v>
      </c>
      <c r="R562">
        <v>2</v>
      </c>
      <c r="S562" s="1" t="s">
        <v>32</v>
      </c>
      <c r="T562" s="1" t="s">
        <v>33</v>
      </c>
      <c r="U562" s="1" t="s">
        <v>34</v>
      </c>
    </row>
    <row r="563" spans="1:21" x14ac:dyDescent="0.3">
      <c r="A563" s="1" t="s">
        <v>21</v>
      </c>
      <c r="B563">
        <v>24</v>
      </c>
      <c r="C563" s="1" t="s">
        <v>69</v>
      </c>
      <c r="D563" s="1" t="s">
        <v>23</v>
      </c>
      <c r="E563">
        <v>1546</v>
      </c>
      <c r="F563" s="1" t="s">
        <v>37</v>
      </c>
      <c r="G563" s="1" t="s">
        <v>44</v>
      </c>
      <c r="H563">
        <v>4</v>
      </c>
      <c r="I563" s="1" t="s">
        <v>26</v>
      </c>
      <c r="J563" s="1" t="s">
        <v>47</v>
      </c>
      <c r="K563">
        <v>4</v>
      </c>
      <c r="L563" s="1" t="s">
        <v>55</v>
      </c>
      <c r="M563">
        <v>24</v>
      </c>
      <c r="N563" s="1" t="s">
        <v>66</v>
      </c>
      <c r="O563" s="1" t="s">
        <v>56</v>
      </c>
      <c r="P563">
        <v>1</v>
      </c>
      <c r="Q563" s="1" t="s">
        <v>45</v>
      </c>
      <c r="R563">
        <v>1</v>
      </c>
      <c r="S563" s="1" t="s">
        <v>40</v>
      </c>
      <c r="T563" s="1" t="s">
        <v>33</v>
      </c>
      <c r="U563" s="1" t="s">
        <v>41</v>
      </c>
    </row>
    <row r="564" spans="1:21" x14ac:dyDescent="0.3">
      <c r="A564" s="1" t="s">
        <v>68</v>
      </c>
      <c r="B564">
        <v>6</v>
      </c>
      <c r="C564" s="1" t="s">
        <v>50</v>
      </c>
      <c r="D564" s="1" t="s">
        <v>23</v>
      </c>
      <c r="E564">
        <v>683</v>
      </c>
      <c r="F564" s="1" t="s">
        <v>37</v>
      </c>
      <c r="G564" s="1" t="s">
        <v>62</v>
      </c>
      <c r="H564">
        <v>2</v>
      </c>
      <c r="I564" s="1" t="s">
        <v>39</v>
      </c>
      <c r="J564" s="1" t="s">
        <v>27</v>
      </c>
      <c r="K564">
        <v>1</v>
      </c>
      <c r="L564" s="1" t="s">
        <v>48</v>
      </c>
      <c r="M564">
        <v>29</v>
      </c>
      <c r="N564" s="1" t="s">
        <v>66</v>
      </c>
      <c r="O564" s="1" t="s">
        <v>30</v>
      </c>
      <c r="P564">
        <v>1</v>
      </c>
      <c r="Q564" s="1" t="s">
        <v>31</v>
      </c>
      <c r="R564">
        <v>1</v>
      </c>
      <c r="S564" s="1" t="s">
        <v>40</v>
      </c>
      <c r="T564" s="1" t="s">
        <v>33</v>
      </c>
      <c r="U564" s="1" t="s">
        <v>34</v>
      </c>
    </row>
    <row r="565" spans="1:21" x14ac:dyDescent="0.3">
      <c r="A565" s="1" t="s">
        <v>35</v>
      </c>
      <c r="B565">
        <v>36</v>
      </c>
      <c r="C565" s="1" t="s">
        <v>36</v>
      </c>
      <c r="D565" s="1" t="s">
        <v>51</v>
      </c>
      <c r="E565">
        <v>12389</v>
      </c>
      <c r="F565" s="1" t="s">
        <v>24</v>
      </c>
      <c r="G565" s="1" t="s">
        <v>38</v>
      </c>
      <c r="H565">
        <v>1</v>
      </c>
      <c r="I565" s="1" t="s">
        <v>26</v>
      </c>
      <c r="J565" s="1" t="s">
        <v>27</v>
      </c>
      <c r="K565">
        <v>4</v>
      </c>
      <c r="L565" s="1" t="s">
        <v>52</v>
      </c>
      <c r="M565">
        <v>37</v>
      </c>
      <c r="N565" s="1" t="s">
        <v>29</v>
      </c>
      <c r="O565" s="1" t="s">
        <v>49</v>
      </c>
      <c r="P565">
        <v>1</v>
      </c>
      <c r="Q565" s="1" t="s">
        <v>31</v>
      </c>
      <c r="R565">
        <v>1</v>
      </c>
      <c r="S565" s="1" t="s">
        <v>32</v>
      </c>
      <c r="T565" s="1" t="s">
        <v>33</v>
      </c>
      <c r="U565" s="1" t="s">
        <v>41</v>
      </c>
    </row>
    <row r="566" spans="1:21" x14ac:dyDescent="0.3">
      <c r="A566" s="1" t="s">
        <v>35</v>
      </c>
      <c r="B566">
        <v>24</v>
      </c>
      <c r="C566" s="1" t="s">
        <v>50</v>
      </c>
      <c r="D566" s="1" t="s">
        <v>63</v>
      </c>
      <c r="E566">
        <v>4712</v>
      </c>
      <c r="F566" s="1" t="s">
        <v>24</v>
      </c>
      <c r="G566" s="1" t="s">
        <v>38</v>
      </c>
      <c r="H566">
        <v>4</v>
      </c>
      <c r="I566" s="1" t="s">
        <v>26</v>
      </c>
      <c r="J566" s="1" t="s">
        <v>27</v>
      </c>
      <c r="K566">
        <v>2</v>
      </c>
      <c r="L566" s="1" t="s">
        <v>48</v>
      </c>
      <c r="M566">
        <v>37</v>
      </c>
      <c r="N566" s="1" t="s">
        <v>66</v>
      </c>
      <c r="O566" s="1" t="s">
        <v>30</v>
      </c>
      <c r="P566">
        <v>2</v>
      </c>
      <c r="Q566" s="1" t="s">
        <v>57</v>
      </c>
      <c r="R566">
        <v>1</v>
      </c>
      <c r="S566" s="1" t="s">
        <v>32</v>
      </c>
      <c r="T566" s="1" t="s">
        <v>33</v>
      </c>
      <c r="U566" s="1" t="s">
        <v>34</v>
      </c>
    </row>
    <row r="567" spans="1:21" x14ac:dyDescent="0.3">
      <c r="A567" s="1" t="s">
        <v>35</v>
      </c>
      <c r="B567">
        <v>24</v>
      </c>
      <c r="C567" s="1" t="s">
        <v>50</v>
      </c>
      <c r="D567" s="1" t="s">
        <v>23</v>
      </c>
      <c r="E567">
        <v>1553</v>
      </c>
      <c r="F567" s="1" t="s">
        <v>64</v>
      </c>
      <c r="G567" s="1" t="s">
        <v>44</v>
      </c>
      <c r="H567">
        <v>3</v>
      </c>
      <c r="I567" s="1" t="s">
        <v>39</v>
      </c>
      <c r="J567" s="1" t="s">
        <v>27</v>
      </c>
      <c r="K567">
        <v>2</v>
      </c>
      <c r="L567" s="1" t="s">
        <v>48</v>
      </c>
      <c r="M567">
        <v>23</v>
      </c>
      <c r="N567" s="1" t="s">
        <v>29</v>
      </c>
      <c r="O567" s="1" t="s">
        <v>56</v>
      </c>
      <c r="P567">
        <v>2</v>
      </c>
      <c r="Q567" s="1" t="s">
        <v>31</v>
      </c>
      <c r="R567">
        <v>1</v>
      </c>
      <c r="S567" s="1" t="s">
        <v>32</v>
      </c>
      <c r="T567" s="1" t="s">
        <v>33</v>
      </c>
      <c r="U567" s="1" t="s">
        <v>34</v>
      </c>
    </row>
    <row r="568" spans="1:21" x14ac:dyDescent="0.3">
      <c r="A568" s="1" t="s">
        <v>21</v>
      </c>
      <c r="B568">
        <v>12</v>
      </c>
      <c r="C568" s="1" t="s">
        <v>36</v>
      </c>
      <c r="D568" s="1" t="s">
        <v>51</v>
      </c>
      <c r="E568">
        <v>1372</v>
      </c>
      <c r="F568" s="1" t="s">
        <v>37</v>
      </c>
      <c r="G568" s="1" t="s">
        <v>44</v>
      </c>
      <c r="H568">
        <v>2</v>
      </c>
      <c r="I568" s="1" t="s">
        <v>59</v>
      </c>
      <c r="J568" s="1" t="s">
        <v>27</v>
      </c>
      <c r="K568">
        <v>3</v>
      </c>
      <c r="L568" s="1" t="s">
        <v>55</v>
      </c>
      <c r="M568">
        <v>36</v>
      </c>
      <c r="N568" s="1" t="s">
        <v>29</v>
      </c>
      <c r="O568" s="1" t="s">
        <v>30</v>
      </c>
      <c r="P568">
        <v>1</v>
      </c>
      <c r="Q568" s="1" t="s">
        <v>31</v>
      </c>
      <c r="R568">
        <v>1</v>
      </c>
      <c r="S568" s="1" t="s">
        <v>40</v>
      </c>
      <c r="T568" s="1" t="s">
        <v>33</v>
      </c>
      <c r="U568" s="1" t="s">
        <v>41</v>
      </c>
    </row>
    <row r="569" spans="1:21" x14ac:dyDescent="0.3">
      <c r="A569" s="1" t="s">
        <v>42</v>
      </c>
      <c r="B569">
        <v>24</v>
      </c>
      <c r="C569" s="1" t="s">
        <v>22</v>
      </c>
      <c r="D569" s="1" t="s">
        <v>23</v>
      </c>
      <c r="E569">
        <v>2578</v>
      </c>
      <c r="F569" s="1" t="s">
        <v>58</v>
      </c>
      <c r="G569" s="1" t="s">
        <v>25</v>
      </c>
      <c r="H569">
        <v>2</v>
      </c>
      <c r="I569" s="1" t="s">
        <v>26</v>
      </c>
      <c r="J569" s="1" t="s">
        <v>27</v>
      </c>
      <c r="K569">
        <v>2</v>
      </c>
      <c r="L569" s="1" t="s">
        <v>55</v>
      </c>
      <c r="M569">
        <v>34</v>
      </c>
      <c r="N569" s="1" t="s">
        <v>29</v>
      </c>
      <c r="O569" s="1" t="s">
        <v>30</v>
      </c>
      <c r="P569">
        <v>1</v>
      </c>
      <c r="Q569" s="1" t="s">
        <v>31</v>
      </c>
      <c r="R569">
        <v>1</v>
      </c>
      <c r="S569" s="1" t="s">
        <v>40</v>
      </c>
      <c r="T569" s="1" t="s">
        <v>33</v>
      </c>
      <c r="U569" s="1" t="s">
        <v>34</v>
      </c>
    </row>
    <row r="570" spans="1:21" x14ac:dyDescent="0.3">
      <c r="A570" s="1" t="s">
        <v>35</v>
      </c>
      <c r="B570">
        <v>48</v>
      </c>
      <c r="C570" s="1" t="s">
        <v>36</v>
      </c>
      <c r="D570" s="1" t="s">
        <v>23</v>
      </c>
      <c r="E570">
        <v>3979</v>
      </c>
      <c r="F570" s="1" t="s">
        <v>24</v>
      </c>
      <c r="G570" s="1" t="s">
        <v>44</v>
      </c>
      <c r="H570">
        <v>4</v>
      </c>
      <c r="I570" s="1" t="s">
        <v>26</v>
      </c>
      <c r="J570" s="1" t="s">
        <v>27</v>
      </c>
      <c r="K570">
        <v>1</v>
      </c>
      <c r="L570" s="1" t="s">
        <v>55</v>
      </c>
      <c r="M570">
        <v>41</v>
      </c>
      <c r="N570" s="1" t="s">
        <v>29</v>
      </c>
      <c r="O570" s="1" t="s">
        <v>30</v>
      </c>
      <c r="P570">
        <v>2</v>
      </c>
      <c r="Q570" s="1" t="s">
        <v>31</v>
      </c>
      <c r="R570">
        <v>2</v>
      </c>
      <c r="S570" s="1" t="s">
        <v>32</v>
      </c>
      <c r="T570" s="1" t="s">
        <v>33</v>
      </c>
      <c r="U570" s="1" t="s">
        <v>34</v>
      </c>
    </row>
    <row r="571" spans="1:21" x14ac:dyDescent="0.3">
      <c r="A571" s="1" t="s">
        <v>21</v>
      </c>
      <c r="B571">
        <v>48</v>
      </c>
      <c r="C571" s="1" t="s">
        <v>36</v>
      </c>
      <c r="D571" s="1" t="s">
        <v>23</v>
      </c>
      <c r="E571">
        <v>6758</v>
      </c>
      <c r="F571" s="1" t="s">
        <v>37</v>
      </c>
      <c r="G571" s="1" t="s">
        <v>38</v>
      </c>
      <c r="H571">
        <v>3</v>
      </c>
      <c r="I571" s="1" t="s">
        <v>39</v>
      </c>
      <c r="J571" s="1" t="s">
        <v>27</v>
      </c>
      <c r="K571">
        <v>2</v>
      </c>
      <c r="L571" s="1" t="s">
        <v>55</v>
      </c>
      <c r="M571">
        <v>31</v>
      </c>
      <c r="N571" s="1" t="s">
        <v>29</v>
      </c>
      <c r="O571" s="1" t="s">
        <v>30</v>
      </c>
      <c r="P571">
        <v>1</v>
      </c>
      <c r="Q571" s="1" t="s">
        <v>31</v>
      </c>
      <c r="R571">
        <v>1</v>
      </c>
      <c r="S571" s="1" t="s">
        <v>32</v>
      </c>
      <c r="T571" s="1" t="s">
        <v>33</v>
      </c>
      <c r="U571" s="1" t="s">
        <v>41</v>
      </c>
    </row>
    <row r="572" spans="1:21" x14ac:dyDescent="0.3">
      <c r="A572" s="1" t="s">
        <v>21</v>
      </c>
      <c r="B572">
        <v>24</v>
      </c>
      <c r="C572" s="1" t="s">
        <v>36</v>
      </c>
      <c r="D572" s="1" t="s">
        <v>46</v>
      </c>
      <c r="E572">
        <v>3234</v>
      </c>
      <c r="F572" s="1" t="s">
        <v>37</v>
      </c>
      <c r="G572" s="1" t="s">
        <v>62</v>
      </c>
      <c r="H572">
        <v>4</v>
      </c>
      <c r="I572" s="1" t="s">
        <v>39</v>
      </c>
      <c r="J572" s="1" t="s">
        <v>27</v>
      </c>
      <c r="K572">
        <v>4</v>
      </c>
      <c r="L572" s="1" t="s">
        <v>28</v>
      </c>
      <c r="M572">
        <v>23</v>
      </c>
      <c r="N572" s="1" t="s">
        <v>29</v>
      </c>
      <c r="O572" s="1" t="s">
        <v>56</v>
      </c>
      <c r="P572">
        <v>1</v>
      </c>
      <c r="Q572" s="1" t="s">
        <v>45</v>
      </c>
      <c r="R572">
        <v>1</v>
      </c>
      <c r="S572" s="1" t="s">
        <v>32</v>
      </c>
      <c r="T572" s="1" t="s">
        <v>33</v>
      </c>
      <c r="U572" s="1" t="s">
        <v>41</v>
      </c>
    </row>
    <row r="573" spans="1:21" x14ac:dyDescent="0.3">
      <c r="A573" s="1" t="s">
        <v>42</v>
      </c>
      <c r="B573">
        <v>30</v>
      </c>
      <c r="C573" s="1" t="s">
        <v>22</v>
      </c>
      <c r="D573" s="1" t="s">
        <v>23</v>
      </c>
      <c r="E573">
        <v>5954</v>
      </c>
      <c r="F573" s="1" t="s">
        <v>37</v>
      </c>
      <c r="G573" s="1" t="s">
        <v>44</v>
      </c>
      <c r="H573">
        <v>3</v>
      </c>
      <c r="I573" s="1" t="s">
        <v>26</v>
      </c>
      <c r="J573" s="1" t="s">
        <v>71</v>
      </c>
      <c r="K573">
        <v>2</v>
      </c>
      <c r="L573" s="1" t="s">
        <v>55</v>
      </c>
      <c r="M573">
        <v>38</v>
      </c>
      <c r="N573" s="1" t="s">
        <v>29</v>
      </c>
      <c r="O573" s="1" t="s">
        <v>30</v>
      </c>
      <c r="P573">
        <v>1</v>
      </c>
      <c r="Q573" s="1" t="s">
        <v>31</v>
      </c>
      <c r="R573">
        <v>1</v>
      </c>
      <c r="S573" s="1" t="s">
        <v>40</v>
      </c>
      <c r="T573" s="1" t="s">
        <v>33</v>
      </c>
      <c r="U573" s="1" t="s">
        <v>34</v>
      </c>
    </row>
    <row r="574" spans="1:21" x14ac:dyDescent="0.3">
      <c r="A574" s="1" t="s">
        <v>42</v>
      </c>
      <c r="B574">
        <v>24</v>
      </c>
      <c r="C574" s="1" t="s">
        <v>36</v>
      </c>
      <c r="D574" s="1" t="s">
        <v>54</v>
      </c>
      <c r="E574">
        <v>5433</v>
      </c>
      <c r="F574" s="1" t="s">
        <v>24</v>
      </c>
      <c r="G574" s="1" t="s">
        <v>60</v>
      </c>
      <c r="H574">
        <v>2</v>
      </c>
      <c r="I574" s="1" t="s">
        <v>39</v>
      </c>
      <c r="J574" s="1" t="s">
        <v>27</v>
      </c>
      <c r="K574">
        <v>4</v>
      </c>
      <c r="L574" s="1" t="s">
        <v>48</v>
      </c>
      <c r="M574">
        <v>26</v>
      </c>
      <c r="N574" s="1" t="s">
        <v>29</v>
      </c>
      <c r="O574" s="1" t="s">
        <v>56</v>
      </c>
      <c r="P574">
        <v>1</v>
      </c>
      <c r="Q574" s="1" t="s">
        <v>57</v>
      </c>
      <c r="R574">
        <v>1</v>
      </c>
      <c r="S574" s="1" t="s">
        <v>32</v>
      </c>
      <c r="T574" s="1" t="s">
        <v>33</v>
      </c>
      <c r="U574" s="1" t="s">
        <v>34</v>
      </c>
    </row>
    <row r="575" spans="1:21" x14ac:dyDescent="0.3">
      <c r="A575" s="1" t="s">
        <v>21</v>
      </c>
      <c r="B575">
        <v>15</v>
      </c>
      <c r="C575" s="1" t="s">
        <v>36</v>
      </c>
      <c r="D575" s="1" t="s">
        <v>63</v>
      </c>
      <c r="E575">
        <v>806</v>
      </c>
      <c r="F575" s="1" t="s">
        <v>37</v>
      </c>
      <c r="G575" s="1" t="s">
        <v>38</v>
      </c>
      <c r="H575">
        <v>4</v>
      </c>
      <c r="I575" s="1" t="s">
        <v>39</v>
      </c>
      <c r="J575" s="1" t="s">
        <v>27</v>
      </c>
      <c r="K575">
        <v>4</v>
      </c>
      <c r="L575" s="1" t="s">
        <v>48</v>
      </c>
      <c r="M575">
        <v>22</v>
      </c>
      <c r="N575" s="1" t="s">
        <v>29</v>
      </c>
      <c r="O575" s="1" t="s">
        <v>30</v>
      </c>
      <c r="P575">
        <v>1</v>
      </c>
      <c r="Q575" s="1" t="s">
        <v>45</v>
      </c>
      <c r="R575">
        <v>1</v>
      </c>
      <c r="S575" s="1" t="s">
        <v>40</v>
      </c>
      <c r="T575" s="1" t="s">
        <v>33</v>
      </c>
      <c r="U575" s="1" t="s">
        <v>34</v>
      </c>
    </row>
    <row r="576" spans="1:21" x14ac:dyDescent="0.3">
      <c r="A576" s="1" t="s">
        <v>35</v>
      </c>
      <c r="B576">
        <v>9</v>
      </c>
      <c r="C576" s="1" t="s">
        <v>36</v>
      </c>
      <c r="D576" s="1" t="s">
        <v>23</v>
      </c>
      <c r="E576">
        <v>1082</v>
      </c>
      <c r="F576" s="1" t="s">
        <v>37</v>
      </c>
      <c r="G576" s="1" t="s">
        <v>25</v>
      </c>
      <c r="H576">
        <v>4</v>
      </c>
      <c r="I576" s="1" t="s">
        <v>26</v>
      </c>
      <c r="J576" s="1" t="s">
        <v>27</v>
      </c>
      <c r="K576">
        <v>4</v>
      </c>
      <c r="L576" s="1" t="s">
        <v>55</v>
      </c>
      <c r="M576">
        <v>27</v>
      </c>
      <c r="N576" s="1" t="s">
        <v>29</v>
      </c>
      <c r="O576" s="1" t="s">
        <v>30</v>
      </c>
      <c r="P576">
        <v>2</v>
      </c>
      <c r="Q576" s="1" t="s">
        <v>45</v>
      </c>
      <c r="R576">
        <v>1</v>
      </c>
      <c r="S576" s="1" t="s">
        <v>40</v>
      </c>
      <c r="T576" s="1" t="s">
        <v>33</v>
      </c>
      <c r="U576" s="1" t="s">
        <v>34</v>
      </c>
    </row>
    <row r="577" spans="1:21" x14ac:dyDescent="0.3">
      <c r="A577" s="1" t="s">
        <v>42</v>
      </c>
      <c r="B577">
        <v>15</v>
      </c>
      <c r="C577" s="1" t="s">
        <v>22</v>
      </c>
      <c r="D577" s="1" t="s">
        <v>46</v>
      </c>
      <c r="E577">
        <v>2788</v>
      </c>
      <c r="F577" s="1" t="s">
        <v>37</v>
      </c>
      <c r="G577" s="1" t="s">
        <v>44</v>
      </c>
      <c r="H577">
        <v>2</v>
      </c>
      <c r="I577" s="1" t="s">
        <v>39</v>
      </c>
      <c r="J577" s="1" t="s">
        <v>71</v>
      </c>
      <c r="K577">
        <v>3</v>
      </c>
      <c r="L577" s="1" t="s">
        <v>55</v>
      </c>
      <c r="M577">
        <v>24</v>
      </c>
      <c r="N577" s="1" t="s">
        <v>66</v>
      </c>
      <c r="O577" s="1" t="s">
        <v>30</v>
      </c>
      <c r="P577">
        <v>2</v>
      </c>
      <c r="Q577" s="1" t="s">
        <v>31</v>
      </c>
      <c r="R577">
        <v>1</v>
      </c>
      <c r="S577" s="1" t="s">
        <v>40</v>
      </c>
      <c r="T577" s="1" t="s">
        <v>33</v>
      </c>
      <c r="U577" s="1" t="s">
        <v>34</v>
      </c>
    </row>
    <row r="578" spans="1:21" x14ac:dyDescent="0.3">
      <c r="A578" s="1" t="s">
        <v>35</v>
      </c>
      <c r="B578">
        <v>12</v>
      </c>
      <c r="C578" s="1" t="s">
        <v>36</v>
      </c>
      <c r="D578" s="1" t="s">
        <v>23</v>
      </c>
      <c r="E578">
        <v>2930</v>
      </c>
      <c r="F578" s="1" t="s">
        <v>37</v>
      </c>
      <c r="G578" s="1" t="s">
        <v>44</v>
      </c>
      <c r="H578">
        <v>2</v>
      </c>
      <c r="I578" s="1" t="s">
        <v>39</v>
      </c>
      <c r="J578" s="1" t="s">
        <v>27</v>
      </c>
      <c r="K578">
        <v>1</v>
      </c>
      <c r="L578" s="1" t="s">
        <v>28</v>
      </c>
      <c r="M578">
        <v>27</v>
      </c>
      <c r="N578" s="1" t="s">
        <v>29</v>
      </c>
      <c r="O578" s="1" t="s">
        <v>30</v>
      </c>
      <c r="P578">
        <v>1</v>
      </c>
      <c r="Q578" s="1" t="s">
        <v>31</v>
      </c>
      <c r="R578">
        <v>1</v>
      </c>
      <c r="S578" s="1" t="s">
        <v>40</v>
      </c>
      <c r="T578" s="1" t="s">
        <v>33</v>
      </c>
      <c r="U578" s="1" t="s">
        <v>34</v>
      </c>
    </row>
    <row r="579" spans="1:21" x14ac:dyDescent="0.3">
      <c r="A579" s="1" t="s">
        <v>42</v>
      </c>
      <c r="B579">
        <v>24</v>
      </c>
      <c r="C579" s="1" t="s">
        <v>22</v>
      </c>
      <c r="D579" s="1" t="s">
        <v>43</v>
      </c>
      <c r="E579">
        <v>1927</v>
      </c>
      <c r="F579" s="1" t="s">
        <v>24</v>
      </c>
      <c r="G579" s="1" t="s">
        <v>38</v>
      </c>
      <c r="H579">
        <v>3</v>
      </c>
      <c r="I579" s="1" t="s">
        <v>39</v>
      </c>
      <c r="J579" s="1" t="s">
        <v>27</v>
      </c>
      <c r="K579">
        <v>2</v>
      </c>
      <c r="L579" s="1" t="s">
        <v>55</v>
      </c>
      <c r="M579">
        <v>33</v>
      </c>
      <c r="N579" s="1" t="s">
        <v>29</v>
      </c>
      <c r="O579" s="1" t="s">
        <v>30</v>
      </c>
      <c r="P579">
        <v>2</v>
      </c>
      <c r="Q579" s="1" t="s">
        <v>31</v>
      </c>
      <c r="R579">
        <v>1</v>
      </c>
      <c r="S579" s="1" t="s">
        <v>32</v>
      </c>
      <c r="T579" s="1" t="s">
        <v>33</v>
      </c>
      <c r="U579" s="1" t="s">
        <v>34</v>
      </c>
    </row>
    <row r="580" spans="1:21" x14ac:dyDescent="0.3">
      <c r="A580" s="1" t="s">
        <v>35</v>
      </c>
      <c r="B580">
        <v>36</v>
      </c>
      <c r="C580" s="1" t="s">
        <v>22</v>
      </c>
      <c r="D580" s="1" t="s">
        <v>51</v>
      </c>
      <c r="E580">
        <v>2820</v>
      </c>
      <c r="F580" s="1" t="s">
        <v>37</v>
      </c>
      <c r="G580" s="1" t="s">
        <v>62</v>
      </c>
      <c r="H580">
        <v>4</v>
      </c>
      <c r="I580" s="1" t="s">
        <v>59</v>
      </c>
      <c r="J580" s="1" t="s">
        <v>27</v>
      </c>
      <c r="K580">
        <v>4</v>
      </c>
      <c r="L580" s="1" t="s">
        <v>55</v>
      </c>
      <c r="M580">
        <v>27</v>
      </c>
      <c r="N580" s="1" t="s">
        <v>29</v>
      </c>
      <c r="O580" s="1" t="s">
        <v>30</v>
      </c>
      <c r="P580">
        <v>2</v>
      </c>
      <c r="Q580" s="1" t="s">
        <v>31</v>
      </c>
      <c r="R580">
        <v>1</v>
      </c>
      <c r="S580" s="1" t="s">
        <v>40</v>
      </c>
      <c r="T580" s="1" t="s">
        <v>33</v>
      </c>
      <c r="U580" s="1" t="s">
        <v>41</v>
      </c>
    </row>
    <row r="581" spans="1:21" x14ac:dyDescent="0.3">
      <c r="A581" s="1" t="s">
        <v>42</v>
      </c>
      <c r="B581">
        <v>24</v>
      </c>
      <c r="C581" s="1" t="s">
        <v>36</v>
      </c>
      <c r="D581" s="1" t="s">
        <v>76</v>
      </c>
      <c r="E581">
        <v>937</v>
      </c>
      <c r="F581" s="1" t="s">
        <v>37</v>
      </c>
      <c r="G581" s="1" t="s">
        <v>62</v>
      </c>
      <c r="H581">
        <v>4</v>
      </c>
      <c r="I581" s="1" t="s">
        <v>61</v>
      </c>
      <c r="J581" s="1" t="s">
        <v>27</v>
      </c>
      <c r="K581">
        <v>3</v>
      </c>
      <c r="L581" s="1" t="s">
        <v>55</v>
      </c>
      <c r="M581">
        <v>27</v>
      </c>
      <c r="N581" s="1" t="s">
        <v>29</v>
      </c>
      <c r="O581" s="1" t="s">
        <v>30</v>
      </c>
      <c r="P581">
        <v>2</v>
      </c>
      <c r="Q581" s="1" t="s">
        <v>45</v>
      </c>
      <c r="R581">
        <v>1</v>
      </c>
      <c r="S581" s="1" t="s">
        <v>40</v>
      </c>
      <c r="T581" s="1" t="s">
        <v>33</v>
      </c>
      <c r="U581" s="1" t="s">
        <v>34</v>
      </c>
    </row>
    <row r="582" spans="1:21" x14ac:dyDescent="0.3">
      <c r="A582" s="1" t="s">
        <v>35</v>
      </c>
      <c r="B582">
        <v>18</v>
      </c>
      <c r="C582" s="1" t="s">
        <v>22</v>
      </c>
      <c r="D582" s="1" t="s">
        <v>51</v>
      </c>
      <c r="E582">
        <v>1056</v>
      </c>
      <c r="F582" s="1" t="s">
        <v>37</v>
      </c>
      <c r="G582" s="1" t="s">
        <v>25</v>
      </c>
      <c r="H582">
        <v>3</v>
      </c>
      <c r="I582" s="1" t="s">
        <v>26</v>
      </c>
      <c r="J582" s="1" t="s">
        <v>47</v>
      </c>
      <c r="K582">
        <v>3</v>
      </c>
      <c r="L582" s="1" t="s">
        <v>28</v>
      </c>
      <c r="M582">
        <v>30</v>
      </c>
      <c r="N582" s="1" t="s">
        <v>66</v>
      </c>
      <c r="O582" s="1" t="s">
        <v>30</v>
      </c>
      <c r="P582">
        <v>2</v>
      </c>
      <c r="Q582" s="1" t="s">
        <v>31</v>
      </c>
      <c r="R582">
        <v>1</v>
      </c>
      <c r="S582" s="1" t="s">
        <v>40</v>
      </c>
      <c r="T582" s="1" t="s">
        <v>33</v>
      </c>
      <c r="U582" s="1" t="s">
        <v>41</v>
      </c>
    </row>
    <row r="583" spans="1:21" x14ac:dyDescent="0.3">
      <c r="A583" s="1" t="s">
        <v>35</v>
      </c>
      <c r="B583">
        <v>12</v>
      </c>
      <c r="C583" s="1" t="s">
        <v>22</v>
      </c>
      <c r="D583" s="1" t="s">
        <v>51</v>
      </c>
      <c r="E583">
        <v>3124</v>
      </c>
      <c r="F583" s="1" t="s">
        <v>37</v>
      </c>
      <c r="G583" s="1" t="s">
        <v>62</v>
      </c>
      <c r="H583">
        <v>1</v>
      </c>
      <c r="I583" s="1" t="s">
        <v>26</v>
      </c>
      <c r="J583" s="1" t="s">
        <v>27</v>
      </c>
      <c r="K583">
        <v>3</v>
      </c>
      <c r="L583" s="1" t="s">
        <v>28</v>
      </c>
      <c r="M583">
        <v>49</v>
      </c>
      <c r="N583" s="1" t="s">
        <v>66</v>
      </c>
      <c r="O583" s="1" t="s">
        <v>30</v>
      </c>
      <c r="P583">
        <v>2</v>
      </c>
      <c r="Q583" s="1" t="s">
        <v>45</v>
      </c>
      <c r="R583">
        <v>2</v>
      </c>
      <c r="S583" s="1" t="s">
        <v>40</v>
      </c>
      <c r="T583" s="1" t="s">
        <v>33</v>
      </c>
      <c r="U583" s="1" t="s">
        <v>34</v>
      </c>
    </row>
    <row r="584" spans="1:21" x14ac:dyDescent="0.3">
      <c r="A584" s="1" t="s">
        <v>42</v>
      </c>
      <c r="B584">
        <v>9</v>
      </c>
      <c r="C584" s="1" t="s">
        <v>36</v>
      </c>
      <c r="D584" s="1" t="s">
        <v>46</v>
      </c>
      <c r="E584">
        <v>1388</v>
      </c>
      <c r="F584" s="1" t="s">
        <v>37</v>
      </c>
      <c r="G584" s="1" t="s">
        <v>38</v>
      </c>
      <c r="H584">
        <v>4</v>
      </c>
      <c r="I584" s="1" t="s">
        <v>39</v>
      </c>
      <c r="J584" s="1" t="s">
        <v>27</v>
      </c>
      <c r="K584">
        <v>2</v>
      </c>
      <c r="L584" s="1" t="s">
        <v>28</v>
      </c>
      <c r="M584">
        <v>26</v>
      </c>
      <c r="N584" s="1" t="s">
        <v>29</v>
      </c>
      <c r="O584" s="1" t="s">
        <v>56</v>
      </c>
      <c r="P584">
        <v>1</v>
      </c>
      <c r="Q584" s="1" t="s">
        <v>31</v>
      </c>
      <c r="R584">
        <v>1</v>
      </c>
      <c r="S584" s="1" t="s">
        <v>40</v>
      </c>
      <c r="T584" s="1" t="s">
        <v>33</v>
      </c>
      <c r="U584" s="1" t="s">
        <v>34</v>
      </c>
    </row>
    <row r="585" spans="1:21" x14ac:dyDescent="0.3">
      <c r="A585" s="1" t="s">
        <v>35</v>
      </c>
      <c r="B585">
        <v>36</v>
      </c>
      <c r="C585" s="1" t="s">
        <v>36</v>
      </c>
      <c r="D585" s="1" t="s">
        <v>73</v>
      </c>
      <c r="E585">
        <v>2384</v>
      </c>
      <c r="F585" s="1" t="s">
        <v>37</v>
      </c>
      <c r="G585" s="1" t="s">
        <v>62</v>
      </c>
      <c r="H585">
        <v>4</v>
      </c>
      <c r="I585" s="1" t="s">
        <v>26</v>
      </c>
      <c r="J585" s="1" t="s">
        <v>27</v>
      </c>
      <c r="K585">
        <v>1</v>
      </c>
      <c r="L585" s="1" t="s">
        <v>52</v>
      </c>
      <c r="M585">
        <v>33</v>
      </c>
      <c r="N585" s="1" t="s">
        <v>29</v>
      </c>
      <c r="O585" s="1" t="s">
        <v>56</v>
      </c>
      <c r="P585">
        <v>1</v>
      </c>
      <c r="Q585" s="1" t="s">
        <v>45</v>
      </c>
      <c r="R585">
        <v>1</v>
      </c>
      <c r="S585" s="1" t="s">
        <v>40</v>
      </c>
      <c r="T585" s="1" t="s">
        <v>33</v>
      </c>
      <c r="U585" s="1" t="s">
        <v>41</v>
      </c>
    </row>
    <row r="586" spans="1:21" x14ac:dyDescent="0.3">
      <c r="A586" s="1" t="s">
        <v>42</v>
      </c>
      <c r="B586">
        <v>12</v>
      </c>
      <c r="C586" s="1" t="s">
        <v>36</v>
      </c>
      <c r="D586" s="1" t="s">
        <v>51</v>
      </c>
      <c r="E586">
        <v>2133</v>
      </c>
      <c r="F586" s="1" t="s">
        <v>24</v>
      </c>
      <c r="G586" s="1" t="s">
        <v>25</v>
      </c>
      <c r="H586">
        <v>4</v>
      </c>
      <c r="I586" s="1" t="s">
        <v>39</v>
      </c>
      <c r="J586" s="1" t="s">
        <v>27</v>
      </c>
      <c r="K586">
        <v>4</v>
      </c>
      <c r="L586" s="1" t="s">
        <v>52</v>
      </c>
      <c r="M586">
        <v>52</v>
      </c>
      <c r="N586" s="1" t="s">
        <v>29</v>
      </c>
      <c r="O586" s="1" t="s">
        <v>49</v>
      </c>
      <c r="P586">
        <v>1</v>
      </c>
      <c r="Q586" s="1" t="s">
        <v>57</v>
      </c>
      <c r="R586">
        <v>1</v>
      </c>
      <c r="S586" s="1" t="s">
        <v>32</v>
      </c>
      <c r="T586" s="1" t="s">
        <v>33</v>
      </c>
      <c r="U586" s="1" t="s">
        <v>34</v>
      </c>
    </row>
    <row r="587" spans="1:21" x14ac:dyDescent="0.3">
      <c r="A587" s="1" t="s">
        <v>21</v>
      </c>
      <c r="B587">
        <v>18</v>
      </c>
      <c r="C587" s="1" t="s">
        <v>36</v>
      </c>
      <c r="D587" s="1" t="s">
        <v>46</v>
      </c>
      <c r="E587">
        <v>2039</v>
      </c>
      <c r="F587" s="1" t="s">
        <v>37</v>
      </c>
      <c r="G587" s="1" t="s">
        <v>38</v>
      </c>
      <c r="H587">
        <v>1</v>
      </c>
      <c r="I587" s="1" t="s">
        <v>39</v>
      </c>
      <c r="J587" s="1" t="s">
        <v>27</v>
      </c>
      <c r="K587">
        <v>4</v>
      </c>
      <c r="L587" s="1" t="s">
        <v>28</v>
      </c>
      <c r="M587">
        <v>20</v>
      </c>
      <c r="N587" s="1" t="s">
        <v>66</v>
      </c>
      <c r="O587" s="1" t="s">
        <v>56</v>
      </c>
      <c r="P587">
        <v>1</v>
      </c>
      <c r="Q587" s="1" t="s">
        <v>31</v>
      </c>
      <c r="R587">
        <v>1</v>
      </c>
      <c r="S587" s="1" t="s">
        <v>40</v>
      </c>
      <c r="T587" s="1" t="s">
        <v>33</v>
      </c>
      <c r="U587" s="1" t="s">
        <v>41</v>
      </c>
    </row>
    <row r="588" spans="1:21" x14ac:dyDescent="0.3">
      <c r="A588" s="1" t="s">
        <v>21</v>
      </c>
      <c r="B588">
        <v>9</v>
      </c>
      <c r="C588" s="1" t="s">
        <v>22</v>
      </c>
      <c r="D588" s="1" t="s">
        <v>51</v>
      </c>
      <c r="E588">
        <v>2799</v>
      </c>
      <c r="F588" s="1" t="s">
        <v>37</v>
      </c>
      <c r="G588" s="1" t="s">
        <v>38</v>
      </c>
      <c r="H588">
        <v>2</v>
      </c>
      <c r="I588" s="1" t="s">
        <v>26</v>
      </c>
      <c r="J588" s="1" t="s">
        <v>27</v>
      </c>
      <c r="K588">
        <v>2</v>
      </c>
      <c r="L588" s="1" t="s">
        <v>28</v>
      </c>
      <c r="M588">
        <v>36</v>
      </c>
      <c r="N588" s="1" t="s">
        <v>29</v>
      </c>
      <c r="O588" s="1" t="s">
        <v>56</v>
      </c>
      <c r="P588">
        <v>2</v>
      </c>
      <c r="Q588" s="1" t="s">
        <v>31</v>
      </c>
      <c r="R588">
        <v>2</v>
      </c>
      <c r="S588" s="1" t="s">
        <v>40</v>
      </c>
      <c r="T588" s="1" t="s">
        <v>33</v>
      </c>
      <c r="U588" s="1" t="s">
        <v>34</v>
      </c>
    </row>
    <row r="589" spans="1:21" x14ac:dyDescent="0.3">
      <c r="A589" s="1" t="s">
        <v>21</v>
      </c>
      <c r="B589">
        <v>12</v>
      </c>
      <c r="C589" s="1" t="s">
        <v>36</v>
      </c>
      <c r="D589" s="1" t="s">
        <v>46</v>
      </c>
      <c r="E589">
        <v>1289</v>
      </c>
      <c r="F589" s="1" t="s">
        <v>37</v>
      </c>
      <c r="G589" s="1" t="s">
        <v>38</v>
      </c>
      <c r="H589">
        <v>4</v>
      </c>
      <c r="I589" s="1" t="s">
        <v>26</v>
      </c>
      <c r="J589" s="1" t="s">
        <v>47</v>
      </c>
      <c r="K589">
        <v>1</v>
      </c>
      <c r="L589" s="1" t="s">
        <v>48</v>
      </c>
      <c r="M589">
        <v>21</v>
      </c>
      <c r="N589" s="1" t="s">
        <v>29</v>
      </c>
      <c r="O589" s="1" t="s">
        <v>30</v>
      </c>
      <c r="P589">
        <v>1</v>
      </c>
      <c r="Q589" s="1" t="s">
        <v>45</v>
      </c>
      <c r="R589">
        <v>1</v>
      </c>
      <c r="S589" s="1" t="s">
        <v>40</v>
      </c>
      <c r="T589" s="1" t="s">
        <v>33</v>
      </c>
      <c r="U589" s="1" t="s">
        <v>34</v>
      </c>
    </row>
    <row r="590" spans="1:21" x14ac:dyDescent="0.3">
      <c r="A590" s="1" t="s">
        <v>21</v>
      </c>
      <c r="B590">
        <v>18</v>
      </c>
      <c r="C590" s="1" t="s">
        <v>36</v>
      </c>
      <c r="D590" s="1" t="s">
        <v>72</v>
      </c>
      <c r="E590">
        <v>1217</v>
      </c>
      <c r="F590" s="1" t="s">
        <v>37</v>
      </c>
      <c r="G590" s="1" t="s">
        <v>38</v>
      </c>
      <c r="H590">
        <v>4</v>
      </c>
      <c r="I590" s="1" t="s">
        <v>61</v>
      </c>
      <c r="J590" s="1" t="s">
        <v>27</v>
      </c>
      <c r="K590">
        <v>3</v>
      </c>
      <c r="L590" s="1" t="s">
        <v>28</v>
      </c>
      <c r="M590">
        <v>47</v>
      </c>
      <c r="N590" s="1" t="s">
        <v>29</v>
      </c>
      <c r="O590" s="1" t="s">
        <v>30</v>
      </c>
      <c r="P590">
        <v>1</v>
      </c>
      <c r="Q590" s="1" t="s">
        <v>45</v>
      </c>
      <c r="R590">
        <v>1</v>
      </c>
      <c r="S590" s="1" t="s">
        <v>32</v>
      </c>
      <c r="T590" s="1" t="s">
        <v>33</v>
      </c>
      <c r="U590" s="1" t="s">
        <v>41</v>
      </c>
    </row>
    <row r="591" spans="1:21" x14ac:dyDescent="0.3">
      <c r="A591" s="1" t="s">
        <v>21</v>
      </c>
      <c r="B591">
        <v>12</v>
      </c>
      <c r="C591" s="1" t="s">
        <v>22</v>
      </c>
      <c r="D591" s="1" t="s">
        <v>46</v>
      </c>
      <c r="E591">
        <v>2246</v>
      </c>
      <c r="F591" s="1" t="s">
        <v>37</v>
      </c>
      <c r="G591" s="1" t="s">
        <v>25</v>
      </c>
      <c r="H591">
        <v>3</v>
      </c>
      <c r="I591" s="1" t="s">
        <v>26</v>
      </c>
      <c r="J591" s="1" t="s">
        <v>27</v>
      </c>
      <c r="K591">
        <v>3</v>
      </c>
      <c r="L591" s="1" t="s">
        <v>48</v>
      </c>
      <c r="M591">
        <v>60</v>
      </c>
      <c r="N591" s="1" t="s">
        <v>29</v>
      </c>
      <c r="O591" s="1" t="s">
        <v>30</v>
      </c>
      <c r="P591">
        <v>2</v>
      </c>
      <c r="Q591" s="1" t="s">
        <v>31</v>
      </c>
      <c r="R591">
        <v>1</v>
      </c>
      <c r="S591" s="1" t="s">
        <v>40</v>
      </c>
      <c r="T591" s="1" t="s">
        <v>33</v>
      </c>
      <c r="U591" s="1" t="s">
        <v>41</v>
      </c>
    </row>
    <row r="592" spans="1:21" x14ac:dyDescent="0.3">
      <c r="A592" s="1" t="s">
        <v>21</v>
      </c>
      <c r="B592">
        <v>12</v>
      </c>
      <c r="C592" s="1" t="s">
        <v>22</v>
      </c>
      <c r="D592" s="1" t="s">
        <v>23</v>
      </c>
      <c r="E592">
        <v>385</v>
      </c>
      <c r="F592" s="1" t="s">
        <v>37</v>
      </c>
      <c r="G592" s="1" t="s">
        <v>44</v>
      </c>
      <c r="H592">
        <v>4</v>
      </c>
      <c r="I592" s="1" t="s">
        <v>39</v>
      </c>
      <c r="J592" s="1" t="s">
        <v>27</v>
      </c>
      <c r="K592">
        <v>3</v>
      </c>
      <c r="L592" s="1" t="s">
        <v>28</v>
      </c>
      <c r="M592">
        <v>58</v>
      </c>
      <c r="N592" s="1" t="s">
        <v>29</v>
      </c>
      <c r="O592" s="1" t="s">
        <v>30</v>
      </c>
      <c r="P592">
        <v>4</v>
      </c>
      <c r="Q592" s="1" t="s">
        <v>45</v>
      </c>
      <c r="R592">
        <v>1</v>
      </c>
      <c r="S592" s="1" t="s">
        <v>32</v>
      </c>
      <c r="T592" s="1" t="s">
        <v>33</v>
      </c>
      <c r="U592" s="1" t="s">
        <v>34</v>
      </c>
    </row>
    <row r="593" spans="1:21" x14ac:dyDescent="0.3">
      <c r="A593" s="1" t="s">
        <v>35</v>
      </c>
      <c r="B593">
        <v>24</v>
      </c>
      <c r="C593" s="1" t="s">
        <v>50</v>
      </c>
      <c r="D593" s="1" t="s">
        <v>51</v>
      </c>
      <c r="E593">
        <v>1965</v>
      </c>
      <c r="F593" s="1" t="s">
        <v>24</v>
      </c>
      <c r="G593" s="1" t="s">
        <v>38</v>
      </c>
      <c r="H593">
        <v>4</v>
      </c>
      <c r="I593" s="1" t="s">
        <v>39</v>
      </c>
      <c r="J593" s="1" t="s">
        <v>27</v>
      </c>
      <c r="K593">
        <v>4</v>
      </c>
      <c r="L593" s="1" t="s">
        <v>55</v>
      </c>
      <c r="M593">
        <v>42</v>
      </c>
      <c r="N593" s="1" t="s">
        <v>29</v>
      </c>
      <c r="O593" s="1" t="s">
        <v>56</v>
      </c>
      <c r="P593">
        <v>2</v>
      </c>
      <c r="Q593" s="1" t="s">
        <v>31</v>
      </c>
      <c r="R593">
        <v>1</v>
      </c>
      <c r="S593" s="1" t="s">
        <v>32</v>
      </c>
      <c r="T593" s="1" t="s">
        <v>33</v>
      </c>
      <c r="U593" s="1" t="s">
        <v>34</v>
      </c>
    </row>
    <row r="594" spans="1:21" x14ac:dyDescent="0.3">
      <c r="A594" s="1" t="s">
        <v>42</v>
      </c>
      <c r="B594">
        <v>21</v>
      </c>
      <c r="C594" s="1" t="s">
        <v>36</v>
      </c>
      <c r="D594" s="1" t="s">
        <v>63</v>
      </c>
      <c r="E594">
        <v>1572</v>
      </c>
      <c r="F594" s="1" t="s">
        <v>58</v>
      </c>
      <c r="G594" s="1" t="s">
        <v>25</v>
      </c>
      <c r="H594">
        <v>4</v>
      </c>
      <c r="I594" s="1" t="s">
        <v>39</v>
      </c>
      <c r="J594" s="1" t="s">
        <v>27</v>
      </c>
      <c r="K594">
        <v>4</v>
      </c>
      <c r="L594" s="1" t="s">
        <v>28</v>
      </c>
      <c r="M594">
        <v>36</v>
      </c>
      <c r="N594" s="1" t="s">
        <v>66</v>
      </c>
      <c r="O594" s="1" t="s">
        <v>30</v>
      </c>
      <c r="P594">
        <v>1</v>
      </c>
      <c r="Q594" s="1" t="s">
        <v>45</v>
      </c>
      <c r="R594">
        <v>1</v>
      </c>
      <c r="S594" s="1" t="s">
        <v>40</v>
      </c>
      <c r="T594" s="1" t="s">
        <v>33</v>
      </c>
      <c r="U594" s="1" t="s">
        <v>34</v>
      </c>
    </row>
    <row r="595" spans="1:21" x14ac:dyDescent="0.3">
      <c r="A595" s="1" t="s">
        <v>35</v>
      </c>
      <c r="B595">
        <v>24</v>
      </c>
      <c r="C595" s="1" t="s">
        <v>36</v>
      </c>
      <c r="D595" s="1" t="s">
        <v>51</v>
      </c>
      <c r="E595">
        <v>2718</v>
      </c>
      <c r="F595" s="1" t="s">
        <v>37</v>
      </c>
      <c r="G595" s="1" t="s">
        <v>38</v>
      </c>
      <c r="H595">
        <v>3</v>
      </c>
      <c r="I595" s="1" t="s">
        <v>39</v>
      </c>
      <c r="J595" s="1" t="s">
        <v>27</v>
      </c>
      <c r="K595">
        <v>4</v>
      </c>
      <c r="L595" s="1" t="s">
        <v>48</v>
      </c>
      <c r="M595">
        <v>20</v>
      </c>
      <c r="N595" s="1" t="s">
        <v>29</v>
      </c>
      <c r="O595" s="1" t="s">
        <v>56</v>
      </c>
      <c r="P595">
        <v>1</v>
      </c>
      <c r="Q595" s="1" t="s">
        <v>45</v>
      </c>
      <c r="R595">
        <v>1</v>
      </c>
      <c r="S595" s="1" t="s">
        <v>32</v>
      </c>
      <c r="T595" s="1" t="s">
        <v>33</v>
      </c>
      <c r="U595" s="1" t="s">
        <v>41</v>
      </c>
    </row>
    <row r="596" spans="1:21" x14ac:dyDescent="0.3">
      <c r="A596" s="1" t="s">
        <v>21</v>
      </c>
      <c r="B596">
        <v>24</v>
      </c>
      <c r="C596" s="1" t="s">
        <v>69</v>
      </c>
      <c r="D596" s="1" t="s">
        <v>75</v>
      </c>
      <c r="E596">
        <v>1358</v>
      </c>
      <c r="F596" s="1" t="s">
        <v>24</v>
      </c>
      <c r="G596" s="1" t="s">
        <v>25</v>
      </c>
      <c r="H596">
        <v>4</v>
      </c>
      <c r="I596" s="1" t="s">
        <v>26</v>
      </c>
      <c r="J596" s="1" t="s">
        <v>27</v>
      </c>
      <c r="K596">
        <v>3</v>
      </c>
      <c r="L596" s="1" t="s">
        <v>55</v>
      </c>
      <c r="M596">
        <v>40</v>
      </c>
      <c r="N596" s="1" t="s">
        <v>70</v>
      </c>
      <c r="O596" s="1" t="s">
        <v>30</v>
      </c>
      <c r="P596">
        <v>1</v>
      </c>
      <c r="Q596" s="1" t="s">
        <v>57</v>
      </c>
      <c r="R596">
        <v>1</v>
      </c>
      <c r="S596" s="1" t="s">
        <v>32</v>
      </c>
      <c r="T596" s="1" t="s">
        <v>33</v>
      </c>
      <c r="U596" s="1" t="s">
        <v>41</v>
      </c>
    </row>
    <row r="597" spans="1:21" x14ac:dyDescent="0.3">
      <c r="A597" s="1" t="s">
        <v>35</v>
      </c>
      <c r="B597">
        <v>6</v>
      </c>
      <c r="C597" s="1" t="s">
        <v>69</v>
      </c>
      <c r="D597" s="1" t="s">
        <v>51</v>
      </c>
      <c r="E597">
        <v>931</v>
      </c>
      <c r="F597" s="1" t="s">
        <v>64</v>
      </c>
      <c r="G597" s="1" t="s">
        <v>62</v>
      </c>
      <c r="H597">
        <v>1</v>
      </c>
      <c r="I597" s="1" t="s">
        <v>39</v>
      </c>
      <c r="J597" s="1" t="s">
        <v>27</v>
      </c>
      <c r="K597">
        <v>1</v>
      </c>
      <c r="L597" s="1" t="s">
        <v>48</v>
      </c>
      <c r="M597">
        <v>32</v>
      </c>
      <c r="N597" s="1" t="s">
        <v>70</v>
      </c>
      <c r="O597" s="1" t="s">
        <v>30</v>
      </c>
      <c r="P597">
        <v>1</v>
      </c>
      <c r="Q597" s="1" t="s">
        <v>45</v>
      </c>
      <c r="R597">
        <v>1</v>
      </c>
      <c r="S597" s="1" t="s">
        <v>40</v>
      </c>
      <c r="T597" s="1" t="s">
        <v>33</v>
      </c>
      <c r="U597" s="1" t="s">
        <v>41</v>
      </c>
    </row>
    <row r="598" spans="1:21" x14ac:dyDescent="0.3">
      <c r="A598" s="1" t="s">
        <v>21</v>
      </c>
      <c r="B598">
        <v>24</v>
      </c>
      <c r="C598" s="1" t="s">
        <v>36</v>
      </c>
      <c r="D598" s="1" t="s">
        <v>51</v>
      </c>
      <c r="E598">
        <v>1442</v>
      </c>
      <c r="F598" s="1" t="s">
        <v>37</v>
      </c>
      <c r="G598" s="1" t="s">
        <v>44</v>
      </c>
      <c r="H598">
        <v>4</v>
      </c>
      <c r="I598" s="1" t="s">
        <v>39</v>
      </c>
      <c r="J598" s="1" t="s">
        <v>27</v>
      </c>
      <c r="K598">
        <v>4</v>
      </c>
      <c r="L598" s="1" t="s">
        <v>55</v>
      </c>
      <c r="M598">
        <v>23</v>
      </c>
      <c r="N598" s="1" t="s">
        <v>29</v>
      </c>
      <c r="O598" s="1" t="s">
        <v>56</v>
      </c>
      <c r="P598">
        <v>2</v>
      </c>
      <c r="Q598" s="1" t="s">
        <v>31</v>
      </c>
      <c r="R598">
        <v>1</v>
      </c>
      <c r="S598" s="1" t="s">
        <v>40</v>
      </c>
      <c r="T598" s="1" t="s">
        <v>33</v>
      </c>
      <c r="U598" s="1" t="s">
        <v>41</v>
      </c>
    </row>
    <row r="599" spans="1:21" x14ac:dyDescent="0.3">
      <c r="A599" s="1" t="s">
        <v>35</v>
      </c>
      <c r="B599">
        <v>24</v>
      </c>
      <c r="C599" s="1" t="s">
        <v>65</v>
      </c>
      <c r="D599" s="1" t="s">
        <v>63</v>
      </c>
      <c r="E599">
        <v>4241</v>
      </c>
      <c r="F599" s="1" t="s">
        <v>37</v>
      </c>
      <c r="G599" s="1" t="s">
        <v>38</v>
      </c>
      <c r="H599">
        <v>1</v>
      </c>
      <c r="I599" s="1" t="s">
        <v>26</v>
      </c>
      <c r="J599" s="1" t="s">
        <v>27</v>
      </c>
      <c r="K599">
        <v>4</v>
      </c>
      <c r="L599" s="1" t="s">
        <v>28</v>
      </c>
      <c r="M599">
        <v>36</v>
      </c>
      <c r="N599" s="1" t="s">
        <v>29</v>
      </c>
      <c r="O599" s="1" t="s">
        <v>30</v>
      </c>
      <c r="P599">
        <v>3</v>
      </c>
      <c r="Q599" s="1" t="s">
        <v>45</v>
      </c>
      <c r="R599">
        <v>1</v>
      </c>
      <c r="S599" s="1" t="s">
        <v>32</v>
      </c>
      <c r="T599" s="1" t="s">
        <v>33</v>
      </c>
      <c r="U599" s="1" t="s">
        <v>41</v>
      </c>
    </row>
    <row r="600" spans="1:21" x14ac:dyDescent="0.3">
      <c r="A600" s="1" t="s">
        <v>42</v>
      </c>
      <c r="B600">
        <v>18</v>
      </c>
      <c r="C600" s="1" t="s">
        <v>22</v>
      </c>
      <c r="D600" s="1" t="s">
        <v>51</v>
      </c>
      <c r="E600">
        <v>2775</v>
      </c>
      <c r="F600" s="1" t="s">
        <v>37</v>
      </c>
      <c r="G600" s="1" t="s">
        <v>44</v>
      </c>
      <c r="H600">
        <v>2</v>
      </c>
      <c r="I600" s="1" t="s">
        <v>26</v>
      </c>
      <c r="J600" s="1" t="s">
        <v>27</v>
      </c>
      <c r="K600">
        <v>2</v>
      </c>
      <c r="L600" s="1" t="s">
        <v>48</v>
      </c>
      <c r="M600">
        <v>31</v>
      </c>
      <c r="N600" s="1" t="s">
        <v>66</v>
      </c>
      <c r="O600" s="1" t="s">
        <v>30</v>
      </c>
      <c r="P600">
        <v>2</v>
      </c>
      <c r="Q600" s="1" t="s">
        <v>31</v>
      </c>
      <c r="R600">
        <v>1</v>
      </c>
      <c r="S600" s="1" t="s">
        <v>40</v>
      </c>
      <c r="T600" s="1" t="s">
        <v>33</v>
      </c>
      <c r="U600" s="1" t="s">
        <v>41</v>
      </c>
    </row>
    <row r="601" spans="1:21" x14ac:dyDescent="0.3">
      <c r="A601" s="1" t="s">
        <v>42</v>
      </c>
      <c r="B601">
        <v>24</v>
      </c>
      <c r="C601" s="1" t="s">
        <v>50</v>
      </c>
      <c r="D601" s="1" t="s">
        <v>63</v>
      </c>
      <c r="E601">
        <v>3863</v>
      </c>
      <c r="F601" s="1" t="s">
        <v>37</v>
      </c>
      <c r="G601" s="1" t="s">
        <v>38</v>
      </c>
      <c r="H601">
        <v>1</v>
      </c>
      <c r="I601" s="1" t="s">
        <v>26</v>
      </c>
      <c r="J601" s="1" t="s">
        <v>27</v>
      </c>
      <c r="K601">
        <v>2</v>
      </c>
      <c r="L601" s="1" t="s">
        <v>52</v>
      </c>
      <c r="M601">
        <v>32</v>
      </c>
      <c r="N601" s="1" t="s">
        <v>29</v>
      </c>
      <c r="O601" s="1" t="s">
        <v>49</v>
      </c>
      <c r="P601">
        <v>1</v>
      </c>
      <c r="Q601" s="1" t="s">
        <v>31</v>
      </c>
      <c r="R601">
        <v>1</v>
      </c>
      <c r="S601" s="1" t="s">
        <v>40</v>
      </c>
      <c r="T601" s="1" t="s">
        <v>33</v>
      </c>
      <c r="U601" s="1" t="s">
        <v>34</v>
      </c>
    </row>
    <row r="602" spans="1:21" x14ac:dyDescent="0.3">
      <c r="A602" s="1" t="s">
        <v>35</v>
      </c>
      <c r="B602">
        <v>7</v>
      </c>
      <c r="C602" s="1" t="s">
        <v>36</v>
      </c>
      <c r="D602" s="1" t="s">
        <v>23</v>
      </c>
      <c r="E602">
        <v>2329</v>
      </c>
      <c r="F602" s="1" t="s">
        <v>37</v>
      </c>
      <c r="G602" s="1" t="s">
        <v>62</v>
      </c>
      <c r="H602">
        <v>1</v>
      </c>
      <c r="I602" s="1" t="s">
        <v>39</v>
      </c>
      <c r="J602" s="1" t="s">
        <v>47</v>
      </c>
      <c r="K602">
        <v>1</v>
      </c>
      <c r="L602" s="1" t="s">
        <v>28</v>
      </c>
      <c r="M602">
        <v>45</v>
      </c>
      <c r="N602" s="1" t="s">
        <v>29</v>
      </c>
      <c r="O602" s="1" t="s">
        <v>30</v>
      </c>
      <c r="P602">
        <v>1</v>
      </c>
      <c r="Q602" s="1" t="s">
        <v>31</v>
      </c>
      <c r="R602">
        <v>1</v>
      </c>
      <c r="S602" s="1" t="s">
        <v>40</v>
      </c>
      <c r="T602" s="1" t="s">
        <v>33</v>
      </c>
      <c r="U602" s="1" t="s">
        <v>34</v>
      </c>
    </row>
    <row r="603" spans="1:21" x14ac:dyDescent="0.3">
      <c r="A603" s="1" t="s">
        <v>35</v>
      </c>
      <c r="B603">
        <v>9</v>
      </c>
      <c r="C603" s="1" t="s">
        <v>36</v>
      </c>
      <c r="D603" s="1" t="s">
        <v>46</v>
      </c>
      <c r="E603">
        <v>918</v>
      </c>
      <c r="F603" s="1" t="s">
        <v>37</v>
      </c>
      <c r="G603" s="1" t="s">
        <v>38</v>
      </c>
      <c r="H603">
        <v>4</v>
      </c>
      <c r="I603" s="1" t="s">
        <v>39</v>
      </c>
      <c r="J603" s="1" t="s">
        <v>27</v>
      </c>
      <c r="K603">
        <v>1</v>
      </c>
      <c r="L603" s="1" t="s">
        <v>48</v>
      </c>
      <c r="M603">
        <v>30</v>
      </c>
      <c r="N603" s="1" t="s">
        <v>29</v>
      </c>
      <c r="O603" s="1" t="s">
        <v>30</v>
      </c>
      <c r="P603">
        <v>1</v>
      </c>
      <c r="Q603" s="1" t="s">
        <v>31</v>
      </c>
      <c r="R603">
        <v>1</v>
      </c>
      <c r="S603" s="1" t="s">
        <v>40</v>
      </c>
      <c r="T603" s="1" t="s">
        <v>33</v>
      </c>
      <c r="U603" s="1" t="s">
        <v>41</v>
      </c>
    </row>
    <row r="604" spans="1:21" x14ac:dyDescent="0.3">
      <c r="A604" s="1" t="s">
        <v>35</v>
      </c>
      <c r="B604">
        <v>24</v>
      </c>
      <c r="C604" s="1" t="s">
        <v>69</v>
      </c>
      <c r="D604" s="1" t="s">
        <v>43</v>
      </c>
      <c r="E604">
        <v>1837</v>
      </c>
      <c r="F604" s="1" t="s">
        <v>37</v>
      </c>
      <c r="G604" s="1" t="s">
        <v>44</v>
      </c>
      <c r="H604">
        <v>4</v>
      </c>
      <c r="I604" s="1" t="s">
        <v>39</v>
      </c>
      <c r="J604" s="1" t="s">
        <v>27</v>
      </c>
      <c r="K604">
        <v>4</v>
      </c>
      <c r="L604" s="1" t="s">
        <v>52</v>
      </c>
      <c r="M604">
        <v>34</v>
      </c>
      <c r="N604" s="1" t="s">
        <v>66</v>
      </c>
      <c r="O604" s="1" t="s">
        <v>49</v>
      </c>
      <c r="P604">
        <v>1</v>
      </c>
      <c r="Q604" s="1" t="s">
        <v>45</v>
      </c>
      <c r="R604">
        <v>1</v>
      </c>
      <c r="S604" s="1" t="s">
        <v>40</v>
      </c>
      <c r="T604" s="1" t="s">
        <v>33</v>
      </c>
      <c r="U604" s="1" t="s">
        <v>41</v>
      </c>
    </row>
    <row r="605" spans="1:21" x14ac:dyDescent="0.3">
      <c r="A605" s="1" t="s">
        <v>42</v>
      </c>
      <c r="B605">
        <v>36</v>
      </c>
      <c r="C605" s="1" t="s">
        <v>36</v>
      </c>
      <c r="D605" s="1" t="s">
        <v>46</v>
      </c>
      <c r="E605">
        <v>3349</v>
      </c>
      <c r="F605" s="1" t="s">
        <v>37</v>
      </c>
      <c r="G605" s="1" t="s">
        <v>38</v>
      </c>
      <c r="H605">
        <v>4</v>
      </c>
      <c r="I605" s="1" t="s">
        <v>39</v>
      </c>
      <c r="J605" s="1" t="s">
        <v>27</v>
      </c>
      <c r="K605">
        <v>2</v>
      </c>
      <c r="L605" s="1" t="s">
        <v>55</v>
      </c>
      <c r="M605">
        <v>28</v>
      </c>
      <c r="N605" s="1" t="s">
        <v>29</v>
      </c>
      <c r="O605" s="1" t="s">
        <v>30</v>
      </c>
      <c r="P605">
        <v>1</v>
      </c>
      <c r="Q605" s="1" t="s">
        <v>57</v>
      </c>
      <c r="R605">
        <v>1</v>
      </c>
      <c r="S605" s="1" t="s">
        <v>32</v>
      </c>
      <c r="T605" s="1" t="s">
        <v>33</v>
      </c>
      <c r="U605" s="1" t="s">
        <v>41</v>
      </c>
    </row>
    <row r="606" spans="1:21" x14ac:dyDescent="0.3">
      <c r="A606" s="1" t="s">
        <v>68</v>
      </c>
      <c r="B606">
        <v>10</v>
      </c>
      <c r="C606" s="1" t="s">
        <v>36</v>
      </c>
      <c r="D606" s="1" t="s">
        <v>46</v>
      </c>
      <c r="E606">
        <v>1275</v>
      </c>
      <c r="F606" s="1" t="s">
        <v>37</v>
      </c>
      <c r="G606" s="1" t="s">
        <v>62</v>
      </c>
      <c r="H606">
        <v>4</v>
      </c>
      <c r="I606" s="1" t="s">
        <v>39</v>
      </c>
      <c r="J606" s="1" t="s">
        <v>27</v>
      </c>
      <c r="K606">
        <v>2</v>
      </c>
      <c r="L606" s="1" t="s">
        <v>48</v>
      </c>
      <c r="M606">
        <v>23</v>
      </c>
      <c r="N606" s="1" t="s">
        <v>29</v>
      </c>
      <c r="O606" s="1" t="s">
        <v>30</v>
      </c>
      <c r="P606">
        <v>1</v>
      </c>
      <c r="Q606" s="1" t="s">
        <v>31</v>
      </c>
      <c r="R606">
        <v>1</v>
      </c>
      <c r="S606" s="1" t="s">
        <v>40</v>
      </c>
      <c r="T606" s="1" t="s">
        <v>33</v>
      </c>
      <c r="U606" s="1" t="s">
        <v>34</v>
      </c>
    </row>
    <row r="607" spans="1:21" x14ac:dyDescent="0.3">
      <c r="A607" s="1" t="s">
        <v>21</v>
      </c>
      <c r="B607">
        <v>24</v>
      </c>
      <c r="C607" s="1" t="s">
        <v>69</v>
      </c>
      <c r="D607" s="1" t="s">
        <v>46</v>
      </c>
      <c r="E607">
        <v>2828</v>
      </c>
      <c r="F607" s="1" t="s">
        <v>53</v>
      </c>
      <c r="G607" s="1" t="s">
        <v>38</v>
      </c>
      <c r="H607">
        <v>4</v>
      </c>
      <c r="I607" s="1" t="s">
        <v>26</v>
      </c>
      <c r="J607" s="1" t="s">
        <v>27</v>
      </c>
      <c r="K607">
        <v>4</v>
      </c>
      <c r="L607" s="1" t="s">
        <v>28</v>
      </c>
      <c r="M607">
        <v>22</v>
      </c>
      <c r="N607" s="1" t="s">
        <v>70</v>
      </c>
      <c r="O607" s="1" t="s">
        <v>30</v>
      </c>
      <c r="P607">
        <v>1</v>
      </c>
      <c r="Q607" s="1" t="s">
        <v>31</v>
      </c>
      <c r="R607">
        <v>1</v>
      </c>
      <c r="S607" s="1" t="s">
        <v>32</v>
      </c>
      <c r="T607" s="1" t="s">
        <v>33</v>
      </c>
      <c r="U607" s="1" t="s">
        <v>34</v>
      </c>
    </row>
    <row r="608" spans="1:21" x14ac:dyDescent="0.3">
      <c r="A608" s="1" t="s">
        <v>42</v>
      </c>
      <c r="B608">
        <v>24</v>
      </c>
      <c r="C608" s="1" t="s">
        <v>22</v>
      </c>
      <c r="D608" s="1" t="s">
        <v>63</v>
      </c>
      <c r="E608">
        <v>4526</v>
      </c>
      <c r="F608" s="1" t="s">
        <v>37</v>
      </c>
      <c r="G608" s="1" t="s">
        <v>38</v>
      </c>
      <c r="H608">
        <v>3</v>
      </c>
      <c r="I608" s="1" t="s">
        <v>26</v>
      </c>
      <c r="J608" s="1" t="s">
        <v>27</v>
      </c>
      <c r="K608">
        <v>2</v>
      </c>
      <c r="L608" s="1" t="s">
        <v>28</v>
      </c>
      <c r="M608">
        <v>74</v>
      </c>
      <c r="N608" s="1" t="s">
        <v>29</v>
      </c>
      <c r="O608" s="1" t="s">
        <v>30</v>
      </c>
      <c r="P608">
        <v>1</v>
      </c>
      <c r="Q608" s="1" t="s">
        <v>57</v>
      </c>
      <c r="R608">
        <v>1</v>
      </c>
      <c r="S608" s="1" t="s">
        <v>32</v>
      </c>
      <c r="T608" s="1" t="s">
        <v>33</v>
      </c>
      <c r="U608" s="1" t="s">
        <v>34</v>
      </c>
    </row>
    <row r="609" spans="1:21" x14ac:dyDescent="0.3">
      <c r="A609" s="1" t="s">
        <v>35</v>
      </c>
      <c r="B609">
        <v>36</v>
      </c>
      <c r="C609" s="1" t="s">
        <v>36</v>
      </c>
      <c r="D609" s="1" t="s">
        <v>23</v>
      </c>
      <c r="E609">
        <v>2671</v>
      </c>
      <c r="F609" s="1" t="s">
        <v>64</v>
      </c>
      <c r="G609" s="1" t="s">
        <v>38</v>
      </c>
      <c r="H609">
        <v>4</v>
      </c>
      <c r="I609" s="1" t="s">
        <v>39</v>
      </c>
      <c r="J609" s="1" t="s">
        <v>71</v>
      </c>
      <c r="K609">
        <v>4</v>
      </c>
      <c r="L609" s="1" t="s">
        <v>52</v>
      </c>
      <c r="M609">
        <v>50</v>
      </c>
      <c r="N609" s="1" t="s">
        <v>29</v>
      </c>
      <c r="O609" s="1" t="s">
        <v>49</v>
      </c>
      <c r="P609">
        <v>1</v>
      </c>
      <c r="Q609" s="1" t="s">
        <v>31</v>
      </c>
      <c r="R609">
        <v>1</v>
      </c>
      <c r="S609" s="1" t="s">
        <v>40</v>
      </c>
      <c r="T609" s="1" t="s">
        <v>33</v>
      </c>
      <c r="U609" s="1" t="s">
        <v>41</v>
      </c>
    </row>
    <row r="610" spans="1:21" x14ac:dyDescent="0.3">
      <c r="A610" s="1" t="s">
        <v>42</v>
      </c>
      <c r="B610">
        <v>18</v>
      </c>
      <c r="C610" s="1" t="s">
        <v>36</v>
      </c>
      <c r="D610" s="1" t="s">
        <v>23</v>
      </c>
      <c r="E610">
        <v>2051</v>
      </c>
      <c r="F610" s="1" t="s">
        <v>37</v>
      </c>
      <c r="G610" s="1" t="s">
        <v>62</v>
      </c>
      <c r="H610">
        <v>4</v>
      </c>
      <c r="I610" s="1" t="s">
        <v>26</v>
      </c>
      <c r="J610" s="1" t="s">
        <v>27</v>
      </c>
      <c r="K610">
        <v>1</v>
      </c>
      <c r="L610" s="1" t="s">
        <v>28</v>
      </c>
      <c r="M610">
        <v>33</v>
      </c>
      <c r="N610" s="1" t="s">
        <v>29</v>
      </c>
      <c r="O610" s="1" t="s">
        <v>30</v>
      </c>
      <c r="P610">
        <v>1</v>
      </c>
      <c r="Q610" s="1" t="s">
        <v>31</v>
      </c>
      <c r="R610">
        <v>1</v>
      </c>
      <c r="S610" s="1" t="s">
        <v>40</v>
      </c>
      <c r="T610" s="1" t="s">
        <v>33</v>
      </c>
      <c r="U610" s="1" t="s">
        <v>34</v>
      </c>
    </row>
    <row r="611" spans="1:21" x14ac:dyDescent="0.3">
      <c r="A611" s="1" t="s">
        <v>42</v>
      </c>
      <c r="B611">
        <v>15</v>
      </c>
      <c r="C611" s="1" t="s">
        <v>36</v>
      </c>
      <c r="D611" s="1" t="s">
        <v>54</v>
      </c>
      <c r="E611">
        <v>1300</v>
      </c>
      <c r="F611" s="1" t="s">
        <v>24</v>
      </c>
      <c r="G611" s="1" t="s">
        <v>25</v>
      </c>
      <c r="H611">
        <v>4</v>
      </c>
      <c r="I611" s="1" t="s">
        <v>26</v>
      </c>
      <c r="J611" s="1" t="s">
        <v>27</v>
      </c>
      <c r="K611">
        <v>4</v>
      </c>
      <c r="L611" s="1" t="s">
        <v>52</v>
      </c>
      <c r="M611">
        <v>45</v>
      </c>
      <c r="N611" s="1" t="s">
        <v>66</v>
      </c>
      <c r="O611" s="1" t="s">
        <v>49</v>
      </c>
      <c r="P611">
        <v>1</v>
      </c>
      <c r="Q611" s="1" t="s">
        <v>31</v>
      </c>
      <c r="R611">
        <v>2</v>
      </c>
      <c r="S611" s="1" t="s">
        <v>40</v>
      </c>
      <c r="T611" s="1" t="s">
        <v>33</v>
      </c>
      <c r="U611" s="1" t="s">
        <v>34</v>
      </c>
    </row>
    <row r="612" spans="1:21" x14ac:dyDescent="0.3">
      <c r="A612" s="1" t="s">
        <v>21</v>
      </c>
      <c r="B612">
        <v>12</v>
      </c>
      <c r="C612" s="1" t="s">
        <v>36</v>
      </c>
      <c r="D612" s="1" t="s">
        <v>72</v>
      </c>
      <c r="E612">
        <v>741</v>
      </c>
      <c r="F612" s="1" t="s">
        <v>64</v>
      </c>
      <c r="G612" s="1" t="s">
        <v>60</v>
      </c>
      <c r="H612">
        <v>4</v>
      </c>
      <c r="I612" s="1" t="s">
        <v>39</v>
      </c>
      <c r="J612" s="1" t="s">
        <v>27</v>
      </c>
      <c r="K612">
        <v>3</v>
      </c>
      <c r="L612" s="1" t="s">
        <v>48</v>
      </c>
      <c r="M612">
        <v>22</v>
      </c>
      <c r="N612" s="1" t="s">
        <v>29</v>
      </c>
      <c r="O612" s="1" t="s">
        <v>30</v>
      </c>
      <c r="P612">
        <v>1</v>
      </c>
      <c r="Q612" s="1" t="s">
        <v>31</v>
      </c>
      <c r="R612">
        <v>1</v>
      </c>
      <c r="S612" s="1" t="s">
        <v>40</v>
      </c>
      <c r="T612" s="1" t="s">
        <v>33</v>
      </c>
      <c r="U612" s="1" t="s">
        <v>41</v>
      </c>
    </row>
    <row r="613" spans="1:21" x14ac:dyDescent="0.3">
      <c r="A613" s="1" t="s">
        <v>68</v>
      </c>
      <c r="B613">
        <v>10</v>
      </c>
      <c r="C613" s="1" t="s">
        <v>36</v>
      </c>
      <c r="D613" s="1" t="s">
        <v>51</v>
      </c>
      <c r="E613">
        <v>1240</v>
      </c>
      <c r="F613" s="1" t="s">
        <v>64</v>
      </c>
      <c r="G613" s="1" t="s">
        <v>25</v>
      </c>
      <c r="H613">
        <v>1</v>
      </c>
      <c r="I613" s="1" t="s">
        <v>39</v>
      </c>
      <c r="J613" s="1" t="s">
        <v>27</v>
      </c>
      <c r="K613">
        <v>4</v>
      </c>
      <c r="L613" s="1" t="s">
        <v>52</v>
      </c>
      <c r="M613">
        <v>48</v>
      </c>
      <c r="N613" s="1" t="s">
        <v>29</v>
      </c>
      <c r="O613" s="1" t="s">
        <v>49</v>
      </c>
      <c r="P613">
        <v>1</v>
      </c>
      <c r="Q613" s="1" t="s">
        <v>45</v>
      </c>
      <c r="R613">
        <v>2</v>
      </c>
      <c r="S613" s="1" t="s">
        <v>40</v>
      </c>
      <c r="T613" s="1" t="s">
        <v>33</v>
      </c>
      <c r="U613" s="1" t="s">
        <v>41</v>
      </c>
    </row>
    <row r="614" spans="1:21" x14ac:dyDescent="0.3">
      <c r="A614" s="1" t="s">
        <v>21</v>
      </c>
      <c r="B614">
        <v>21</v>
      </c>
      <c r="C614" s="1" t="s">
        <v>36</v>
      </c>
      <c r="D614" s="1" t="s">
        <v>23</v>
      </c>
      <c r="E614">
        <v>3357</v>
      </c>
      <c r="F614" s="1" t="s">
        <v>58</v>
      </c>
      <c r="G614" s="1" t="s">
        <v>62</v>
      </c>
      <c r="H614">
        <v>4</v>
      </c>
      <c r="I614" s="1" t="s">
        <v>39</v>
      </c>
      <c r="J614" s="1" t="s">
        <v>27</v>
      </c>
      <c r="K614">
        <v>2</v>
      </c>
      <c r="L614" s="1" t="s">
        <v>55</v>
      </c>
      <c r="M614">
        <v>29</v>
      </c>
      <c r="N614" s="1" t="s">
        <v>66</v>
      </c>
      <c r="O614" s="1" t="s">
        <v>30</v>
      </c>
      <c r="P614">
        <v>1</v>
      </c>
      <c r="Q614" s="1" t="s">
        <v>31</v>
      </c>
      <c r="R614">
        <v>1</v>
      </c>
      <c r="S614" s="1" t="s">
        <v>40</v>
      </c>
      <c r="T614" s="1" t="s">
        <v>33</v>
      </c>
      <c r="U614" s="1" t="s">
        <v>34</v>
      </c>
    </row>
    <row r="615" spans="1:21" x14ac:dyDescent="0.3">
      <c r="A615" s="1" t="s">
        <v>21</v>
      </c>
      <c r="B615">
        <v>24</v>
      </c>
      <c r="C615" s="1" t="s">
        <v>69</v>
      </c>
      <c r="D615" s="1" t="s">
        <v>54</v>
      </c>
      <c r="E615">
        <v>3632</v>
      </c>
      <c r="F615" s="1" t="s">
        <v>37</v>
      </c>
      <c r="G615" s="1" t="s">
        <v>38</v>
      </c>
      <c r="H615">
        <v>1</v>
      </c>
      <c r="I615" s="1" t="s">
        <v>39</v>
      </c>
      <c r="J615" s="1" t="s">
        <v>47</v>
      </c>
      <c r="K615">
        <v>4</v>
      </c>
      <c r="L615" s="1" t="s">
        <v>55</v>
      </c>
      <c r="M615">
        <v>22</v>
      </c>
      <c r="N615" s="1" t="s">
        <v>66</v>
      </c>
      <c r="O615" s="1" t="s">
        <v>56</v>
      </c>
      <c r="P615">
        <v>1</v>
      </c>
      <c r="Q615" s="1" t="s">
        <v>31</v>
      </c>
      <c r="R615">
        <v>1</v>
      </c>
      <c r="S615" s="1" t="s">
        <v>40</v>
      </c>
      <c r="T615" s="1" t="s">
        <v>67</v>
      </c>
      <c r="U615" s="1" t="s">
        <v>34</v>
      </c>
    </row>
    <row r="616" spans="1:21" x14ac:dyDescent="0.3">
      <c r="A616" s="1" t="s">
        <v>42</v>
      </c>
      <c r="B616">
        <v>18</v>
      </c>
      <c r="C616" s="1" t="s">
        <v>50</v>
      </c>
      <c r="D616" s="1" t="s">
        <v>46</v>
      </c>
      <c r="E616">
        <v>1808</v>
      </c>
      <c r="F616" s="1" t="s">
        <v>37</v>
      </c>
      <c r="G616" s="1" t="s">
        <v>44</v>
      </c>
      <c r="H616">
        <v>4</v>
      </c>
      <c r="I616" s="1" t="s">
        <v>39</v>
      </c>
      <c r="J616" s="1" t="s">
        <v>27</v>
      </c>
      <c r="K616">
        <v>1</v>
      </c>
      <c r="L616" s="1" t="s">
        <v>28</v>
      </c>
      <c r="M616">
        <v>22</v>
      </c>
      <c r="N616" s="1" t="s">
        <v>29</v>
      </c>
      <c r="O616" s="1" t="s">
        <v>30</v>
      </c>
      <c r="P616">
        <v>1</v>
      </c>
      <c r="Q616" s="1" t="s">
        <v>31</v>
      </c>
      <c r="R616">
        <v>1</v>
      </c>
      <c r="S616" s="1" t="s">
        <v>40</v>
      </c>
      <c r="T616" s="1" t="s">
        <v>33</v>
      </c>
      <c r="U616" s="1" t="s">
        <v>41</v>
      </c>
    </row>
    <row r="617" spans="1:21" x14ac:dyDescent="0.3">
      <c r="A617" s="1" t="s">
        <v>35</v>
      </c>
      <c r="B617">
        <v>48</v>
      </c>
      <c r="C617" s="1" t="s">
        <v>65</v>
      </c>
      <c r="D617" s="1" t="s">
        <v>63</v>
      </c>
      <c r="E617">
        <v>12204</v>
      </c>
      <c r="F617" s="1" t="s">
        <v>24</v>
      </c>
      <c r="G617" s="1" t="s">
        <v>38</v>
      </c>
      <c r="H617">
        <v>2</v>
      </c>
      <c r="I617" s="1" t="s">
        <v>26</v>
      </c>
      <c r="J617" s="1" t="s">
        <v>27</v>
      </c>
      <c r="K617">
        <v>2</v>
      </c>
      <c r="L617" s="1" t="s">
        <v>55</v>
      </c>
      <c r="M617">
        <v>48</v>
      </c>
      <c r="N617" s="1" t="s">
        <v>66</v>
      </c>
      <c r="O617" s="1" t="s">
        <v>30</v>
      </c>
      <c r="P617">
        <v>1</v>
      </c>
      <c r="Q617" s="1" t="s">
        <v>57</v>
      </c>
      <c r="R617">
        <v>1</v>
      </c>
      <c r="S617" s="1" t="s">
        <v>32</v>
      </c>
      <c r="T617" s="1" t="s">
        <v>33</v>
      </c>
      <c r="U617" s="1" t="s">
        <v>34</v>
      </c>
    </row>
    <row r="618" spans="1:21" x14ac:dyDescent="0.3">
      <c r="A618" s="1" t="s">
        <v>35</v>
      </c>
      <c r="B618">
        <v>60</v>
      </c>
      <c r="C618" s="1" t="s">
        <v>50</v>
      </c>
      <c r="D618" s="1" t="s">
        <v>23</v>
      </c>
      <c r="E618">
        <v>9157</v>
      </c>
      <c r="F618" s="1" t="s">
        <v>24</v>
      </c>
      <c r="G618" s="1" t="s">
        <v>38</v>
      </c>
      <c r="H618">
        <v>2</v>
      </c>
      <c r="I618" s="1" t="s">
        <v>26</v>
      </c>
      <c r="J618" s="1" t="s">
        <v>27</v>
      </c>
      <c r="K618">
        <v>2</v>
      </c>
      <c r="L618" s="1" t="s">
        <v>52</v>
      </c>
      <c r="M618">
        <v>27</v>
      </c>
      <c r="N618" s="1" t="s">
        <v>29</v>
      </c>
      <c r="O618" s="1" t="s">
        <v>49</v>
      </c>
      <c r="P618">
        <v>1</v>
      </c>
      <c r="Q618" s="1" t="s">
        <v>57</v>
      </c>
      <c r="R618">
        <v>1</v>
      </c>
      <c r="S618" s="1" t="s">
        <v>40</v>
      </c>
      <c r="T618" s="1" t="s">
        <v>33</v>
      </c>
      <c r="U618" s="1" t="s">
        <v>34</v>
      </c>
    </row>
    <row r="619" spans="1:21" x14ac:dyDescent="0.3">
      <c r="A619" s="1" t="s">
        <v>21</v>
      </c>
      <c r="B619">
        <v>6</v>
      </c>
      <c r="C619" s="1" t="s">
        <v>22</v>
      </c>
      <c r="D619" s="1" t="s">
        <v>51</v>
      </c>
      <c r="E619">
        <v>3676</v>
      </c>
      <c r="F619" s="1" t="s">
        <v>37</v>
      </c>
      <c r="G619" s="1" t="s">
        <v>38</v>
      </c>
      <c r="H619">
        <v>1</v>
      </c>
      <c r="I619" s="1" t="s">
        <v>26</v>
      </c>
      <c r="J619" s="1" t="s">
        <v>27</v>
      </c>
      <c r="K619">
        <v>3</v>
      </c>
      <c r="L619" s="1" t="s">
        <v>28</v>
      </c>
      <c r="M619">
        <v>37</v>
      </c>
      <c r="N619" s="1" t="s">
        <v>29</v>
      </c>
      <c r="O619" s="1" t="s">
        <v>56</v>
      </c>
      <c r="P619">
        <v>3</v>
      </c>
      <c r="Q619" s="1" t="s">
        <v>31</v>
      </c>
      <c r="R619">
        <v>2</v>
      </c>
      <c r="S619" s="1" t="s">
        <v>40</v>
      </c>
      <c r="T619" s="1" t="s">
        <v>33</v>
      </c>
      <c r="U619" s="1" t="s">
        <v>34</v>
      </c>
    </row>
    <row r="620" spans="1:21" x14ac:dyDescent="0.3">
      <c r="A620" s="1" t="s">
        <v>35</v>
      </c>
      <c r="B620">
        <v>30</v>
      </c>
      <c r="C620" s="1" t="s">
        <v>36</v>
      </c>
      <c r="D620" s="1" t="s">
        <v>46</v>
      </c>
      <c r="E620">
        <v>3441</v>
      </c>
      <c r="F620" s="1" t="s">
        <v>64</v>
      </c>
      <c r="G620" s="1" t="s">
        <v>38</v>
      </c>
      <c r="H620">
        <v>2</v>
      </c>
      <c r="I620" s="1" t="s">
        <v>39</v>
      </c>
      <c r="J620" s="1" t="s">
        <v>71</v>
      </c>
      <c r="K620">
        <v>4</v>
      </c>
      <c r="L620" s="1" t="s">
        <v>55</v>
      </c>
      <c r="M620">
        <v>21</v>
      </c>
      <c r="N620" s="1" t="s">
        <v>29</v>
      </c>
      <c r="O620" s="1" t="s">
        <v>56</v>
      </c>
      <c r="P620">
        <v>1</v>
      </c>
      <c r="Q620" s="1" t="s">
        <v>31</v>
      </c>
      <c r="R620">
        <v>1</v>
      </c>
      <c r="S620" s="1" t="s">
        <v>40</v>
      </c>
      <c r="T620" s="1" t="s">
        <v>33</v>
      </c>
      <c r="U620" s="1" t="s">
        <v>41</v>
      </c>
    </row>
    <row r="621" spans="1:21" x14ac:dyDescent="0.3">
      <c r="A621" s="1" t="s">
        <v>42</v>
      </c>
      <c r="B621">
        <v>12</v>
      </c>
      <c r="C621" s="1" t="s">
        <v>36</v>
      </c>
      <c r="D621" s="1" t="s">
        <v>51</v>
      </c>
      <c r="E621">
        <v>640</v>
      </c>
      <c r="F621" s="1" t="s">
        <v>37</v>
      </c>
      <c r="G621" s="1" t="s">
        <v>38</v>
      </c>
      <c r="H621">
        <v>4</v>
      </c>
      <c r="I621" s="1" t="s">
        <v>59</v>
      </c>
      <c r="J621" s="1" t="s">
        <v>27</v>
      </c>
      <c r="K621">
        <v>2</v>
      </c>
      <c r="L621" s="1" t="s">
        <v>28</v>
      </c>
      <c r="M621">
        <v>49</v>
      </c>
      <c r="N621" s="1" t="s">
        <v>29</v>
      </c>
      <c r="O621" s="1" t="s">
        <v>30</v>
      </c>
      <c r="P621">
        <v>1</v>
      </c>
      <c r="Q621" s="1" t="s">
        <v>45</v>
      </c>
      <c r="R621">
        <v>1</v>
      </c>
      <c r="S621" s="1" t="s">
        <v>40</v>
      </c>
      <c r="T621" s="1" t="s">
        <v>33</v>
      </c>
      <c r="U621" s="1" t="s">
        <v>34</v>
      </c>
    </row>
    <row r="622" spans="1:21" x14ac:dyDescent="0.3">
      <c r="A622" s="1" t="s">
        <v>35</v>
      </c>
      <c r="B622">
        <v>21</v>
      </c>
      <c r="C622" s="1" t="s">
        <v>22</v>
      </c>
      <c r="D622" s="1" t="s">
        <v>63</v>
      </c>
      <c r="E622">
        <v>3652</v>
      </c>
      <c r="F622" s="1" t="s">
        <v>37</v>
      </c>
      <c r="G622" s="1" t="s">
        <v>44</v>
      </c>
      <c r="H622">
        <v>2</v>
      </c>
      <c r="I622" s="1" t="s">
        <v>26</v>
      </c>
      <c r="J622" s="1" t="s">
        <v>27</v>
      </c>
      <c r="K622">
        <v>3</v>
      </c>
      <c r="L622" s="1" t="s">
        <v>48</v>
      </c>
      <c r="M622">
        <v>27</v>
      </c>
      <c r="N622" s="1" t="s">
        <v>29</v>
      </c>
      <c r="O622" s="1" t="s">
        <v>30</v>
      </c>
      <c r="P622">
        <v>2</v>
      </c>
      <c r="Q622" s="1" t="s">
        <v>31</v>
      </c>
      <c r="R622">
        <v>1</v>
      </c>
      <c r="S622" s="1" t="s">
        <v>40</v>
      </c>
      <c r="T622" s="1" t="s">
        <v>33</v>
      </c>
      <c r="U622" s="1" t="s">
        <v>34</v>
      </c>
    </row>
    <row r="623" spans="1:21" x14ac:dyDescent="0.3">
      <c r="A623" s="1" t="s">
        <v>42</v>
      </c>
      <c r="B623">
        <v>18</v>
      </c>
      <c r="C623" s="1" t="s">
        <v>22</v>
      </c>
      <c r="D623" s="1" t="s">
        <v>51</v>
      </c>
      <c r="E623">
        <v>1530</v>
      </c>
      <c r="F623" s="1" t="s">
        <v>37</v>
      </c>
      <c r="G623" s="1" t="s">
        <v>38</v>
      </c>
      <c r="H623">
        <v>3</v>
      </c>
      <c r="I623" s="1" t="s">
        <v>26</v>
      </c>
      <c r="J623" s="1" t="s">
        <v>27</v>
      </c>
      <c r="K623">
        <v>2</v>
      </c>
      <c r="L623" s="1" t="s">
        <v>48</v>
      </c>
      <c r="M623">
        <v>32</v>
      </c>
      <c r="N623" s="1" t="s">
        <v>66</v>
      </c>
      <c r="O623" s="1" t="s">
        <v>30</v>
      </c>
      <c r="P623">
        <v>2</v>
      </c>
      <c r="Q623" s="1" t="s">
        <v>31</v>
      </c>
      <c r="R623">
        <v>1</v>
      </c>
      <c r="S623" s="1" t="s">
        <v>40</v>
      </c>
      <c r="T623" s="1" t="s">
        <v>33</v>
      </c>
      <c r="U623" s="1" t="s">
        <v>41</v>
      </c>
    </row>
    <row r="624" spans="1:21" x14ac:dyDescent="0.3">
      <c r="A624" s="1" t="s">
        <v>42</v>
      </c>
      <c r="B624">
        <v>48</v>
      </c>
      <c r="C624" s="1" t="s">
        <v>36</v>
      </c>
      <c r="D624" s="1" t="s">
        <v>63</v>
      </c>
      <c r="E624">
        <v>3914</v>
      </c>
      <c r="F624" s="1" t="s">
        <v>24</v>
      </c>
      <c r="G624" s="1" t="s">
        <v>38</v>
      </c>
      <c r="H624">
        <v>4</v>
      </c>
      <c r="I624" s="1" t="s">
        <v>59</v>
      </c>
      <c r="J624" s="1" t="s">
        <v>27</v>
      </c>
      <c r="K624">
        <v>2</v>
      </c>
      <c r="L624" s="1" t="s">
        <v>28</v>
      </c>
      <c r="M624">
        <v>38</v>
      </c>
      <c r="N624" s="1" t="s">
        <v>66</v>
      </c>
      <c r="O624" s="1" t="s">
        <v>30</v>
      </c>
      <c r="P624">
        <v>1</v>
      </c>
      <c r="Q624" s="1" t="s">
        <v>31</v>
      </c>
      <c r="R624">
        <v>1</v>
      </c>
      <c r="S624" s="1" t="s">
        <v>40</v>
      </c>
      <c r="T624" s="1" t="s">
        <v>33</v>
      </c>
      <c r="U624" s="1" t="s">
        <v>41</v>
      </c>
    </row>
    <row r="625" spans="1:21" x14ac:dyDescent="0.3">
      <c r="A625" s="1" t="s">
        <v>21</v>
      </c>
      <c r="B625">
        <v>12</v>
      </c>
      <c r="C625" s="1" t="s">
        <v>36</v>
      </c>
      <c r="D625" s="1" t="s">
        <v>46</v>
      </c>
      <c r="E625">
        <v>1858</v>
      </c>
      <c r="F625" s="1" t="s">
        <v>37</v>
      </c>
      <c r="G625" s="1" t="s">
        <v>62</v>
      </c>
      <c r="H625">
        <v>4</v>
      </c>
      <c r="I625" s="1" t="s">
        <v>39</v>
      </c>
      <c r="J625" s="1" t="s">
        <v>27</v>
      </c>
      <c r="K625">
        <v>1</v>
      </c>
      <c r="L625" s="1" t="s">
        <v>55</v>
      </c>
      <c r="M625">
        <v>22</v>
      </c>
      <c r="N625" s="1" t="s">
        <v>29</v>
      </c>
      <c r="O625" s="1" t="s">
        <v>56</v>
      </c>
      <c r="P625">
        <v>1</v>
      </c>
      <c r="Q625" s="1" t="s">
        <v>31</v>
      </c>
      <c r="R625">
        <v>1</v>
      </c>
      <c r="S625" s="1" t="s">
        <v>40</v>
      </c>
      <c r="T625" s="1" t="s">
        <v>33</v>
      </c>
      <c r="U625" s="1" t="s">
        <v>34</v>
      </c>
    </row>
    <row r="626" spans="1:21" x14ac:dyDescent="0.3">
      <c r="A626" s="1" t="s">
        <v>21</v>
      </c>
      <c r="B626">
        <v>18</v>
      </c>
      <c r="C626" s="1" t="s">
        <v>36</v>
      </c>
      <c r="D626" s="1" t="s">
        <v>23</v>
      </c>
      <c r="E626">
        <v>2600</v>
      </c>
      <c r="F626" s="1" t="s">
        <v>37</v>
      </c>
      <c r="G626" s="1" t="s">
        <v>38</v>
      </c>
      <c r="H626">
        <v>4</v>
      </c>
      <c r="I626" s="1" t="s">
        <v>26</v>
      </c>
      <c r="J626" s="1" t="s">
        <v>27</v>
      </c>
      <c r="K626">
        <v>4</v>
      </c>
      <c r="L626" s="1" t="s">
        <v>52</v>
      </c>
      <c r="M626">
        <v>65</v>
      </c>
      <c r="N626" s="1" t="s">
        <v>29</v>
      </c>
      <c r="O626" s="1" t="s">
        <v>49</v>
      </c>
      <c r="P626">
        <v>2</v>
      </c>
      <c r="Q626" s="1" t="s">
        <v>31</v>
      </c>
      <c r="R626">
        <v>1</v>
      </c>
      <c r="S626" s="1" t="s">
        <v>40</v>
      </c>
      <c r="T626" s="1" t="s">
        <v>33</v>
      </c>
      <c r="U626" s="1" t="s">
        <v>41</v>
      </c>
    </row>
    <row r="627" spans="1:21" x14ac:dyDescent="0.3">
      <c r="A627" s="1" t="s">
        <v>42</v>
      </c>
      <c r="B627">
        <v>15</v>
      </c>
      <c r="C627" s="1" t="s">
        <v>36</v>
      </c>
      <c r="D627" s="1" t="s">
        <v>23</v>
      </c>
      <c r="E627">
        <v>1979</v>
      </c>
      <c r="F627" s="1" t="s">
        <v>24</v>
      </c>
      <c r="G627" s="1" t="s">
        <v>25</v>
      </c>
      <c r="H627">
        <v>4</v>
      </c>
      <c r="I627" s="1" t="s">
        <v>26</v>
      </c>
      <c r="J627" s="1" t="s">
        <v>27</v>
      </c>
      <c r="K627">
        <v>2</v>
      </c>
      <c r="L627" s="1" t="s">
        <v>55</v>
      </c>
      <c r="M627">
        <v>35</v>
      </c>
      <c r="N627" s="1" t="s">
        <v>29</v>
      </c>
      <c r="O627" s="1" t="s">
        <v>30</v>
      </c>
      <c r="P627">
        <v>1</v>
      </c>
      <c r="Q627" s="1" t="s">
        <v>31</v>
      </c>
      <c r="R627">
        <v>1</v>
      </c>
      <c r="S627" s="1" t="s">
        <v>40</v>
      </c>
      <c r="T627" s="1" t="s">
        <v>33</v>
      </c>
      <c r="U627" s="1" t="s">
        <v>34</v>
      </c>
    </row>
    <row r="628" spans="1:21" x14ac:dyDescent="0.3">
      <c r="A628" s="1" t="s">
        <v>68</v>
      </c>
      <c r="B628">
        <v>6</v>
      </c>
      <c r="C628" s="1" t="s">
        <v>36</v>
      </c>
      <c r="D628" s="1" t="s">
        <v>46</v>
      </c>
      <c r="E628">
        <v>2116</v>
      </c>
      <c r="F628" s="1" t="s">
        <v>37</v>
      </c>
      <c r="G628" s="1" t="s">
        <v>38</v>
      </c>
      <c r="H628">
        <v>2</v>
      </c>
      <c r="I628" s="1" t="s">
        <v>26</v>
      </c>
      <c r="J628" s="1" t="s">
        <v>27</v>
      </c>
      <c r="K628">
        <v>2</v>
      </c>
      <c r="L628" s="1" t="s">
        <v>28</v>
      </c>
      <c r="M628">
        <v>41</v>
      </c>
      <c r="N628" s="1" t="s">
        <v>29</v>
      </c>
      <c r="O628" s="1" t="s">
        <v>30</v>
      </c>
      <c r="P628">
        <v>1</v>
      </c>
      <c r="Q628" s="1" t="s">
        <v>31</v>
      </c>
      <c r="R628">
        <v>1</v>
      </c>
      <c r="S628" s="1" t="s">
        <v>32</v>
      </c>
      <c r="T628" s="1" t="s">
        <v>33</v>
      </c>
      <c r="U628" s="1" t="s">
        <v>34</v>
      </c>
    </row>
    <row r="629" spans="1:21" x14ac:dyDescent="0.3">
      <c r="A629" s="1" t="s">
        <v>35</v>
      </c>
      <c r="B629">
        <v>9</v>
      </c>
      <c r="C629" s="1" t="s">
        <v>69</v>
      </c>
      <c r="D629" s="1" t="s">
        <v>51</v>
      </c>
      <c r="E629">
        <v>1437</v>
      </c>
      <c r="F629" s="1" t="s">
        <v>64</v>
      </c>
      <c r="G629" s="1" t="s">
        <v>44</v>
      </c>
      <c r="H629">
        <v>2</v>
      </c>
      <c r="I629" s="1" t="s">
        <v>26</v>
      </c>
      <c r="J629" s="1" t="s">
        <v>27</v>
      </c>
      <c r="K629">
        <v>3</v>
      </c>
      <c r="L629" s="1" t="s">
        <v>52</v>
      </c>
      <c r="M629">
        <v>29</v>
      </c>
      <c r="N629" s="1" t="s">
        <v>29</v>
      </c>
      <c r="O629" s="1" t="s">
        <v>30</v>
      </c>
      <c r="P629">
        <v>1</v>
      </c>
      <c r="Q629" s="1" t="s">
        <v>31</v>
      </c>
      <c r="R629">
        <v>1</v>
      </c>
      <c r="S629" s="1" t="s">
        <v>40</v>
      </c>
      <c r="T629" s="1" t="s">
        <v>33</v>
      </c>
      <c r="U629" s="1" t="s">
        <v>41</v>
      </c>
    </row>
    <row r="630" spans="1:21" x14ac:dyDescent="0.3">
      <c r="A630" s="1" t="s">
        <v>42</v>
      </c>
      <c r="B630">
        <v>42</v>
      </c>
      <c r="C630" s="1" t="s">
        <v>22</v>
      </c>
      <c r="D630" s="1" t="s">
        <v>46</v>
      </c>
      <c r="E630">
        <v>4042</v>
      </c>
      <c r="F630" s="1" t="s">
        <v>53</v>
      </c>
      <c r="G630" s="1" t="s">
        <v>38</v>
      </c>
      <c r="H630">
        <v>4</v>
      </c>
      <c r="I630" s="1" t="s">
        <v>26</v>
      </c>
      <c r="J630" s="1" t="s">
        <v>27</v>
      </c>
      <c r="K630">
        <v>4</v>
      </c>
      <c r="L630" s="1" t="s">
        <v>28</v>
      </c>
      <c r="M630">
        <v>36</v>
      </c>
      <c r="N630" s="1" t="s">
        <v>29</v>
      </c>
      <c r="O630" s="1" t="s">
        <v>30</v>
      </c>
      <c r="P630">
        <v>2</v>
      </c>
      <c r="Q630" s="1" t="s">
        <v>31</v>
      </c>
      <c r="R630">
        <v>1</v>
      </c>
      <c r="S630" s="1" t="s">
        <v>32</v>
      </c>
      <c r="T630" s="1" t="s">
        <v>33</v>
      </c>
      <c r="U630" s="1" t="s">
        <v>34</v>
      </c>
    </row>
    <row r="631" spans="1:21" x14ac:dyDescent="0.3">
      <c r="A631" s="1" t="s">
        <v>42</v>
      </c>
      <c r="B631">
        <v>9</v>
      </c>
      <c r="C631" s="1" t="s">
        <v>36</v>
      </c>
      <c r="D631" s="1" t="s">
        <v>43</v>
      </c>
      <c r="E631">
        <v>3832</v>
      </c>
      <c r="F631" s="1" t="s">
        <v>24</v>
      </c>
      <c r="G631" s="1" t="s">
        <v>25</v>
      </c>
      <c r="H631">
        <v>1</v>
      </c>
      <c r="I631" s="1" t="s">
        <v>26</v>
      </c>
      <c r="J631" s="1" t="s">
        <v>27</v>
      </c>
      <c r="K631">
        <v>4</v>
      </c>
      <c r="L631" s="1" t="s">
        <v>28</v>
      </c>
      <c r="M631">
        <v>64</v>
      </c>
      <c r="N631" s="1" t="s">
        <v>29</v>
      </c>
      <c r="O631" s="1" t="s">
        <v>30</v>
      </c>
      <c r="P631">
        <v>1</v>
      </c>
      <c r="Q631" s="1" t="s">
        <v>45</v>
      </c>
      <c r="R631">
        <v>1</v>
      </c>
      <c r="S631" s="1" t="s">
        <v>40</v>
      </c>
      <c r="T631" s="1" t="s">
        <v>33</v>
      </c>
      <c r="U631" s="1" t="s">
        <v>34</v>
      </c>
    </row>
    <row r="632" spans="1:21" x14ac:dyDescent="0.3">
      <c r="A632" s="1" t="s">
        <v>21</v>
      </c>
      <c r="B632">
        <v>24</v>
      </c>
      <c r="C632" s="1" t="s">
        <v>36</v>
      </c>
      <c r="D632" s="1" t="s">
        <v>23</v>
      </c>
      <c r="E632">
        <v>3660</v>
      </c>
      <c r="F632" s="1" t="s">
        <v>37</v>
      </c>
      <c r="G632" s="1" t="s">
        <v>38</v>
      </c>
      <c r="H632">
        <v>2</v>
      </c>
      <c r="I632" s="1" t="s">
        <v>39</v>
      </c>
      <c r="J632" s="1" t="s">
        <v>27</v>
      </c>
      <c r="K632">
        <v>4</v>
      </c>
      <c r="L632" s="1" t="s">
        <v>55</v>
      </c>
      <c r="M632">
        <v>28</v>
      </c>
      <c r="N632" s="1" t="s">
        <v>29</v>
      </c>
      <c r="O632" s="1" t="s">
        <v>30</v>
      </c>
      <c r="P632">
        <v>1</v>
      </c>
      <c r="Q632" s="1" t="s">
        <v>31</v>
      </c>
      <c r="R632">
        <v>1</v>
      </c>
      <c r="S632" s="1" t="s">
        <v>40</v>
      </c>
      <c r="T632" s="1" t="s">
        <v>33</v>
      </c>
      <c r="U632" s="1" t="s">
        <v>34</v>
      </c>
    </row>
    <row r="633" spans="1:21" x14ac:dyDescent="0.3">
      <c r="A633" s="1" t="s">
        <v>21</v>
      </c>
      <c r="B633">
        <v>18</v>
      </c>
      <c r="C633" s="1" t="s">
        <v>69</v>
      </c>
      <c r="D633" s="1" t="s">
        <v>46</v>
      </c>
      <c r="E633">
        <v>1553</v>
      </c>
      <c r="F633" s="1" t="s">
        <v>37</v>
      </c>
      <c r="G633" s="1" t="s">
        <v>38</v>
      </c>
      <c r="H633">
        <v>4</v>
      </c>
      <c r="I633" s="1" t="s">
        <v>26</v>
      </c>
      <c r="J633" s="1" t="s">
        <v>27</v>
      </c>
      <c r="K633">
        <v>3</v>
      </c>
      <c r="L633" s="1" t="s">
        <v>55</v>
      </c>
      <c r="M633">
        <v>44</v>
      </c>
      <c r="N633" s="1" t="s">
        <v>66</v>
      </c>
      <c r="O633" s="1" t="s">
        <v>30</v>
      </c>
      <c r="P633">
        <v>1</v>
      </c>
      <c r="Q633" s="1" t="s">
        <v>31</v>
      </c>
      <c r="R633">
        <v>1</v>
      </c>
      <c r="S633" s="1" t="s">
        <v>40</v>
      </c>
      <c r="T633" s="1" t="s">
        <v>33</v>
      </c>
      <c r="U633" s="1" t="s">
        <v>41</v>
      </c>
    </row>
    <row r="634" spans="1:21" x14ac:dyDescent="0.3">
      <c r="A634" s="1" t="s">
        <v>35</v>
      </c>
      <c r="B634">
        <v>15</v>
      </c>
      <c r="C634" s="1" t="s">
        <v>36</v>
      </c>
      <c r="D634" s="1" t="s">
        <v>23</v>
      </c>
      <c r="E634">
        <v>1444</v>
      </c>
      <c r="F634" s="1" t="s">
        <v>24</v>
      </c>
      <c r="G634" s="1" t="s">
        <v>62</v>
      </c>
      <c r="H634">
        <v>4</v>
      </c>
      <c r="I634" s="1" t="s">
        <v>26</v>
      </c>
      <c r="J634" s="1" t="s">
        <v>27</v>
      </c>
      <c r="K634">
        <v>1</v>
      </c>
      <c r="L634" s="1" t="s">
        <v>48</v>
      </c>
      <c r="M634">
        <v>23</v>
      </c>
      <c r="N634" s="1" t="s">
        <v>29</v>
      </c>
      <c r="O634" s="1" t="s">
        <v>30</v>
      </c>
      <c r="P634">
        <v>1</v>
      </c>
      <c r="Q634" s="1" t="s">
        <v>31</v>
      </c>
      <c r="R634">
        <v>1</v>
      </c>
      <c r="S634" s="1" t="s">
        <v>40</v>
      </c>
      <c r="T634" s="1" t="s">
        <v>33</v>
      </c>
      <c r="U634" s="1" t="s">
        <v>34</v>
      </c>
    </row>
    <row r="635" spans="1:21" x14ac:dyDescent="0.3">
      <c r="A635" s="1" t="s">
        <v>42</v>
      </c>
      <c r="B635">
        <v>9</v>
      </c>
      <c r="C635" s="1" t="s">
        <v>36</v>
      </c>
      <c r="D635" s="1" t="s">
        <v>46</v>
      </c>
      <c r="E635">
        <v>1980</v>
      </c>
      <c r="F635" s="1" t="s">
        <v>37</v>
      </c>
      <c r="G635" s="1" t="s">
        <v>62</v>
      </c>
      <c r="H635">
        <v>2</v>
      </c>
      <c r="I635" s="1" t="s">
        <v>39</v>
      </c>
      <c r="J635" s="1" t="s">
        <v>71</v>
      </c>
      <c r="K635">
        <v>2</v>
      </c>
      <c r="L635" s="1" t="s">
        <v>55</v>
      </c>
      <c r="M635">
        <v>19</v>
      </c>
      <c r="N635" s="1" t="s">
        <v>29</v>
      </c>
      <c r="O635" s="1" t="s">
        <v>56</v>
      </c>
      <c r="P635">
        <v>2</v>
      </c>
      <c r="Q635" s="1" t="s">
        <v>31</v>
      </c>
      <c r="R635">
        <v>1</v>
      </c>
      <c r="S635" s="1" t="s">
        <v>40</v>
      </c>
      <c r="T635" s="1" t="s">
        <v>33</v>
      </c>
      <c r="U635" s="1" t="s">
        <v>41</v>
      </c>
    </row>
    <row r="636" spans="1:21" x14ac:dyDescent="0.3">
      <c r="A636" s="1" t="s">
        <v>35</v>
      </c>
      <c r="B636">
        <v>24</v>
      </c>
      <c r="C636" s="1" t="s">
        <v>36</v>
      </c>
      <c r="D636" s="1" t="s">
        <v>51</v>
      </c>
      <c r="E636">
        <v>1355</v>
      </c>
      <c r="F636" s="1" t="s">
        <v>37</v>
      </c>
      <c r="G636" s="1" t="s">
        <v>62</v>
      </c>
      <c r="H636">
        <v>3</v>
      </c>
      <c r="I636" s="1" t="s">
        <v>39</v>
      </c>
      <c r="J636" s="1" t="s">
        <v>27</v>
      </c>
      <c r="K636">
        <v>4</v>
      </c>
      <c r="L636" s="1" t="s">
        <v>55</v>
      </c>
      <c r="M636">
        <v>25</v>
      </c>
      <c r="N636" s="1" t="s">
        <v>29</v>
      </c>
      <c r="O636" s="1" t="s">
        <v>30</v>
      </c>
      <c r="P636">
        <v>1</v>
      </c>
      <c r="Q636" s="1" t="s">
        <v>45</v>
      </c>
      <c r="R636">
        <v>1</v>
      </c>
      <c r="S636" s="1" t="s">
        <v>32</v>
      </c>
      <c r="T636" s="1" t="s">
        <v>33</v>
      </c>
      <c r="U636" s="1" t="s">
        <v>41</v>
      </c>
    </row>
    <row r="637" spans="1:21" x14ac:dyDescent="0.3">
      <c r="A637" s="1" t="s">
        <v>42</v>
      </c>
      <c r="B637">
        <v>12</v>
      </c>
      <c r="C637" s="1" t="s">
        <v>36</v>
      </c>
      <c r="D637" s="1" t="s">
        <v>43</v>
      </c>
      <c r="E637">
        <v>1393</v>
      </c>
      <c r="F637" s="1" t="s">
        <v>37</v>
      </c>
      <c r="G637" s="1" t="s">
        <v>25</v>
      </c>
      <c r="H637">
        <v>4</v>
      </c>
      <c r="I637" s="1" t="s">
        <v>26</v>
      </c>
      <c r="J637" s="1" t="s">
        <v>27</v>
      </c>
      <c r="K637">
        <v>4</v>
      </c>
      <c r="L637" s="1" t="s">
        <v>48</v>
      </c>
      <c r="M637">
        <v>47</v>
      </c>
      <c r="N637" s="1" t="s">
        <v>66</v>
      </c>
      <c r="O637" s="1" t="s">
        <v>30</v>
      </c>
      <c r="P637">
        <v>3</v>
      </c>
      <c r="Q637" s="1" t="s">
        <v>31</v>
      </c>
      <c r="R637">
        <v>2</v>
      </c>
      <c r="S637" s="1" t="s">
        <v>32</v>
      </c>
      <c r="T637" s="1" t="s">
        <v>33</v>
      </c>
      <c r="U637" s="1" t="s">
        <v>34</v>
      </c>
    </row>
    <row r="638" spans="1:21" x14ac:dyDescent="0.3">
      <c r="A638" s="1" t="s">
        <v>42</v>
      </c>
      <c r="B638">
        <v>24</v>
      </c>
      <c r="C638" s="1" t="s">
        <v>36</v>
      </c>
      <c r="D638" s="1" t="s">
        <v>23</v>
      </c>
      <c r="E638">
        <v>1376</v>
      </c>
      <c r="F638" s="1" t="s">
        <v>53</v>
      </c>
      <c r="G638" s="1" t="s">
        <v>44</v>
      </c>
      <c r="H638">
        <v>4</v>
      </c>
      <c r="I638" s="1" t="s">
        <v>39</v>
      </c>
      <c r="J638" s="1" t="s">
        <v>27</v>
      </c>
      <c r="K638">
        <v>1</v>
      </c>
      <c r="L638" s="1" t="s">
        <v>55</v>
      </c>
      <c r="M638">
        <v>28</v>
      </c>
      <c r="N638" s="1" t="s">
        <v>29</v>
      </c>
      <c r="O638" s="1" t="s">
        <v>30</v>
      </c>
      <c r="P638">
        <v>1</v>
      </c>
      <c r="Q638" s="1" t="s">
        <v>31</v>
      </c>
      <c r="R638">
        <v>1</v>
      </c>
      <c r="S638" s="1" t="s">
        <v>40</v>
      </c>
      <c r="T638" s="1" t="s">
        <v>33</v>
      </c>
      <c r="U638" s="1" t="s">
        <v>34</v>
      </c>
    </row>
    <row r="639" spans="1:21" x14ac:dyDescent="0.3">
      <c r="A639" s="1" t="s">
        <v>42</v>
      </c>
      <c r="B639">
        <v>60</v>
      </c>
      <c r="C639" s="1" t="s">
        <v>50</v>
      </c>
      <c r="D639" s="1" t="s">
        <v>23</v>
      </c>
      <c r="E639">
        <v>15653</v>
      </c>
      <c r="F639" s="1" t="s">
        <v>37</v>
      </c>
      <c r="G639" s="1" t="s">
        <v>44</v>
      </c>
      <c r="H639">
        <v>2</v>
      </c>
      <c r="I639" s="1" t="s">
        <v>26</v>
      </c>
      <c r="J639" s="1" t="s">
        <v>27</v>
      </c>
      <c r="K639">
        <v>4</v>
      </c>
      <c r="L639" s="1" t="s">
        <v>55</v>
      </c>
      <c r="M639">
        <v>21</v>
      </c>
      <c r="N639" s="1" t="s">
        <v>29</v>
      </c>
      <c r="O639" s="1" t="s">
        <v>30</v>
      </c>
      <c r="P639">
        <v>2</v>
      </c>
      <c r="Q639" s="1" t="s">
        <v>31</v>
      </c>
      <c r="R639">
        <v>1</v>
      </c>
      <c r="S639" s="1" t="s">
        <v>32</v>
      </c>
      <c r="T639" s="1" t="s">
        <v>33</v>
      </c>
      <c r="U639" s="1" t="s">
        <v>34</v>
      </c>
    </row>
    <row r="640" spans="1:21" x14ac:dyDescent="0.3">
      <c r="A640" s="1" t="s">
        <v>42</v>
      </c>
      <c r="B640">
        <v>12</v>
      </c>
      <c r="C640" s="1" t="s">
        <v>36</v>
      </c>
      <c r="D640" s="1" t="s">
        <v>23</v>
      </c>
      <c r="E640">
        <v>1493</v>
      </c>
      <c r="F640" s="1" t="s">
        <v>37</v>
      </c>
      <c r="G640" s="1" t="s">
        <v>62</v>
      </c>
      <c r="H640">
        <v>4</v>
      </c>
      <c r="I640" s="1" t="s">
        <v>39</v>
      </c>
      <c r="J640" s="1" t="s">
        <v>27</v>
      </c>
      <c r="K640">
        <v>3</v>
      </c>
      <c r="L640" s="1" t="s">
        <v>55</v>
      </c>
      <c r="M640">
        <v>34</v>
      </c>
      <c r="N640" s="1" t="s">
        <v>29</v>
      </c>
      <c r="O640" s="1" t="s">
        <v>30</v>
      </c>
      <c r="P640">
        <v>1</v>
      </c>
      <c r="Q640" s="1" t="s">
        <v>31</v>
      </c>
      <c r="R640">
        <v>2</v>
      </c>
      <c r="S640" s="1" t="s">
        <v>40</v>
      </c>
      <c r="T640" s="1" t="s">
        <v>33</v>
      </c>
      <c r="U640" s="1" t="s">
        <v>34</v>
      </c>
    </row>
    <row r="641" spans="1:21" x14ac:dyDescent="0.3">
      <c r="A641" s="1" t="s">
        <v>21</v>
      </c>
      <c r="B641">
        <v>42</v>
      </c>
      <c r="C641" s="1" t="s">
        <v>50</v>
      </c>
      <c r="D641" s="1" t="s">
        <v>23</v>
      </c>
      <c r="E641">
        <v>4370</v>
      </c>
      <c r="F641" s="1" t="s">
        <v>37</v>
      </c>
      <c r="G641" s="1" t="s">
        <v>44</v>
      </c>
      <c r="H641">
        <v>3</v>
      </c>
      <c r="I641" s="1" t="s">
        <v>26</v>
      </c>
      <c r="J641" s="1" t="s">
        <v>27</v>
      </c>
      <c r="K641">
        <v>2</v>
      </c>
      <c r="L641" s="1" t="s">
        <v>48</v>
      </c>
      <c r="M641">
        <v>26</v>
      </c>
      <c r="N641" s="1" t="s">
        <v>66</v>
      </c>
      <c r="O641" s="1" t="s">
        <v>30</v>
      </c>
      <c r="P641">
        <v>2</v>
      </c>
      <c r="Q641" s="1" t="s">
        <v>31</v>
      </c>
      <c r="R641">
        <v>2</v>
      </c>
      <c r="S641" s="1" t="s">
        <v>32</v>
      </c>
      <c r="T641" s="1" t="s">
        <v>33</v>
      </c>
      <c r="U641" s="1" t="s">
        <v>41</v>
      </c>
    </row>
    <row r="642" spans="1:21" x14ac:dyDescent="0.3">
      <c r="A642" s="1" t="s">
        <v>21</v>
      </c>
      <c r="B642">
        <v>18</v>
      </c>
      <c r="C642" s="1" t="s">
        <v>36</v>
      </c>
      <c r="D642" s="1" t="s">
        <v>43</v>
      </c>
      <c r="E642">
        <v>750</v>
      </c>
      <c r="F642" s="1" t="s">
        <v>37</v>
      </c>
      <c r="G642" s="1" t="s">
        <v>60</v>
      </c>
      <c r="H642">
        <v>4</v>
      </c>
      <c r="I642" s="1" t="s">
        <v>39</v>
      </c>
      <c r="J642" s="1" t="s">
        <v>27</v>
      </c>
      <c r="K642">
        <v>1</v>
      </c>
      <c r="L642" s="1" t="s">
        <v>28</v>
      </c>
      <c r="M642">
        <v>27</v>
      </c>
      <c r="N642" s="1" t="s">
        <v>29</v>
      </c>
      <c r="O642" s="1" t="s">
        <v>30</v>
      </c>
      <c r="P642">
        <v>1</v>
      </c>
      <c r="Q642" s="1" t="s">
        <v>74</v>
      </c>
      <c r="R642">
        <v>1</v>
      </c>
      <c r="S642" s="1" t="s">
        <v>40</v>
      </c>
      <c r="T642" s="1" t="s">
        <v>33</v>
      </c>
      <c r="U642" s="1" t="s">
        <v>41</v>
      </c>
    </row>
    <row r="643" spans="1:21" x14ac:dyDescent="0.3">
      <c r="A643" s="1" t="s">
        <v>35</v>
      </c>
      <c r="B643">
        <v>15</v>
      </c>
      <c r="C643" s="1" t="s">
        <v>36</v>
      </c>
      <c r="D643" s="1" t="s">
        <v>73</v>
      </c>
      <c r="E643">
        <v>1308</v>
      </c>
      <c r="F643" s="1" t="s">
        <v>37</v>
      </c>
      <c r="G643" s="1" t="s">
        <v>25</v>
      </c>
      <c r="H643">
        <v>4</v>
      </c>
      <c r="I643" s="1" t="s">
        <v>26</v>
      </c>
      <c r="J643" s="1" t="s">
        <v>27</v>
      </c>
      <c r="K643">
        <v>4</v>
      </c>
      <c r="L643" s="1" t="s">
        <v>55</v>
      </c>
      <c r="M643">
        <v>38</v>
      </c>
      <c r="N643" s="1" t="s">
        <v>29</v>
      </c>
      <c r="O643" s="1" t="s">
        <v>30</v>
      </c>
      <c r="P643">
        <v>2</v>
      </c>
      <c r="Q643" s="1" t="s">
        <v>45</v>
      </c>
      <c r="R643">
        <v>1</v>
      </c>
      <c r="S643" s="1" t="s">
        <v>40</v>
      </c>
      <c r="T643" s="1" t="s">
        <v>33</v>
      </c>
      <c r="U643" s="1" t="s">
        <v>34</v>
      </c>
    </row>
    <row r="644" spans="1:21" x14ac:dyDescent="0.3">
      <c r="A644" s="1" t="s">
        <v>42</v>
      </c>
      <c r="B644">
        <v>15</v>
      </c>
      <c r="C644" s="1" t="s">
        <v>36</v>
      </c>
      <c r="D644" s="1" t="s">
        <v>43</v>
      </c>
      <c r="E644">
        <v>4623</v>
      </c>
      <c r="F644" s="1" t="s">
        <v>64</v>
      </c>
      <c r="G644" s="1" t="s">
        <v>38</v>
      </c>
      <c r="H644">
        <v>3</v>
      </c>
      <c r="I644" s="1" t="s">
        <v>26</v>
      </c>
      <c r="J644" s="1" t="s">
        <v>27</v>
      </c>
      <c r="K644">
        <v>2</v>
      </c>
      <c r="L644" s="1" t="s">
        <v>48</v>
      </c>
      <c r="M644">
        <v>40</v>
      </c>
      <c r="N644" s="1" t="s">
        <v>29</v>
      </c>
      <c r="O644" s="1" t="s">
        <v>30</v>
      </c>
      <c r="P644">
        <v>1</v>
      </c>
      <c r="Q644" s="1" t="s">
        <v>57</v>
      </c>
      <c r="R644">
        <v>1</v>
      </c>
      <c r="S644" s="1" t="s">
        <v>32</v>
      </c>
      <c r="T644" s="1" t="s">
        <v>33</v>
      </c>
      <c r="U644" s="1" t="s">
        <v>41</v>
      </c>
    </row>
    <row r="645" spans="1:21" x14ac:dyDescent="0.3">
      <c r="A645" s="1" t="s">
        <v>42</v>
      </c>
      <c r="B645">
        <v>24</v>
      </c>
      <c r="C645" s="1" t="s">
        <v>22</v>
      </c>
      <c r="D645" s="1" t="s">
        <v>23</v>
      </c>
      <c r="E645">
        <v>1851</v>
      </c>
      <c r="F645" s="1" t="s">
        <v>37</v>
      </c>
      <c r="G645" s="1" t="s">
        <v>44</v>
      </c>
      <c r="H645">
        <v>4</v>
      </c>
      <c r="I645" s="1" t="s">
        <v>61</v>
      </c>
      <c r="J645" s="1" t="s">
        <v>47</v>
      </c>
      <c r="K645">
        <v>2</v>
      </c>
      <c r="L645" s="1" t="s">
        <v>55</v>
      </c>
      <c r="M645">
        <v>33</v>
      </c>
      <c r="N645" s="1" t="s">
        <v>29</v>
      </c>
      <c r="O645" s="1" t="s">
        <v>30</v>
      </c>
      <c r="P645">
        <v>2</v>
      </c>
      <c r="Q645" s="1" t="s">
        <v>31</v>
      </c>
      <c r="R645">
        <v>1</v>
      </c>
      <c r="S645" s="1" t="s">
        <v>32</v>
      </c>
      <c r="T645" s="1" t="s">
        <v>33</v>
      </c>
      <c r="U645" s="1" t="s">
        <v>34</v>
      </c>
    </row>
    <row r="646" spans="1:21" x14ac:dyDescent="0.3">
      <c r="A646" s="1" t="s">
        <v>21</v>
      </c>
      <c r="B646">
        <v>18</v>
      </c>
      <c r="C646" s="1" t="s">
        <v>22</v>
      </c>
      <c r="D646" s="1" t="s">
        <v>23</v>
      </c>
      <c r="E646">
        <v>1880</v>
      </c>
      <c r="F646" s="1" t="s">
        <v>37</v>
      </c>
      <c r="G646" s="1" t="s">
        <v>44</v>
      </c>
      <c r="H646">
        <v>4</v>
      </c>
      <c r="I646" s="1" t="s">
        <v>61</v>
      </c>
      <c r="J646" s="1" t="s">
        <v>27</v>
      </c>
      <c r="K646">
        <v>1</v>
      </c>
      <c r="L646" s="1" t="s">
        <v>48</v>
      </c>
      <c r="M646">
        <v>32</v>
      </c>
      <c r="N646" s="1" t="s">
        <v>29</v>
      </c>
      <c r="O646" s="1" t="s">
        <v>30</v>
      </c>
      <c r="P646">
        <v>2</v>
      </c>
      <c r="Q646" s="1" t="s">
        <v>57</v>
      </c>
      <c r="R646">
        <v>1</v>
      </c>
      <c r="S646" s="1" t="s">
        <v>32</v>
      </c>
      <c r="T646" s="1" t="s">
        <v>33</v>
      </c>
      <c r="U646" s="1" t="s">
        <v>34</v>
      </c>
    </row>
    <row r="647" spans="1:21" x14ac:dyDescent="0.3">
      <c r="A647" s="1" t="s">
        <v>42</v>
      </c>
      <c r="B647">
        <v>36</v>
      </c>
      <c r="C647" s="1" t="s">
        <v>50</v>
      </c>
      <c r="D647" s="1" t="s">
        <v>63</v>
      </c>
      <c r="E647">
        <v>7980</v>
      </c>
      <c r="F647" s="1" t="s">
        <v>24</v>
      </c>
      <c r="G647" s="1" t="s">
        <v>62</v>
      </c>
      <c r="H647">
        <v>4</v>
      </c>
      <c r="I647" s="1" t="s">
        <v>26</v>
      </c>
      <c r="J647" s="1" t="s">
        <v>27</v>
      </c>
      <c r="K647">
        <v>4</v>
      </c>
      <c r="L647" s="1" t="s">
        <v>55</v>
      </c>
      <c r="M647">
        <v>27</v>
      </c>
      <c r="N647" s="1" t="s">
        <v>29</v>
      </c>
      <c r="O647" s="1" t="s">
        <v>56</v>
      </c>
      <c r="P647">
        <v>2</v>
      </c>
      <c r="Q647" s="1" t="s">
        <v>31</v>
      </c>
      <c r="R647">
        <v>1</v>
      </c>
      <c r="S647" s="1" t="s">
        <v>32</v>
      </c>
      <c r="T647" s="1" t="s">
        <v>33</v>
      </c>
      <c r="U647" s="1" t="s">
        <v>41</v>
      </c>
    </row>
    <row r="648" spans="1:21" x14ac:dyDescent="0.3">
      <c r="A648" s="1" t="s">
        <v>21</v>
      </c>
      <c r="B648">
        <v>30</v>
      </c>
      <c r="C648" s="1" t="s">
        <v>65</v>
      </c>
      <c r="D648" s="1" t="s">
        <v>46</v>
      </c>
      <c r="E648">
        <v>4583</v>
      </c>
      <c r="F648" s="1" t="s">
        <v>37</v>
      </c>
      <c r="G648" s="1" t="s">
        <v>38</v>
      </c>
      <c r="H648">
        <v>2</v>
      </c>
      <c r="I648" s="1" t="s">
        <v>59</v>
      </c>
      <c r="J648" s="1" t="s">
        <v>47</v>
      </c>
      <c r="K648">
        <v>2</v>
      </c>
      <c r="L648" s="1" t="s">
        <v>28</v>
      </c>
      <c r="M648">
        <v>32</v>
      </c>
      <c r="N648" s="1" t="s">
        <v>29</v>
      </c>
      <c r="O648" s="1" t="s">
        <v>30</v>
      </c>
      <c r="P648">
        <v>2</v>
      </c>
      <c r="Q648" s="1" t="s">
        <v>31</v>
      </c>
      <c r="R648">
        <v>1</v>
      </c>
      <c r="S648" s="1" t="s">
        <v>40</v>
      </c>
      <c r="T648" s="1" t="s">
        <v>33</v>
      </c>
      <c r="U648" s="1" t="s">
        <v>34</v>
      </c>
    </row>
    <row r="649" spans="1:21" x14ac:dyDescent="0.3">
      <c r="A649" s="1" t="s">
        <v>42</v>
      </c>
      <c r="B649">
        <v>12</v>
      </c>
      <c r="C649" s="1" t="s">
        <v>36</v>
      </c>
      <c r="D649" s="1" t="s">
        <v>51</v>
      </c>
      <c r="E649">
        <v>1386</v>
      </c>
      <c r="F649" s="1" t="s">
        <v>53</v>
      </c>
      <c r="G649" s="1" t="s">
        <v>38</v>
      </c>
      <c r="H649">
        <v>2</v>
      </c>
      <c r="I649" s="1" t="s">
        <v>39</v>
      </c>
      <c r="J649" s="1" t="s">
        <v>27</v>
      </c>
      <c r="K649">
        <v>2</v>
      </c>
      <c r="L649" s="1" t="s">
        <v>48</v>
      </c>
      <c r="M649">
        <v>26</v>
      </c>
      <c r="N649" s="1" t="s">
        <v>29</v>
      </c>
      <c r="O649" s="1" t="s">
        <v>30</v>
      </c>
      <c r="P649">
        <v>1</v>
      </c>
      <c r="Q649" s="1" t="s">
        <v>31</v>
      </c>
      <c r="R649">
        <v>1</v>
      </c>
      <c r="S649" s="1" t="s">
        <v>40</v>
      </c>
      <c r="T649" s="1" t="s">
        <v>33</v>
      </c>
      <c r="U649" s="1" t="s">
        <v>41</v>
      </c>
    </row>
    <row r="650" spans="1:21" x14ac:dyDescent="0.3">
      <c r="A650" s="1" t="s">
        <v>68</v>
      </c>
      <c r="B650">
        <v>24</v>
      </c>
      <c r="C650" s="1" t="s">
        <v>36</v>
      </c>
      <c r="D650" s="1" t="s">
        <v>51</v>
      </c>
      <c r="E650">
        <v>947</v>
      </c>
      <c r="F650" s="1" t="s">
        <v>37</v>
      </c>
      <c r="G650" s="1" t="s">
        <v>44</v>
      </c>
      <c r="H650">
        <v>4</v>
      </c>
      <c r="I650" s="1" t="s">
        <v>26</v>
      </c>
      <c r="J650" s="1" t="s">
        <v>27</v>
      </c>
      <c r="K650">
        <v>3</v>
      </c>
      <c r="L650" s="1" t="s">
        <v>52</v>
      </c>
      <c r="M650">
        <v>38</v>
      </c>
      <c r="N650" s="1" t="s">
        <v>66</v>
      </c>
      <c r="O650" s="1" t="s">
        <v>49</v>
      </c>
      <c r="P650">
        <v>1</v>
      </c>
      <c r="Q650" s="1" t="s">
        <v>31</v>
      </c>
      <c r="R650">
        <v>2</v>
      </c>
      <c r="S650" s="1" t="s">
        <v>40</v>
      </c>
      <c r="T650" s="1" t="s">
        <v>33</v>
      </c>
      <c r="U650" s="1" t="s">
        <v>41</v>
      </c>
    </row>
    <row r="651" spans="1:21" x14ac:dyDescent="0.3">
      <c r="A651" s="1" t="s">
        <v>21</v>
      </c>
      <c r="B651">
        <v>12</v>
      </c>
      <c r="C651" s="1" t="s">
        <v>36</v>
      </c>
      <c r="D651" s="1" t="s">
        <v>43</v>
      </c>
      <c r="E651">
        <v>684</v>
      </c>
      <c r="F651" s="1" t="s">
        <v>37</v>
      </c>
      <c r="G651" s="1" t="s">
        <v>38</v>
      </c>
      <c r="H651">
        <v>4</v>
      </c>
      <c r="I651" s="1" t="s">
        <v>26</v>
      </c>
      <c r="J651" s="1" t="s">
        <v>27</v>
      </c>
      <c r="K651">
        <v>4</v>
      </c>
      <c r="L651" s="1" t="s">
        <v>55</v>
      </c>
      <c r="M651">
        <v>40</v>
      </c>
      <c r="N651" s="1" t="s">
        <v>29</v>
      </c>
      <c r="O651" s="1" t="s">
        <v>56</v>
      </c>
      <c r="P651">
        <v>1</v>
      </c>
      <c r="Q651" s="1" t="s">
        <v>45</v>
      </c>
      <c r="R651">
        <v>2</v>
      </c>
      <c r="S651" s="1" t="s">
        <v>40</v>
      </c>
      <c r="T651" s="1" t="s">
        <v>33</v>
      </c>
      <c r="U651" s="1" t="s">
        <v>41</v>
      </c>
    </row>
    <row r="652" spans="1:21" x14ac:dyDescent="0.3">
      <c r="A652" s="1" t="s">
        <v>21</v>
      </c>
      <c r="B652">
        <v>48</v>
      </c>
      <c r="C652" s="1" t="s">
        <v>36</v>
      </c>
      <c r="D652" s="1" t="s">
        <v>43</v>
      </c>
      <c r="E652">
        <v>7476</v>
      </c>
      <c r="F652" s="1" t="s">
        <v>37</v>
      </c>
      <c r="G652" s="1" t="s">
        <v>44</v>
      </c>
      <c r="H652">
        <v>4</v>
      </c>
      <c r="I652" s="1" t="s">
        <v>26</v>
      </c>
      <c r="J652" s="1" t="s">
        <v>27</v>
      </c>
      <c r="K652">
        <v>1</v>
      </c>
      <c r="L652" s="1" t="s">
        <v>52</v>
      </c>
      <c r="M652">
        <v>50</v>
      </c>
      <c r="N652" s="1" t="s">
        <v>29</v>
      </c>
      <c r="O652" s="1" t="s">
        <v>49</v>
      </c>
      <c r="P652">
        <v>1</v>
      </c>
      <c r="Q652" s="1" t="s">
        <v>57</v>
      </c>
      <c r="R652">
        <v>1</v>
      </c>
      <c r="S652" s="1" t="s">
        <v>32</v>
      </c>
      <c r="T652" s="1" t="s">
        <v>33</v>
      </c>
      <c r="U652" s="1" t="s">
        <v>34</v>
      </c>
    </row>
    <row r="653" spans="1:21" x14ac:dyDescent="0.3">
      <c r="A653" s="1" t="s">
        <v>35</v>
      </c>
      <c r="B653">
        <v>12</v>
      </c>
      <c r="C653" s="1" t="s">
        <v>36</v>
      </c>
      <c r="D653" s="1" t="s">
        <v>46</v>
      </c>
      <c r="E653">
        <v>1922</v>
      </c>
      <c r="F653" s="1" t="s">
        <v>37</v>
      </c>
      <c r="G653" s="1" t="s">
        <v>38</v>
      </c>
      <c r="H653">
        <v>4</v>
      </c>
      <c r="I653" s="1" t="s">
        <v>26</v>
      </c>
      <c r="J653" s="1" t="s">
        <v>27</v>
      </c>
      <c r="K653">
        <v>2</v>
      </c>
      <c r="L653" s="1" t="s">
        <v>48</v>
      </c>
      <c r="M653">
        <v>37</v>
      </c>
      <c r="N653" s="1" t="s">
        <v>29</v>
      </c>
      <c r="O653" s="1" t="s">
        <v>30</v>
      </c>
      <c r="P653">
        <v>1</v>
      </c>
      <c r="Q653" s="1" t="s">
        <v>45</v>
      </c>
      <c r="R653">
        <v>1</v>
      </c>
      <c r="S653" s="1" t="s">
        <v>40</v>
      </c>
      <c r="T653" s="1" t="s">
        <v>33</v>
      </c>
      <c r="U653" s="1" t="s">
        <v>41</v>
      </c>
    </row>
    <row r="654" spans="1:21" x14ac:dyDescent="0.3">
      <c r="A654" s="1" t="s">
        <v>21</v>
      </c>
      <c r="B654">
        <v>24</v>
      </c>
      <c r="C654" s="1" t="s">
        <v>36</v>
      </c>
      <c r="D654" s="1" t="s">
        <v>51</v>
      </c>
      <c r="E654">
        <v>2303</v>
      </c>
      <c r="F654" s="1" t="s">
        <v>37</v>
      </c>
      <c r="G654" s="1" t="s">
        <v>25</v>
      </c>
      <c r="H654">
        <v>4</v>
      </c>
      <c r="I654" s="1" t="s">
        <v>26</v>
      </c>
      <c r="J654" s="1" t="s">
        <v>71</v>
      </c>
      <c r="K654">
        <v>1</v>
      </c>
      <c r="L654" s="1" t="s">
        <v>28</v>
      </c>
      <c r="M654">
        <v>45</v>
      </c>
      <c r="N654" s="1" t="s">
        <v>29</v>
      </c>
      <c r="O654" s="1" t="s">
        <v>30</v>
      </c>
      <c r="P654">
        <v>1</v>
      </c>
      <c r="Q654" s="1" t="s">
        <v>31</v>
      </c>
      <c r="R654">
        <v>1</v>
      </c>
      <c r="S654" s="1" t="s">
        <v>40</v>
      </c>
      <c r="T654" s="1" t="s">
        <v>33</v>
      </c>
      <c r="U654" s="1" t="s">
        <v>41</v>
      </c>
    </row>
    <row r="655" spans="1:21" x14ac:dyDescent="0.3">
      <c r="A655" s="1" t="s">
        <v>35</v>
      </c>
      <c r="B655">
        <v>36</v>
      </c>
      <c r="C655" s="1" t="s">
        <v>50</v>
      </c>
      <c r="D655" s="1" t="s">
        <v>51</v>
      </c>
      <c r="E655">
        <v>8086</v>
      </c>
      <c r="F655" s="1" t="s">
        <v>64</v>
      </c>
      <c r="G655" s="1" t="s">
        <v>25</v>
      </c>
      <c r="H655">
        <v>2</v>
      </c>
      <c r="I655" s="1" t="s">
        <v>26</v>
      </c>
      <c r="J655" s="1" t="s">
        <v>27</v>
      </c>
      <c r="K655">
        <v>4</v>
      </c>
      <c r="L655" s="1" t="s">
        <v>55</v>
      </c>
      <c r="M655">
        <v>42</v>
      </c>
      <c r="N655" s="1" t="s">
        <v>29</v>
      </c>
      <c r="O655" s="1" t="s">
        <v>30</v>
      </c>
      <c r="P655">
        <v>4</v>
      </c>
      <c r="Q655" s="1" t="s">
        <v>57</v>
      </c>
      <c r="R655">
        <v>1</v>
      </c>
      <c r="S655" s="1" t="s">
        <v>32</v>
      </c>
      <c r="T655" s="1" t="s">
        <v>33</v>
      </c>
      <c r="U655" s="1" t="s">
        <v>41</v>
      </c>
    </row>
    <row r="656" spans="1:21" x14ac:dyDescent="0.3">
      <c r="A656" s="1" t="s">
        <v>42</v>
      </c>
      <c r="B656">
        <v>24</v>
      </c>
      <c r="C656" s="1" t="s">
        <v>22</v>
      </c>
      <c r="D656" s="1" t="s">
        <v>54</v>
      </c>
      <c r="E656">
        <v>2346</v>
      </c>
      <c r="F656" s="1" t="s">
        <v>37</v>
      </c>
      <c r="G656" s="1" t="s">
        <v>44</v>
      </c>
      <c r="H656">
        <v>4</v>
      </c>
      <c r="I656" s="1" t="s">
        <v>26</v>
      </c>
      <c r="J656" s="1" t="s">
        <v>27</v>
      </c>
      <c r="K656">
        <v>3</v>
      </c>
      <c r="L656" s="1" t="s">
        <v>55</v>
      </c>
      <c r="M656">
        <v>35</v>
      </c>
      <c r="N656" s="1" t="s">
        <v>29</v>
      </c>
      <c r="O656" s="1" t="s">
        <v>30</v>
      </c>
      <c r="P656">
        <v>2</v>
      </c>
      <c r="Q656" s="1" t="s">
        <v>31</v>
      </c>
      <c r="R656">
        <v>1</v>
      </c>
      <c r="S656" s="1" t="s">
        <v>32</v>
      </c>
      <c r="T656" s="1" t="s">
        <v>33</v>
      </c>
      <c r="U656" s="1" t="s">
        <v>34</v>
      </c>
    </row>
    <row r="657" spans="1:21" x14ac:dyDescent="0.3">
      <c r="A657" s="1" t="s">
        <v>21</v>
      </c>
      <c r="B657">
        <v>14</v>
      </c>
      <c r="C657" s="1" t="s">
        <v>36</v>
      </c>
      <c r="D657" s="1" t="s">
        <v>51</v>
      </c>
      <c r="E657">
        <v>3973</v>
      </c>
      <c r="F657" s="1" t="s">
        <v>37</v>
      </c>
      <c r="G657" s="1" t="s">
        <v>60</v>
      </c>
      <c r="H657">
        <v>1</v>
      </c>
      <c r="I657" s="1" t="s">
        <v>26</v>
      </c>
      <c r="J657" s="1" t="s">
        <v>27</v>
      </c>
      <c r="K657">
        <v>4</v>
      </c>
      <c r="L657" s="1" t="s">
        <v>52</v>
      </c>
      <c r="M657">
        <v>22</v>
      </c>
      <c r="N657" s="1" t="s">
        <v>29</v>
      </c>
      <c r="O657" s="1" t="s">
        <v>49</v>
      </c>
      <c r="P657">
        <v>1</v>
      </c>
      <c r="Q657" s="1" t="s">
        <v>31</v>
      </c>
      <c r="R657">
        <v>1</v>
      </c>
      <c r="S657" s="1" t="s">
        <v>40</v>
      </c>
      <c r="T657" s="1" t="s">
        <v>33</v>
      </c>
      <c r="U657" s="1" t="s">
        <v>34</v>
      </c>
    </row>
    <row r="658" spans="1:21" x14ac:dyDescent="0.3">
      <c r="A658" s="1" t="s">
        <v>35</v>
      </c>
      <c r="B658">
        <v>12</v>
      </c>
      <c r="C658" s="1" t="s">
        <v>36</v>
      </c>
      <c r="D658" s="1" t="s">
        <v>51</v>
      </c>
      <c r="E658">
        <v>888</v>
      </c>
      <c r="F658" s="1" t="s">
        <v>37</v>
      </c>
      <c r="G658" s="1" t="s">
        <v>25</v>
      </c>
      <c r="H658">
        <v>4</v>
      </c>
      <c r="I658" s="1" t="s">
        <v>26</v>
      </c>
      <c r="J658" s="1" t="s">
        <v>27</v>
      </c>
      <c r="K658">
        <v>4</v>
      </c>
      <c r="L658" s="1" t="s">
        <v>55</v>
      </c>
      <c r="M658">
        <v>41</v>
      </c>
      <c r="N658" s="1" t="s">
        <v>66</v>
      </c>
      <c r="O658" s="1" t="s">
        <v>30</v>
      </c>
      <c r="P658">
        <v>1</v>
      </c>
      <c r="Q658" s="1" t="s">
        <v>45</v>
      </c>
      <c r="R658">
        <v>2</v>
      </c>
      <c r="S658" s="1" t="s">
        <v>40</v>
      </c>
      <c r="T658" s="1" t="s">
        <v>33</v>
      </c>
      <c r="U658" s="1" t="s">
        <v>41</v>
      </c>
    </row>
    <row r="659" spans="1:21" x14ac:dyDescent="0.3">
      <c r="A659" s="1" t="s">
        <v>42</v>
      </c>
      <c r="B659">
        <v>48</v>
      </c>
      <c r="C659" s="1" t="s">
        <v>36</v>
      </c>
      <c r="D659" s="1" t="s">
        <v>23</v>
      </c>
      <c r="E659">
        <v>10222</v>
      </c>
      <c r="F659" s="1" t="s">
        <v>24</v>
      </c>
      <c r="G659" s="1" t="s">
        <v>44</v>
      </c>
      <c r="H659">
        <v>4</v>
      </c>
      <c r="I659" s="1" t="s">
        <v>26</v>
      </c>
      <c r="J659" s="1" t="s">
        <v>27</v>
      </c>
      <c r="K659">
        <v>3</v>
      </c>
      <c r="L659" s="1" t="s">
        <v>55</v>
      </c>
      <c r="M659">
        <v>37</v>
      </c>
      <c r="N659" s="1" t="s">
        <v>70</v>
      </c>
      <c r="O659" s="1" t="s">
        <v>30</v>
      </c>
      <c r="P659">
        <v>1</v>
      </c>
      <c r="Q659" s="1" t="s">
        <v>31</v>
      </c>
      <c r="R659">
        <v>1</v>
      </c>
      <c r="S659" s="1" t="s">
        <v>32</v>
      </c>
      <c r="T659" s="1" t="s">
        <v>33</v>
      </c>
      <c r="U659" s="1" t="s">
        <v>34</v>
      </c>
    </row>
    <row r="660" spans="1:21" x14ac:dyDescent="0.3">
      <c r="A660" s="1" t="s">
        <v>35</v>
      </c>
      <c r="B660">
        <v>30</v>
      </c>
      <c r="C660" s="1" t="s">
        <v>65</v>
      </c>
      <c r="D660" s="1" t="s">
        <v>63</v>
      </c>
      <c r="E660">
        <v>4221</v>
      </c>
      <c r="F660" s="1" t="s">
        <v>37</v>
      </c>
      <c r="G660" s="1" t="s">
        <v>38</v>
      </c>
      <c r="H660">
        <v>2</v>
      </c>
      <c r="I660" s="1" t="s">
        <v>39</v>
      </c>
      <c r="J660" s="1" t="s">
        <v>27</v>
      </c>
      <c r="K660">
        <v>1</v>
      </c>
      <c r="L660" s="1" t="s">
        <v>55</v>
      </c>
      <c r="M660">
        <v>28</v>
      </c>
      <c r="N660" s="1" t="s">
        <v>29</v>
      </c>
      <c r="O660" s="1" t="s">
        <v>30</v>
      </c>
      <c r="P660">
        <v>2</v>
      </c>
      <c r="Q660" s="1" t="s">
        <v>31</v>
      </c>
      <c r="R660">
        <v>1</v>
      </c>
      <c r="S660" s="1" t="s">
        <v>40</v>
      </c>
      <c r="T660" s="1" t="s">
        <v>33</v>
      </c>
      <c r="U660" s="1" t="s">
        <v>34</v>
      </c>
    </row>
    <row r="661" spans="1:21" x14ac:dyDescent="0.3">
      <c r="A661" s="1" t="s">
        <v>35</v>
      </c>
      <c r="B661">
        <v>18</v>
      </c>
      <c r="C661" s="1" t="s">
        <v>22</v>
      </c>
      <c r="D661" s="1" t="s">
        <v>46</v>
      </c>
      <c r="E661">
        <v>6361</v>
      </c>
      <c r="F661" s="1" t="s">
        <v>37</v>
      </c>
      <c r="G661" s="1" t="s">
        <v>25</v>
      </c>
      <c r="H661">
        <v>2</v>
      </c>
      <c r="I661" s="1" t="s">
        <v>26</v>
      </c>
      <c r="J661" s="1" t="s">
        <v>27</v>
      </c>
      <c r="K661">
        <v>1</v>
      </c>
      <c r="L661" s="1" t="s">
        <v>52</v>
      </c>
      <c r="M661">
        <v>41</v>
      </c>
      <c r="N661" s="1" t="s">
        <v>29</v>
      </c>
      <c r="O661" s="1" t="s">
        <v>30</v>
      </c>
      <c r="P661">
        <v>1</v>
      </c>
      <c r="Q661" s="1" t="s">
        <v>31</v>
      </c>
      <c r="R661">
        <v>1</v>
      </c>
      <c r="S661" s="1" t="s">
        <v>32</v>
      </c>
      <c r="T661" s="1" t="s">
        <v>33</v>
      </c>
      <c r="U661" s="1" t="s">
        <v>34</v>
      </c>
    </row>
    <row r="662" spans="1:21" x14ac:dyDescent="0.3">
      <c r="A662" s="1" t="s">
        <v>68</v>
      </c>
      <c r="B662">
        <v>12</v>
      </c>
      <c r="C662" s="1" t="s">
        <v>36</v>
      </c>
      <c r="D662" s="1" t="s">
        <v>23</v>
      </c>
      <c r="E662">
        <v>1297</v>
      </c>
      <c r="F662" s="1" t="s">
        <v>37</v>
      </c>
      <c r="G662" s="1" t="s">
        <v>38</v>
      </c>
      <c r="H662">
        <v>3</v>
      </c>
      <c r="I662" s="1" t="s">
        <v>61</v>
      </c>
      <c r="J662" s="1" t="s">
        <v>27</v>
      </c>
      <c r="K662">
        <v>4</v>
      </c>
      <c r="L662" s="1" t="s">
        <v>28</v>
      </c>
      <c r="M662">
        <v>23</v>
      </c>
      <c r="N662" s="1" t="s">
        <v>29</v>
      </c>
      <c r="O662" s="1" t="s">
        <v>56</v>
      </c>
      <c r="P662">
        <v>1</v>
      </c>
      <c r="Q662" s="1" t="s">
        <v>31</v>
      </c>
      <c r="R662">
        <v>1</v>
      </c>
      <c r="S662" s="1" t="s">
        <v>40</v>
      </c>
      <c r="T662" s="1" t="s">
        <v>33</v>
      </c>
      <c r="U662" s="1" t="s">
        <v>34</v>
      </c>
    </row>
    <row r="663" spans="1:21" x14ac:dyDescent="0.3">
      <c r="A663" s="1" t="s">
        <v>21</v>
      </c>
      <c r="B663">
        <v>12</v>
      </c>
      <c r="C663" s="1" t="s">
        <v>36</v>
      </c>
      <c r="D663" s="1" t="s">
        <v>51</v>
      </c>
      <c r="E663">
        <v>900</v>
      </c>
      <c r="F663" s="1" t="s">
        <v>24</v>
      </c>
      <c r="G663" s="1" t="s">
        <v>38</v>
      </c>
      <c r="H663">
        <v>4</v>
      </c>
      <c r="I663" s="1" t="s">
        <v>61</v>
      </c>
      <c r="J663" s="1" t="s">
        <v>27</v>
      </c>
      <c r="K663">
        <v>2</v>
      </c>
      <c r="L663" s="1" t="s">
        <v>55</v>
      </c>
      <c r="M663">
        <v>23</v>
      </c>
      <c r="N663" s="1" t="s">
        <v>29</v>
      </c>
      <c r="O663" s="1" t="s">
        <v>30</v>
      </c>
      <c r="P663">
        <v>1</v>
      </c>
      <c r="Q663" s="1" t="s">
        <v>31</v>
      </c>
      <c r="R663">
        <v>1</v>
      </c>
      <c r="S663" s="1" t="s">
        <v>40</v>
      </c>
      <c r="T663" s="1" t="s">
        <v>33</v>
      </c>
      <c r="U663" s="1" t="s">
        <v>41</v>
      </c>
    </row>
    <row r="664" spans="1:21" x14ac:dyDescent="0.3">
      <c r="A664" s="1" t="s">
        <v>42</v>
      </c>
      <c r="B664">
        <v>21</v>
      </c>
      <c r="C664" s="1" t="s">
        <v>36</v>
      </c>
      <c r="D664" s="1" t="s">
        <v>46</v>
      </c>
      <c r="E664">
        <v>2241</v>
      </c>
      <c r="F664" s="1" t="s">
        <v>37</v>
      </c>
      <c r="G664" s="1" t="s">
        <v>25</v>
      </c>
      <c r="H664">
        <v>4</v>
      </c>
      <c r="I664" s="1" t="s">
        <v>26</v>
      </c>
      <c r="J664" s="1" t="s">
        <v>27</v>
      </c>
      <c r="K664">
        <v>2</v>
      </c>
      <c r="L664" s="1" t="s">
        <v>28</v>
      </c>
      <c r="M664">
        <v>50</v>
      </c>
      <c r="N664" s="1" t="s">
        <v>29</v>
      </c>
      <c r="O664" s="1" t="s">
        <v>30</v>
      </c>
      <c r="P664">
        <v>2</v>
      </c>
      <c r="Q664" s="1" t="s">
        <v>31</v>
      </c>
      <c r="R664">
        <v>1</v>
      </c>
      <c r="S664" s="1" t="s">
        <v>40</v>
      </c>
      <c r="T664" s="1" t="s">
        <v>33</v>
      </c>
      <c r="U664" s="1" t="s">
        <v>34</v>
      </c>
    </row>
    <row r="665" spans="1:21" x14ac:dyDescent="0.3">
      <c r="A665" s="1" t="s">
        <v>35</v>
      </c>
      <c r="B665">
        <v>6</v>
      </c>
      <c r="C665" s="1" t="s">
        <v>50</v>
      </c>
      <c r="D665" s="1" t="s">
        <v>46</v>
      </c>
      <c r="E665">
        <v>1050</v>
      </c>
      <c r="F665" s="1" t="s">
        <v>37</v>
      </c>
      <c r="G665" s="1" t="s">
        <v>60</v>
      </c>
      <c r="H665">
        <v>4</v>
      </c>
      <c r="I665" s="1" t="s">
        <v>26</v>
      </c>
      <c r="J665" s="1" t="s">
        <v>27</v>
      </c>
      <c r="K665">
        <v>1</v>
      </c>
      <c r="L665" s="1" t="s">
        <v>48</v>
      </c>
      <c r="M665">
        <v>35</v>
      </c>
      <c r="N665" s="1" t="s">
        <v>70</v>
      </c>
      <c r="O665" s="1" t="s">
        <v>30</v>
      </c>
      <c r="P665">
        <v>2</v>
      </c>
      <c r="Q665" s="1" t="s">
        <v>57</v>
      </c>
      <c r="R665">
        <v>1</v>
      </c>
      <c r="S665" s="1" t="s">
        <v>32</v>
      </c>
      <c r="T665" s="1" t="s">
        <v>33</v>
      </c>
      <c r="U665" s="1" t="s">
        <v>34</v>
      </c>
    </row>
    <row r="666" spans="1:21" x14ac:dyDescent="0.3">
      <c r="A666" s="1" t="s">
        <v>68</v>
      </c>
      <c r="B666">
        <v>6</v>
      </c>
      <c r="C666" s="1" t="s">
        <v>22</v>
      </c>
      <c r="D666" s="1" t="s">
        <v>43</v>
      </c>
      <c r="E666">
        <v>1047</v>
      </c>
      <c r="F666" s="1" t="s">
        <v>37</v>
      </c>
      <c r="G666" s="1" t="s">
        <v>38</v>
      </c>
      <c r="H666">
        <v>2</v>
      </c>
      <c r="I666" s="1" t="s">
        <v>39</v>
      </c>
      <c r="J666" s="1" t="s">
        <v>27</v>
      </c>
      <c r="K666">
        <v>4</v>
      </c>
      <c r="L666" s="1" t="s">
        <v>48</v>
      </c>
      <c r="M666">
        <v>50</v>
      </c>
      <c r="N666" s="1" t="s">
        <v>29</v>
      </c>
      <c r="O666" s="1" t="s">
        <v>30</v>
      </c>
      <c r="P666">
        <v>1</v>
      </c>
      <c r="Q666" s="1" t="s">
        <v>45</v>
      </c>
      <c r="R666">
        <v>1</v>
      </c>
      <c r="S666" s="1" t="s">
        <v>40</v>
      </c>
      <c r="T666" s="1" t="s">
        <v>33</v>
      </c>
      <c r="U666" s="1" t="s">
        <v>34</v>
      </c>
    </row>
    <row r="667" spans="1:21" x14ac:dyDescent="0.3">
      <c r="A667" s="1" t="s">
        <v>42</v>
      </c>
      <c r="B667">
        <v>24</v>
      </c>
      <c r="C667" s="1" t="s">
        <v>22</v>
      </c>
      <c r="D667" s="1" t="s">
        <v>75</v>
      </c>
      <c r="E667">
        <v>6314</v>
      </c>
      <c r="F667" s="1" t="s">
        <v>37</v>
      </c>
      <c r="G667" s="1" t="s">
        <v>60</v>
      </c>
      <c r="H667">
        <v>4</v>
      </c>
      <c r="I667" s="1" t="s">
        <v>26</v>
      </c>
      <c r="J667" s="1" t="s">
        <v>71</v>
      </c>
      <c r="K667">
        <v>2</v>
      </c>
      <c r="L667" s="1" t="s">
        <v>52</v>
      </c>
      <c r="M667">
        <v>27</v>
      </c>
      <c r="N667" s="1" t="s">
        <v>66</v>
      </c>
      <c r="O667" s="1" t="s">
        <v>30</v>
      </c>
      <c r="P667">
        <v>2</v>
      </c>
      <c r="Q667" s="1" t="s">
        <v>57</v>
      </c>
      <c r="R667">
        <v>1</v>
      </c>
      <c r="S667" s="1" t="s">
        <v>32</v>
      </c>
      <c r="T667" s="1" t="s">
        <v>33</v>
      </c>
      <c r="U667" s="1" t="s">
        <v>34</v>
      </c>
    </row>
    <row r="668" spans="1:21" x14ac:dyDescent="0.3">
      <c r="A668" s="1" t="s">
        <v>35</v>
      </c>
      <c r="B668">
        <v>30</v>
      </c>
      <c r="C668" s="1" t="s">
        <v>69</v>
      </c>
      <c r="D668" s="1" t="s">
        <v>46</v>
      </c>
      <c r="E668">
        <v>3496</v>
      </c>
      <c r="F668" s="1" t="s">
        <v>58</v>
      </c>
      <c r="G668" s="1" t="s">
        <v>38</v>
      </c>
      <c r="H668">
        <v>4</v>
      </c>
      <c r="I668" s="1" t="s">
        <v>26</v>
      </c>
      <c r="J668" s="1" t="s">
        <v>27</v>
      </c>
      <c r="K668">
        <v>2</v>
      </c>
      <c r="L668" s="1" t="s">
        <v>55</v>
      </c>
      <c r="M668">
        <v>34</v>
      </c>
      <c r="N668" s="1" t="s">
        <v>70</v>
      </c>
      <c r="O668" s="1" t="s">
        <v>30</v>
      </c>
      <c r="P668">
        <v>1</v>
      </c>
      <c r="Q668" s="1" t="s">
        <v>31</v>
      </c>
      <c r="R668">
        <v>2</v>
      </c>
      <c r="S668" s="1" t="s">
        <v>32</v>
      </c>
      <c r="T668" s="1" t="s">
        <v>33</v>
      </c>
      <c r="U668" s="1" t="s">
        <v>34</v>
      </c>
    </row>
    <row r="669" spans="1:21" x14ac:dyDescent="0.3">
      <c r="A669" s="1" t="s">
        <v>42</v>
      </c>
      <c r="B669">
        <v>48</v>
      </c>
      <c r="C669" s="1" t="s">
        <v>69</v>
      </c>
      <c r="D669" s="1" t="s">
        <v>63</v>
      </c>
      <c r="E669">
        <v>3609</v>
      </c>
      <c r="F669" s="1" t="s">
        <v>37</v>
      </c>
      <c r="G669" s="1" t="s">
        <v>38</v>
      </c>
      <c r="H669">
        <v>1</v>
      </c>
      <c r="I669" s="1" t="s">
        <v>39</v>
      </c>
      <c r="J669" s="1" t="s">
        <v>27</v>
      </c>
      <c r="K669">
        <v>1</v>
      </c>
      <c r="L669" s="1" t="s">
        <v>28</v>
      </c>
      <c r="M669">
        <v>27</v>
      </c>
      <c r="N669" s="1" t="s">
        <v>70</v>
      </c>
      <c r="O669" s="1" t="s">
        <v>30</v>
      </c>
      <c r="P669">
        <v>1</v>
      </c>
      <c r="Q669" s="1" t="s">
        <v>31</v>
      </c>
      <c r="R669">
        <v>1</v>
      </c>
      <c r="S669" s="1" t="s">
        <v>40</v>
      </c>
      <c r="T669" s="1" t="s">
        <v>33</v>
      </c>
      <c r="U669" s="1" t="s">
        <v>34</v>
      </c>
    </row>
    <row r="670" spans="1:21" x14ac:dyDescent="0.3">
      <c r="A670" s="1" t="s">
        <v>21</v>
      </c>
      <c r="B670">
        <v>12</v>
      </c>
      <c r="C670" s="1" t="s">
        <v>22</v>
      </c>
      <c r="D670" s="1" t="s">
        <v>51</v>
      </c>
      <c r="E670">
        <v>4843</v>
      </c>
      <c r="F670" s="1" t="s">
        <v>37</v>
      </c>
      <c r="G670" s="1" t="s">
        <v>25</v>
      </c>
      <c r="H670">
        <v>3</v>
      </c>
      <c r="I670" s="1" t="s">
        <v>26</v>
      </c>
      <c r="J670" s="1" t="s">
        <v>71</v>
      </c>
      <c r="K670">
        <v>4</v>
      </c>
      <c r="L670" s="1" t="s">
        <v>48</v>
      </c>
      <c r="M670">
        <v>43</v>
      </c>
      <c r="N670" s="1" t="s">
        <v>29</v>
      </c>
      <c r="O670" s="1" t="s">
        <v>56</v>
      </c>
      <c r="P670">
        <v>2</v>
      </c>
      <c r="Q670" s="1" t="s">
        <v>31</v>
      </c>
      <c r="R670">
        <v>1</v>
      </c>
      <c r="S670" s="1" t="s">
        <v>32</v>
      </c>
      <c r="T670" s="1" t="s">
        <v>33</v>
      </c>
      <c r="U670" s="1" t="s">
        <v>41</v>
      </c>
    </row>
    <row r="671" spans="1:21" x14ac:dyDescent="0.3">
      <c r="A671" s="1" t="s">
        <v>68</v>
      </c>
      <c r="B671">
        <v>30</v>
      </c>
      <c r="C671" s="1" t="s">
        <v>22</v>
      </c>
      <c r="D671" s="1" t="s">
        <v>23</v>
      </c>
      <c r="E671">
        <v>3017</v>
      </c>
      <c r="F671" s="1" t="s">
        <v>37</v>
      </c>
      <c r="G671" s="1" t="s">
        <v>25</v>
      </c>
      <c r="H671">
        <v>4</v>
      </c>
      <c r="I671" s="1" t="s">
        <v>26</v>
      </c>
      <c r="J671" s="1" t="s">
        <v>27</v>
      </c>
      <c r="K671">
        <v>4</v>
      </c>
      <c r="L671" s="1" t="s">
        <v>48</v>
      </c>
      <c r="M671">
        <v>47</v>
      </c>
      <c r="N671" s="1" t="s">
        <v>29</v>
      </c>
      <c r="O671" s="1" t="s">
        <v>30</v>
      </c>
      <c r="P671">
        <v>1</v>
      </c>
      <c r="Q671" s="1" t="s">
        <v>31</v>
      </c>
      <c r="R671">
        <v>1</v>
      </c>
      <c r="S671" s="1" t="s">
        <v>40</v>
      </c>
      <c r="T671" s="1" t="s">
        <v>33</v>
      </c>
      <c r="U671" s="1" t="s">
        <v>34</v>
      </c>
    </row>
    <row r="672" spans="1:21" x14ac:dyDescent="0.3">
      <c r="A672" s="1" t="s">
        <v>42</v>
      </c>
      <c r="B672">
        <v>24</v>
      </c>
      <c r="C672" s="1" t="s">
        <v>22</v>
      </c>
      <c r="D672" s="1" t="s">
        <v>63</v>
      </c>
      <c r="E672">
        <v>4139</v>
      </c>
      <c r="F672" s="1" t="s">
        <v>64</v>
      </c>
      <c r="G672" s="1" t="s">
        <v>38</v>
      </c>
      <c r="H672">
        <v>3</v>
      </c>
      <c r="I672" s="1" t="s">
        <v>26</v>
      </c>
      <c r="J672" s="1" t="s">
        <v>27</v>
      </c>
      <c r="K672">
        <v>3</v>
      </c>
      <c r="L672" s="1" t="s">
        <v>48</v>
      </c>
      <c r="M672">
        <v>27</v>
      </c>
      <c r="N672" s="1" t="s">
        <v>29</v>
      </c>
      <c r="O672" s="1" t="s">
        <v>30</v>
      </c>
      <c r="P672">
        <v>2</v>
      </c>
      <c r="Q672" s="1" t="s">
        <v>45</v>
      </c>
      <c r="R672">
        <v>1</v>
      </c>
      <c r="S672" s="1" t="s">
        <v>32</v>
      </c>
      <c r="T672" s="1" t="s">
        <v>33</v>
      </c>
      <c r="U672" s="1" t="s">
        <v>34</v>
      </c>
    </row>
    <row r="673" spans="1:21" x14ac:dyDescent="0.3">
      <c r="A673" s="1" t="s">
        <v>42</v>
      </c>
      <c r="B673">
        <v>36</v>
      </c>
      <c r="C673" s="1" t="s">
        <v>36</v>
      </c>
      <c r="D673" s="1" t="s">
        <v>63</v>
      </c>
      <c r="E673">
        <v>5742</v>
      </c>
      <c r="F673" s="1" t="s">
        <v>64</v>
      </c>
      <c r="G673" s="1" t="s">
        <v>44</v>
      </c>
      <c r="H673">
        <v>2</v>
      </c>
      <c r="I673" s="1" t="s">
        <v>26</v>
      </c>
      <c r="J673" s="1" t="s">
        <v>27</v>
      </c>
      <c r="K673">
        <v>2</v>
      </c>
      <c r="L673" s="1" t="s">
        <v>55</v>
      </c>
      <c r="M673">
        <v>31</v>
      </c>
      <c r="N673" s="1" t="s">
        <v>29</v>
      </c>
      <c r="O673" s="1" t="s">
        <v>30</v>
      </c>
      <c r="P673">
        <v>2</v>
      </c>
      <c r="Q673" s="1" t="s">
        <v>31</v>
      </c>
      <c r="R673">
        <v>1</v>
      </c>
      <c r="S673" s="1" t="s">
        <v>32</v>
      </c>
      <c r="T673" s="1" t="s">
        <v>33</v>
      </c>
      <c r="U673" s="1" t="s">
        <v>34</v>
      </c>
    </row>
    <row r="674" spans="1:21" x14ac:dyDescent="0.3">
      <c r="A674" s="1" t="s">
        <v>42</v>
      </c>
      <c r="B674">
        <v>60</v>
      </c>
      <c r="C674" s="1" t="s">
        <v>36</v>
      </c>
      <c r="D674" s="1" t="s">
        <v>51</v>
      </c>
      <c r="E674">
        <v>10366</v>
      </c>
      <c r="F674" s="1" t="s">
        <v>37</v>
      </c>
      <c r="G674" s="1" t="s">
        <v>25</v>
      </c>
      <c r="H674">
        <v>2</v>
      </c>
      <c r="I674" s="1" t="s">
        <v>26</v>
      </c>
      <c r="J674" s="1" t="s">
        <v>27</v>
      </c>
      <c r="K674">
        <v>4</v>
      </c>
      <c r="L674" s="1" t="s">
        <v>48</v>
      </c>
      <c r="M674">
        <v>42</v>
      </c>
      <c r="N674" s="1" t="s">
        <v>29</v>
      </c>
      <c r="O674" s="1" t="s">
        <v>30</v>
      </c>
      <c r="P674">
        <v>1</v>
      </c>
      <c r="Q674" s="1" t="s">
        <v>57</v>
      </c>
      <c r="R674">
        <v>1</v>
      </c>
      <c r="S674" s="1" t="s">
        <v>32</v>
      </c>
      <c r="T674" s="1" t="s">
        <v>33</v>
      </c>
      <c r="U674" s="1" t="s">
        <v>34</v>
      </c>
    </row>
    <row r="675" spans="1:21" x14ac:dyDescent="0.3">
      <c r="A675" s="1" t="s">
        <v>42</v>
      </c>
      <c r="B675">
        <v>6</v>
      </c>
      <c r="C675" s="1" t="s">
        <v>22</v>
      </c>
      <c r="D675" s="1" t="s">
        <v>51</v>
      </c>
      <c r="E675">
        <v>2080</v>
      </c>
      <c r="F675" s="1" t="s">
        <v>53</v>
      </c>
      <c r="G675" s="1" t="s">
        <v>38</v>
      </c>
      <c r="H675">
        <v>1</v>
      </c>
      <c r="I675" s="1" t="s">
        <v>61</v>
      </c>
      <c r="J675" s="1" t="s">
        <v>27</v>
      </c>
      <c r="K675">
        <v>2</v>
      </c>
      <c r="L675" s="1" t="s">
        <v>55</v>
      </c>
      <c r="M675">
        <v>24</v>
      </c>
      <c r="N675" s="1" t="s">
        <v>29</v>
      </c>
      <c r="O675" s="1" t="s">
        <v>30</v>
      </c>
      <c r="P675">
        <v>1</v>
      </c>
      <c r="Q675" s="1" t="s">
        <v>31</v>
      </c>
      <c r="R675">
        <v>1</v>
      </c>
      <c r="S675" s="1" t="s">
        <v>40</v>
      </c>
      <c r="T675" s="1" t="s">
        <v>33</v>
      </c>
      <c r="U675" s="1" t="s">
        <v>34</v>
      </c>
    </row>
    <row r="676" spans="1:21" x14ac:dyDescent="0.3">
      <c r="A676" s="1" t="s">
        <v>42</v>
      </c>
      <c r="B676">
        <v>21</v>
      </c>
      <c r="C676" s="1" t="s">
        <v>50</v>
      </c>
      <c r="D676" s="1" t="s">
        <v>63</v>
      </c>
      <c r="E676">
        <v>2580</v>
      </c>
      <c r="F676" s="1" t="s">
        <v>53</v>
      </c>
      <c r="G676" s="1" t="s">
        <v>62</v>
      </c>
      <c r="H676">
        <v>4</v>
      </c>
      <c r="I676" s="1" t="s">
        <v>26</v>
      </c>
      <c r="J676" s="1" t="s">
        <v>27</v>
      </c>
      <c r="K676">
        <v>2</v>
      </c>
      <c r="L676" s="1" t="s">
        <v>28</v>
      </c>
      <c r="M676">
        <v>41</v>
      </c>
      <c r="N676" s="1" t="s">
        <v>66</v>
      </c>
      <c r="O676" s="1" t="s">
        <v>30</v>
      </c>
      <c r="P676">
        <v>1</v>
      </c>
      <c r="Q676" s="1" t="s">
        <v>45</v>
      </c>
      <c r="R676">
        <v>2</v>
      </c>
      <c r="S676" s="1" t="s">
        <v>40</v>
      </c>
      <c r="T676" s="1" t="s">
        <v>33</v>
      </c>
      <c r="U676" s="1" t="s">
        <v>41</v>
      </c>
    </row>
    <row r="677" spans="1:21" x14ac:dyDescent="0.3">
      <c r="A677" s="1" t="s">
        <v>42</v>
      </c>
      <c r="B677">
        <v>30</v>
      </c>
      <c r="C677" s="1" t="s">
        <v>22</v>
      </c>
      <c r="D677" s="1" t="s">
        <v>23</v>
      </c>
      <c r="E677">
        <v>4530</v>
      </c>
      <c r="F677" s="1" t="s">
        <v>37</v>
      </c>
      <c r="G677" s="1" t="s">
        <v>44</v>
      </c>
      <c r="H677">
        <v>4</v>
      </c>
      <c r="I677" s="1" t="s">
        <v>39</v>
      </c>
      <c r="J677" s="1" t="s">
        <v>27</v>
      </c>
      <c r="K677">
        <v>4</v>
      </c>
      <c r="L677" s="1" t="s">
        <v>55</v>
      </c>
      <c r="M677">
        <v>26</v>
      </c>
      <c r="N677" s="1" t="s">
        <v>29</v>
      </c>
      <c r="O677" s="1" t="s">
        <v>56</v>
      </c>
      <c r="P677">
        <v>1</v>
      </c>
      <c r="Q677" s="1" t="s">
        <v>57</v>
      </c>
      <c r="R677">
        <v>1</v>
      </c>
      <c r="S677" s="1" t="s">
        <v>32</v>
      </c>
      <c r="T677" s="1" t="s">
        <v>33</v>
      </c>
      <c r="U677" s="1" t="s">
        <v>34</v>
      </c>
    </row>
    <row r="678" spans="1:21" x14ac:dyDescent="0.3">
      <c r="A678" s="1" t="s">
        <v>42</v>
      </c>
      <c r="B678">
        <v>24</v>
      </c>
      <c r="C678" s="1" t="s">
        <v>22</v>
      </c>
      <c r="D678" s="1" t="s">
        <v>46</v>
      </c>
      <c r="E678">
        <v>5150</v>
      </c>
      <c r="F678" s="1" t="s">
        <v>37</v>
      </c>
      <c r="G678" s="1" t="s">
        <v>25</v>
      </c>
      <c r="H678">
        <v>4</v>
      </c>
      <c r="I678" s="1" t="s">
        <v>26</v>
      </c>
      <c r="J678" s="1" t="s">
        <v>27</v>
      </c>
      <c r="K678">
        <v>4</v>
      </c>
      <c r="L678" s="1" t="s">
        <v>55</v>
      </c>
      <c r="M678">
        <v>33</v>
      </c>
      <c r="N678" s="1" t="s">
        <v>29</v>
      </c>
      <c r="O678" s="1" t="s">
        <v>30</v>
      </c>
      <c r="P678">
        <v>1</v>
      </c>
      <c r="Q678" s="1" t="s">
        <v>31</v>
      </c>
      <c r="R678">
        <v>1</v>
      </c>
      <c r="S678" s="1" t="s">
        <v>32</v>
      </c>
      <c r="T678" s="1" t="s">
        <v>33</v>
      </c>
      <c r="U678" s="1" t="s">
        <v>34</v>
      </c>
    </row>
    <row r="679" spans="1:21" x14ac:dyDescent="0.3">
      <c r="A679" s="1" t="s">
        <v>35</v>
      </c>
      <c r="B679">
        <v>72</v>
      </c>
      <c r="C679" s="1" t="s">
        <v>36</v>
      </c>
      <c r="D679" s="1" t="s">
        <v>23</v>
      </c>
      <c r="E679">
        <v>5595</v>
      </c>
      <c r="F679" s="1" t="s">
        <v>64</v>
      </c>
      <c r="G679" s="1" t="s">
        <v>38</v>
      </c>
      <c r="H679">
        <v>2</v>
      </c>
      <c r="I679" s="1" t="s">
        <v>61</v>
      </c>
      <c r="J679" s="1" t="s">
        <v>27</v>
      </c>
      <c r="K679">
        <v>2</v>
      </c>
      <c r="L679" s="1" t="s">
        <v>55</v>
      </c>
      <c r="M679">
        <v>24</v>
      </c>
      <c r="N679" s="1" t="s">
        <v>29</v>
      </c>
      <c r="O679" s="1" t="s">
        <v>30</v>
      </c>
      <c r="P679">
        <v>1</v>
      </c>
      <c r="Q679" s="1" t="s">
        <v>31</v>
      </c>
      <c r="R679">
        <v>1</v>
      </c>
      <c r="S679" s="1" t="s">
        <v>40</v>
      </c>
      <c r="T679" s="1" t="s">
        <v>33</v>
      </c>
      <c r="U679" s="1" t="s">
        <v>41</v>
      </c>
    </row>
    <row r="680" spans="1:21" x14ac:dyDescent="0.3">
      <c r="A680" s="1" t="s">
        <v>21</v>
      </c>
      <c r="B680">
        <v>24</v>
      </c>
      <c r="C680" s="1" t="s">
        <v>36</v>
      </c>
      <c r="D680" s="1" t="s">
        <v>23</v>
      </c>
      <c r="E680">
        <v>2384</v>
      </c>
      <c r="F680" s="1" t="s">
        <v>37</v>
      </c>
      <c r="G680" s="1" t="s">
        <v>25</v>
      </c>
      <c r="H680">
        <v>4</v>
      </c>
      <c r="I680" s="1" t="s">
        <v>26</v>
      </c>
      <c r="J680" s="1" t="s">
        <v>27</v>
      </c>
      <c r="K680">
        <v>4</v>
      </c>
      <c r="L680" s="1" t="s">
        <v>28</v>
      </c>
      <c r="M680">
        <v>64</v>
      </c>
      <c r="N680" s="1" t="s">
        <v>66</v>
      </c>
      <c r="O680" s="1" t="s">
        <v>56</v>
      </c>
      <c r="P680">
        <v>1</v>
      </c>
      <c r="Q680" s="1" t="s">
        <v>45</v>
      </c>
      <c r="R680">
        <v>1</v>
      </c>
      <c r="S680" s="1" t="s">
        <v>40</v>
      </c>
      <c r="T680" s="1" t="s">
        <v>33</v>
      </c>
      <c r="U680" s="1" t="s">
        <v>34</v>
      </c>
    </row>
    <row r="681" spans="1:21" x14ac:dyDescent="0.3">
      <c r="A681" s="1" t="s">
        <v>42</v>
      </c>
      <c r="B681">
        <v>18</v>
      </c>
      <c r="C681" s="1" t="s">
        <v>36</v>
      </c>
      <c r="D681" s="1" t="s">
        <v>23</v>
      </c>
      <c r="E681">
        <v>1453</v>
      </c>
      <c r="F681" s="1" t="s">
        <v>37</v>
      </c>
      <c r="G681" s="1" t="s">
        <v>62</v>
      </c>
      <c r="H681">
        <v>3</v>
      </c>
      <c r="I681" s="1" t="s">
        <v>39</v>
      </c>
      <c r="J681" s="1" t="s">
        <v>27</v>
      </c>
      <c r="K681">
        <v>1</v>
      </c>
      <c r="L681" s="1" t="s">
        <v>28</v>
      </c>
      <c r="M681">
        <v>26</v>
      </c>
      <c r="N681" s="1" t="s">
        <v>29</v>
      </c>
      <c r="O681" s="1" t="s">
        <v>30</v>
      </c>
      <c r="P681">
        <v>1</v>
      </c>
      <c r="Q681" s="1" t="s">
        <v>31</v>
      </c>
      <c r="R681">
        <v>1</v>
      </c>
      <c r="S681" s="1" t="s">
        <v>40</v>
      </c>
      <c r="T681" s="1" t="s">
        <v>33</v>
      </c>
      <c r="U681" s="1" t="s">
        <v>34</v>
      </c>
    </row>
    <row r="682" spans="1:21" x14ac:dyDescent="0.3">
      <c r="A682" s="1" t="s">
        <v>42</v>
      </c>
      <c r="B682">
        <v>6</v>
      </c>
      <c r="C682" s="1" t="s">
        <v>36</v>
      </c>
      <c r="D682" s="1" t="s">
        <v>43</v>
      </c>
      <c r="E682">
        <v>1538</v>
      </c>
      <c r="F682" s="1" t="s">
        <v>37</v>
      </c>
      <c r="G682" s="1" t="s">
        <v>62</v>
      </c>
      <c r="H682">
        <v>1</v>
      </c>
      <c r="I682" s="1" t="s">
        <v>39</v>
      </c>
      <c r="J682" s="1" t="s">
        <v>27</v>
      </c>
      <c r="K682">
        <v>2</v>
      </c>
      <c r="L682" s="1" t="s">
        <v>52</v>
      </c>
      <c r="M682">
        <v>56</v>
      </c>
      <c r="N682" s="1" t="s">
        <v>29</v>
      </c>
      <c r="O682" s="1" t="s">
        <v>30</v>
      </c>
      <c r="P682">
        <v>1</v>
      </c>
      <c r="Q682" s="1" t="s">
        <v>31</v>
      </c>
      <c r="R682">
        <v>1</v>
      </c>
      <c r="S682" s="1" t="s">
        <v>40</v>
      </c>
      <c r="T682" s="1" t="s">
        <v>33</v>
      </c>
      <c r="U682" s="1" t="s">
        <v>34</v>
      </c>
    </row>
    <row r="683" spans="1:21" x14ac:dyDescent="0.3">
      <c r="A683" s="1" t="s">
        <v>42</v>
      </c>
      <c r="B683">
        <v>12</v>
      </c>
      <c r="C683" s="1" t="s">
        <v>36</v>
      </c>
      <c r="D683" s="1" t="s">
        <v>23</v>
      </c>
      <c r="E683">
        <v>2279</v>
      </c>
      <c r="F683" s="1" t="s">
        <v>24</v>
      </c>
      <c r="G683" s="1" t="s">
        <v>38</v>
      </c>
      <c r="H683">
        <v>4</v>
      </c>
      <c r="I683" s="1" t="s">
        <v>26</v>
      </c>
      <c r="J683" s="1" t="s">
        <v>27</v>
      </c>
      <c r="K683">
        <v>4</v>
      </c>
      <c r="L683" s="1" t="s">
        <v>52</v>
      </c>
      <c r="M683">
        <v>37</v>
      </c>
      <c r="N683" s="1" t="s">
        <v>29</v>
      </c>
      <c r="O683" s="1" t="s">
        <v>49</v>
      </c>
      <c r="P683">
        <v>1</v>
      </c>
      <c r="Q683" s="1" t="s">
        <v>31</v>
      </c>
      <c r="R683">
        <v>1</v>
      </c>
      <c r="S683" s="1" t="s">
        <v>32</v>
      </c>
      <c r="T683" s="1" t="s">
        <v>33</v>
      </c>
      <c r="U683" s="1" t="s">
        <v>34</v>
      </c>
    </row>
    <row r="684" spans="1:21" x14ac:dyDescent="0.3">
      <c r="A684" s="1" t="s">
        <v>42</v>
      </c>
      <c r="B684">
        <v>15</v>
      </c>
      <c r="C684" s="1" t="s">
        <v>50</v>
      </c>
      <c r="D684" s="1" t="s">
        <v>23</v>
      </c>
      <c r="E684">
        <v>1478</v>
      </c>
      <c r="F684" s="1" t="s">
        <v>37</v>
      </c>
      <c r="G684" s="1" t="s">
        <v>38</v>
      </c>
      <c r="H684">
        <v>4</v>
      </c>
      <c r="I684" s="1" t="s">
        <v>61</v>
      </c>
      <c r="J684" s="1" t="s">
        <v>27</v>
      </c>
      <c r="K684">
        <v>3</v>
      </c>
      <c r="L684" s="1" t="s">
        <v>28</v>
      </c>
      <c r="M684">
        <v>33</v>
      </c>
      <c r="N684" s="1" t="s">
        <v>66</v>
      </c>
      <c r="O684" s="1" t="s">
        <v>30</v>
      </c>
      <c r="P684">
        <v>2</v>
      </c>
      <c r="Q684" s="1" t="s">
        <v>31</v>
      </c>
      <c r="R684">
        <v>1</v>
      </c>
      <c r="S684" s="1" t="s">
        <v>40</v>
      </c>
      <c r="T684" s="1" t="s">
        <v>33</v>
      </c>
      <c r="U684" s="1" t="s">
        <v>34</v>
      </c>
    </row>
    <row r="685" spans="1:21" x14ac:dyDescent="0.3">
      <c r="A685" s="1" t="s">
        <v>42</v>
      </c>
      <c r="B685">
        <v>24</v>
      </c>
      <c r="C685" s="1" t="s">
        <v>22</v>
      </c>
      <c r="D685" s="1" t="s">
        <v>23</v>
      </c>
      <c r="E685">
        <v>5103</v>
      </c>
      <c r="F685" s="1" t="s">
        <v>37</v>
      </c>
      <c r="G685" s="1" t="s">
        <v>62</v>
      </c>
      <c r="H685">
        <v>3</v>
      </c>
      <c r="I685" s="1" t="s">
        <v>61</v>
      </c>
      <c r="J685" s="1" t="s">
        <v>27</v>
      </c>
      <c r="K685">
        <v>3</v>
      </c>
      <c r="L685" s="1" t="s">
        <v>52</v>
      </c>
      <c r="M685">
        <v>47</v>
      </c>
      <c r="N685" s="1" t="s">
        <v>29</v>
      </c>
      <c r="O685" s="1" t="s">
        <v>49</v>
      </c>
      <c r="P685">
        <v>3</v>
      </c>
      <c r="Q685" s="1" t="s">
        <v>31</v>
      </c>
      <c r="R685">
        <v>1</v>
      </c>
      <c r="S685" s="1" t="s">
        <v>32</v>
      </c>
      <c r="T685" s="1" t="s">
        <v>33</v>
      </c>
      <c r="U685" s="1" t="s">
        <v>34</v>
      </c>
    </row>
    <row r="686" spans="1:21" x14ac:dyDescent="0.3">
      <c r="A686" s="1" t="s">
        <v>35</v>
      </c>
      <c r="B686">
        <v>36</v>
      </c>
      <c r="C686" s="1" t="s">
        <v>50</v>
      </c>
      <c r="D686" s="1" t="s">
        <v>63</v>
      </c>
      <c r="E686">
        <v>9857</v>
      </c>
      <c r="F686" s="1" t="s">
        <v>64</v>
      </c>
      <c r="G686" s="1" t="s">
        <v>44</v>
      </c>
      <c r="H686">
        <v>1</v>
      </c>
      <c r="I686" s="1" t="s">
        <v>26</v>
      </c>
      <c r="J686" s="1" t="s">
        <v>27</v>
      </c>
      <c r="K686">
        <v>3</v>
      </c>
      <c r="L686" s="1" t="s">
        <v>48</v>
      </c>
      <c r="M686">
        <v>31</v>
      </c>
      <c r="N686" s="1" t="s">
        <v>29</v>
      </c>
      <c r="O686" s="1" t="s">
        <v>30</v>
      </c>
      <c r="P686">
        <v>2</v>
      </c>
      <c r="Q686" s="1" t="s">
        <v>45</v>
      </c>
      <c r="R686">
        <v>2</v>
      </c>
      <c r="S686" s="1" t="s">
        <v>32</v>
      </c>
      <c r="T686" s="1" t="s">
        <v>33</v>
      </c>
      <c r="U686" s="1" t="s">
        <v>34</v>
      </c>
    </row>
    <row r="687" spans="1:21" x14ac:dyDescent="0.3">
      <c r="A687" s="1" t="s">
        <v>42</v>
      </c>
      <c r="B687">
        <v>60</v>
      </c>
      <c r="C687" s="1" t="s">
        <v>36</v>
      </c>
      <c r="D687" s="1" t="s">
        <v>51</v>
      </c>
      <c r="E687">
        <v>6527</v>
      </c>
      <c r="F687" s="1" t="s">
        <v>24</v>
      </c>
      <c r="G687" s="1" t="s">
        <v>38</v>
      </c>
      <c r="H687">
        <v>4</v>
      </c>
      <c r="I687" s="1" t="s">
        <v>26</v>
      </c>
      <c r="J687" s="1" t="s">
        <v>27</v>
      </c>
      <c r="K687">
        <v>4</v>
      </c>
      <c r="L687" s="1" t="s">
        <v>52</v>
      </c>
      <c r="M687">
        <v>34</v>
      </c>
      <c r="N687" s="1" t="s">
        <v>29</v>
      </c>
      <c r="O687" s="1" t="s">
        <v>49</v>
      </c>
      <c r="P687">
        <v>1</v>
      </c>
      <c r="Q687" s="1" t="s">
        <v>31</v>
      </c>
      <c r="R687">
        <v>2</v>
      </c>
      <c r="S687" s="1" t="s">
        <v>32</v>
      </c>
      <c r="T687" s="1" t="s">
        <v>33</v>
      </c>
      <c r="U687" s="1" t="s">
        <v>34</v>
      </c>
    </row>
    <row r="688" spans="1:21" x14ac:dyDescent="0.3">
      <c r="A688" s="1" t="s">
        <v>68</v>
      </c>
      <c r="B688">
        <v>10</v>
      </c>
      <c r="C688" s="1" t="s">
        <v>22</v>
      </c>
      <c r="D688" s="1" t="s">
        <v>23</v>
      </c>
      <c r="E688">
        <v>1347</v>
      </c>
      <c r="F688" s="1" t="s">
        <v>24</v>
      </c>
      <c r="G688" s="1" t="s">
        <v>44</v>
      </c>
      <c r="H688">
        <v>4</v>
      </c>
      <c r="I688" s="1" t="s">
        <v>26</v>
      </c>
      <c r="J688" s="1" t="s">
        <v>27</v>
      </c>
      <c r="K688">
        <v>2</v>
      </c>
      <c r="L688" s="1" t="s">
        <v>48</v>
      </c>
      <c r="M688">
        <v>27</v>
      </c>
      <c r="N688" s="1" t="s">
        <v>29</v>
      </c>
      <c r="O688" s="1" t="s">
        <v>30</v>
      </c>
      <c r="P688">
        <v>2</v>
      </c>
      <c r="Q688" s="1" t="s">
        <v>31</v>
      </c>
      <c r="R688">
        <v>1</v>
      </c>
      <c r="S688" s="1" t="s">
        <v>32</v>
      </c>
      <c r="T688" s="1" t="s">
        <v>33</v>
      </c>
      <c r="U688" s="1" t="s">
        <v>34</v>
      </c>
    </row>
    <row r="689" spans="1:21" x14ac:dyDescent="0.3">
      <c r="A689" s="1" t="s">
        <v>35</v>
      </c>
      <c r="B689">
        <v>36</v>
      </c>
      <c r="C689" s="1" t="s">
        <v>50</v>
      </c>
      <c r="D689" s="1" t="s">
        <v>51</v>
      </c>
      <c r="E689">
        <v>2862</v>
      </c>
      <c r="F689" s="1" t="s">
        <v>64</v>
      </c>
      <c r="G689" s="1" t="s">
        <v>25</v>
      </c>
      <c r="H689">
        <v>4</v>
      </c>
      <c r="I689" s="1" t="s">
        <v>26</v>
      </c>
      <c r="J689" s="1" t="s">
        <v>27</v>
      </c>
      <c r="K689">
        <v>3</v>
      </c>
      <c r="L689" s="1" t="s">
        <v>52</v>
      </c>
      <c r="M689">
        <v>30</v>
      </c>
      <c r="N689" s="1" t="s">
        <v>29</v>
      </c>
      <c r="O689" s="1" t="s">
        <v>49</v>
      </c>
      <c r="P689">
        <v>1</v>
      </c>
      <c r="Q689" s="1" t="s">
        <v>31</v>
      </c>
      <c r="R689">
        <v>1</v>
      </c>
      <c r="S689" s="1" t="s">
        <v>40</v>
      </c>
      <c r="T689" s="1" t="s">
        <v>33</v>
      </c>
      <c r="U689" s="1" t="s">
        <v>34</v>
      </c>
    </row>
    <row r="690" spans="1:21" x14ac:dyDescent="0.3">
      <c r="A690" s="1" t="s">
        <v>42</v>
      </c>
      <c r="B690">
        <v>9</v>
      </c>
      <c r="C690" s="1" t="s">
        <v>36</v>
      </c>
      <c r="D690" s="1" t="s">
        <v>23</v>
      </c>
      <c r="E690">
        <v>2753</v>
      </c>
      <c r="F690" s="1" t="s">
        <v>64</v>
      </c>
      <c r="G690" s="1" t="s">
        <v>25</v>
      </c>
      <c r="H690">
        <v>3</v>
      </c>
      <c r="I690" s="1" t="s">
        <v>26</v>
      </c>
      <c r="J690" s="1" t="s">
        <v>71</v>
      </c>
      <c r="K690">
        <v>4</v>
      </c>
      <c r="L690" s="1" t="s">
        <v>55</v>
      </c>
      <c r="M690">
        <v>35</v>
      </c>
      <c r="N690" s="1" t="s">
        <v>29</v>
      </c>
      <c r="O690" s="1" t="s">
        <v>30</v>
      </c>
      <c r="P690">
        <v>1</v>
      </c>
      <c r="Q690" s="1" t="s">
        <v>31</v>
      </c>
      <c r="R690">
        <v>1</v>
      </c>
      <c r="S690" s="1" t="s">
        <v>32</v>
      </c>
      <c r="T690" s="1" t="s">
        <v>33</v>
      </c>
      <c r="U690" s="1" t="s">
        <v>34</v>
      </c>
    </row>
    <row r="691" spans="1:21" x14ac:dyDescent="0.3">
      <c r="A691" s="1" t="s">
        <v>21</v>
      </c>
      <c r="B691">
        <v>12</v>
      </c>
      <c r="C691" s="1" t="s">
        <v>36</v>
      </c>
      <c r="D691" s="1" t="s">
        <v>51</v>
      </c>
      <c r="E691">
        <v>3651</v>
      </c>
      <c r="F691" s="1" t="s">
        <v>58</v>
      </c>
      <c r="G691" s="1" t="s">
        <v>38</v>
      </c>
      <c r="H691">
        <v>1</v>
      </c>
      <c r="I691" s="1" t="s">
        <v>26</v>
      </c>
      <c r="J691" s="1" t="s">
        <v>27</v>
      </c>
      <c r="K691">
        <v>3</v>
      </c>
      <c r="L691" s="1" t="s">
        <v>48</v>
      </c>
      <c r="M691">
        <v>31</v>
      </c>
      <c r="N691" s="1" t="s">
        <v>29</v>
      </c>
      <c r="O691" s="1" t="s">
        <v>30</v>
      </c>
      <c r="P691">
        <v>1</v>
      </c>
      <c r="Q691" s="1" t="s">
        <v>31</v>
      </c>
      <c r="R691">
        <v>2</v>
      </c>
      <c r="S691" s="1" t="s">
        <v>40</v>
      </c>
      <c r="T691" s="1" t="s">
        <v>33</v>
      </c>
      <c r="U691" s="1" t="s">
        <v>34</v>
      </c>
    </row>
    <row r="692" spans="1:21" x14ac:dyDescent="0.3">
      <c r="A692" s="1" t="s">
        <v>21</v>
      </c>
      <c r="B692">
        <v>15</v>
      </c>
      <c r="C692" s="1" t="s">
        <v>22</v>
      </c>
      <c r="D692" s="1" t="s">
        <v>46</v>
      </c>
      <c r="E692">
        <v>975</v>
      </c>
      <c r="F692" s="1" t="s">
        <v>37</v>
      </c>
      <c r="G692" s="1" t="s">
        <v>38</v>
      </c>
      <c r="H692">
        <v>2</v>
      </c>
      <c r="I692" s="1" t="s">
        <v>59</v>
      </c>
      <c r="J692" s="1" t="s">
        <v>27</v>
      </c>
      <c r="K692">
        <v>3</v>
      </c>
      <c r="L692" s="1" t="s">
        <v>48</v>
      </c>
      <c r="M692">
        <v>25</v>
      </c>
      <c r="N692" s="1" t="s">
        <v>29</v>
      </c>
      <c r="O692" s="1" t="s">
        <v>30</v>
      </c>
      <c r="P692">
        <v>2</v>
      </c>
      <c r="Q692" s="1" t="s">
        <v>31</v>
      </c>
      <c r="R692">
        <v>1</v>
      </c>
      <c r="S692" s="1" t="s">
        <v>40</v>
      </c>
      <c r="T692" s="1" t="s">
        <v>33</v>
      </c>
      <c r="U692" s="1" t="s">
        <v>34</v>
      </c>
    </row>
    <row r="693" spans="1:21" x14ac:dyDescent="0.3">
      <c r="A693" s="1" t="s">
        <v>35</v>
      </c>
      <c r="B693">
        <v>15</v>
      </c>
      <c r="C693" s="1" t="s">
        <v>36</v>
      </c>
      <c r="D693" s="1" t="s">
        <v>73</v>
      </c>
      <c r="E693">
        <v>2631</v>
      </c>
      <c r="F693" s="1" t="s">
        <v>64</v>
      </c>
      <c r="G693" s="1" t="s">
        <v>38</v>
      </c>
      <c r="H693">
        <v>3</v>
      </c>
      <c r="I693" s="1" t="s">
        <v>39</v>
      </c>
      <c r="J693" s="1" t="s">
        <v>27</v>
      </c>
      <c r="K693">
        <v>2</v>
      </c>
      <c r="L693" s="1" t="s">
        <v>28</v>
      </c>
      <c r="M693">
        <v>25</v>
      </c>
      <c r="N693" s="1" t="s">
        <v>29</v>
      </c>
      <c r="O693" s="1" t="s">
        <v>30</v>
      </c>
      <c r="P693">
        <v>1</v>
      </c>
      <c r="Q693" s="1" t="s">
        <v>45</v>
      </c>
      <c r="R693">
        <v>1</v>
      </c>
      <c r="S693" s="1" t="s">
        <v>40</v>
      </c>
      <c r="T693" s="1" t="s">
        <v>33</v>
      </c>
      <c r="U693" s="1" t="s">
        <v>34</v>
      </c>
    </row>
    <row r="694" spans="1:21" x14ac:dyDescent="0.3">
      <c r="A694" s="1" t="s">
        <v>35</v>
      </c>
      <c r="B694">
        <v>24</v>
      </c>
      <c r="C694" s="1" t="s">
        <v>36</v>
      </c>
      <c r="D694" s="1" t="s">
        <v>23</v>
      </c>
      <c r="E694">
        <v>2896</v>
      </c>
      <c r="F694" s="1" t="s">
        <v>64</v>
      </c>
      <c r="G694" s="1" t="s">
        <v>62</v>
      </c>
      <c r="H694">
        <v>2</v>
      </c>
      <c r="I694" s="1" t="s">
        <v>26</v>
      </c>
      <c r="J694" s="1" t="s">
        <v>27</v>
      </c>
      <c r="K694">
        <v>1</v>
      </c>
      <c r="L694" s="1" t="s">
        <v>55</v>
      </c>
      <c r="M694">
        <v>29</v>
      </c>
      <c r="N694" s="1" t="s">
        <v>29</v>
      </c>
      <c r="O694" s="1" t="s">
        <v>30</v>
      </c>
      <c r="P694">
        <v>1</v>
      </c>
      <c r="Q694" s="1" t="s">
        <v>31</v>
      </c>
      <c r="R694">
        <v>1</v>
      </c>
      <c r="S694" s="1" t="s">
        <v>40</v>
      </c>
      <c r="T694" s="1" t="s">
        <v>33</v>
      </c>
      <c r="U694" s="1" t="s">
        <v>34</v>
      </c>
    </row>
    <row r="695" spans="1:21" x14ac:dyDescent="0.3">
      <c r="A695" s="1" t="s">
        <v>21</v>
      </c>
      <c r="B695">
        <v>6</v>
      </c>
      <c r="C695" s="1" t="s">
        <v>22</v>
      </c>
      <c r="D695" s="1" t="s">
        <v>51</v>
      </c>
      <c r="E695">
        <v>4716</v>
      </c>
      <c r="F695" s="1" t="s">
        <v>24</v>
      </c>
      <c r="G695" s="1" t="s">
        <v>62</v>
      </c>
      <c r="H695">
        <v>1</v>
      </c>
      <c r="I695" s="1" t="s">
        <v>26</v>
      </c>
      <c r="J695" s="1" t="s">
        <v>27</v>
      </c>
      <c r="K695">
        <v>3</v>
      </c>
      <c r="L695" s="1" t="s">
        <v>28</v>
      </c>
      <c r="M695">
        <v>44</v>
      </c>
      <c r="N695" s="1" t="s">
        <v>29</v>
      </c>
      <c r="O695" s="1" t="s">
        <v>30</v>
      </c>
      <c r="P695">
        <v>2</v>
      </c>
      <c r="Q695" s="1" t="s">
        <v>45</v>
      </c>
      <c r="R695">
        <v>2</v>
      </c>
      <c r="S695" s="1" t="s">
        <v>40</v>
      </c>
      <c r="T695" s="1" t="s">
        <v>33</v>
      </c>
      <c r="U695" s="1" t="s">
        <v>34</v>
      </c>
    </row>
    <row r="696" spans="1:21" x14ac:dyDescent="0.3">
      <c r="A696" s="1" t="s">
        <v>42</v>
      </c>
      <c r="B696">
        <v>24</v>
      </c>
      <c r="C696" s="1" t="s">
        <v>36</v>
      </c>
      <c r="D696" s="1" t="s">
        <v>23</v>
      </c>
      <c r="E696">
        <v>2284</v>
      </c>
      <c r="F696" s="1" t="s">
        <v>37</v>
      </c>
      <c r="G696" s="1" t="s">
        <v>44</v>
      </c>
      <c r="H696">
        <v>4</v>
      </c>
      <c r="I696" s="1" t="s">
        <v>26</v>
      </c>
      <c r="J696" s="1" t="s">
        <v>27</v>
      </c>
      <c r="K696">
        <v>2</v>
      </c>
      <c r="L696" s="1" t="s">
        <v>55</v>
      </c>
      <c r="M696">
        <v>28</v>
      </c>
      <c r="N696" s="1" t="s">
        <v>29</v>
      </c>
      <c r="O696" s="1" t="s">
        <v>30</v>
      </c>
      <c r="P696">
        <v>1</v>
      </c>
      <c r="Q696" s="1" t="s">
        <v>31</v>
      </c>
      <c r="R696">
        <v>1</v>
      </c>
      <c r="S696" s="1" t="s">
        <v>32</v>
      </c>
      <c r="T696" s="1" t="s">
        <v>33</v>
      </c>
      <c r="U696" s="1" t="s">
        <v>34</v>
      </c>
    </row>
    <row r="697" spans="1:21" x14ac:dyDescent="0.3">
      <c r="A697" s="1" t="s">
        <v>42</v>
      </c>
      <c r="B697">
        <v>6</v>
      </c>
      <c r="C697" s="1" t="s">
        <v>36</v>
      </c>
      <c r="D697" s="1" t="s">
        <v>54</v>
      </c>
      <c r="E697">
        <v>1236</v>
      </c>
      <c r="F697" s="1" t="s">
        <v>53</v>
      </c>
      <c r="G697" s="1" t="s">
        <v>38</v>
      </c>
      <c r="H697">
        <v>2</v>
      </c>
      <c r="I697" s="1" t="s">
        <v>26</v>
      </c>
      <c r="J697" s="1" t="s">
        <v>27</v>
      </c>
      <c r="K697">
        <v>4</v>
      </c>
      <c r="L697" s="1" t="s">
        <v>48</v>
      </c>
      <c r="M697">
        <v>50</v>
      </c>
      <c r="N697" s="1" t="s">
        <v>29</v>
      </c>
      <c r="O697" s="1" t="s">
        <v>56</v>
      </c>
      <c r="P697">
        <v>1</v>
      </c>
      <c r="Q697" s="1" t="s">
        <v>31</v>
      </c>
      <c r="R697">
        <v>1</v>
      </c>
      <c r="S697" s="1" t="s">
        <v>40</v>
      </c>
      <c r="T697" s="1" t="s">
        <v>33</v>
      </c>
      <c r="U697" s="1" t="s">
        <v>34</v>
      </c>
    </row>
    <row r="698" spans="1:21" x14ac:dyDescent="0.3">
      <c r="A698" s="1" t="s">
        <v>35</v>
      </c>
      <c r="B698">
        <v>12</v>
      </c>
      <c r="C698" s="1" t="s">
        <v>36</v>
      </c>
      <c r="D698" s="1" t="s">
        <v>23</v>
      </c>
      <c r="E698">
        <v>1103</v>
      </c>
      <c r="F698" s="1" t="s">
        <v>37</v>
      </c>
      <c r="G698" s="1" t="s">
        <v>44</v>
      </c>
      <c r="H698">
        <v>4</v>
      </c>
      <c r="I698" s="1" t="s">
        <v>26</v>
      </c>
      <c r="J698" s="1" t="s">
        <v>47</v>
      </c>
      <c r="K698">
        <v>3</v>
      </c>
      <c r="L698" s="1" t="s">
        <v>28</v>
      </c>
      <c r="M698">
        <v>29</v>
      </c>
      <c r="N698" s="1" t="s">
        <v>29</v>
      </c>
      <c r="O698" s="1" t="s">
        <v>30</v>
      </c>
      <c r="P698">
        <v>2</v>
      </c>
      <c r="Q698" s="1" t="s">
        <v>31</v>
      </c>
      <c r="R698">
        <v>1</v>
      </c>
      <c r="S698" s="1" t="s">
        <v>40</v>
      </c>
      <c r="T698" s="1" t="s">
        <v>67</v>
      </c>
      <c r="U698" s="1" t="s">
        <v>34</v>
      </c>
    </row>
    <row r="699" spans="1:21" x14ac:dyDescent="0.3">
      <c r="A699" s="1" t="s">
        <v>42</v>
      </c>
      <c r="B699">
        <v>12</v>
      </c>
      <c r="C699" s="1" t="s">
        <v>22</v>
      </c>
      <c r="D699" s="1" t="s">
        <v>51</v>
      </c>
      <c r="E699">
        <v>926</v>
      </c>
      <c r="F699" s="1" t="s">
        <v>37</v>
      </c>
      <c r="G699" s="1" t="s">
        <v>60</v>
      </c>
      <c r="H699">
        <v>1</v>
      </c>
      <c r="I699" s="1" t="s">
        <v>39</v>
      </c>
      <c r="J699" s="1" t="s">
        <v>27</v>
      </c>
      <c r="K699">
        <v>2</v>
      </c>
      <c r="L699" s="1" t="s">
        <v>48</v>
      </c>
      <c r="M699">
        <v>38</v>
      </c>
      <c r="N699" s="1" t="s">
        <v>29</v>
      </c>
      <c r="O699" s="1" t="s">
        <v>30</v>
      </c>
      <c r="P699">
        <v>1</v>
      </c>
      <c r="Q699" s="1" t="s">
        <v>74</v>
      </c>
      <c r="R699">
        <v>1</v>
      </c>
      <c r="S699" s="1" t="s">
        <v>40</v>
      </c>
      <c r="T699" s="1" t="s">
        <v>33</v>
      </c>
      <c r="U699" s="1" t="s">
        <v>34</v>
      </c>
    </row>
    <row r="700" spans="1:21" x14ac:dyDescent="0.3">
      <c r="A700" s="1" t="s">
        <v>42</v>
      </c>
      <c r="B700">
        <v>18</v>
      </c>
      <c r="C700" s="1" t="s">
        <v>22</v>
      </c>
      <c r="D700" s="1" t="s">
        <v>23</v>
      </c>
      <c r="E700">
        <v>1800</v>
      </c>
      <c r="F700" s="1" t="s">
        <v>37</v>
      </c>
      <c r="G700" s="1" t="s">
        <v>38</v>
      </c>
      <c r="H700">
        <v>4</v>
      </c>
      <c r="I700" s="1" t="s">
        <v>26</v>
      </c>
      <c r="J700" s="1" t="s">
        <v>27</v>
      </c>
      <c r="K700">
        <v>2</v>
      </c>
      <c r="L700" s="1" t="s">
        <v>55</v>
      </c>
      <c r="M700">
        <v>24</v>
      </c>
      <c r="N700" s="1" t="s">
        <v>29</v>
      </c>
      <c r="O700" s="1" t="s">
        <v>30</v>
      </c>
      <c r="P700">
        <v>2</v>
      </c>
      <c r="Q700" s="1" t="s">
        <v>31</v>
      </c>
      <c r="R700">
        <v>1</v>
      </c>
      <c r="S700" s="1" t="s">
        <v>40</v>
      </c>
      <c r="T700" s="1" t="s">
        <v>33</v>
      </c>
      <c r="U700" s="1" t="s">
        <v>34</v>
      </c>
    </row>
    <row r="701" spans="1:21" x14ac:dyDescent="0.3">
      <c r="A701" s="1" t="s">
        <v>68</v>
      </c>
      <c r="B701">
        <v>15</v>
      </c>
      <c r="C701" s="1" t="s">
        <v>36</v>
      </c>
      <c r="D701" s="1" t="s">
        <v>43</v>
      </c>
      <c r="E701">
        <v>1905</v>
      </c>
      <c r="F701" s="1" t="s">
        <v>37</v>
      </c>
      <c r="G701" s="1" t="s">
        <v>25</v>
      </c>
      <c r="H701">
        <v>4</v>
      </c>
      <c r="I701" s="1" t="s">
        <v>26</v>
      </c>
      <c r="J701" s="1" t="s">
        <v>27</v>
      </c>
      <c r="K701">
        <v>4</v>
      </c>
      <c r="L701" s="1" t="s">
        <v>55</v>
      </c>
      <c r="M701">
        <v>40</v>
      </c>
      <c r="N701" s="1" t="s">
        <v>29</v>
      </c>
      <c r="O701" s="1" t="s">
        <v>56</v>
      </c>
      <c r="P701">
        <v>1</v>
      </c>
      <c r="Q701" s="1" t="s">
        <v>57</v>
      </c>
      <c r="R701">
        <v>1</v>
      </c>
      <c r="S701" s="1" t="s">
        <v>32</v>
      </c>
      <c r="T701" s="1" t="s">
        <v>33</v>
      </c>
      <c r="U701" s="1" t="s">
        <v>34</v>
      </c>
    </row>
    <row r="702" spans="1:21" x14ac:dyDescent="0.3">
      <c r="A702" s="1" t="s">
        <v>42</v>
      </c>
      <c r="B702">
        <v>12</v>
      </c>
      <c r="C702" s="1" t="s">
        <v>36</v>
      </c>
      <c r="D702" s="1" t="s">
        <v>46</v>
      </c>
      <c r="E702">
        <v>1123</v>
      </c>
      <c r="F702" s="1" t="s">
        <v>53</v>
      </c>
      <c r="G702" s="1" t="s">
        <v>38</v>
      </c>
      <c r="H702">
        <v>4</v>
      </c>
      <c r="I702" s="1" t="s">
        <v>39</v>
      </c>
      <c r="J702" s="1" t="s">
        <v>27</v>
      </c>
      <c r="K702">
        <v>4</v>
      </c>
      <c r="L702" s="1" t="s">
        <v>55</v>
      </c>
      <c r="M702">
        <v>29</v>
      </c>
      <c r="N702" s="1" t="s">
        <v>29</v>
      </c>
      <c r="O702" s="1" t="s">
        <v>56</v>
      </c>
      <c r="P702">
        <v>1</v>
      </c>
      <c r="Q702" s="1" t="s">
        <v>45</v>
      </c>
      <c r="R702">
        <v>1</v>
      </c>
      <c r="S702" s="1" t="s">
        <v>40</v>
      </c>
      <c r="T702" s="1" t="s">
        <v>33</v>
      </c>
      <c r="U702" s="1" t="s">
        <v>41</v>
      </c>
    </row>
    <row r="703" spans="1:21" x14ac:dyDescent="0.3">
      <c r="A703" s="1" t="s">
        <v>21</v>
      </c>
      <c r="B703">
        <v>48</v>
      </c>
      <c r="C703" s="1" t="s">
        <v>22</v>
      </c>
      <c r="D703" s="1" t="s">
        <v>54</v>
      </c>
      <c r="E703">
        <v>6331</v>
      </c>
      <c r="F703" s="1" t="s">
        <v>37</v>
      </c>
      <c r="G703" s="1" t="s">
        <v>25</v>
      </c>
      <c r="H703">
        <v>4</v>
      </c>
      <c r="I703" s="1" t="s">
        <v>26</v>
      </c>
      <c r="J703" s="1" t="s">
        <v>27</v>
      </c>
      <c r="K703">
        <v>4</v>
      </c>
      <c r="L703" s="1" t="s">
        <v>52</v>
      </c>
      <c r="M703">
        <v>46</v>
      </c>
      <c r="N703" s="1" t="s">
        <v>29</v>
      </c>
      <c r="O703" s="1" t="s">
        <v>49</v>
      </c>
      <c r="P703">
        <v>2</v>
      </c>
      <c r="Q703" s="1" t="s">
        <v>31</v>
      </c>
      <c r="R703">
        <v>1</v>
      </c>
      <c r="S703" s="1" t="s">
        <v>32</v>
      </c>
      <c r="T703" s="1" t="s">
        <v>33</v>
      </c>
      <c r="U703" s="1" t="s">
        <v>41</v>
      </c>
    </row>
    <row r="704" spans="1:21" x14ac:dyDescent="0.3">
      <c r="A704" s="1" t="s">
        <v>68</v>
      </c>
      <c r="B704">
        <v>24</v>
      </c>
      <c r="C704" s="1" t="s">
        <v>36</v>
      </c>
      <c r="D704" s="1" t="s">
        <v>23</v>
      </c>
      <c r="E704">
        <v>1377</v>
      </c>
      <c r="F704" s="1" t="s">
        <v>64</v>
      </c>
      <c r="G704" s="1" t="s">
        <v>25</v>
      </c>
      <c r="H704">
        <v>4</v>
      </c>
      <c r="I704" s="1" t="s">
        <v>39</v>
      </c>
      <c r="J704" s="1" t="s">
        <v>27</v>
      </c>
      <c r="K704">
        <v>2</v>
      </c>
      <c r="L704" s="1" t="s">
        <v>52</v>
      </c>
      <c r="M704">
        <v>47</v>
      </c>
      <c r="N704" s="1" t="s">
        <v>29</v>
      </c>
      <c r="O704" s="1" t="s">
        <v>49</v>
      </c>
      <c r="P704">
        <v>1</v>
      </c>
      <c r="Q704" s="1" t="s">
        <v>31</v>
      </c>
      <c r="R704">
        <v>1</v>
      </c>
      <c r="S704" s="1" t="s">
        <v>32</v>
      </c>
      <c r="T704" s="1" t="s">
        <v>33</v>
      </c>
      <c r="U704" s="1" t="s">
        <v>34</v>
      </c>
    </row>
    <row r="705" spans="1:21" x14ac:dyDescent="0.3">
      <c r="A705" s="1" t="s">
        <v>35</v>
      </c>
      <c r="B705">
        <v>30</v>
      </c>
      <c r="C705" s="1" t="s">
        <v>50</v>
      </c>
      <c r="D705" s="1" t="s">
        <v>63</v>
      </c>
      <c r="E705">
        <v>2503</v>
      </c>
      <c r="F705" s="1" t="s">
        <v>64</v>
      </c>
      <c r="G705" s="1" t="s">
        <v>25</v>
      </c>
      <c r="H705">
        <v>4</v>
      </c>
      <c r="I705" s="1" t="s">
        <v>26</v>
      </c>
      <c r="J705" s="1" t="s">
        <v>27</v>
      </c>
      <c r="K705">
        <v>2</v>
      </c>
      <c r="L705" s="1" t="s">
        <v>48</v>
      </c>
      <c r="M705">
        <v>41</v>
      </c>
      <c r="N705" s="1" t="s">
        <v>70</v>
      </c>
      <c r="O705" s="1" t="s">
        <v>30</v>
      </c>
      <c r="P705">
        <v>2</v>
      </c>
      <c r="Q705" s="1" t="s">
        <v>31</v>
      </c>
      <c r="R705">
        <v>1</v>
      </c>
      <c r="S705" s="1" t="s">
        <v>40</v>
      </c>
      <c r="T705" s="1" t="s">
        <v>33</v>
      </c>
      <c r="U705" s="1" t="s">
        <v>34</v>
      </c>
    </row>
    <row r="706" spans="1:21" x14ac:dyDescent="0.3">
      <c r="A706" s="1" t="s">
        <v>35</v>
      </c>
      <c r="B706">
        <v>27</v>
      </c>
      <c r="C706" s="1" t="s">
        <v>36</v>
      </c>
      <c r="D706" s="1" t="s">
        <v>63</v>
      </c>
      <c r="E706">
        <v>2528</v>
      </c>
      <c r="F706" s="1" t="s">
        <v>37</v>
      </c>
      <c r="G706" s="1" t="s">
        <v>62</v>
      </c>
      <c r="H706">
        <v>4</v>
      </c>
      <c r="I706" s="1" t="s">
        <v>39</v>
      </c>
      <c r="J706" s="1" t="s">
        <v>27</v>
      </c>
      <c r="K706">
        <v>1</v>
      </c>
      <c r="L706" s="1" t="s">
        <v>48</v>
      </c>
      <c r="M706">
        <v>32</v>
      </c>
      <c r="N706" s="1" t="s">
        <v>29</v>
      </c>
      <c r="O706" s="1" t="s">
        <v>30</v>
      </c>
      <c r="P706">
        <v>1</v>
      </c>
      <c r="Q706" s="1" t="s">
        <v>31</v>
      </c>
      <c r="R706">
        <v>2</v>
      </c>
      <c r="S706" s="1" t="s">
        <v>32</v>
      </c>
      <c r="T706" s="1" t="s">
        <v>33</v>
      </c>
      <c r="U706" s="1" t="s">
        <v>34</v>
      </c>
    </row>
    <row r="707" spans="1:21" x14ac:dyDescent="0.3">
      <c r="A707" s="1" t="s">
        <v>42</v>
      </c>
      <c r="B707">
        <v>15</v>
      </c>
      <c r="C707" s="1" t="s">
        <v>36</v>
      </c>
      <c r="D707" s="1" t="s">
        <v>51</v>
      </c>
      <c r="E707">
        <v>5324</v>
      </c>
      <c r="F707" s="1" t="s">
        <v>53</v>
      </c>
      <c r="G707" s="1" t="s">
        <v>25</v>
      </c>
      <c r="H707">
        <v>1</v>
      </c>
      <c r="I707" s="1" t="s">
        <v>39</v>
      </c>
      <c r="J707" s="1" t="s">
        <v>27</v>
      </c>
      <c r="K707">
        <v>4</v>
      </c>
      <c r="L707" s="1" t="s">
        <v>52</v>
      </c>
      <c r="M707">
        <v>35</v>
      </c>
      <c r="N707" s="1" t="s">
        <v>29</v>
      </c>
      <c r="O707" s="1" t="s">
        <v>49</v>
      </c>
      <c r="P707">
        <v>1</v>
      </c>
      <c r="Q707" s="1" t="s">
        <v>31</v>
      </c>
      <c r="R707">
        <v>1</v>
      </c>
      <c r="S707" s="1" t="s">
        <v>40</v>
      </c>
      <c r="T707" s="1" t="s">
        <v>33</v>
      </c>
      <c r="U707" s="1" t="s">
        <v>34</v>
      </c>
    </row>
    <row r="708" spans="1:21" x14ac:dyDescent="0.3">
      <c r="A708" s="1" t="s">
        <v>35</v>
      </c>
      <c r="B708">
        <v>48</v>
      </c>
      <c r="C708" s="1" t="s">
        <v>36</v>
      </c>
      <c r="D708" s="1" t="s">
        <v>51</v>
      </c>
      <c r="E708">
        <v>6560</v>
      </c>
      <c r="F708" s="1" t="s">
        <v>64</v>
      </c>
      <c r="G708" s="1" t="s">
        <v>44</v>
      </c>
      <c r="H708">
        <v>3</v>
      </c>
      <c r="I708" s="1" t="s">
        <v>26</v>
      </c>
      <c r="J708" s="1" t="s">
        <v>27</v>
      </c>
      <c r="K708">
        <v>2</v>
      </c>
      <c r="L708" s="1" t="s">
        <v>48</v>
      </c>
      <c r="M708">
        <v>24</v>
      </c>
      <c r="N708" s="1" t="s">
        <v>29</v>
      </c>
      <c r="O708" s="1" t="s">
        <v>30</v>
      </c>
      <c r="P708">
        <v>1</v>
      </c>
      <c r="Q708" s="1" t="s">
        <v>31</v>
      </c>
      <c r="R708">
        <v>1</v>
      </c>
      <c r="S708" s="1" t="s">
        <v>40</v>
      </c>
      <c r="T708" s="1" t="s">
        <v>33</v>
      </c>
      <c r="U708" s="1" t="s">
        <v>41</v>
      </c>
    </row>
    <row r="709" spans="1:21" x14ac:dyDescent="0.3">
      <c r="A709" s="1" t="s">
        <v>35</v>
      </c>
      <c r="B709">
        <v>12</v>
      </c>
      <c r="C709" s="1" t="s">
        <v>65</v>
      </c>
      <c r="D709" s="1" t="s">
        <v>46</v>
      </c>
      <c r="E709">
        <v>2969</v>
      </c>
      <c r="F709" s="1" t="s">
        <v>37</v>
      </c>
      <c r="G709" s="1" t="s">
        <v>62</v>
      </c>
      <c r="H709">
        <v>4</v>
      </c>
      <c r="I709" s="1" t="s">
        <v>39</v>
      </c>
      <c r="J709" s="1" t="s">
        <v>27</v>
      </c>
      <c r="K709">
        <v>3</v>
      </c>
      <c r="L709" s="1" t="s">
        <v>48</v>
      </c>
      <c r="M709">
        <v>25</v>
      </c>
      <c r="N709" s="1" t="s">
        <v>29</v>
      </c>
      <c r="O709" s="1" t="s">
        <v>56</v>
      </c>
      <c r="P709">
        <v>2</v>
      </c>
      <c r="Q709" s="1" t="s">
        <v>31</v>
      </c>
      <c r="R709">
        <v>1</v>
      </c>
      <c r="S709" s="1" t="s">
        <v>40</v>
      </c>
      <c r="T709" s="1" t="s">
        <v>33</v>
      </c>
      <c r="U709" s="1" t="s">
        <v>41</v>
      </c>
    </row>
    <row r="710" spans="1:21" x14ac:dyDescent="0.3">
      <c r="A710" s="1" t="s">
        <v>35</v>
      </c>
      <c r="B710">
        <v>9</v>
      </c>
      <c r="C710" s="1" t="s">
        <v>36</v>
      </c>
      <c r="D710" s="1" t="s">
        <v>23</v>
      </c>
      <c r="E710">
        <v>1206</v>
      </c>
      <c r="F710" s="1" t="s">
        <v>37</v>
      </c>
      <c r="G710" s="1" t="s">
        <v>25</v>
      </c>
      <c r="H710">
        <v>4</v>
      </c>
      <c r="I710" s="1" t="s">
        <v>39</v>
      </c>
      <c r="J710" s="1" t="s">
        <v>27</v>
      </c>
      <c r="K710">
        <v>4</v>
      </c>
      <c r="L710" s="1" t="s">
        <v>28</v>
      </c>
      <c r="M710">
        <v>25</v>
      </c>
      <c r="N710" s="1" t="s">
        <v>29</v>
      </c>
      <c r="O710" s="1" t="s">
        <v>30</v>
      </c>
      <c r="P710">
        <v>1</v>
      </c>
      <c r="Q710" s="1" t="s">
        <v>31</v>
      </c>
      <c r="R710">
        <v>1</v>
      </c>
      <c r="S710" s="1" t="s">
        <v>40</v>
      </c>
      <c r="T710" s="1" t="s">
        <v>33</v>
      </c>
      <c r="U710" s="1" t="s">
        <v>34</v>
      </c>
    </row>
    <row r="711" spans="1:21" x14ac:dyDescent="0.3">
      <c r="A711" s="1" t="s">
        <v>35</v>
      </c>
      <c r="B711">
        <v>9</v>
      </c>
      <c r="C711" s="1" t="s">
        <v>36</v>
      </c>
      <c r="D711" s="1" t="s">
        <v>23</v>
      </c>
      <c r="E711">
        <v>2118</v>
      </c>
      <c r="F711" s="1" t="s">
        <v>37</v>
      </c>
      <c r="G711" s="1" t="s">
        <v>38</v>
      </c>
      <c r="H711">
        <v>2</v>
      </c>
      <c r="I711" s="1" t="s">
        <v>26</v>
      </c>
      <c r="J711" s="1" t="s">
        <v>27</v>
      </c>
      <c r="K711">
        <v>2</v>
      </c>
      <c r="L711" s="1" t="s">
        <v>28</v>
      </c>
      <c r="M711">
        <v>37</v>
      </c>
      <c r="N711" s="1" t="s">
        <v>29</v>
      </c>
      <c r="O711" s="1" t="s">
        <v>30</v>
      </c>
      <c r="P711">
        <v>1</v>
      </c>
      <c r="Q711" s="1" t="s">
        <v>45</v>
      </c>
      <c r="R711">
        <v>2</v>
      </c>
      <c r="S711" s="1" t="s">
        <v>40</v>
      </c>
      <c r="T711" s="1" t="s">
        <v>33</v>
      </c>
      <c r="U711" s="1" t="s">
        <v>34</v>
      </c>
    </row>
    <row r="712" spans="1:21" x14ac:dyDescent="0.3">
      <c r="A712" s="1" t="s">
        <v>42</v>
      </c>
      <c r="B712">
        <v>18</v>
      </c>
      <c r="C712" s="1" t="s">
        <v>22</v>
      </c>
      <c r="D712" s="1" t="s">
        <v>23</v>
      </c>
      <c r="E712">
        <v>629</v>
      </c>
      <c r="F712" s="1" t="s">
        <v>53</v>
      </c>
      <c r="G712" s="1" t="s">
        <v>25</v>
      </c>
      <c r="H712">
        <v>4</v>
      </c>
      <c r="I712" s="1" t="s">
        <v>26</v>
      </c>
      <c r="J712" s="1" t="s">
        <v>27</v>
      </c>
      <c r="K712">
        <v>3</v>
      </c>
      <c r="L712" s="1" t="s">
        <v>48</v>
      </c>
      <c r="M712">
        <v>32</v>
      </c>
      <c r="N712" s="1" t="s">
        <v>66</v>
      </c>
      <c r="O712" s="1" t="s">
        <v>30</v>
      </c>
      <c r="P712">
        <v>2</v>
      </c>
      <c r="Q712" s="1" t="s">
        <v>57</v>
      </c>
      <c r="R712">
        <v>1</v>
      </c>
      <c r="S712" s="1" t="s">
        <v>32</v>
      </c>
      <c r="T712" s="1" t="s">
        <v>33</v>
      </c>
      <c r="U712" s="1" t="s">
        <v>34</v>
      </c>
    </row>
    <row r="713" spans="1:21" x14ac:dyDescent="0.3">
      <c r="A713" s="1" t="s">
        <v>21</v>
      </c>
      <c r="B713">
        <v>6</v>
      </c>
      <c r="C713" s="1" t="s">
        <v>69</v>
      </c>
      <c r="D713" s="1" t="s">
        <v>43</v>
      </c>
      <c r="E713">
        <v>1198</v>
      </c>
      <c r="F713" s="1" t="s">
        <v>37</v>
      </c>
      <c r="G713" s="1" t="s">
        <v>25</v>
      </c>
      <c r="H713">
        <v>4</v>
      </c>
      <c r="I713" s="1" t="s">
        <v>39</v>
      </c>
      <c r="J713" s="1" t="s">
        <v>27</v>
      </c>
      <c r="K713">
        <v>4</v>
      </c>
      <c r="L713" s="1" t="s">
        <v>52</v>
      </c>
      <c r="M713">
        <v>35</v>
      </c>
      <c r="N713" s="1" t="s">
        <v>29</v>
      </c>
      <c r="O713" s="1" t="s">
        <v>49</v>
      </c>
      <c r="P713">
        <v>1</v>
      </c>
      <c r="Q713" s="1" t="s">
        <v>31</v>
      </c>
      <c r="R713">
        <v>1</v>
      </c>
      <c r="S713" s="1" t="s">
        <v>40</v>
      </c>
      <c r="T713" s="1" t="s">
        <v>33</v>
      </c>
      <c r="U713" s="1" t="s">
        <v>41</v>
      </c>
    </row>
    <row r="714" spans="1:21" x14ac:dyDescent="0.3">
      <c r="A714" s="1" t="s">
        <v>42</v>
      </c>
      <c r="B714">
        <v>21</v>
      </c>
      <c r="C714" s="1" t="s">
        <v>36</v>
      </c>
      <c r="D714" s="1" t="s">
        <v>54</v>
      </c>
      <c r="E714">
        <v>2476</v>
      </c>
      <c r="F714" s="1" t="s">
        <v>24</v>
      </c>
      <c r="G714" s="1" t="s">
        <v>25</v>
      </c>
      <c r="H714">
        <v>4</v>
      </c>
      <c r="I714" s="1" t="s">
        <v>26</v>
      </c>
      <c r="J714" s="1" t="s">
        <v>27</v>
      </c>
      <c r="K714">
        <v>4</v>
      </c>
      <c r="L714" s="1" t="s">
        <v>28</v>
      </c>
      <c r="M714">
        <v>46</v>
      </c>
      <c r="N714" s="1" t="s">
        <v>29</v>
      </c>
      <c r="O714" s="1" t="s">
        <v>30</v>
      </c>
      <c r="P714">
        <v>1</v>
      </c>
      <c r="Q714" s="1" t="s">
        <v>57</v>
      </c>
      <c r="R714">
        <v>1</v>
      </c>
      <c r="S714" s="1" t="s">
        <v>32</v>
      </c>
      <c r="T714" s="1" t="s">
        <v>33</v>
      </c>
      <c r="U714" s="1" t="s">
        <v>34</v>
      </c>
    </row>
    <row r="715" spans="1:21" x14ac:dyDescent="0.3">
      <c r="A715" s="1" t="s">
        <v>21</v>
      </c>
      <c r="B715">
        <v>9</v>
      </c>
      <c r="C715" s="1" t="s">
        <v>22</v>
      </c>
      <c r="D715" s="1" t="s">
        <v>23</v>
      </c>
      <c r="E715">
        <v>1138</v>
      </c>
      <c r="F715" s="1" t="s">
        <v>37</v>
      </c>
      <c r="G715" s="1" t="s">
        <v>38</v>
      </c>
      <c r="H715">
        <v>4</v>
      </c>
      <c r="I715" s="1" t="s">
        <v>26</v>
      </c>
      <c r="J715" s="1" t="s">
        <v>27</v>
      </c>
      <c r="K715">
        <v>4</v>
      </c>
      <c r="L715" s="1" t="s">
        <v>28</v>
      </c>
      <c r="M715">
        <v>25</v>
      </c>
      <c r="N715" s="1" t="s">
        <v>29</v>
      </c>
      <c r="O715" s="1" t="s">
        <v>30</v>
      </c>
      <c r="P715">
        <v>2</v>
      </c>
      <c r="Q715" s="1" t="s">
        <v>45</v>
      </c>
      <c r="R715">
        <v>1</v>
      </c>
      <c r="S715" s="1" t="s">
        <v>40</v>
      </c>
      <c r="T715" s="1" t="s">
        <v>33</v>
      </c>
      <c r="U715" s="1" t="s">
        <v>34</v>
      </c>
    </row>
    <row r="716" spans="1:21" x14ac:dyDescent="0.3">
      <c r="A716" s="1" t="s">
        <v>35</v>
      </c>
      <c r="B716">
        <v>60</v>
      </c>
      <c r="C716" s="1" t="s">
        <v>36</v>
      </c>
      <c r="D716" s="1" t="s">
        <v>51</v>
      </c>
      <c r="E716">
        <v>14027</v>
      </c>
      <c r="F716" s="1" t="s">
        <v>37</v>
      </c>
      <c r="G716" s="1" t="s">
        <v>44</v>
      </c>
      <c r="H716">
        <v>4</v>
      </c>
      <c r="I716" s="1" t="s">
        <v>26</v>
      </c>
      <c r="J716" s="1" t="s">
        <v>27</v>
      </c>
      <c r="K716">
        <v>2</v>
      </c>
      <c r="L716" s="1" t="s">
        <v>52</v>
      </c>
      <c r="M716">
        <v>27</v>
      </c>
      <c r="N716" s="1" t="s">
        <v>29</v>
      </c>
      <c r="O716" s="1" t="s">
        <v>30</v>
      </c>
      <c r="P716">
        <v>1</v>
      </c>
      <c r="Q716" s="1" t="s">
        <v>57</v>
      </c>
      <c r="R716">
        <v>1</v>
      </c>
      <c r="S716" s="1" t="s">
        <v>32</v>
      </c>
      <c r="T716" s="1" t="s">
        <v>33</v>
      </c>
      <c r="U716" s="1" t="s">
        <v>41</v>
      </c>
    </row>
    <row r="717" spans="1:21" x14ac:dyDescent="0.3">
      <c r="A717" s="1" t="s">
        <v>42</v>
      </c>
      <c r="B717">
        <v>30</v>
      </c>
      <c r="C717" s="1" t="s">
        <v>22</v>
      </c>
      <c r="D717" s="1" t="s">
        <v>54</v>
      </c>
      <c r="E717">
        <v>7596</v>
      </c>
      <c r="F717" s="1" t="s">
        <v>24</v>
      </c>
      <c r="G717" s="1" t="s">
        <v>25</v>
      </c>
      <c r="H717">
        <v>1</v>
      </c>
      <c r="I717" s="1" t="s">
        <v>26</v>
      </c>
      <c r="J717" s="1" t="s">
        <v>27</v>
      </c>
      <c r="K717">
        <v>4</v>
      </c>
      <c r="L717" s="1" t="s">
        <v>55</v>
      </c>
      <c r="M717">
        <v>63</v>
      </c>
      <c r="N717" s="1" t="s">
        <v>29</v>
      </c>
      <c r="O717" s="1" t="s">
        <v>30</v>
      </c>
      <c r="P717">
        <v>2</v>
      </c>
      <c r="Q717" s="1" t="s">
        <v>31</v>
      </c>
      <c r="R717">
        <v>1</v>
      </c>
      <c r="S717" s="1" t="s">
        <v>40</v>
      </c>
      <c r="T717" s="1" t="s">
        <v>33</v>
      </c>
      <c r="U717" s="1" t="s">
        <v>34</v>
      </c>
    </row>
    <row r="718" spans="1:21" x14ac:dyDescent="0.3">
      <c r="A718" s="1" t="s">
        <v>42</v>
      </c>
      <c r="B718">
        <v>30</v>
      </c>
      <c r="C718" s="1" t="s">
        <v>22</v>
      </c>
      <c r="D718" s="1" t="s">
        <v>23</v>
      </c>
      <c r="E718">
        <v>3077</v>
      </c>
      <c r="F718" s="1" t="s">
        <v>24</v>
      </c>
      <c r="G718" s="1" t="s">
        <v>25</v>
      </c>
      <c r="H718">
        <v>3</v>
      </c>
      <c r="I718" s="1" t="s">
        <v>26</v>
      </c>
      <c r="J718" s="1" t="s">
        <v>27</v>
      </c>
      <c r="K718">
        <v>2</v>
      </c>
      <c r="L718" s="1" t="s">
        <v>55</v>
      </c>
      <c r="M718">
        <v>40</v>
      </c>
      <c r="N718" s="1" t="s">
        <v>29</v>
      </c>
      <c r="O718" s="1" t="s">
        <v>30</v>
      </c>
      <c r="P718">
        <v>2</v>
      </c>
      <c r="Q718" s="1" t="s">
        <v>31</v>
      </c>
      <c r="R718">
        <v>2</v>
      </c>
      <c r="S718" s="1" t="s">
        <v>32</v>
      </c>
      <c r="T718" s="1" t="s">
        <v>33</v>
      </c>
      <c r="U718" s="1" t="s">
        <v>34</v>
      </c>
    </row>
    <row r="719" spans="1:21" x14ac:dyDescent="0.3">
      <c r="A719" s="1" t="s">
        <v>42</v>
      </c>
      <c r="B719">
        <v>18</v>
      </c>
      <c r="C719" s="1" t="s">
        <v>36</v>
      </c>
      <c r="D719" s="1" t="s">
        <v>23</v>
      </c>
      <c r="E719">
        <v>1505</v>
      </c>
      <c r="F719" s="1" t="s">
        <v>37</v>
      </c>
      <c r="G719" s="1" t="s">
        <v>38</v>
      </c>
      <c r="H719">
        <v>4</v>
      </c>
      <c r="I719" s="1" t="s">
        <v>26</v>
      </c>
      <c r="J719" s="1" t="s">
        <v>27</v>
      </c>
      <c r="K719">
        <v>2</v>
      </c>
      <c r="L719" s="1" t="s">
        <v>52</v>
      </c>
      <c r="M719">
        <v>32</v>
      </c>
      <c r="N719" s="1" t="s">
        <v>29</v>
      </c>
      <c r="O719" s="1" t="s">
        <v>49</v>
      </c>
      <c r="P719">
        <v>1</v>
      </c>
      <c r="Q719" s="1" t="s">
        <v>57</v>
      </c>
      <c r="R719">
        <v>1</v>
      </c>
      <c r="S719" s="1" t="s">
        <v>32</v>
      </c>
      <c r="T719" s="1" t="s">
        <v>33</v>
      </c>
      <c r="U719" s="1" t="s">
        <v>34</v>
      </c>
    </row>
    <row r="720" spans="1:21" x14ac:dyDescent="0.3">
      <c r="A720" s="1" t="s">
        <v>68</v>
      </c>
      <c r="B720">
        <v>24</v>
      </c>
      <c r="C720" s="1" t="s">
        <v>22</v>
      </c>
      <c r="D720" s="1" t="s">
        <v>23</v>
      </c>
      <c r="E720">
        <v>3148</v>
      </c>
      <c r="F720" s="1" t="s">
        <v>24</v>
      </c>
      <c r="G720" s="1" t="s">
        <v>38</v>
      </c>
      <c r="H720">
        <v>3</v>
      </c>
      <c r="I720" s="1" t="s">
        <v>26</v>
      </c>
      <c r="J720" s="1" t="s">
        <v>27</v>
      </c>
      <c r="K720">
        <v>2</v>
      </c>
      <c r="L720" s="1" t="s">
        <v>55</v>
      </c>
      <c r="M720">
        <v>31</v>
      </c>
      <c r="N720" s="1" t="s">
        <v>29</v>
      </c>
      <c r="O720" s="1" t="s">
        <v>30</v>
      </c>
      <c r="P720">
        <v>2</v>
      </c>
      <c r="Q720" s="1" t="s">
        <v>31</v>
      </c>
      <c r="R720">
        <v>1</v>
      </c>
      <c r="S720" s="1" t="s">
        <v>32</v>
      </c>
      <c r="T720" s="1" t="s">
        <v>33</v>
      </c>
      <c r="U720" s="1" t="s">
        <v>34</v>
      </c>
    </row>
    <row r="721" spans="1:21" x14ac:dyDescent="0.3">
      <c r="A721" s="1" t="s">
        <v>35</v>
      </c>
      <c r="B721">
        <v>20</v>
      </c>
      <c r="C721" s="1" t="s">
        <v>65</v>
      </c>
      <c r="D721" s="1" t="s">
        <v>54</v>
      </c>
      <c r="E721">
        <v>6148</v>
      </c>
      <c r="F721" s="1" t="s">
        <v>64</v>
      </c>
      <c r="G721" s="1" t="s">
        <v>25</v>
      </c>
      <c r="H721">
        <v>3</v>
      </c>
      <c r="I721" s="1" t="s">
        <v>61</v>
      </c>
      <c r="J721" s="1" t="s">
        <v>27</v>
      </c>
      <c r="K721">
        <v>4</v>
      </c>
      <c r="L721" s="1" t="s">
        <v>55</v>
      </c>
      <c r="M721">
        <v>31</v>
      </c>
      <c r="N721" s="1" t="s">
        <v>66</v>
      </c>
      <c r="O721" s="1" t="s">
        <v>30</v>
      </c>
      <c r="P721">
        <v>2</v>
      </c>
      <c r="Q721" s="1" t="s">
        <v>31</v>
      </c>
      <c r="R721">
        <v>1</v>
      </c>
      <c r="S721" s="1" t="s">
        <v>32</v>
      </c>
      <c r="T721" s="1" t="s">
        <v>33</v>
      </c>
      <c r="U721" s="1" t="s">
        <v>34</v>
      </c>
    </row>
    <row r="722" spans="1:21" x14ac:dyDescent="0.3">
      <c r="A722" s="1" t="s">
        <v>68</v>
      </c>
      <c r="B722">
        <v>9</v>
      </c>
      <c r="C722" s="1" t="s">
        <v>65</v>
      </c>
      <c r="D722" s="1" t="s">
        <v>23</v>
      </c>
      <c r="E722">
        <v>1337</v>
      </c>
      <c r="F722" s="1" t="s">
        <v>37</v>
      </c>
      <c r="G722" s="1" t="s">
        <v>62</v>
      </c>
      <c r="H722">
        <v>4</v>
      </c>
      <c r="I722" s="1" t="s">
        <v>26</v>
      </c>
      <c r="J722" s="1" t="s">
        <v>27</v>
      </c>
      <c r="K722">
        <v>2</v>
      </c>
      <c r="L722" s="1" t="s">
        <v>55</v>
      </c>
      <c r="M722">
        <v>34</v>
      </c>
      <c r="N722" s="1" t="s">
        <v>29</v>
      </c>
      <c r="O722" s="1" t="s">
        <v>30</v>
      </c>
      <c r="P722">
        <v>2</v>
      </c>
      <c r="Q722" s="1" t="s">
        <v>57</v>
      </c>
      <c r="R722">
        <v>1</v>
      </c>
      <c r="S722" s="1" t="s">
        <v>32</v>
      </c>
      <c r="T722" s="1" t="s">
        <v>33</v>
      </c>
      <c r="U722" s="1" t="s">
        <v>41</v>
      </c>
    </row>
    <row r="723" spans="1:21" x14ac:dyDescent="0.3">
      <c r="A723" s="1" t="s">
        <v>35</v>
      </c>
      <c r="B723">
        <v>6</v>
      </c>
      <c r="C723" s="1" t="s">
        <v>69</v>
      </c>
      <c r="D723" s="1" t="s">
        <v>43</v>
      </c>
      <c r="E723">
        <v>433</v>
      </c>
      <c r="F723" s="1" t="s">
        <v>58</v>
      </c>
      <c r="G723" s="1" t="s">
        <v>62</v>
      </c>
      <c r="H723">
        <v>4</v>
      </c>
      <c r="I723" s="1" t="s">
        <v>39</v>
      </c>
      <c r="J723" s="1" t="s">
        <v>27</v>
      </c>
      <c r="K723">
        <v>2</v>
      </c>
      <c r="L723" s="1" t="s">
        <v>48</v>
      </c>
      <c r="M723">
        <v>24</v>
      </c>
      <c r="N723" s="1" t="s">
        <v>66</v>
      </c>
      <c r="O723" s="1" t="s">
        <v>56</v>
      </c>
      <c r="P723">
        <v>1</v>
      </c>
      <c r="Q723" s="1" t="s">
        <v>31</v>
      </c>
      <c r="R723">
        <v>2</v>
      </c>
      <c r="S723" s="1" t="s">
        <v>40</v>
      </c>
      <c r="T723" s="1" t="s">
        <v>33</v>
      </c>
      <c r="U723" s="1" t="s">
        <v>41</v>
      </c>
    </row>
    <row r="724" spans="1:21" x14ac:dyDescent="0.3">
      <c r="A724" s="1" t="s">
        <v>21</v>
      </c>
      <c r="B724">
        <v>12</v>
      </c>
      <c r="C724" s="1" t="s">
        <v>36</v>
      </c>
      <c r="D724" s="1" t="s">
        <v>51</v>
      </c>
      <c r="E724">
        <v>1228</v>
      </c>
      <c r="F724" s="1" t="s">
        <v>37</v>
      </c>
      <c r="G724" s="1" t="s">
        <v>38</v>
      </c>
      <c r="H724">
        <v>4</v>
      </c>
      <c r="I724" s="1" t="s">
        <v>39</v>
      </c>
      <c r="J724" s="1" t="s">
        <v>27</v>
      </c>
      <c r="K724">
        <v>2</v>
      </c>
      <c r="L724" s="1" t="s">
        <v>28</v>
      </c>
      <c r="M724">
        <v>24</v>
      </c>
      <c r="N724" s="1" t="s">
        <v>29</v>
      </c>
      <c r="O724" s="1" t="s">
        <v>30</v>
      </c>
      <c r="P724">
        <v>1</v>
      </c>
      <c r="Q724" s="1" t="s">
        <v>45</v>
      </c>
      <c r="R724">
        <v>1</v>
      </c>
      <c r="S724" s="1" t="s">
        <v>40</v>
      </c>
      <c r="T724" s="1" t="s">
        <v>33</v>
      </c>
      <c r="U724" s="1" t="s">
        <v>41</v>
      </c>
    </row>
    <row r="725" spans="1:21" x14ac:dyDescent="0.3">
      <c r="A725" s="1" t="s">
        <v>35</v>
      </c>
      <c r="B725">
        <v>9</v>
      </c>
      <c r="C725" s="1" t="s">
        <v>36</v>
      </c>
      <c r="D725" s="1" t="s">
        <v>23</v>
      </c>
      <c r="E725">
        <v>790</v>
      </c>
      <c r="F725" s="1" t="s">
        <v>53</v>
      </c>
      <c r="G725" s="1" t="s">
        <v>38</v>
      </c>
      <c r="H725">
        <v>4</v>
      </c>
      <c r="I725" s="1" t="s">
        <v>39</v>
      </c>
      <c r="J725" s="1" t="s">
        <v>27</v>
      </c>
      <c r="K725">
        <v>3</v>
      </c>
      <c r="L725" s="1" t="s">
        <v>28</v>
      </c>
      <c r="M725">
        <v>66</v>
      </c>
      <c r="N725" s="1" t="s">
        <v>29</v>
      </c>
      <c r="O725" s="1" t="s">
        <v>30</v>
      </c>
      <c r="P725">
        <v>1</v>
      </c>
      <c r="Q725" s="1" t="s">
        <v>45</v>
      </c>
      <c r="R725">
        <v>1</v>
      </c>
      <c r="S725" s="1" t="s">
        <v>40</v>
      </c>
      <c r="T725" s="1" t="s">
        <v>33</v>
      </c>
      <c r="U725" s="1" t="s">
        <v>34</v>
      </c>
    </row>
    <row r="726" spans="1:21" x14ac:dyDescent="0.3">
      <c r="A726" s="1" t="s">
        <v>42</v>
      </c>
      <c r="B726">
        <v>27</v>
      </c>
      <c r="C726" s="1" t="s">
        <v>36</v>
      </c>
      <c r="D726" s="1" t="s">
        <v>51</v>
      </c>
      <c r="E726">
        <v>2570</v>
      </c>
      <c r="F726" s="1" t="s">
        <v>37</v>
      </c>
      <c r="G726" s="1" t="s">
        <v>38</v>
      </c>
      <c r="H726">
        <v>3</v>
      </c>
      <c r="I726" s="1" t="s">
        <v>39</v>
      </c>
      <c r="J726" s="1" t="s">
        <v>27</v>
      </c>
      <c r="K726">
        <v>3</v>
      </c>
      <c r="L726" s="1" t="s">
        <v>28</v>
      </c>
      <c r="M726">
        <v>21</v>
      </c>
      <c r="N726" s="1" t="s">
        <v>29</v>
      </c>
      <c r="O726" s="1" t="s">
        <v>56</v>
      </c>
      <c r="P726">
        <v>1</v>
      </c>
      <c r="Q726" s="1" t="s">
        <v>31</v>
      </c>
      <c r="R726">
        <v>1</v>
      </c>
      <c r="S726" s="1" t="s">
        <v>40</v>
      </c>
      <c r="T726" s="1" t="s">
        <v>33</v>
      </c>
      <c r="U726" s="1" t="s">
        <v>41</v>
      </c>
    </row>
    <row r="727" spans="1:21" x14ac:dyDescent="0.3">
      <c r="A727" s="1" t="s">
        <v>42</v>
      </c>
      <c r="B727">
        <v>6</v>
      </c>
      <c r="C727" s="1" t="s">
        <v>22</v>
      </c>
      <c r="D727" s="1" t="s">
        <v>51</v>
      </c>
      <c r="E727">
        <v>250</v>
      </c>
      <c r="F727" s="1" t="s">
        <v>58</v>
      </c>
      <c r="G727" s="1" t="s">
        <v>38</v>
      </c>
      <c r="H727">
        <v>2</v>
      </c>
      <c r="I727" s="1" t="s">
        <v>39</v>
      </c>
      <c r="J727" s="1" t="s">
        <v>27</v>
      </c>
      <c r="K727">
        <v>2</v>
      </c>
      <c r="L727" s="1" t="s">
        <v>28</v>
      </c>
      <c r="M727">
        <v>41</v>
      </c>
      <c r="N727" s="1" t="s">
        <v>66</v>
      </c>
      <c r="O727" s="1" t="s">
        <v>30</v>
      </c>
      <c r="P727">
        <v>2</v>
      </c>
      <c r="Q727" s="1" t="s">
        <v>45</v>
      </c>
      <c r="R727">
        <v>1</v>
      </c>
      <c r="S727" s="1" t="s">
        <v>40</v>
      </c>
      <c r="T727" s="1" t="s">
        <v>33</v>
      </c>
      <c r="U727" s="1" t="s">
        <v>34</v>
      </c>
    </row>
    <row r="728" spans="1:21" x14ac:dyDescent="0.3">
      <c r="A728" s="1" t="s">
        <v>42</v>
      </c>
      <c r="B728">
        <v>15</v>
      </c>
      <c r="C728" s="1" t="s">
        <v>22</v>
      </c>
      <c r="D728" s="1" t="s">
        <v>23</v>
      </c>
      <c r="E728">
        <v>1316</v>
      </c>
      <c r="F728" s="1" t="s">
        <v>53</v>
      </c>
      <c r="G728" s="1" t="s">
        <v>38</v>
      </c>
      <c r="H728">
        <v>2</v>
      </c>
      <c r="I728" s="1" t="s">
        <v>61</v>
      </c>
      <c r="J728" s="1" t="s">
        <v>27</v>
      </c>
      <c r="K728">
        <v>2</v>
      </c>
      <c r="L728" s="1" t="s">
        <v>48</v>
      </c>
      <c r="M728">
        <v>47</v>
      </c>
      <c r="N728" s="1" t="s">
        <v>29</v>
      </c>
      <c r="O728" s="1" t="s">
        <v>30</v>
      </c>
      <c r="P728">
        <v>2</v>
      </c>
      <c r="Q728" s="1" t="s">
        <v>45</v>
      </c>
      <c r="R728">
        <v>1</v>
      </c>
      <c r="S728" s="1" t="s">
        <v>40</v>
      </c>
      <c r="T728" s="1" t="s">
        <v>33</v>
      </c>
      <c r="U728" s="1" t="s">
        <v>34</v>
      </c>
    </row>
    <row r="729" spans="1:21" x14ac:dyDescent="0.3">
      <c r="A729" s="1" t="s">
        <v>21</v>
      </c>
      <c r="B729">
        <v>18</v>
      </c>
      <c r="C729" s="1" t="s">
        <v>36</v>
      </c>
      <c r="D729" s="1" t="s">
        <v>23</v>
      </c>
      <c r="E729">
        <v>1882</v>
      </c>
      <c r="F729" s="1" t="s">
        <v>37</v>
      </c>
      <c r="G729" s="1" t="s">
        <v>38</v>
      </c>
      <c r="H729">
        <v>4</v>
      </c>
      <c r="I729" s="1" t="s">
        <v>39</v>
      </c>
      <c r="J729" s="1" t="s">
        <v>27</v>
      </c>
      <c r="K729">
        <v>4</v>
      </c>
      <c r="L729" s="1" t="s">
        <v>55</v>
      </c>
      <c r="M729">
        <v>25</v>
      </c>
      <c r="N729" s="1" t="s">
        <v>66</v>
      </c>
      <c r="O729" s="1" t="s">
        <v>56</v>
      </c>
      <c r="P729">
        <v>2</v>
      </c>
      <c r="Q729" s="1" t="s">
        <v>31</v>
      </c>
      <c r="R729">
        <v>1</v>
      </c>
      <c r="S729" s="1" t="s">
        <v>40</v>
      </c>
      <c r="T729" s="1" t="s">
        <v>33</v>
      </c>
      <c r="U729" s="1" t="s">
        <v>41</v>
      </c>
    </row>
    <row r="730" spans="1:21" x14ac:dyDescent="0.3">
      <c r="A730" s="1" t="s">
        <v>35</v>
      </c>
      <c r="B730">
        <v>48</v>
      </c>
      <c r="C730" s="1" t="s">
        <v>69</v>
      </c>
      <c r="D730" s="1" t="s">
        <v>63</v>
      </c>
      <c r="E730">
        <v>6416</v>
      </c>
      <c r="F730" s="1" t="s">
        <v>37</v>
      </c>
      <c r="G730" s="1" t="s">
        <v>25</v>
      </c>
      <c r="H730">
        <v>4</v>
      </c>
      <c r="I730" s="1" t="s">
        <v>39</v>
      </c>
      <c r="J730" s="1" t="s">
        <v>27</v>
      </c>
      <c r="K730">
        <v>3</v>
      </c>
      <c r="L730" s="1" t="s">
        <v>52</v>
      </c>
      <c r="M730">
        <v>59</v>
      </c>
      <c r="N730" s="1" t="s">
        <v>29</v>
      </c>
      <c r="O730" s="1" t="s">
        <v>56</v>
      </c>
      <c r="P730">
        <v>1</v>
      </c>
      <c r="Q730" s="1" t="s">
        <v>31</v>
      </c>
      <c r="R730">
        <v>1</v>
      </c>
      <c r="S730" s="1" t="s">
        <v>40</v>
      </c>
      <c r="T730" s="1" t="s">
        <v>33</v>
      </c>
      <c r="U730" s="1" t="s">
        <v>41</v>
      </c>
    </row>
    <row r="731" spans="1:21" x14ac:dyDescent="0.3">
      <c r="A731" s="1" t="s">
        <v>68</v>
      </c>
      <c r="B731">
        <v>24</v>
      </c>
      <c r="C731" s="1" t="s">
        <v>22</v>
      </c>
      <c r="D731" s="1" t="s">
        <v>63</v>
      </c>
      <c r="E731">
        <v>1275</v>
      </c>
      <c r="F731" s="1" t="s">
        <v>58</v>
      </c>
      <c r="G731" s="1" t="s">
        <v>38</v>
      </c>
      <c r="H731">
        <v>2</v>
      </c>
      <c r="I731" s="1" t="s">
        <v>59</v>
      </c>
      <c r="J731" s="1" t="s">
        <v>27</v>
      </c>
      <c r="K731">
        <v>4</v>
      </c>
      <c r="L731" s="1" t="s">
        <v>28</v>
      </c>
      <c r="M731">
        <v>36</v>
      </c>
      <c r="N731" s="1" t="s">
        <v>29</v>
      </c>
      <c r="O731" s="1" t="s">
        <v>30</v>
      </c>
      <c r="P731">
        <v>2</v>
      </c>
      <c r="Q731" s="1" t="s">
        <v>31</v>
      </c>
      <c r="R731">
        <v>1</v>
      </c>
      <c r="S731" s="1" t="s">
        <v>32</v>
      </c>
      <c r="T731" s="1" t="s">
        <v>33</v>
      </c>
      <c r="U731" s="1" t="s">
        <v>34</v>
      </c>
    </row>
    <row r="732" spans="1:21" x14ac:dyDescent="0.3">
      <c r="A732" s="1" t="s">
        <v>35</v>
      </c>
      <c r="B732">
        <v>24</v>
      </c>
      <c r="C732" s="1" t="s">
        <v>50</v>
      </c>
      <c r="D732" s="1" t="s">
        <v>23</v>
      </c>
      <c r="E732">
        <v>6403</v>
      </c>
      <c r="F732" s="1" t="s">
        <v>37</v>
      </c>
      <c r="G732" s="1" t="s">
        <v>62</v>
      </c>
      <c r="H732">
        <v>1</v>
      </c>
      <c r="I732" s="1" t="s">
        <v>26</v>
      </c>
      <c r="J732" s="1" t="s">
        <v>27</v>
      </c>
      <c r="K732">
        <v>2</v>
      </c>
      <c r="L732" s="1" t="s">
        <v>55</v>
      </c>
      <c r="M732">
        <v>33</v>
      </c>
      <c r="N732" s="1" t="s">
        <v>29</v>
      </c>
      <c r="O732" s="1" t="s">
        <v>30</v>
      </c>
      <c r="P732">
        <v>1</v>
      </c>
      <c r="Q732" s="1" t="s">
        <v>31</v>
      </c>
      <c r="R732">
        <v>1</v>
      </c>
      <c r="S732" s="1" t="s">
        <v>40</v>
      </c>
      <c r="T732" s="1" t="s">
        <v>33</v>
      </c>
      <c r="U732" s="1" t="s">
        <v>34</v>
      </c>
    </row>
    <row r="733" spans="1:21" x14ac:dyDescent="0.3">
      <c r="A733" s="1" t="s">
        <v>21</v>
      </c>
      <c r="B733">
        <v>24</v>
      </c>
      <c r="C733" s="1" t="s">
        <v>36</v>
      </c>
      <c r="D733" s="1" t="s">
        <v>23</v>
      </c>
      <c r="E733">
        <v>1987</v>
      </c>
      <c r="F733" s="1" t="s">
        <v>37</v>
      </c>
      <c r="G733" s="1" t="s">
        <v>38</v>
      </c>
      <c r="H733">
        <v>2</v>
      </c>
      <c r="I733" s="1" t="s">
        <v>26</v>
      </c>
      <c r="J733" s="1" t="s">
        <v>27</v>
      </c>
      <c r="K733">
        <v>4</v>
      </c>
      <c r="L733" s="1" t="s">
        <v>28</v>
      </c>
      <c r="M733">
        <v>21</v>
      </c>
      <c r="N733" s="1" t="s">
        <v>29</v>
      </c>
      <c r="O733" s="1" t="s">
        <v>56</v>
      </c>
      <c r="P733">
        <v>1</v>
      </c>
      <c r="Q733" s="1" t="s">
        <v>45</v>
      </c>
      <c r="R733">
        <v>2</v>
      </c>
      <c r="S733" s="1" t="s">
        <v>40</v>
      </c>
      <c r="T733" s="1" t="s">
        <v>33</v>
      </c>
      <c r="U733" s="1" t="s">
        <v>41</v>
      </c>
    </row>
    <row r="734" spans="1:21" x14ac:dyDescent="0.3">
      <c r="A734" s="1" t="s">
        <v>35</v>
      </c>
      <c r="B734">
        <v>8</v>
      </c>
      <c r="C734" s="1" t="s">
        <v>36</v>
      </c>
      <c r="D734" s="1" t="s">
        <v>23</v>
      </c>
      <c r="E734">
        <v>760</v>
      </c>
      <c r="F734" s="1" t="s">
        <v>37</v>
      </c>
      <c r="G734" s="1" t="s">
        <v>44</v>
      </c>
      <c r="H734">
        <v>4</v>
      </c>
      <c r="I734" s="1" t="s">
        <v>39</v>
      </c>
      <c r="J734" s="1" t="s">
        <v>47</v>
      </c>
      <c r="K734">
        <v>2</v>
      </c>
      <c r="L734" s="1" t="s">
        <v>28</v>
      </c>
      <c r="M734">
        <v>44</v>
      </c>
      <c r="N734" s="1" t="s">
        <v>29</v>
      </c>
      <c r="O734" s="1" t="s">
        <v>30</v>
      </c>
      <c r="P734">
        <v>1</v>
      </c>
      <c r="Q734" s="1" t="s">
        <v>45</v>
      </c>
      <c r="R734">
        <v>1</v>
      </c>
      <c r="S734" s="1" t="s">
        <v>40</v>
      </c>
      <c r="T734" s="1" t="s">
        <v>33</v>
      </c>
      <c r="U734" s="1" t="s">
        <v>34</v>
      </c>
    </row>
    <row r="735" spans="1:21" x14ac:dyDescent="0.3">
      <c r="A735" s="1" t="s">
        <v>42</v>
      </c>
      <c r="B735">
        <v>24</v>
      </c>
      <c r="C735" s="1" t="s">
        <v>36</v>
      </c>
      <c r="D735" s="1" t="s">
        <v>54</v>
      </c>
      <c r="E735">
        <v>2603</v>
      </c>
      <c r="F735" s="1" t="s">
        <v>58</v>
      </c>
      <c r="G735" s="1" t="s">
        <v>38</v>
      </c>
      <c r="H735">
        <v>2</v>
      </c>
      <c r="I735" s="1" t="s">
        <v>39</v>
      </c>
      <c r="J735" s="1" t="s">
        <v>27</v>
      </c>
      <c r="K735">
        <v>4</v>
      </c>
      <c r="L735" s="1" t="s">
        <v>55</v>
      </c>
      <c r="M735">
        <v>28</v>
      </c>
      <c r="N735" s="1" t="s">
        <v>29</v>
      </c>
      <c r="O735" s="1" t="s">
        <v>56</v>
      </c>
      <c r="P735">
        <v>1</v>
      </c>
      <c r="Q735" s="1" t="s">
        <v>31</v>
      </c>
      <c r="R735">
        <v>1</v>
      </c>
      <c r="S735" s="1" t="s">
        <v>32</v>
      </c>
      <c r="T735" s="1" t="s">
        <v>33</v>
      </c>
      <c r="U735" s="1" t="s">
        <v>34</v>
      </c>
    </row>
    <row r="736" spans="1:21" x14ac:dyDescent="0.3">
      <c r="A736" s="1" t="s">
        <v>42</v>
      </c>
      <c r="B736">
        <v>4</v>
      </c>
      <c r="C736" s="1" t="s">
        <v>22</v>
      </c>
      <c r="D736" s="1" t="s">
        <v>51</v>
      </c>
      <c r="E736">
        <v>3380</v>
      </c>
      <c r="F736" s="1" t="s">
        <v>37</v>
      </c>
      <c r="G736" s="1" t="s">
        <v>44</v>
      </c>
      <c r="H736">
        <v>1</v>
      </c>
      <c r="I736" s="1" t="s">
        <v>39</v>
      </c>
      <c r="J736" s="1" t="s">
        <v>27</v>
      </c>
      <c r="K736">
        <v>1</v>
      </c>
      <c r="L736" s="1" t="s">
        <v>28</v>
      </c>
      <c r="M736">
        <v>37</v>
      </c>
      <c r="N736" s="1" t="s">
        <v>29</v>
      </c>
      <c r="O736" s="1" t="s">
        <v>30</v>
      </c>
      <c r="P736">
        <v>1</v>
      </c>
      <c r="Q736" s="1" t="s">
        <v>31</v>
      </c>
      <c r="R736">
        <v>2</v>
      </c>
      <c r="S736" s="1" t="s">
        <v>40</v>
      </c>
      <c r="T736" s="1" t="s">
        <v>33</v>
      </c>
      <c r="U736" s="1" t="s">
        <v>34</v>
      </c>
    </row>
    <row r="737" spans="1:21" x14ac:dyDescent="0.3">
      <c r="A737" s="1" t="s">
        <v>35</v>
      </c>
      <c r="B737">
        <v>36</v>
      </c>
      <c r="C737" s="1" t="s">
        <v>69</v>
      </c>
      <c r="D737" s="1" t="s">
        <v>72</v>
      </c>
      <c r="E737">
        <v>3990</v>
      </c>
      <c r="F737" s="1" t="s">
        <v>24</v>
      </c>
      <c r="G737" s="1" t="s">
        <v>62</v>
      </c>
      <c r="H737">
        <v>3</v>
      </c>
      <c r="I737" s="1" t="s">
        <v>39</v>
      </c>
      <c r="J737" s="1" t="s">
        <v>27</v>
      </c>
      <c r="K737">
        <v>2</v>
      </c>
      <c r="L737" s="1" t="s">
        <v>52</v>
      </c>
      <c r="M737">
        <v>29</v>
      </c>
      <c r="N737" s="1" t="s">
        <v>66</v>
      </c>
      <c r="O737" s="1" t="s">
        <v>30</v>
      </c>
      <c r="P737">
        <v>1</v>
      </c>
      <c r="Q737" s="1" t="s">
        <v>74</v>
      </c>
      <c r="R737">
        <v>1</v>
      </c>
      <c r="S737" s="1" t="s">
        <v>40</v>
      </c>
      <c r="T737" s="1" t="s">
        <v>33</v>
      </c>
      <c r="U737" s="1" t="s">
        <v>34</v>
      </c>
    </row>
    <row r="738" spans="1:21" x14ac:dyDescent="0.3">
      <c r="A738" s="1" t="s">
        <v>35</v>
      </c>
      <c r="B738">
        <v>24</v>
      </c>
      <c r="C738" s="1" t="s">
        <v>36</v>
      </c>
      <c r="D738" s="1" t="s">
        <v>54</v>
      </c>
      <c r="E738">
        <v>11560</v>
      </c>
      <c r="F738" s="1" t="s">
        <v>37</v>
      </c>
      <c r="G738" s="1" t="s">
        <v>38</v>
      </c>
      <c r="H738">
        <v>1</v>
      </c>
      <c r="I738" s="1" t="s">
        <v>39</v>
      </c>
      <c r="J738" s="1" t="s">
        <v>27</v>
      </c>
      <c r="K738">
        <v>4</v>
      </c>
      <c r="L738" s="1" t="s">
        <v>55</v>
      </c>
      <c r="M738">
        <v>23</v>
      </c>
      <c r="N738" s="1" t="s">
        <v>29</v>
      </c>
      <c r="O738" s="1" t="s">
        <v>56</v>
      </c>
      <c r="P738">
        <v>2</v>
      </c>
      <c r="Q738" s="1" t="s">
        <v>57</v>
      </c>
      <c r="R738">
        <v>1</v>
      </c>
      <c r="S738" s="1" t="s">
        <v>40</v>
      </c>
      <c r="T738" s="1" t="s">
        <v>33</v>
      </c>
      <c r="U738" s="1" t="s">
        <v>41</v>
      </c>
    </row>
    <row r="739" spans="1:21" x14ac:dyDescent="0.3">
      <c r="A739" s="1" t="s">
        <v>21</v>
      </c>
      <c r="B739">
        <v>18</v>
      </c>
      <c r="C739" s="1" t="s">
        <v>36</v>
      </c>
      <c r="D739" s="1" t="s">
        <v>51</v>
      </c>
      <c r="E739">
        <v>4380</v>
      </c>
      <c r="F739" s="1" t="s">
        <v>64</v>
      </c>
      <c r="G739" s="1" t="s">
        <v>38</v>
      </c>
      <c r="H739">
        <v>3</v>
      </c>
      <c r="I739" s="1" t="s">
        <v>26</v>
      </c>
      <c r="J739" s="1" t="s">
        <v>27</v>
      </c>
      <c r="K739">
        <v>4</v>
      </c>
      <c r="L739" s="1" t="s">
        <v>55</v>
      </c>
      <c r="M739">
        <v>35</v>
      </c>
      <c r="N739" s="1" t="s">
        <v>29</v>
      </c>
      <c r="O739" s="1" t="s">
        <v>30</v>
      </c>
      <c r="P739">
        <v>1</v>
      </c>
      <c r="Q739" s="1" t="s">
        <v>45</v>
      </c>
      <c r="R739">
        <v>2</v>
      </c>
      <c r="S739" s="1" t="s">
        <v>32</v>
      </c>
      <c r="T739" s="1" t="s">
        <v>33</v>
      </c>
      <c r="U739" s="1" t="s">
        <v>34</v>
      </c>
    </row>
    <row r="740" spans="1:21" x14ac:dyDescent="0.3">
      <c r="A740" s="1" t="s">
        <v>42</v>
      </c>
      <c r="B740">
        <v>6</v>
      </c>
      <c r="C740" s="1" t="s">
        <v>22</v>
      </c>
      <c r="D740" s="1" t="s">
        <v>51</v>
      </c>
      <c r="E740">
        <v>6761</v>
      </c>
      <c r="F740" s="1" t="s">
        <v>37</v>
      </c>
      <c r="G740" s="1" t="s">
        <v>44</v>
      </c>
      <c r="H740">
        <v>1</v>
      </c>
      <c r="I740" s="1" t="s">
        <v>26</v>
      </c>
      <c r="J740" s="1" t="s">
        <v>27</v>
      </c>
      <c r="K740">
        <v>3</v>
      </c>
      <c r="L740" s="1" t="s">
        <v>52</v>
      </c>
      <c r="M740">
        <v>45</v>
      </c>
      <c r="N740" s="1" t="s">
        <v>29</v>
      </c>
      <c r="O740" s="1" t="s">
        <v>30</v>
      </c>
      <c r="P740">
        <v>2</v>
      </c>
      <c r="Q740" s="1" t="s">
        <v>57</v>
      </c>
      <c r="R740">
        <v>2</v>
      </c>
      <c r="S740" s="1" t="s">
        <v>32</v>
      </c>
      <c r="T740" s="1" t="s">
        <v>33</v>
      </c>
      <c r="U740" s="1" t="s">
        <v>34</v>
      </c>
    </row>
    <row r="741" spans="1:21" x14ac:dyDescent="0.3">
      <c r="A741" s="1" t="s">
        <v>35</v>
      </c>
      <c r="B741">
        <v>30</v>
      </c>
      <c r="C741" s="1" t="s">
        <v>65</v>
      </c>
      <c r="D741" s="1" t="s">
        <v>63</v>
      </c>
      <c r="E741">
        <v>4280</v>
      </c>
      <c r="F741" s="1" t="s">
        <v>64</v>
      </c>
      <c r="G741" s="1" t="s">
        <v>38</v>
      </c>
      <c r="H741">
        <v>4</v>
      </c>
      <c r="I741" s="1" t="s">
        <v>39</v>
      </c>
      <c r="J741" s="1" t="s">
        <v>27</v>
      </c>
      <c r="K741">
        <v>4</v>
      </c>
      <c r="L741" s="1" t="s">
        <v>55</v>
      </c>
      <c r="M741">
        <v>26</v>
      </c>
      <c r="N741" s="1" t="s">
        <v>29</v>
      </c>
      <c r="O741" s="1" t="s">
        <v>56</v>
      </c>
      <c r="P741">
        <v>2</v>
      </c>
      <c r="Q741" s="1" t="s">
        <v>45</v>
      </c>
      <c r="R741">
        <v>1</v>
      </c>
      <c r="S741" s="1" t="s">
        <v>40</v>
      </c>
      <c r="T741" s="1" t="s">
        <v>33</v>
      </c>
      <c r="U741" s="1" t="s">
        <v>41</v>
      </c>
    </row>
    <row r="742" spans="1:21" x14ac:dyDescent="0.3">
      <c r="A742" s="1" t="s">
        <v>21</v>
      </c>
      <c r="B742">
        <v>24</v>
      </c>
      <c r="C742" s="1" t="s">
        <v>69</v>
      </c>
      <c r="D742" s="1" t="s">
        <v>51</v>
      </c>
      <c r="E742">
        <v>2325</v>
      </c>
      <c r="F742" s="1" t="s">
        <v>64</v>
      </c>
      <c r="G742" s="1" t="s">
        <v>44</v>
      </c>
      <c r="H742">
        <v>2</v>
      </c>
      <c r="I742" s="1" t="s">
        <v>26</v>
      </c>
      <c r="J742" s="1" t="s">
        <v>27</v>
      </c>
      <c r="K742">
        <v>3</v>
      </c>
      <c r="L742" s="1" t="s">
        <v>55</v>
      </c>
      <c r="M742">
        <v>32</v>
      </c>
      <c r="N742" s="1" t="s">
        <v>66</v>
      </c>
      <c r="O742" s="1" t="s">
        <v>30</v>
      </c>
      <c r="P742">
        <v>1</v>
      </c>
      <c r="Q742" s="1" t="s">
        <v>31</v>
      </c>
      <c r="R742">
        <v>1</v>
      </c>
      <c r="S742" s="1" t="s">
        <v>40</v>
      </c>
      <c r="T742" s="1" t="s">
        <v>33</v>
      </c>
      <c r="U742" s="1" t="s">
        <v>34</v>
      </c>
    </row>
    <row r="743" spans="1:21" x14ac:dyDescent="0.3">
      <c r="A743" s="1" t="s">
        <v>35</v>
      </c>
      <c r="B743">
        <v>10</v>
      </c>
      <c r="C743" s="1" t="s">
        <v>69</v>
      </c>
      <c r="D743" s="1" t="s">
        <v>23</v>
      </c>
      <c r="E743">
        <v>1048</v>
      </c>
      <c r="F743" s="1" t="s">
        <v>37</v>
      </c>
      <c r="G743" s="1" t="s">
        <v>38</v>
      </c>
      <c r="H743">
        <v>4</v>
      </c>
      <c r="I743" s="1" t="s">
        <v>26</v>
      </c>
      <c r="J743" s="1" t="s">
        <v>27</v>
      </c>
      <c r="K743">
        <v>4</v>
      </c>
      <c r="L743" s="1" t="s">
        <v>28</v>
      </c>
      <c r="M743">
        <v>23</v>
      </c>
      <c r="N743" s="1" t="s">
        <v>70</v>
      </c>
      <c r="O743" s="1" t="s">
        <v>30</v>
      </c>
      <c r="P743">
        <v>1</v>
      </c>
      <c r="Q743" s="1" t="s">
        <v>45</v>
      </c>
      <c r="R743">
        <v>1</v>
      </c>
      <c r="S743" s="1" t="s">
        <v>40</v>
      </c>
      <c r="T743" s="1" t="s">
        <v>33</v>
      </c>
      <c r="U743" s="1" t="s">
        <v>34</v>
      </c>
    </row>
    <row r="744" spans="1:21" x14ac:dyDescent="0.3">
      <c r="A744" s="1" t="s">
        <v>42</v>
      </c>
      <c r="B744">
        <v>21</v>
      </c>
      <c r="C744" s="1" t="s">
        <v>36</v>
      </c>
      <c r="D744" s="1" t="s">
        <v>23</v>
      </c>
      <c r="E744">
        <v>3160</v>
      </c>
      <c r="F744" s="1" t="s">
        <v>24</v>
      </c>
      <c r="G744" s="1" t="s">
        <v>25</v>
      </c>
      <c r="H744">
        <v>4</v>
      </c>
      <c r="I744" s="1" t="s">
        <v>26</v>
      </c>
      <c r="J744" s="1" t="s">
        <v>27</v>
      </c>
      <c r="K744">
        <v>3</v>
      </c>
      <c r="L744" s="1" t="s">
        <v>48</v>
      </c>
      <c r="M744">
        <v>41</v>
      </c>
      <c r="N744" s="1" t="s">
        <v>29</v>
      </c>
      <c r="O744" s="1" t="s">
        <v>30</v>
      </c>
      <c r="P744">
        <v>1</v>
      </c>
      <c r="Q744" s="1" t="s">
        <v>31</v>
      </c>
      <c r="R744">
        <v>1</v>
      </c>
      <c r="S744" s="1" t="s">
        <v>32</v>
      </c>
      <c r="T744" s="1" t="s">
        <v>33</v>
      </c>
      <c r="U744" s="1" t="s">
        <v>34</v>
      </c>
    </row>
    <row r="745" spans="1:21" x14ac:dyDescent="0.3">
      <c r="A745" s="1" t="s">
        <v>21</v>
      </c>
      <c r="B745">
        <v>24</v>
      </c>
      <c r="C745" s="1" t="s">
        <v>69</v>
      </c>
      <c r="D745" s="1" t="s">
        <v>46</v>
      </c>
      <c r="E745">
        <v>2483</v>
      </c>
      <c r="F745" s="1" t="s">
        <v>53</v>
      </c>
      <c r="G745" s="1" t="s">
        <v>38</v>
      </c>
      <c r="H745">
        <v>4</v>
      </c>
      <c r="I745" s="1" t="s">
        <v>26</v>
      </c>
      <c r="J745" s="1" t="s">
        <v>27</v>
      </c>
      <c r="K745">
        <v>4</v>
      </c>
      <c r="L745" s="1" t="s">
        <v>28</v>
      </c>
      <c r="M745">
        <v>22</v>
      </c>
      <c r="N745" s="1" t="s">
        <v>70</v>
      </c>
      <c r="O745" s="1" t="s">
        <v>30</v>
      </c>
      <c r="P745">
        <v>1</v>
      </c>
      <c r="Q745" s="1" t="s">
        <v>31</v>
      </c>
      <c r="R745">
        <v>1</v>
      </c>
      <c r="S745" s="1" t="s">
        <v>32</v>
      </c>
      <c r="T745" s="1" t="s">
        <v>33</v>
      </c>
      <c r="U745" s="1" t="s">
        <v>34</v>
      </c>
    </row>
    <row r="746" spans="1:21" x14ac:dyDescent="0.3">
      <c r="A746" s="1" t="s">
        <v>21</v>
      </c>
      <c r="B746">
        <v>39</v>
      </c>
      <c r="C746" s="1" t="s">
        <v>22</v>
      </c>
      <c r="D746" s="1" t="s">
        <v>46</v>
      </c>
      <c r="E746">
        <v>14179</v>
      </c>
      <c r="F746" s="1" t="s">
        <v>24</v>
      </c>
      <c r="G746" s="1" t="s">
        <v>44</v>
      </c>
      <c r="H746">
        <v>4</v>
      </c>
      <c r="I746" s="1" t="s">
        <v>26</v>
      </c>
      <c r="J746" s="1" t="s">
        <v>27</v>
      </c>
      <c r="K746">
        <v>4</v>
      </c>
      <c r="L746" s="1" t="s">
        <v>48</v>
      </c>
      <c r="M746">
        <v>30</v>
      </c>
      <c r="N746" s="1" t="s">
        <v>29</v>
      </c>
      <c r="O746" s="1" t="s">
        <v>30</v>
      </c>
      <c r="P746">
        <v>2</v>
      </c>
      <c r="Q746" s="1" t="s">
        <v>57</v>
      </c>
      <c r="R746">
        <v>1</v>
      </c>
      <c r="S746" s="1" t="s">
        <v>32</v>
      </c>
      <c r="T746" s="1" t="s">
        <v>33</v>
      </c>
      <c r="U746" s="1" t="s">
        <v>34</v>
      </c>
    </row>
    <row r="747" spans="1:21" x14ac:dyDescent="0.3">
      <c r="A747" s="1" t="s">
        <v>21</v>
      </c>
      <c r="B747">
        <v>13</v>
      </c>
      <c r="C747" s="1" t="s">
        <v>22</v>
      </c>
      <c r="D747" s="1" t="s">
        <v>63</v>
      </c>
      <c r="E747">
        <v>1797</v>
      </c>
      <c r="F747" s="1" t="s">
        <v>37</v>
      </c>
      <c r="G747" s="1" t="s">
        <v>62</v>
      </c>
      <c r="H747">
        <v>3</v>
      </c>
      <c r="I747" s="1" t="s">
        <v>26</v>
      </c>
      <c r="J747" s="1" t="s">
        <v>27</v>
      </c>
      <c r="K747">
        <v>1</v>
      </c>
      <c r="L747" s="1" t="s">
        <v>48</v>
      </c>
      <c r="M747">
        <v>28</v>
      </c>
      <c r="N747" s="1" t="s">
        <v>66</v>
      </c>
      <c r="O747" s="1" t="s">
        <v>30</v>
      </c>
      <c r="P747">
        <v>2</v>
      </c>
      <c r="Q747" s="1" t="s">
        <v>45</v>
      </c>
      <c r="R747">
        <v>1</v>
      </c>
      <c r="S747" s="1" t="s">
        <v>40</v>
      </c>
      <c r="T747" s="1" t="s">
        <v>33</v>
      </c>
      <c r="U747" s="1" t="s">
        <v>34</v>
      </c>
    </row>
    <row r="748" spans="1:21" x14ac:dyDescent="0.3">
      <c r="A748" s="1" t="s">
        <v>21</v>
      </c>
      <c r="B748">
        <v>15</v>
      </c>
      <c r="C748" s="1" t="s">
        <v>36</v>
      </c>
      <c r="D748" s="1" t="s">
        <v>51</v>
      </c>
      <c r="E748">
        <v>2511</v>
      </c>
      <c r="F748" s="1" t="s">
        <v>37</v>
      </c>
      <c r="G748" s="1" t="s">
        <v>60</v>
      </c>
      <c r="H748">
        <v>1</v>
      </c>
      <c r="I748" s="1" t="s">
        <v>39</v>
      </c>
      <c r="J748" s="1" t="s">
        <v>27</v>
      </c>
      <c r="K748">
        <v>4</v>
      </c>
      <c r="L748" s="1" t="s">
        <v>55</v>
      </c>
      <c r="M748">
        <v>23</v>
      </c>
      <c r="N748" s="1" t="s">
        <v>29</v>
      </c>
      <c r="O748" s="1" t="s">
        <v>56</v>
      </c>
      <c r="P748">
        <v>1</v>
      </c>
      <c r="Q748" s="1" t="s">
        <v>31</v>
      </c>
      <c r="R748">
        <v>1</v>
      </c>
      <c r="S748" s="1" t="s">
        <v>40</v>
      </c>
      <c r="T748" s="1" t="s">
        <v>33</v>
      </c>
      <c r="U748" s="1" t="s">
        <v>34</v>
      </c>
    </row>
    <row r="749" spans="1:21" x14ac:dyDescent="0.3">
      <c r="A749" s="1" t="s">
        <v>21</v>
      </c>
      <c r="B749">
        <v>12</v>
      </c>
      <c r="C749" s="1" t="s">
        <v>36</v>
      </c>
      <c r="D749" s="1" t="s">
        <v>51</v>
      </c>
      <c r="E749">
        <v>1274</v>
      </c>
      <c r="F749" s="1" t="s">
        <v>37</v>
      </c>
      <c r="G749" s="1" t="s">
        <v>62</v>
      </c>
      <c r="H749">
        <v>3</v>
      </c>
      <c r="I749" s="1" t="s">
        <v>39</v>
      </c>
      <c r="J749" s="1" t="s">
        <v>27</v>
      </c>
      <c r="K749">
        <v>1</v>
      </c>
      <c r="L749" s="1" t="s">
        <v>28</v>
      </c>
      <c r="M749">
        <v>37</v>
      </c>
      <c r="N749" s="1" t="s">
        <v>29</v>
      </c>
      <c r="O749" s="1" t="s">
        <v>30</v>
      </c>
      <c r="P749">
        <v>1</v>
      </c>
      <c r="Q749" s="1" t="s">
        <v>45</v>
      </c>
      <c r="R749">
        <v>1</v>
      </c>
      <c r="S749" s="1" t="s">
        <v>40</v>
      </c>
      <c r="T749" s="1" t="s">
        <v>33</v>
      </c>
      <c r="U749" s="1" t="s">
        <v>41</v>
      </c>
    </row>
    <row r="750" spans="1:21" x14ac:dyDescent="0.3">
      <c r="A750" s="1" t="s">
        <v>42</v>
      </c>
      <c r="B750">
        <v>21</v>
      </c>
      <c r="C750" s="1" t="s">
        <v>36</v>
      </c>
      <c r="D750" s="1" t="s">
        <v>54</v>
      </c>
      <c r="E750">
        <v>5248</v>
      </c>
      <c r="F750" s="1" t="s">
        <v>24</v>
      </c>
      <c r="G750" s="1" t="s">
        <v>38</v>
      </c>
      <c r="H750">
        <v>1</v>
      </c>
      <c r="I750" s="1" t="s">
        <v>26</v>
      </c>
      <c r="J750" s="1" t="s">
        <v>27</v>
      </c>
      <c r="K750">
        <v>3</v>
      </c>
      <c r="L750" s="1" t="s">
        <v>55</v>
      </c>
      <c r="M750">
        <v>26</v>
      </c>
      <c r="N750" s="1" t="s">
        <v>29</v>
      </c>
      <c r="O750" s="1" t="s">
        <v>30</v>
      </c>
      <c r="P750">
        <v>1</v>
      </c>
      <c r="Q750" s="1" t="s">
        <v>31</v>
      </c>
      <c r="R750">
        <v>1</v>
      </c>
      <c r="S750" s="1" t="s">
        <v>40</v>
      </c>
      <c r="T750" s="1" t="s">
        <v>33</v>
      </c>
      <c r="U750" s="1" t="s">
        <v>34</v>
      </c>
    </row>
    <row r="751" spans="1:21" x14ac:dyDescent="0.3">
      <c r="A751" s="1" t="s">
        <v>42</v>
      </c>
      <c r="B751">
        <v>15</v>
      </c>
      <c r="C751" s="1" t="s">
        <v>36</v>
      </c>
      <c r="D751" s="1" t="s">
        <v>54</v>
      </c>
      <c r="E751">
        <v>3029</v>
      </c>
      <c r="F751" s="1" t="s">
        <v>37</v>
      </c>
      <c r="G751" s="1" t="s">
        <v>44</v>
      </c>
      <c r="H751">
        <v>2</v>
      </c>
      <c r="I751" s="1" t="s">
        <v>26</v>
      </c>
      <c r="J751" s="1" t="s">
        <v>27</v>
      </c>
      <c r="K751">
        <v>2</v>
      </c>
      <c r="L751" s="1" t="s">
        <v>55</v>
      </c>
      <c r="M751">
        <v>33</v>
      </c>
      <c r="N751" s="1" t="s">
        <v>29</v>
      </c>
      <c r="O751" s="1" t="s">
        <v>30</v>
      </c>
      <c r="P751">
        <v>1</v>
      </c>
      <c r="Q751" s="1" t="s">
        <v>31</v>
      </c>
      <c r="R751">
        <v>1</v>
      </c>
      <c r="S751" s="1" t="s">
        <v>40</v>
      </c>
      <c r="T751" s="1" t="s">
        <v>33</v>
      </c>
      <c r="U751" s="1" t="s">
        <v>34</v>
      </c>
    </row>
    <row r="752" spans="1:21" x14ac:dyDescent="0.3">
      <c r="A752" s="1" t="s">
        <v>21</v>
      </c>
      <c r="B752">
        <v>6</v>
      </c>
      <c r="C752" s="1" t="s">
        <v>36</v>
      </c>
      <c r="D752" s="1" t="s">
        <v>46</v>
      </c>
      <c r="E752">
        <v>428</v>
      </c>
      <c r="F752" s="1" t="s">
        <v>37</v>
      </c>
      <c r="G752" s="1" t="s">
        <v>25</v>
      </c>
      <c r="H752">
        <v>2</v>
      </c>
      <c r="I752" s="1" t="s">
        <v>39</v>
      </c>
      <c r="J752" s="1" t="s">
        <v>27</v>
      </c>
      <c r="K752">
        <v>1</v>
      </c>
      <c r="L752" s="1" t="s">
        <v>48</v>
      </c>
      <c r="M752">
        <v>49</v>
      </c>
      <c r="N752" s="1" t="s">
        <v>66</v>
      </c>
      <c r="O752" s="1" t="s">
        <v>30</v>
      </c>
      <c r="P752">
        <v>1</v>
      </c>
      <c r="Q752" s="1" t="s">
        <v>31</v>
      </c>
      <c r="R752">
        <v>1</v>
      </c>
      <c r="S752" s="1" t="s">
        <v>32</v>
      </c>
      <c r="T752" s="1" t="s">
        <v>33</v>
      </c>
      <c r="U752" s="1" t="s">
        <v>34</v>
      </c>
    </row>
    <row r="753" spans="1:21" x14ac:dyDescent="0.3">
      <c r="A753" s="1" t="s">
        <v>21</v>
      </c>
      <c r="B753">
        <v>18</v>
      </c>
      <c r="C753" s="1" t="s">
        <v>36</v>
      </c>
      <c r="D753" s="1" t="s">
        <v>51</v>
      </c>
      <c r="E753">
        <v>976</v>
      </c>
      <c r="F753" s="1" t="s">
        <v>37</v>
      </c>
      <c r="G753" s="1" t="s">
        <v>62</v>
      </c>
      <c r="H753">
        <v>1</v>
      </c>
      <c r="I753" s="1" t="s">
        <v>39</v>
      </c>
      <c r="J753" s="1" t="s">
        <v>27</v>
      </c>
      <c r="K753">
        <v>2</v>
      </c>
      <c r="L753" s="1" t="s">
        <v>55</v>
      </c>
      <c r="M753">
        <v>23</v>
      </c>
      <c r="N753" s="1" t="s">
        <v>29</v>
      </c>
      <c r="O753" s="1" t="s">
        <v>30</v>
      </c>
      <c r="P753">
        <v>1</v>
      </c>
      <c r="Q753" s="1" t="s">
        <v>45</v>
      </c>
      <c r="R753">
        <v>1</v>
      </c>
      <c r="S753" s="1" t="s">
        <v>40</v>
      </c>
      <c r="T753" s="1" t="s">
        <v>33</v>
      </c>
      <c r="U753" s="1" t="s">
        <v>41</v>
      </c>
    </row>
    <row r="754" spans="1:21" x14ac:dyDescent="0.3">
      <c r="A754" s="1" t="s">
        <v>35</v>
      </c>
      <c r="B754">
        <v>12</v>
      </c>
      <c r="C754" s="1" t="s">
        <v>36</v>
      </c>
      <c r="D754" s="1" t="s">
        <v>63</v>
      </c>
      <c r="E754">
        <v>841</v>
      </c>
      <c r="F754" s="1" t="s">
        <v>64</v>
      </c>
      <c r="G754" s="1" t="s">
        <v>44</v>
      </c>
      <c r="H754">
        <v>2</v>
      </c>
      <c r="I754" s="1" t="s">
        <v>39</v>
      </c>
      <c r="J754" s="1" t="s">
        <v>27</v>
      </c>
      <c r="K754">
        <v>4</v>
      </c>
      <c r="L754" s="1" t="s">
        <v>28</v>
      </c>
      <c r="M754">
        <v>23</v>
      </c>
      <c r="N754" s="1" t="s">
        <v>29</v>
      </c>
      <c r="O754" s="1" t="s">
        <v>56</v>
      </c>
      <c r="P754">
        <v>1</v>
      </c>
      <c r="Q754" s="1" t="s">
        <v>45</v>
      </c>
      <c r="R754">
        <v>1</v>
      </c>
      <c r="S754" s="1" t="s">
        <v>40</v>
      </c>
      <c r="T754" s="1" t="s">
        <v>33</v>
      </c>
      <c r="U754" s="1" t="s">
        <v>34</v>
      </c>
    </row>
    <row r="755" spans="1:21" x14ac:dyDescent="0.3">
      <c r="A755" s="1" t="s">
        <v>42</v>
      </c>
      <c r="B755">
        <v>30</v>
      </c>
      <c r="C755" s="1" t="s">
        <v>22</v>
      </c>
      <c r="D755" s="1" t="s">
        <v>23</v>
      </c>
      <c r="E755">
        <v>5771</v>
      </c>
      <c r="F755" s="1" t="s">
        <v>37</v>
      </c>
      <c r="G755" s="1" t="s">
        <v>44</v>
      </c>
      <c r="H755">
        <v>4</v>
      </c>
      <c r="I755" s="1" t="s">
        <v>39</v>
      </c>
      <c r="J755" s="1" t="s">
        <v>27</v>
      </c>
      <c r="K755">
        <v>2</v>
      </c>
      <c r="L755" s="1" t="s">
        <v>55</v>
      </c>
      <c r="M755">
        <v>25</v>
      </c>
      <c r="N755" s="1" t="s">
        <v>29</v>
      </c>
      <c r="O755" s="1" t="s">
        <v>30</v>
      </c>
      <c r="P755">
        <v>2</v>
      </c>
      <c r="Q755" s="1" t="s">
        <v>31</v>
      </c>
      <c r="R755">
        <v>1</v>
      </c>
      <c r="S755" s="1" t="s">
        <v>40</v>
      </c>
      <c r="T755" s="1" t="s">
        <v>33</v>
      </c>
      <c r="U755" s="1" t="s">
        <v>34</v>
      </c>
    </row>
    <row r="756" spans="1:21" x14ac:dyDescent="0.3">
      <c r="A756" s="1" t="s">
        <v>42</v>
      </c>
      <c r="B756">
        <v>12</v>
      </c>
      <c r="C756" s="1" t="s">
        <v>50</v>
      </c>
      <c r="D756" s="1" t="s">
        <v>73</v>
      </c>
      <c r="E756">
        <v>1555</v>
      </c>
      <c r="F756" s="1" t="s">
        <v>58</v>
      </c>
      <c r="G756" s="1" t="s">
        <v>25</v>
      </c>
      <c r="H756">
        <v>4</v>
      </c>
      <c r="I756" s="1" t="s">
        <v>26</v>
      </c>
      <c r="J756" s="1" t="s">
        <v>27</v>
      </c>
      <c r="K756">
        <v>4</v>
      </c>
      <c r="L756" s="1" t="s">
        <v>52</v>
      </c>
      <c r="M756">
        <v>55</v>
      </c>
      <c r="N756" s="1" t="s">
        <v>29</v>
      </c>
      <c r="O756" s="1" t="s">
        <v>49</v>
      </c>
      <c r="P756">
        <v>2</v>
      </c>
      <c r="Q756" s="1" t="s">
        <v>31</v>
      </c>
      <c r="R756">
        <v>2</v>
      </c>
      <c r="S756" s="1" t="s">
        <v>40</v>
      </c>
      <c r="T756" s="1" t="s">
        <v>33</v>
      </c>
      <c r="U756" s="1" t="s">
        <v>41</v>
      </c>
    </row>
    <row r="757" spans="1:21" x14ac:dyDescent="0.3">
      <c r="A757" s="1" t="s">
        <v>21</v>
      </c>
      <c r="B757">
        <v>24</v>
      </c>
      <c r="C757" s="1" t="s">
        <v>36</v>
      </c>
      <c r="D757" s="1" t="s">
        <v>51</v>
      </c>
      <c r="E757">
        <v>1285</v>
      </c>
      <c r="F757" s="1" t="s">
        <v>24</v>
      </c>
      <c r="G757" s="1" t="s">
        <v>44</v>
      </c>
      <c r="H757">
        <v>4</v>
      </c>
      <c r="I757" s="1" t="s">
        <v>39</v>
      </c>
      <c r="J757" s="1" t="s">
        <v>27</v>
      </c>
      <c r="K757">
        <v>4</v>
      </c>
      <c r="L757" s="1" t="s">
        <v>52</v>
      </c>
      <c r="M757">
        <v>32</v>
      </c>
      <c r="N757" s="1" t="s">
        <v>29</v>
      </c>
      <c r="O757" s="1" t="s">
        <v>56</v>
      </c>
      <c r="P757">
        <v>1</v>
      </c>
      <c r="Q757" s="1" t="s">
        <v>31</v>
      </c>
      <c r="R757">
        <v>1</v>
      </c>
      <c r="S757" s="1" t="s">
        <v>40</v>
      </c>
      <c r="T757" s="1" t="s">
        <v>33</v>
      </c>
      <c r="U757" s="1" t="s">
        <v>41</v>
      </c>
    </row>
    <row r="758" spans="1:21" x14ac:dyDescent="0.3">
      <c r="A758" s="1" t="s">
        <v>68</v>
      </c>
      <c r="B758">
        <v>6</v>
      </c>
      <c r="C758" s="1" t="s">
        <v>22</v>
      </c>
      <c r="D758" s="1" t="s">
        <v>51</v>
      </c>
      <c r="E758">
        <v>1299</v>
      </c>
      <c r="F758" s="1" t="s">
        <v>37</v>
      </c>
      <c r="G758" s="1" t="s">
        <v>38</v>
      </c>
      <c r="H758">
        <v>1</v>
      </c>
      <c r="I758" s="1" t="s">
        <v>26</v>
      </c>
      <c r="J758" s="1" t="s">
        <v>27</v>
      </c>
      <c r="K758">
        <v>1</v>
      </c>
      <c r="L758" s="1" t="s">
        <v>28</v>
      </c>
      <c r="M758">
        <v>74</v>
      </c>
      <c r="N758" s="1" t="s">
        <v>29</v>
      </c>
      <c r="O758" s="1" t="s">
        <v>30</v>
      </c>
      <c r="P758">
        <v>3</v>
      </c>
      <c r="Q758" s="1" t="s">
        <v>74</v>
      </c>
      <c r="R758">
        <v>2</v>
      </c>
      <c r="S758" s="1" t="s">
        <v>40</v>
      </c>
      <c r="T758" s="1" t="s">
        <v>67</v>
      </c>
      <c r="U758" s="1" t="s">
        <v>34</v>
      </c>
    </row>
    <row r="759" spans="1:21" x14ac:dyDescent="0.3">
      <c r="A759" s="1" t="s">
        <v>68</v>
      </c>
      <c r="B759">
        <v>15</v>
      </c>
      <c r="C759" s="1" t="s">
        <v>22</v>
      </c>
      <c r="D759" s="1" t="s">
        <v>23</v>
      </c>
      <c r="E759">
        <v>1271</v>
      </c>
      <c r="F759" s="1" t="s">
        <v>24</v>
      </c>
      <c r="G759" s="1" t="s">
        <v>38</v>
      </c>
      <c r="H759">
        <v>3</v>
      </c>
      <c r="I759" s="1" t="s">
        <v>26</v>
      </c>
      <c r="J759" s="1" t="s">
        <v>27</v>
      </c>
      <c r="K759">
        <v>4</v>
      </c>
      <c r="L759" s="1" t="s">
        <v>52</v>
      </c>
      <c r="M759">
        <v>39</v>
      </c>
      <c r="N759" s="1" t="s">
        <v>29</v>
      </c>
      <c r="O759" s="1" t="s">
        <v>49</v>
      </c>
      <c r="P759">
        <v>2</v>
      </c>
      <c r="Q759" s="1" t="s">
        <v>31</v>
      </c>
      <c r="R759">
        <v>1</v>
      </c>
      <c r="S759" s="1" t="s">
        <v>32</v>
      </c>
      <c r="T759" s="1" t="s">
        <v>33</v>
      </c>
      <c r="U759" s="1" t="s">
        <v>41</v>
      </c>
    </row>
    <row r="760" spans="1:21" x14ac:dyDescent="0.3">
      <c r="A760" s="1" t="s">
        <v>42</v>
      </c>
      <c r="B760">
        <v>24</v>
      </c>
      <c r="C760" s="1" t="s">
        <v>36</v>
      </c>
      <c r="D760" s="1" t="s">
        <v>51</v>
      </c>
      <c r="E760">
        <v>1393</v>
      </c>
      <c r="F760" s="1" t="s">
        <v>37</v>
      </c>
      <c r="G760" s="1" t="s">
        <v>38</v>
      </c>
      <c r="H760">
        <v>2</v>
      </c>
      <c r="I760" s="1" t="s">
        <v>26</v>
      </c>
      <c r="J760" s="1" t="s">
        <v>47</v>
      </c>
      <c r="K760">
        <v>2</v>
      </c>
      <c r="L760" s="1" t="s">
        <v>28</v>
      </c>
      <c r="M760">
        <v>31</v>
      </c>
      <c r="N760" s="1" t="s">
        <v>29</v>
      </c>
      <c r="O760" s="1" t="s">
        <v>30</v>
      </c>
      <c r="P760">
        <v>1</v>
      </c>
      <c r="Q760" s="1" t="s">
        <v>31</v>
      </c>
      <c r="R760">
        <v>1</v>
      </c>
      <c r="S760" s="1" t="s">
        <v>32</v>
      </c>
      <c r="T760" s="1" t="s">
        <v>33</v>
      </c>
      <c r="U760" s="1" t="s">
        <v>34</v>
      </c>
    </row>
    <row r="761" spans="1:21" x14ac:dyDescent="0.3">
      <c r="A761" s="1" t="s">
        <v>21</v>
      </c>
      <c r="B761">
        <v>12</v>
      </c>
      <c r="C761" s="1" t="s">
        <v>22</v>
      </c>
      <c r="D761" s="1" t="s">
        <v>51</v>
      </c>
      <c r="E761">
        <v>691</v>
      </c>
      <c r="F761" s="1" t="s">
        <v>37</v>
      </c>
      <c r="G761" s="1" t="s">
        <v>25</v>
      </c>
      <c r="H761">
        <v>4</v>
      </c>
      <c r="I761" s="1" t="s">
        <v>26</v>
      </c>
      <c r="J761" s="1" t="s">
        <v>27</v>
      </c>
      <c r="K761">
        <v>3</v>
      </c>
      <c r="L761" s="1" t="s">
        <v>48</v>
      </c>
      <c r="M761">
        <v>35</v>
      </c>
      <c r="N761" s="1" t="s">
        <v>29</v>
      </c>
      <c r="O761" s="1" t="s">
        <v>30</v>
      </c>
      <c r="P761">
        <v>2</v>
      </c>
      <c r="Q761" s="1" t="s">
        <v>31</v>
      </c>
      <c r="R761">
        <v>1</v>
      </c>
      <c r="S761" s="1" t="s">
        <v>40</v>
      </c>
      <c r="T761" s="1" t="s">
        <v>33</v>
      </c>
      <c r="U761" s="1" t="s">
        <v>41</v>
      </c>
    </row>
    <row r="762" spans="1:21" x14ac:dyDescent="0.3">
      <c r="A762" s="1" t="s">
        <v>42</v>
      </c>
      <c r="B762">
        <v>15</v>
      </c>
      <c r="C762" s="1" t="s">
        <v>22</v>
      </c>
      <c r="D762" s="1" t="s">
        <v>51</v>
      </c>
      <c r="E762">
        <v>5045</v>
      </c>
      <c r="F762" s="1" t="s">
        <v>24</v>
      </c>
      <c r="G762" s="1" t="s">
        <v>25</v>
      </c>
      <c r="H762">
        <v>1</v>
      </c>
      <c r="I762" s="1" t="s">
        <v>39</v>
      </c>
      <c r="J762" s="1" t="s">
        <v>27</v>
      </c>
      <c r="K762">
        <v>4</v>
      </c>
      <c r="L762" s="1" t="s">
        <v>55</v>
      </c>
      <c r="M762">
        <v>59</v>
      </c>
      <c r="N762" s="1" t="s">
        <v>29</v>
      </c>
      <c r="O762" s="1" t="s">
        <v>30</v>
      </c>
      <c r="P762">
        <v>1</v>
      </c>
      <c r="Q762" s="1" t="s">
        <v>31</v>
      </c>
      <c r="R762">
        <v>1</v>
      </c>
      <c r="S762" s="1" t="s">
        <v>32</v>
      </c>
      <c r="T762" s="1" t="s">
        <v>33</v>
      </c>
      <c r="U762" s="1" t="s">
        <v>34</v>
      </c>
    </row>
    <row r="763" spans="1:21" x14ac:dyDescent="0.3">
      <c r="A763" s="1" t="s">
        <v>21</v>
      </c>
      <c r="B763">
        <v>18</v>
      </c>
      <c r="C763" s="1" t="s">
        <v>22</v>
      </c>
      <c r="D763" s="1" t="s">
        <v>46</v>
      </c>
      <c r="E763">
        <v>2124</v>
      </c>
      <c r="F763" s="1" t="s">
        <v>37</v>
      </c>
      <c r="G763" s="1" t="s">
        <v>38</v>
      </c>
      <c r="H763">
        <v>4</v>
      </c>
      <c r="I763" s="1" t="s">
        <v>39</v>
      </c>
      <c r="J763" s="1" t="s">
        <v>27</v>
      </c>
      <c r="K763">
        <v>4</v>
      </c>
      <c r="L763" s="1" t="s">
        <v>28</v>
      </c>
      <c r="M763">
        <v>24</v>
      </c>
      <c r="N763" s="1" t="s">
        <v>29</v>
      </c>
      <c r="O763" s="1" t="s">
        <v>56</v>
      </c>
      <c r="P763">
        <v>2</v>
      </c>
      <c r="Q763" s="1" t="s">
        <v>31</v>
      </c>
      <c r="R763">
        <v>1</v>
      </c>
      <c r="S763" s="1" t="s">
        <v>40</v>
      </c>
      <c r="T763" s="1" t="s">
        <v>33</v>
      </c>
      <c r="U763" s="1" t="s">
        <v>41</v>
      </c>
    </row>
    <row r="764" spans="1:21" x14ac:dyDescent="0.3">
      <c r="A764" s="1" t="s">
        <v>21</v>
      </c>
      <c r="B764">
        <v>12</v>
      </c>
      <c r="C764" s="1" t="s">
        <v>36</v>
      </c>
      <c r="D764" s="1" t="s">
        <v>23</v>
      </c>
      <c r="E764">
        <v>2214</v>
      </c>
      <c r="F764" s="1" t="s">
        <v>37</v>
      </c>
      <c r="G764" s="1" t="s">
        <v>38</v>
      </c>
      <c r="H764">
        <v>4</v>
      </c>
      <c r="I764" s="1" t="s">
        <v>26</v>
      </c>
      <c r="J764" s="1" t="s">
        <v>27</v>
      </c>
      <c r="K764">
        <v>3</v>
      </c>
      <c r="L764" s="1" t="s">
        <v>48</v>
      </c>
      <c r="M764">
        <v>24</v>
      </c>
      <c r="N764" s="1" t="s">
        <v>29</v>
      </c>
      <c r="O764" s="1" t="s">
        <v>30</v>
      </c>
      <c r="P764">
        <v>1</v>
      </c>
      <c r="Q764" s="1" t="s">
        <v>45</v>
      </c>
      <c r="R764">
        <v>1</v>
      </c>
      <c r="S764" s="1" t="s">
        <v>40</v>
      </c>
      <c r="T764" s="1" t="s">
        <v>33</v>
      </c>
      <c r="U764" s="1" t="s">
        <v>34</v>
      </c>
    </row>
    <row r="765" spans="1:21" x14ac:dyDescent="0.3">
      <c r="A765" s="1" t="s">
        <v>42</v>
      </c>
      <c r="B765">
        <v>21</v>
      </c>
      <c r="C765" s="1" t="s">
        <v>22</v>
      </c>
      <c r="D765" s="1" t="s">
        <v>51</v>
      </c>
      <c r="E765">
        <v>12680</v>
      </c>
      <c r="F765" s="1" t="s">
        <v>24</v>
      </c>
      <c r="G765" s="1" t="s">
        <v>25</v>
      </c>
      <c r="H765">
        <v>4</v>
      </c>
      <c r="I765" s="1" t="s">
        <v>26</v>
      </c>
      <c r="J765" s="1" t="s">
        <v>27</v>
      </c>
      <c r="K765">
        <v>4</v>
      </c>
      <c r="L765" s="1" t="s">
        <v>52</v>
      </c>
      <c r="M765">
        <v>30</v>
      </c>
      <c r="N765" s="1" t="s">
        <v>29</v>
      </c>
      <c r="O765" s="1" t="s">
        <v>49</v>
      </c>
      <c r="P765">
        <v>1</v>
      </c>
      <c r="Q765" s="1" t="s">
        <v>57</v>
      </c>
      <c r="R765">
        <v>1</v>
      </c>
      <c r="S765" s="1" t="s">
        <v>32</v>
      </c>
      <c r="T765" s="1" t="s">
        <v>33</v>
      </c>
      <c r="U765" s="1" t="s">
        <v>41</v>
      </c>
    </row>
    <row r="766" spans="1:21" x14ac:dyDescent="0.3">
      <c r="A766" s="1" t="s">
        <v>42</v>
      </c>
      <c r="B766">
        <v>24</v>
      </c>
      <c r="C766" s="1" t="s">
        <v>22</v>
      </c>
      <c r="D766" s="1" t="s">
        <v>51</v>
      </c>
      <c r="E766">
        <v>2463</v>
      </c>
      <c r="F766" s="1" t="s">
        <v>64</v>
      </c>
      <c r="G766" s="1" t="s">
        <v>44</v>
      </c>
      <c r="H766">
        <v>4</v>
      </c>
      <c r="I766" s="1" t="s">
        <v>61</v>
      </c>
      <c r="J766" s="1" t="s">
        <v>27</v>
      </c>
      <c r="K766">
        <v>3</v>
      </c>
      <c r="L766" s="1" t="s">
        <v>48</v>
      </c>
      <c r="M766">
        <v>27</v>
      </c>
      <c r="N766" s="1" t="s">
        <v>29</v>
      </c>
      <c r="O766" s="1" t="s">
        <v>30</v>
      </c>
      <c r="P766">
        <v>2</v>
      </c>
      <c r="Q766" s="1" t="s">
        <v>31</v>
      </c>
      <c r="R766">
        <v>1</v>
      </c>
      <c r="S766" s="1" t="s">
        <v>32</v>
      </c>
      <c r="T766" s="1" t="s">
        <v>33</v>
      </c>
      <c r="U766" s="1" t="s">
        <v>34</v>
      </c>
    </row>
    <row r="767" spans="1:21" x14ac:dyDescent="0.3">
      <c r="A767" s="1" t="s">
        <v>35</v>
      </c>
      <c r="B767">
        <v>12</v>
      </c>
      <c r="C767" s="1" t="s">
        <v>36</v>
      </c>
      <c r="D767" s="1" t="s">
        <v>23</v>
      </c>
      <c r="E767">
        <v>1155</v>
      </c>
      <c r="F767" s="1" t="s">
        <v>37</v>
      </c>
      <c r="G767" s="1" t="s">
        <v>25</v>
      </c>
      <c r="H767">
        <v>3</v>
      </c>
      <c r="I767" s="1" t="s">
        <v>61</v>
      </c>
      <c r="J767" s="1" t="s">
        <v>47</v>
      </c>
      <c r="K767">
        <v>3</v>
      </c>
      <c r="L767" s="1" t="s">
        <v>28</v>
      </c>
      <c r="M767">
        <v>40</v>
      </c>
      <c r="N767" s="1" t="s">
        <v>66</v>
      </c>
      <c r="O767" s="1" t="s">
        <v>30</v>
      </c>
      <c r="P767">
        <v>2</v>
      </c>
      <c r="Q767" s="1" t="s">
        <v>45</v>
      </c>
      <c r="R767">
        <v>1</v>
      </c>
      <c r="S767" s="1" t="s">
        <v>40</v>
      </c>
      <c r="T767" s="1" t="s">
        <v>33</v>
      </c>
      <c r="U767" s="1" t="s">
        <v>34</v>
      </c>
    </row>
    <row r="768" spans="1:21" x14ac:dyDescent="0.3">
      <c r="A768" s="1" t="s">
        <v>21</v>
      </c>
      <c r="B768">
        <v>30</v>
      </c>
      <c r="C768" s="1" t="s">
        <v>36</v>
      </c>
      <c r="D768" s="1" t="s">
        <v>46</v>
      </c>
      <c r="E768">
        <v>3108</v>
      </c>
      <c r="F768" s="1" t="s">
        <v>37</v>
      </c>
      <c r="G768" s="1" t="s">
        <v>62</v>
      </c>
      <c r="H768">
        <v>2</v>
      </c>
      <c r="I768" s="1" t="s">
        <v>59</v>
      </c>
      <c r="J768" s="1" t="s">
        <v>27</v>
      </c>
      <c r="K768">
        <v>4</v>
      </c>
      <c r="L768" s="1" t="s">
        <v>48</v>
      </c>
      <c r="M768">
        <v>31</v>
      </c>
      <c r="N768" s="1" t="s">
        <v>29</v>
      </c>
      <c r="O768" s="1" t="s">
        <v>30</v>
      </c>
      <c r="P768">
        <v>1</v>
      </c>
      <c r="Q768" s="1" t="s">
        <v>45</v>
      </c>
      <c r="R768">
        <v>1</v>
      </c>
      <c r="S768" s="1" t="s">
        <v>40</v>
      </c>
      <c r="T768" s="1" t="s">
        <v>33</v>
      </c>
      <c r="U768" s="1" t="s">
        <v>41</v>
      </c>
    </row>
    <row r="769" spans="1:21" x14ac:dyDescent="0.3">
      <c r="A769" s="1" t="s">
        <v>42</v>
      </c>
      <c r="B769">
        <v>10</v>
      </c>
      <c r="C769" s="1" t="s">
        <v>36</v>
      </c>
      <c r="D769" s="1" t="s">
        <v>54</v>
      </c>
      <c r="E769">
        <v>2901</v>
      </c>
      <c r="F769" s="1" t="s">
        <v>24</v>
      </c>
      <c r="G769" s="1" t="s">
        <v>62</v>
      </c>
      <c r="H769">
        <v>1</v>
      </c>
      <c r="I769" s="1" t="s">
        <v>39</v>
      </c>
      <c r="J769" s="1" t="s">
        <v>27</v>
      </c>
      <c r="K769">
        <v>4</v>
      </c>
      <c r="L769" s="1" t="s">
        <v>28</v>
      </c>
      <c r="M769">
        <v>31</v>
      </c>
      <c r="N769" s="1" t="s">
        <v>29</v>
      </c>
      <c r="O769" s="1" t="s">
        <v>56</v>
      </c>
      <c r="P769">
        <v>1</v>
      </c>
      <c r="Q769" s="1" t="s">
        <v>31</v>
      </c>
      <c r="R769">
        <v>1</v>
      </c>
      <c r="S769" s="1" t="s">
        <v>40</v>
      </c>
      <c r="T769" s="1" t="s">
        <v>33</v>
      </c>
      <c r="U769" s="1" t="s">
        <v>34</v>
      </c>
    </row>
    <row r="770" spans="1:21" x14ac:dyDescent="0.3">
      <c r="A770" s="1" t="s">
        <v>35</v>
      </c>
      <c r="B770">
        <v>12</v>
      </c>
      <c r="C770" s="1" t="s">
        <v>22</v>
      </c>
      <c r="D770" s="1" t="s">
        <v>46</v>
      </c>
      <c r="E770">
        <v>3617</v>
      </c>
      <c r="F770" s="1" t="s">
        <v>37</v>
      </c>
      <c r="G770" s="1" t="s">
        <v>25</v>
      </c>
      <c r="H770">
        <v>1</v>
      </c>
      <c r="I770" s="1" t="s">
        <v>26</v>
      </c>
      <c r="J770" s="1" t="s">
        <v>27</v>
      </c>
      <c r="K770">
        <v>4</v>
      </c>
      <c r="L770" s="1" t="s">
        <v>55</v>
      </c>
      <c r="M770">
        <v>28</v>
      </c>
      <c r="N770" s="1" t="s">
        <v>29</v>
      </c>
      <c r="O770" s="1" t="s">
        <v>56</v>
      </c>
      <c r="P770">
        <v>3</v>
      </c>
      <c r="Q770" s="1" t="s">
        <v>31</v>
      </c>
      <c r="R770">
        <v>1</v>
      </c>
      <c r="S770" s="1" t="s">
        <v>32</v>
      </c>
      <c r="T770" s="1" t="s">
        <v>33</v>
      </c>
      <c r="U770" s="1" t="s">
        <v>34</v>
      </c>
    </row>
    <row r="771" spans="1:21" x14ac:dyDescent="0.3">
      <c r="A771" s="1" t="s">
        <v>42</v>
      </c>
      <c r="B771">
        <v>12</v>
      </c>
      <c r="C771" s="1" t="s">
        <v>22</v>
      </c>
      <c r="D771" s="1" t="s">
        <v>23</v>
      </c>
      <c r="E771">
        <v>1655</v>
      </c>
      <c r="F771" s="1" t="s">
        <v>37</v>
      </c>
      <c r="G771" s="1" t="s">
        <v>25</v>
      </c>
      <c r="H771">
        <v>2</v>
      </c>
      <c r="I771" s="1" t="s">
        <v>26</v>
      </c>
      <c r="J771" s="1" t="s">
        <v>27</v>
      </c>
      <c r="K771">
        <v>4</v>
      </c>
      <c r="L771" s="1" t="s">
        <v>28</v>
      </c>
      <c r="M771">
        <v>63</v>
      </c>
      <c r="N771" s="1" t="s">
        <v>29</v>
      </c>
      <c r="O771" s="1" t="s">
        <v>30</v>
      </c>
      <c r="P771">
        <v>2</v>
      </c>
      <c r="Q771" s="1" t="s">
        <v>45</v>
      </c>
      <c r="R771">
        <v>1</v>
      </c>
      <c r="S771" s="1" t="s">
        <v>32</v>
      </c>
      <c r="T771" s="1" t="s">
        <v>33</v>
      </c>
      <c r="U771" s="1" t="s">
        <v>34</v>
      </c>
    </row>
    <row r="772" spans="1:21" x14ac:dyDescent="0.3">
      <c r="A772" s="1" t="s">
        <v>21</v>
      </c>
      <c r="B772">
        <v>24</v>
      </c>
      <c r="C772" s="1" t="s">
        <v>36</v>
      </c>
      <c r="D772" s="1" t="s">
        <v>54</v>
      </c>
      <c r="E772">
        <v>2812</v>
      </c>
      <c r="F772" s="1" t="s">
        <v>24</v>
      </c>
      <c r="G772" s="1" t="s">
        <v>25</v>
      </c>
      <c r="H772">
        <v>2</v>
      </c>
      <c r="I772" s="1" t="s">
        <v>39</v>
      </c>
      <c r="J772" s="1" t="s">
        <v>27</v>
      </c>
      <c r="K772">
        <v>4</v>
      </c>
      <c r="L772" s="1" t="s">
        <v>28</v>
      </c>
      <c r="M772">
        <v>26</v>
      </c>
      <c r="N772" s="1" t="s">
        <v>29</v>
      </c>
      <c r="O772" s="1" t="s">
        <v>56</v>
      </c>
      <c r="P772">
        <v>1</v>
      </c>
      <c r="Q772" s="1" t="s">
        <v>31</v>
      </c>
      <c r="R772">
        <v>1</v>
      </c>
      <c r="S772" s="1" t="s">
        <v>40</v>
      </c>
      <c r="T772" s="1" t="s">
        <v>33</v>
      </c>
      <c r="U772" s="1" t="s">
        <v>34</v>
      </c>
    </row>
    <row r="773" spans="1:21" x14ac:dyDescent="0.3">
      <c r="A773" s="1" t="s">
        <v>21</v>
      </c>
      <c r="B773">
        <v>36</v>
      </c>
      <c r="C773" s="1" t="s">
        <v>22</v>
      </c>
      <c r="D773" s="1" t="s">
        <v>43</v>
      </c>
      <c r="E773">
        <v>8065</v>
      </c>
      <c r="F773" s="1" t="s">
        <v>37</v>
      </c>
      <c r="G773" s="1" t="s">
        <v>38</v>
      </c>
      <c r="H773">
        <v>3</v>
      </c>
      <c r="I773" s="1" t="s">
        <v>39</v>
      </c>
      <c r="J773" s="1" t="s">
        <v>27</v>
      </c>
      <c r="K773">
        <v>2</v>
      </c>
      <c r="L773" s="1" t="s">
        <v>52</v>
      </c>
      <c r="M773">
        <v>25</v>
      </c>
      <c r="N773" s="1" t="s">
        <v>29</v>
      </c>
      <c r="O773" s="1" t="s">
        <v>30</v>
      </c>
      <c r="P773">
        <v>2</v>
      </c>
      <c r="Q773" s="1" t="s">
        <v>57</v>
      </c>
      <c r="R773">
        <v>1</v>
      </c>
      <c r="S773" s="1" t="s">
        <v>32</v>
      </c>
      <c r="T773" s="1" t="s">
        <v>33</v>
      </c>
      <c r="U773" s="1" t="s">
        <v>41</v>
      </c>
    </row>
    <row r="774" spans="1:21" x14ac:dyDescent="0.3">
      <c r="A774" s="1" t="s">
        <v>42</v>
      </c>
      <c r="B774">
        <v>21</v>
      </c>
      <c r="C774" s="1" t="s">
        <v>22</v>
      </c>
      <c r="D774" s="1" t="s">
        <v>54</v>
      </c>
      <c r="E774">
        <v>3275</v>
      </c>
      <c r="F774" s="1" t="s">
        <v>37</v>
      </c>
      <c r="G774" s="1" t="s">
        <v>25</v>
      </c>
      <c r="H774">
        <v>1</v>
      </c>
      <c r="I774" s="1" t="s">
        <v>26</v>
      </c>
      <c r="J774" s="1" t="s">
        <v>27</v>
      </c>
      <c r="K774">
        <v>4</v>
      </c>
      <c r="L774" s="1" t="s">
        <v>55</v>
      </c>
      <c r="M774">
        <v>36</v>
      </c>
      <c r="N774" s="1" t="s">
        <v>29</v>
      </c>
      <c r="O774" s="1" t="s">
        <v>30</v>
      </c>
      <c r="P774">
        <v>1</v>
      </c>
      <c r="Q774" s="1" t="s">
        <v>57</v>
      </c>
      <c r="R774">
        <v>1</v>
      </c>
      <c r="S774" s="1" t="s">
        <v>32</v>
      </c>
      <c r="T774" s="1" t="s">
        <v>33</v>
      </c>
      <c r="U774" s="1" t="s">
        <v>34</v>
      </c>
    </row>
    <row r="775" spans="1:21" x14ac:dyDescent="0.3">
      <c r="A775" s="1" t="s">
        <v>42</v>
      </c>
      <c r="B775">
        <v>24</v>
      </c>
      <c r="C775" s="1" t="s">
        <v>22</v>
      </c>
      <c r="D775" s="1" t="s">
        <v>23</v>
      </c>
      <c r="E775">
        <v>2223</v>
      </c>
      <c r="F775" s="1" t="s">
        <v>64</v>
      </c>
      <c r="G775" s="1" t="s">
        <v>25</v>
      </c>
      <c r="H775">
        <v>4</v>
      </c>
      <c r="I775" s="1" t="s">
        <v>26</v>
      </c>
      <c r="J775" s="1" t="s">
        <v>27</v>
      </c>
      <c r="K775">
        <v>4</v>
      </c>
      <c r="L775" s="1" t="s">
        <v>48</v>
      </c>
      <c r="M775">
        <v>52</v>
      </c>
      <c r="N775" s="1" t="s">
        <v>66</v>
      </c>
      <c r="O775" s="1" t="s">
        <v>30</v>
      </c>
      <c r="P775">
        <v>2</v>
      </c>
      <c r="Q775" s="1" t="s">
        <v>31</v>
      </c>
      <c r="R775">
        <v>1</v>
      </c>
      <c r="S775" s="1" t="s">
        <v>40</v>
      </c>
      <c r="T775" s="1" t="s">
        <v>33</v>
      </c>
      <c r="U775" s="1" t="s">
        <v>34</v>
      </c>
    </row>
    <row r="776" spans="1:21" x14ac:dyDescent="0.3">
      <c r="A776" s="1" t="s">
        <v>68</v>
      </c>
      <c r="B776">
        <v>12</v>
      </c>
      <c r="C776" s="1" t="s">
        <v>22</v>
      </c>
      <c r="D776" s="1" t="s">
        <v>51</v>
      </c>
      <c r="E776">
        <v>1480</v>
      </c>
      <c r="F776" s="1" t="s">
        <v>53</v>
      </c>
      <c r="G776" s="1" t="s">
        <v>60</v>
      </c>
      <c r="H776">
        <v>2</v>
      </c>
      <c r="I776" s="1" t="s">
        <v>26</v>
      </c>
      <c r="J776" s="1" t="s">
        <v>27</v>
      </c>
      <c r="K776">
        <v>4</v>
      </c>
      <c r="L776" s="1" t="s">
        <v>52</v>
      </c>
      <c r="M776">
        <v>66</v>
      </c>
      <c r="N776" s="1" t="s">
        <v>66</v>
      </c>
      <c r="O776" s="1" t="s">
        <v>49</v>
      </c>
      <c r="P776">
        <v>3</v>
      </c>
      <c r="Q776" s="1" t="s">
        <v>74</v>
      </c>
      <c r="R776">
        <v>1</v>
      </c>
      <c r="S776" s="1" t="s">
        <v>40</v>
      </c>
      <c r="T776" s="1" t="s">
        <v>33</v>
      </c>
      <c r="U776" s="1" t="s">
        <v>34</v>
      </c>
    </row>
    <row r="777" spans="1:21" x14ac:dyDescent="0.3">
      <c r="A777" s="1" t="s">
        <v>21</v>
      </c>
      <c r="B777">
        <v>24</v>
      </c>
      <c r="C777" s="1" t="s">
        <v>36</v>
      </c>
      <c r="D777" s="1" t="s">
        <v>51</v>
      </c>
      <c r="E777">
        <v>1371</v>
      </c>
      <c r="F777" s="1" t="s">
        <v>24</v>
      </c>
      <c r="G777" s="1" t="s">
        <v>38</v>
      </c>
      <c r="H777">
        <v>4</v>
      </c>
      <c r="I777" s="1" t="s">
        <v>39</v>
      </c>
      <c r="J777" s="1" t="s">
        <v>27</v>
      </c>
      <c r="K777">
        <v>4</v>
      </c>
      <c r="L777" s="1" t="s">
        <v>28</v>
      </c>
      <c r="M777">
        <v>25</v>
      </c>
      <c r="N777" s="1" t="s">
        <v>29</v>
      </c>
      <c r="O777" s="1" t="s">
        <v>56</v>
      </c>
      <c r="P777">
        <v>1</v>
      </c>
      <c r="Q777" s="1" t="s">
        <v>31</v>
      </c>
      <c r="R777">
        <v>1</v>
      </c>
      <c r="S777" s="1" t="s">
        <v>40</v>
      </c>
      <c r="T777" s="1" t="s">
        <v>33</v>
      </c>
      <c r="U777" s="1" t="s">
        <v>41</v>
      </c>
    </row>
    <row r="778" spans="1:21" x14ac:dyDescent="0.3">
      <c r="A778" s="1" t="s">
        <v>42</v>
      </c>
      <c r="B778">
        <v>36</v>
      </c>
      <c r="C778" s="1" t="s">
        <v>22</v>
      </c>
      <c r="D778" s="1" t="s">
        <v>51</v>
      </c>
      <c r="E778">
        <v>3535</v>
      </c>
      <c r="F778" s="1" t="s">
        <v>37</v>
      </c>
      <c r="G778" s="1" t="s">
        <v>44</v>
      </c>
      <c r="H778">
        <v>4</v>
      </c>
      <c r="I778" s="1" t="s">
        <v>26</v>
      </c>
      <c r="J778" s="1" t="s">
        <v>27</v>
      </c>
      <c r="K778">
        <v>4</v>
      </c>
      <c r="L778" s="1" t="s">
        <v>55</v>
      </c>
      <c r="M778">
        <v>37</v>
      </c>
      <c r="N778" s="1" t="s">
        <v>29</v>
      </c>
      <c r="O778" s="1" t="s">
        <v>30</v>
      </c>
      <c r="P778">
        <v>2</v>
      </c>
      <c r="Q778" s="1" t="s">
        <v>31</v>
      </c>
      <c r="R778">
        <v>1</v>
      </c>
      <c r="S778" s="1" t="s">
        <v>32</v>
      </c>
      <c r="T778" s="1" t="s">
        <v>33</v>
      </c>
      <c r="U778" s="1" t="s">
        <v>34</v>
      </c>
    </row>
    <row r="779" spans="1:21" x14ac:dyDescent="0.3">
      <c r="A779" s="1" t="s">
        <v>21</v>
      </c>
      <c r="B779">
        <v>18</v>
      </c>
      <c r="C779" s="1" t="s">
        <v>36</v>
      </c>
      <c r="D779" s="1" t="s">
        <v>23</v>
      </c>
      <c r="E779">
        <v>3509</v>
      </c>
      <c r="F779" s="1" t="s">
        <v>37</v>
      </c>
      <c r="G779" s="1" t="s">
        <v>44</v>
      </c>
      <c r="H779">
        <v>4</v>
      </c>
      <c r="I779" s="1" t="s">
        <v>39</v>
      </c>
      <c r="J779" s="1" t="s">
        <v>47</v>
      </c>
      <c r="K779">
        <v>1</v>
      </c>
      <c r="L779" s="1" t="s">
        <v>28</v>
      </c>
      <c r="M779">
        <v>25</v>
      </c>
      <c r="N779" s="1" t="s">
        <v>29</v>
      </c>
      <c r="O779" s="1" t="s">
        <v>30</v>
      </c>
      <c r="P779">
        <v>1</v>
      </c>
      <c r="Q779" s="1" t="s">
        <v>31</v>
      </c>
      <c r="R779">
        <v>1</v>
      </c>
      <c r="S779" s="1" t="s">
        <v>40</v>
      </c>
      <c r="T779" s="1" t="s">
        <v>33</v>
      </c>
      <c r="U779" s="1" t="s">
        <v>34</v>
      </c>
    </row>
    <row r="780" spans="1:21" x14ac:dyDescent="0.3">
      <c r="A780" s="1" t="s">
        <v>42</v>
      </c>
      <c r="B780">
        <v>36</v>
      </c>
      <c r="C780" s="1" t="s">
        <v>22</v>
      </c>
      <c r="D780" s="1" t="s">
        <v>54</v>
      </c>
      <c r="E780">
        <v>5711</v>
      </c>
      <c r="F780" s="1" t="s">
        <v>58</v>
      </c>
      <c r="G780" s="1" t="s">
        <v>25</v>
      </c>
      <c r="H780">
        <v>4</v>
      </c>
      <c r="I780" s="1" t="s">
        <v>26</v>
      </c>
      <c r="J780" s="1" t="s">
        <v>27</v>
      </c>
      <c r="K780">
        <v>2</v>
      </c>
      <c r="L780" s="1" t="s">
        <v>55</v>
      </c>
      <c r="M780">
        <v>38</v>
      </c>
      <c r="N780" s="1" t="s">
        <v>29</v>
      </c>
      <c r="O780" s="1" t="s">
        <v>30</v>
      </c>
      <c r="P780">
        <v>2</v>
      </c>
      <c r="Q780" s="1" t="s">
        <v>57</v>
      </c>
      <c r="R780">
        <v>1</v>
      </c>
      <c r="S780" s="1" t="s">
        <v>32</v>
      </c>
      <c r="T780" s="1" t="s">
        <v>33</v>
      </c>
      <c r="U780" s="1" t="s">
        <v>34</v>
      </c>
    </row>
    <row r="781" spans="1:21" x14ac:dyDescent="0.3">
      <c r="A781" s="1" t="s">
        <v>35</v>
      </c>
      <c r="B781">
        <v>18</v>
      </c>
      <c r="C781" s="1" t="s">
        <v>36</v>
      </c>
      <c r="D781" s="1" t="s">
        <v>73</v>
      </c>
      <c r="E781">
        <v>3872</v>
      </c>
      <c r="F781" s="1" t="s">
        <v>37</v>
      </c>
      <c r="G781" s="1" t="s">
        <v>60</v>
      </c>
      <c r="H781">
        <v>2</v>
      </c>
      <c r="I781" s="1" t="s">
        <v>39</v>
      </c>
      <c r="J781" s="1" t="s">
        <v>27</v>
      </c>
      <c r="K781">
        <v>4</v>
      </c>
      <c r="L781" s="1" t="s">
        <v>55</v>
      </c>
      <c r="M781">
        <v>67</v>
      </c>
      <c r="N781" s="1" t="s">
        <v>29</v>
      </c>
      <c r="O781" s="1" t="s">
        <v>30</v>
      </c>
      <c r="P781">
        <v>1</v>
      </c>
      <c r="Q781" s="1" t="s">
        <v>31</v>
      </c>
      <c r="R781">
        <v>1</v>
      </c>
      <c r="S781" s="1" t="s">
        <v>32</v>
      </c>
      <c r="T781" s="1" t="s">
        <v>33</v>
      </c>
      <c r="U781" s="1" t="s">
        <v>34</v>
      </c>
    </row>
    <row r="782" spans="1:21" x14ac:dyDescent="0.3">
      <c r="A782" s="1" t="s">
        <v>35</v>
      </c>
      <c r="B782">
        <v>39</v>
      </c>
      <c r="C782" s="1" t="s">
        <v>22</v>
      </c>
      <c r="D782" s="1" t="s">
        <v>23</v>
      </c>
      <c r="E782">
        <v>4933</v>
      </c>
      <c r="F782" s="1" t="s">
        <v>37</v>
      </c>
      <c r="G782" s="1" t="s">
        <v>44</v>
      </c>
      <c r="H782">
        <v>2</v>
      </c>
      <c r="I782" s="1" t="s">
        <v>26</v>
      </c>
      <c r="J782" s="1" t="s">
        <v>47</v>
      </c>
      <c r="K782">
        <v>2</v>
      </c>
      <c r="L782" s="1" t="s">
        <v>28</v>
      </c>
      <c r="M782">
        <v>25</v>
      </c>
      <c r="N782" s="1" t="s">
        <v>29</v>
      </c>
      <c r="O782" s="1" t="s">
        <v>30</v>
      </c>
      <c r="P782">
        <v>2</v>
      </c>
      <c r="Q782" s="1" t="s">
        <v>31</v>
      </c>
      <c r="R782">
        <v>1</v>
      </c>
      <c r="S782" s="1" t="s">
        <v>40</v>
      </c>
      <c r="T782" s="1" t="s">
        <v>33</v>
      </c>
      <c r="U782" s="1" t="s">
        <v>41</v>
      </c>
    </row>
    <row r="783" spans="1:21" x14ac:dyDescent="0.3">
      <c r="A783" s="1" t="s">
        <v>42</v>
      </c>
      <c r="B783">
        <v>24</v>
      </c>
      <c r="C783" s="1" t="s">
        <v>22</v>
      </c>
      <c r="D783" s="1" t="s">
        <v>51</v>
      </c>
      <c r="E783">
        <v>1940</v>
      </c>
      <c r="F783" s="1" t="s">
        <v>58</v>
      </c>
      <c r="G783" s="1" t="s">
        <v>25</v>
      </c>
      <c r="H783">
        <v>4</v>
      </c>
      <c r="I783" s="1" t="s">
        <v>26</v>
      </c>
      <c r="J783" s="1" t="s">
        <v>27</v>
      </c>
      <c r="K783">
        <v>4</v>
      </c>
      <c r="L783" s="1" t="s">
        <v>28</v>
      </c>
      <c r="M783">
        <v>60</v>
      </c>
      <c r="N783" s="1" t="s">
        <v>29</v>
      </c>
      <c r="O783" s="1" t="s">
        <v>30</v>
      </c>
      <c r="P783">
        <v>1</v>
      </c>
      <c r="Q783" s="1" t="s">
        <v>31</v>
      </c>
      <c r="R783">
        <v>1</v>
      </c>
      <c r="S783" s="1" t="s">
        <v>32</v>
      </c>
      <c r="T783" s="1" t="s">
        <v>33</v>
      </c>
      <c r="U783" s="1" t="s">
        <v>34</v>
      </c>
    </row>
    <row r="784" spans="1:21" x14ac:dyDescent="0.3">
      <c r="A784" s="1" t="s">
        <v>35</v>
      </c>
      <c r="B784">
        <v>12</v>
      </c>
      <c r="C784" s="1" t="s">
        <v>65</v>
      </c>
      <c r="D784" s="1" t="s">
        <v>76</v>
      </c>
      <c r="E784">
        <v>1410</v>
      </c>
      <c r="F784" s="1" t="s">
        <v>37</v>
      </c>
      <c r="G784" s="1" t="s">
        <v>38</v>
      </c>
      <c r="H784">
        <v>2</v>
      </c>
      <c r="I784" s="1" t="s">
        <v>26</v>
      </c>
      <c r="J784" s="1" t="s">
        <v>27</v>
      </c>
      <c r="K784">
        <v>2</v>
      </c>
      <c r="L784" s="1" t="s">
        <v>28</v>
      </c>
      <c r="M784">
        <v>31</v>
      </c>
      <c r="N784" s="1" t="s">
        <v>29</v>
      </c>
      <c r="O784" s="1" t="s">
        <v>30</v>
      </c>
      <c r="P784">
        <v>1</v>
      </c>
      <c r="Q784" s="1" t="s">
        <v>45</v>
      </c>
      <c r="R784">
        <v>1</v>
      </c>
      <c r="S784" s="1" t="s">
        <v>32</v>
      </c>
      <c r="T784" s="1" t="s">
        <v>33</v>
      </c>
      <c r="U784" s="1" t="s">
        <v>34</v>
      </c>
    </row>
    <row r="785" spans="1:21" x14ac:dyDescent="0.3">
      <c r="A785" s="1" t="s">
        <v>35</v>
      </c>
      <c r="B785">
        <v>12</v>
      </c>
      <c r="C785" s="1" t="s">
        <v>36</v>
      </c>
      <c r="D785" s="1" t="s">
        <v>51</v>
      </c>
      <c r="E785">
        <v>836</v>
      </c>
      <c r="F785" s="1" t="s">
        <v>64</v>
      </c>
      <c r="G785" s="1" t="s">
        <v>62</v>
      </c>
      <c r="H785">
        <v>4</v>
      </c>
      <c r="I785" s="1" t="s">
        <v>39</v>
      </c>
      <c r="J785" s="1" t="s">
        <v>27</v>
      </c>
      <c r="K785">
        <v>2</v>
      </c>
      <c r="L785" s="1" t="s">
        <v>48</v>
      </c>
      <c r="M785">
        <v>23</v>
      </c>
      <c r="N785" s="1" t="s">
        <v>66</v>
      </c>
      <c r="O785" s="1" t="s">
        <v>30</v>
      </c>
      <c r="P785">
        <v>1</v>
      </c>
      <c r="Q785" s="1" t="s">
        <v>45</v>
      </c>
      <c r="R785">
        <v>1</v>
      </c>
      <c r="S785" s="1" t="s">
        <v>40</v>
      </c>
      <c r="T785" s="1" t="s">
        <v>33</v>
      </c>
      <c r="U785" s="1" t="s">
        <v>41</v>
      </c>
    </row>
    <row r="786" spans="1:21" x14ac:dyDescent="0.3">
      <c r="A786" s="1" t="s">
        <v>35</v>
      </c>
      <c r="B786">
        <v>20</v>
      </c>
      <c r="C786" s="1" t="s">
        <v>36</v>
      </c>
      <c r="D786" s="1" t="s">
        <v>54</v>
      </c>
      <c r="E786">
        <v>6468</v>
      </c>
      <c r="F786" s="1" t="s">
        <v>24</v>
      </c>
      <c r="G786" s="1" t="s">
        <v>60</v>
      </c>
      <c r="H786">
        <v>1</v>
      </c>
      <c r="I786" s="1" t="s">
        <v>59</v>
      </c>
      <c r="J786" s="1" t="s">
        <v>27</v>
      </c>
      <c r="K786">
        <v>4</v>
      </c>
      <c r="L786" s="1" t="s">
        <v>28</v>
      </c>
      <c r="M786">
        <v>60</v>
      </c>
      <c r="N786" s="1" t="s">
        <v>29</v>
      </c>
      <c r="O786" s="1" t="s">
        <v>30</v>
      </c>
      <c r="P786">
        <v>1</v>
      </c>
      <c r="Q786" s="1" t="s">
        <v>57</v>
      </c>
      <c r="R786">
        <v>1</v>
      </c>
      <c r="S786" s="1" t="s">
        <v>32</v>
      </c>
      <c r="T786" s="1" t="s">
        <v>33</v>
      </c>
      <c r="U786" s="1" t="s">
        <v>34</v>
      </c>
    </row>
    <row r="787" spans="1:21" x14ac:dyDescent="0.3">
      <c r="A787" s="1" t="s">
        <v>35</v>
      </c>
      <c r="B787">
        <v>18</v>
      </c>
      <c r="C787" s="1" t="s">
        <v>36</v>
      </c>
      <c r="D787" s="1" t="s">
        <v>63</v>
      </c>
      <c r="E787">
        <v>1941</v>
      </c>
      <c r="F787" s="1" t="s">
        <v>58</v>
      </c>
      <c r="G787" s="1" t="s">
        <v>38</v>
      </c>
      <c r="H787">
        <v>4</v>
      </c>
      <c r="I787" s="1" t="s">
        <v>26</v>
      </c>
      <c r="J787" s="1" t="s">
        <v>27</v>
      </c>
      <c r="K787">
        <v>2</v>
      </c>
      <c r="L787" s="1" t="s">
        <v>48</v>
      </c>
      <c r="M787">
        <v>35</v>
      </c>
      <c r="N787" s="1" t="s">
        <v>29</v>
      </c>
      <c r="O787" s="1" t="s">
        <v>30</v>
      </c>
      <c r="P787">
        <v>1</v>
      </c>
      <c r="Q787" s="1" t="s">
        <v>45</v>
      </c>
      <c r="R787">
        <v>1</v>
      </c>
      <c r="S787" s="1" t="s">
        <v>32</v>
      </c>
      <c r="T787" s="1" t="s">
        <v>33</v>
      </c>
      <c r="U787" s="1" t="s">
        <v>34</v>
      </c>
    </row>
    <row r="788" spans="1:21" x14ac:dyDescent="0.3">
      <c r="A788" s="1" t="s">
        <v>42</v>
      </c>
      <c r="B788">
        <v>22</v>
      </c>
      <c r="C788" s="1" t="s">
        <v>36</v>
      </c>
      <c r="D788" s="1" t="s">
        <v>23</v>
      </c>
      <c r="E788">
        <v>2675</v>
      </c>
      <c r="F788" s="1" t="s">
        <v>53</v>
      </c>
      <c r="G788" s="1" t="s">
        <v>25</v>
      </c>
      <c r="H788">
        <v>3</v>
      </c>
      <c r="I788" s="1" t="s">
        <v>26</v>
      </c>
      <c r="J788" s="1" t="s">
        <v>27</v>
      </c>
      <c r="K788">
        <v>4</v>
      </c>
      <c r="L788" s="1" t="s">
        <v>55</v>
      </c>
      <c r="M788">
        <v>40</v>
      </c>
      <c r="N788" s="1" t="s">
        <v>29</v>
      </c>
      <c r="O788" s="1" t="s">
        <v>30</v>
      </c>
      <c r="P788">
        <v>1</v>
      </c>
      <c r="Q788" s="1" t="s">
        <v>31</v>
      </c>
      <c r="R788">
        <v>1</v>
      </c>
      <c r="S788" s="1" t="s">
        <v>40</v>
      </c>
      <c r="T788" s="1" t="s">
        <v>33</v>
      </c>
      <c r="U788" s="1" t="s">
        <v>34</v>
      </c>
    </row>
    <row r="789" spans="1:21" x14ac:dyDescent="0.3">
      <c r="A789" s="1" t="s">
        <v>42</v>
      </c>
      <c r="B789">
        <v>48</v>
      </c>
      <c r="C789" s="1" t="s">
        <v>22</v>
      </c>
      <c r="D789" s="1" t="s">
        <v>54</v>
      </c>
      <c r="E789">
        <v>2751</v>
      </c>
      <c r="F789" s="1" t="s">
        <v>24</v>
      </c>
      <c r="G789" s="1" t="s">
        <v>25</v>
      </c>
      <c r="H789">
        <v>4</v>
      </c>
      <c r="I789" s="1" t="s">
        <v>26</v>
      </c>
      <c r="J789" s="1" t="s">
        <v>27</v>
      </c>
      <c r="K789">
        <v>3</v>
      </c>
      <c r="L789" s="1" t="s">
        <v>55</v>
      </c>
      <c r="M789">
        <v>38</v>
      </c>
      <c r="N789" s="1" t="s">
        <v>29</v>
      </c>
      <c r="O789" s="1" t="s">
        <v>30</v>
      </c>
      <c r="P789">
        <v>2</v>
      </c>
      <c r="Q789" s="1" t="s">
        <v>31</v>
      </c>
      <c r="R789">
        <v>2</v>
      </c>
      <c r="S789" s="1" t="s">
        <v>32</v>
      </c>
      <c r="T789" s="1" t="s">
        <v>33</v>
      </c>
      <c r="U789" s="1" t="s">
        <v>34</v>
      </c>
    </row>
    <row r="790" spans="1:21" x14ac:dyDescent="0.3">
      <c r="A790" s="1" t="s">
        <v>35</v>
      </c>
      <c r="B790">
        <v>48</v>
      </c>
      <c r="C790" s="1" t="s">
        <v>50</v>
      </c>
      <c r="D790" s="1" t="s">
        <v>43</v>
      </c>
      <c r="E790">
        <v>6224</v>
      </c>
      <c r="F790" s="1" t="s">
        <v>37</v>
      </c>
      <c r="G790" s="1" t="s">
        <v>25</v>
      </c>
      <c r="H790">
        <v>4</v>
      </c>
      <c r="I790" s="1" t="s">
        <v>26</v>
      </c>
      <c r="J790" s="1" t="s">
        <v>27</v>
      </c>
      <c r="K790">
        <v>4</v>
      </c>
      <c r="L790" s="1" t="s">
        <v>52</v>
      </c>
      <c r="M790">
        <v>50</v>
      </c>
      <c r="N790" s="1" t="s">
        <v>29</v>
      </c>
      <c r="O790" s="1" t="s">
        <v>49</v>
      </c>
      <c r="P790">
        <v>1</v>
      </c>
      <c r="Q790" s="1" t="s">
        <v>31</v>
      </c>
      <c r="R790">
        <v>1</v>
      </c>
      <c r="S790" s="1" t="s">
        <v>40</v>
      </c>
      <c r="T790" s="1" t="s">
        <v>33</v>
      </c>
      <c r="U790" s="1" t="s">
        <v>41</v>
      </c>
    </row>
    <row r="791" spans="1:21" x14ac:dyDescent="0.3">
      <c r="A791" s="1" t="s">
        <v>21</v>
      </c>
      <c r="B791">
        <v>40</v>
      </c>
      <c r="C791" s="1" t="s">
        <v>22</v>
      </c>
      <c r="D791" s="1" t="s">
        <v>43</v>
      </c>
      <c r="E791">
        <v>5998</v>
      </c>
      <c r="F791" s="1" t="s">
        <v>37</v>
      </c>
      <c r="G791" s="1" t="s">
        <v>38</v>
      </c>
      <c r="H791">
        <v>4</v>
      </c>
      <c r="I791" s="1" t="s">
        <v>26</v>
      </c>
      <c r="J791" s="1" t="s">
        <v>27</v>
      </c>
      <c r="K791">
        <v>3</v>
      </c>
      <c r="L791" s="1" t="s">
        <v>52</v>
      </c>
      <c r="M791">
        <v>27</v>
      </c>
      <c r="N791" s="1" t="s">
        <v>66</v>
      </c>
      <c r="O791" s="1" t="s">
        <v>30</v>
      </c>
      <c r="P791">
        <v>1</v>
      </c>
      <c r="Q791" s="1" t="s">
        <v>31</v>
      </c>
      <c r="R791">
        <v>1</v>
      </c>
      <c r="S791" s="1" t="s">
        <v>32</v>
      </c>
      <c r="T791" s="1" t="s">
        <v>33</v>
      </c>
      <c r="U791" s="1" t="s">
        <v>41</v>
      </c>
    </row>
    <row r="792" spans="1:21" x14ac:dyDescent="0.3">
      <c r="A792" s="1" t="s">
        <v>35</v>
      </c>
      <c r="B792">
        <v>21</v>
      </c>
      <c r="C792" s="1" t="s">
        <v>36</v>
      </c>
      <c r="D792" s="1" t="s">
        <v>63</v>
      </c>
      <c r="E792">
        <v>1188</v>
      </c>
      <c r="F792" s="1" t="s">
        <v>37</v>
      </c>
      <c r="G792" s="1" t="s">
        <v>25</v>
      </c>
      <c r="H792">
        <v>2</v>
      </c>
      <c r="I792" s="1" t="s">
        <v>39</v>
      </c>
      <c r="J792" s="1" t="s">
        <v>27</v>
      </c>
      <c r="K792">
        <v>4</v>
      </c>
      <c r="L792" s="1" t="s">
        <v>48</v>
      </c>
      <c r="M792">
        <v>39</v>
      </c>
      <c r="N792" s="1" t="s">
        <v>29</v>
      </c>
      <c r="O792" s="1" t="s">
        <v>30</v>
      </c>
      <c r="P792">
        <v>1</v>
      </c>
      <c r="Q792" s="1" t="s">
        <v>31</v>
      </c>
      <c r="R792">
        <v>2</v>
      </c>
      <c r="S792" s="1" t="s">
        <v>40</v>
      </c>
      <c r="T792" s="1" t="s">
        <v>33</v>
      </c>
      <c r="U792" s="1" t="s">
        <v>41</v>
      </c>
    </row>
    <row r="793" spans="1:21" x14ac:dyDescent="0.3">
      <c r="A793" s="1" t="s">
        <v>42</v>
      </c>
      <c r="B793">
        <v>24</v>
      </c>
      <c r="C793" s="1" t="s">
        <v>36</v>
      </c>
      <c r="D793" s="1" t="s">
        <v>54</v>
      </c>
      <c r="E793">
        <v>6313</v>
      </c>
      <c r="F793" s="1" t="s">
        <v>24</v>
      </c>
      <c r="G793" s="1" t="s">
        <v>25</v>
      </c>
      <c r="H793">
        <v>3</v>
      </c>
      <c r="I793" s="1" t="s">
        <v>26</v>
      </c>
      <c r="J793" s="1" t="s">
        <v>27</v>
      </c>
      <c r="K793">
        <v>4</v>
      </c>
      <c r="L793" s="1" t="s">
        <v>55</v>
      </c>
      <c r="M793">
        <v>41</v>
      </c>
      <c r="N793" s="1" t="s">
        <v>29</v>
      </c>
      <c r="O793" s="1" t="s">
        <v>30</v>
      </c>
      <c r="P793">
        <v>1</v>
      </c>
      <c r="Q793" s="1" t="s">
        <v>57</v>
      </c>
      <c r="R793">
        <v>2</v>
      </c>
      <c r="S793" s="1" t="s">
        <v>32</v>
      </c>
      <c r="T793" s="1" t="s">
        <v>33</v>
      </c>
      <c r="U793" s="1" t="s">
        <v>34</v>
      </c>
    </row>
    <row r="794" spans="1:21" x14ac:dyDescent="0.3">
      <c r="A794" s="1" t="s">
        <v>42</v>
      </c>
      <c r="B794">
        <v>6</v>
      </c>
      <c r="C794" s="1" t="s">
        <v>22</v>
      </c>
      <c r="D794" s="1" t="s">
        <v>46</v>
      </c>
      <c r="E794">
        <v>1221</v>
      </c>
      <c r="F794" s="1" t="s">
        <v>24</v>
      </c>
      <c r="G794" s="1" t="s">
        <v>38</v>
      </c>
      <c r="H794">
        <v>1</v>
      </c>
      <c r="I794" s="1" t="s">
        <v>61</v>
      </c>
      <c r="J794" s="1" t="s">
        <v>27</v>
      </c>
      <c r="K794">
        <v>2</v>
      </c>
      <c r="L794" s="1" t="s">
        <v>48</v>
      </c>
      <c r="M794">
        <v>27</v>
      </c>
      <c r="N794" s="1" t="s">
        <v>29</v>
      </c>
      <c r="O794" s="1" t="s">
        <v>30</v>
      </c>
      <c r="P794">
        <v>2</v>
      </c>
      <c r="Q794" s="1" t="s">
        <v>31</v>
      </c>
      <c r="R794">
        <v>1</v>
      </c>
      <c r="S794" s="1" t="s">
        <v>40</v>
      </c>
      <c r="T794" s="1" t="s">
        <v>33</v>
      </c>
      <c r="U794" s="1" t="s">
        <v>34</v>
      </c>
    </row>
    <row r="795" spans="1:21" x14ac:dyDescent="0.3">
      <c r="A795" s="1" t="s">
        <v>68</v>
      </c>
      <c r="B795">
        <v>24</v>
      </c>
      <c r="C795" s="1" t="s">
        <v>36</v>
      </c>
      <c r="D795" s="1" t="s">
        <v>46</v>
      </c>
      <c r="E795">
        <v>2892</v>
      </c>
      <c r="F795" s="1" t="s">
        <v>37</v>
      </c>
      <c r="G795" s="1" t="s">
        <v>25</v>
      </c>
      <c r="H795">
        <v>3</v>
      </c>
      <c r="I795" s="1" t="s">
        <v>59</v>
      </c>
      <c r="J795" s="1" t="s">
        <v>27</v>
      </c>
      <c r="K795">
        <v>4</v>
      </c>
      <c r="L795" s="1" t="s">
        <v>52</v>
      </c>
      <c r="M795">
        <v>51</v>
      </c>
      <c r="N795" s="1" t="s">
        <v>29</v>
      </c>
      <c r="O795" s="1" t="s">
        <v>49</v>
      </c>
      <c r="P795">
        <v>1</v>
      </c>
      <c r="Q795" s="1" t="s">
        <v>31</v>
      </c>
      <c r="R795">
        <v>1</v>
      </c>
      <c r="S795" s="1" t="s">
        <v>40</v>
      </c>
      <c r="T795" s="1" t="s">
        <v>33</v>
      </c>
      <c r="U795" s="1" t="s">
        <v>34</v>
      </c>
    </row>
    <row r="796" spans="1:21" x14ac:dyDescent="0.3">
      <c r="A796" s="1" t="s">
        <v>42</v>
      </c>
      <c r="B796">
        <v>24</v>
      </c>
      <c r="C796" s="1" t="s">
        <v>36</v>
      </c>
      <c r="D796" s="1" t="s">
        <v>46</v>
      </c>
      <c r="E796">
        <v>3062</v>
      </c>
      <c r="F796" s="1" t="s">
        <v>53</v>
      </c>
      <c r="G796" s="1" t="s">
        <v>25</v>
      </c>
      <c r="H796">
        <v>4</v>
      </c>
      <c r="I796" s="1" t="s">
        <v>26</v>
      </c>
      <c r="J796" s="1" t="s">
        <v>27</v>
      </c>
      <c r="K796">
        <v>3</v>
      </c>
      <c r="L796" s="1" t="s">
        <v>52</v>
      </c>
      <c r="M796">
        <v>32</v>
      </c>
      <c r="N796" s="1" t="s">
        <v>29</v>
      </c>
      <c r="O796" s="1" t="s">
        <v>56</v>
      </c>
      <c r="P796">
        <v>1</v>
      </c>
      <c r="Q796" s="1" t="s">
        <v>31</v>
      </c>
      <c r="R796">
        <v>1</v>
      </c>
      <c r="S796" s="1" t="s">
        <v>32</v>
      </c>
      <c r="T796" s="1" t="s">
        <v>33</v>
      </c>
      <c r="U796" s="1" t="s">
        <v>34</v>
      </c>
    </row>
    <row r="797" spans="1:21" x14ac:dyDescent="0.3">
      <c r="A797" s="1" t="s">
        <v>42</v>
      </c>
      <c r="B797">
        <v>9</v>
      </c>
      <c r="C797" s="1" t="s">
        <v>36</v>
      </c>
      <c r="D797" s="1" t="s">
        <v>46</v>
      </c>
      <c r="E797">
        <v>2301</v>
      </c>
      <c r="F797" s="1" t="s">
        <v>64</v>
      </c>
      <c r="G797" s="1" t="s">
        <v>62</v>
      </c>
      <c r="H797">
        <v>2</v>
      </c>
      <c r="I797" s="1" t="s">
        <v>39</v>
      </c>
      <c r="J797" s="1" t="s">
        <v>27</v>
      </c>
      <c r="K797">
        <v>4</v>
      </c>
      <c r="L797" s="1" t="s">
        <v>48</v>
      </c>
      <c r="M797">
        <v>22</v>
      </c>
      <c r="N797" s="1" t="s">
        <v>29</v>
      </c>
      <c r="O797" s="1" t="s">
        <v>56</v>
      </c>
      <c r="P797">
        <v>1</v>
      </c>
      <c r="Q797" s="1" t="s">
        <v>31</v>
      </c>
      <c r="R797">
        <v>1</v>
      </c>
      <c r="S797" s="1" t="s">
        <v>40</v>
      </c>
      <c r="T797" s="1" t="s">
        <v>33</v>
      </c>
      <c r="U797" s="1" t="s">
        <v>34</v>
      </c>
    </row>
    <row r="798" spans="1:21" x14ac:dyDescent="0.3">
      <c r="A798" s="1" t="s">
        <v>21</v>
      </c>
      <c r="B798">
        <v>18</v>
      </c>
      <c r="C798" s="1" t="s">
        <v>36</v>
      </c>
      <c r="D798" s="1" t="s">
        <v>54</v>
      </c>
      <c r="E798">
        <v>7511</v>
      </c>
      <c r="F798" s="1" t="s">
        <v>24</v>
      </c>
      <c r="G798" s="1" t="s">
        <v>25</v>
      </c>
      <c r="H798">
        <v>1</v>
      </c>
      <c r="I798" s="1" t="s">
        <v>26</v>
      </c>
      <c r="J798" s="1" t="s">
        <v>27</v>
      </c>
      <c r="K798">
        <v>4</v>
      </c>
      <c r="L798" s="1" t="s">
        <v>48</v>
      </c>
      <c r="M798">
        <v>51</v>
      </c>
      <c r="N798" s="1" t="s">
        <v>29</v>
      </c>
      <c r="O798" s="1" t="s">
        <v>49</v>
      </c>
      <c r="P798">
        <v>1</v>
      </c>
      <c r="Q798" s="1" t="s">
        <v>31</v>
      </c>
      <c r="R798">
        <v>2</v>
      </c>
      <c r="S798" s="1" t="s">
        <v>32</v>
      </c>
      <c r="T798" s="1" t="s">
        <v>33</v>
      </c>
      <c r="U798" s="1" t="s">
        <v>41</v>
      </c>
    </row>
    <row r="799" spans="1:21" x14ac:dyDescent="0.3">
      <c r="A799" s="1" t="s">
        <v>42</v>
      </c>
      <c r="B799">
        <v>12</v>
      </c>
      <c r="C799" s="1" t="s">
        <v>22</v>
      </c>
      <c r="D799" s="1" t="s">
        <v>46</v>
      </c>
      <c r="E799">
        <v>1258</v>
      </c>
      <c r="F799" s="1" t="s">
        <v>37</v>
      </c>
      <c r="G799" s="1" t="s">
        <v>62</v>
      </c>
      <c r="H799">
        <v>2</v>
      </c>
      <c r="I799" s="1" t="s">
        <v>39</v>
      </c>
      <c r="J799" s="1" t="s">
        <v>27</v>
      </c>
      <c r="K799">
        <v>4</v>
      </c>
      <c r="L799" s="1" t="s">
        <v>48</v>
      </c>
      <c r="M799">
        <v>22</v>
      </c>
      <c r="N799" s="1" t="s">
        <v>29</v>
      </c>
      <c r="O799" s="1" t="s">
        <v>56</v>
      </c>
      <c r="P799">
        <v>2</v>
      </c>
      <c r="Q799" s="1" t="s">
        <v>45</v>
      </c>
      <c r="R799">
        <v>1</v>
      </c>
      <c r="S799" s="1" t="s">
        <v>40</v>
      </c>
      <c r="T799" s="1" t="s">
        <v>33</v>
      </c>
      <c r="U799" s="1" t="s">
        <v>34</v>
      </c>
    </row>
    <row r="800" spans="1:21" x14ac:dyDescent="0.3">
      <c r="A800" s="1" t="s">
        <v>42</v>
      </c>
      <c r="B800">
        <v>24</v>
      </c>
      <c r="C800" s="1" t="s">
        <v>50</v>
      </c>
      <c r="D800" s="1" t="s">
        <v>51</v>
      </c>
      <c r="E800">
        <v>717</v>
      </c>
      <c r="F800" s="1" t="s">
        <v>24</v>
      </c>
      <c r="G800" s="1" t="s">
        <v>25</v>
      </c>
      <c r="H800">
        <v>4</v>
      </c>
      <c r="I800" s="1" t="s">
        <v>61</v>
      </c>
      <c r="J800" s="1" t="s">
        <v>27</v>
      </c>
      <c r="K800">
        <v>4</v>
      </c>
      <c r="L800" s="1" t="s">
        <v>55</v>
      </c>
      <c r="M800">
        <v>54</v>
      </c>
      <c r="N800" s="1" t="s">
        <v>29</v>
      </c>
      <c r="O800" s="1" t="s">
        <v>30</v>
      </c>
      <c r="P800">
        <v>2</v>
      </c>
      <c r="Q800" s="1" t="s">
        <v>31</v>
      </c>
      <c r="R800">
        <v>1</v>
      </c>
      <c r="S800" s="1" t="s">
        <v>32</v>
      </c>
      <c r="T800" s="1" t="s">
        <v>33</v>
      </c>
      <c r="U800" s="1" t="s">
        <v>34</v>
      </c>
    </row>
    <row r="801" spans="1:21" x14ac:dyDescent="0.3">
      <c r="A801" s="1" t="s">
        <v>35</v>
      </c>
      <c r="B801">
        <v>9</v>
      </c>
      <c r="C801" s="1" t="s">
        <v>36</v>
      </c>
      <c r="D801" s="1" t="s">
        <v>51</v>
      </c>
      <c r="E801">
        <v>1549</v>
      </c>
      <c r="F801" s="1" t="s">
        <v>24</v>
      </c>
      <c r="G801" s="1" t="s">
        <v>62</v>
      </c>
      <c r="H801">
        <v>4</v>
      </c>
      <c r="I801" s="1" t="s">
        <v>26</v>
      </c>
      <c r="J801" s="1" t="s">
        <v>27</v>
      </c>
      <c r="K801">
        <v>2</v>
      </c>
      <c r="L801" s="1" t="s">
        <v>28</v>
      </c>
      <c r="M801">
        <v>35</v>
      </c>
      <c r="N801" s="1" t="s">
        <v>29</v>
      </c>
      <c r="O801" s="1" t="s">
        <v>30</v>
      </c>
      <c r="P801">
        <v>1</v>
      </c>
      <c r="Q801" s="1" t="s">
        <v>74</v>
      </c>
      <c r="R801">
        <v>1</v>
      </c>
      <c r="S801" s="1" t="s">
        <v>40</v>
      </c>
      <c r="T801" s="1" t="s">
        <v>33</v>
      </c>
      <c r="U801" s="1" t="s">
        <v>34</v>
      </c>
    </row>
    <row r="802" spans="1:21" x14ac:dyDescent="0.3">
      <c r="A802" s="1" t="s">
        <v>42</v>
      </c>
      <c r="B802">
        <v>24</v>
      </c>
      <c r="C802" s="1" t="s">
        <v>22</v>
      </c>
      <c r="D802" s="1" t="s">
        <v>43</v>
      </c>
      <c r="E802">
        <v>1597</v>
      </c>
      <c r="F802" s="1" t="s">
        <v>37</v>
      </c>
      <c r="G802" s="1" t="s">
        <v>25</v>
      </c>
      <c r="H802">
        <v>4</v>
      </c>
      <c r="I802" s="1" t="s">
        <v>26</v>
      </c>
      <c r="J802" s="1" t="s">
        <v>27</v>
      </c>
      <c r="K802">
        <v>4</v>
      </c>
      <c r="L802" s="1" t="s">
        <v>52</v>
      </c>
      <c r="M802">
        <v>54</v>
      </c>
      <c r="N802" s="1" t="s">
        <v>29</v>
      </c>
      <c r="O802" s="1" t="s">
        <v>49</v>
      </c>
      <c r="P802">
        <v>2</v>
      </c>
      <c r="Q802" s="1" t="s">
        <v>31</v>
      </c>
      <c r="R802">
        <v>2</v>
      </c>
      <c r="S802" s="1" t="s">
        <v>40</v>
      </c>
      <c r="T802" s="1" t="s">
        <v>33</v>
      </c>
      <c r="U802" s="1" t="s">
        <v>34</v>
      </c>
    </row>
    <row r="803" spans="1:21" x14ac:dyDescent="0.3">
      <c r="A803" s="1" t="s">
        <v>35</v>
      </c>
      <c r="B803">
        <v>18</v>
      </c>
      <c r="C803" s="1" t="s">
        <v>22</v>
      </c>
      <c r="D803" s="1" t="s">
        <v>23</v>
      </c>
      <c r="E803">
        <v>1795</v>
      </c>
      <c r="F803" s="1" t="s">
        <v>37</v>
      </c>
      <c r="G803" s="1" t="s">
        <v>25</v>
      </c>
      <c r="H803">
        <v>3</v>
      </c>
      <c r="I803" s="1" t="s">
        <v>39</v>
      </c>
      <c r="J803" s="1" t="s">
        <v>47</v>
      </c>
      <c r="K803">
        <v>4</v>
      </c>
      <c r="L803" s="1" t="s">
        <v>28</v>
      </c>
      <c r="M803">
        <v>48</v>
      </c>
      <c r="N803" s="1" t="s">
        <v>66</v>
      </c>
      <c r="O803" s="1" t="s">
        <v>56</v>
      </c>
      <c r="P803">
        <v>2</v>
      </c>
      <c r="Q803" s="1" t="s">
        <v>45</v>
      </c>
      <c r="R803">
        <v>1</v>
      </c>
      <c r="S803" s="1" t="s">
        <v>32</v>
      </c>
      <c r="T803" s="1" t="s">
        <v>33</v>
      </c>
      <c r="U803" s="1" t="s">
        <v>34</v>
      </c>
    </row>
    <row r="804" spans="1:21" x14ac:dyDescent="0.3">
      <c r="A804" s="1" t="s">
        <v>21</v>
      </c>
      <c r="B804">
        <v>20</v>
      </c>
      <c r="C804" s="1" t="s">
        <v>22</v>
      </c>
      <c r="D804" s="1" t="s">
        <v>46</v>
      </c>
      <c r="E804">
        <v>4272</v>
      </c>
      <c r="F804" s="1" t="s">
        <v>37</v>
      </c>
      <c r="G804" s="1" t="s">
        <v>25</v>
      </c>
      <c r="H804">
        <v>1</v>
      </c>
      <c r="I804" s="1" t="s">
        <v>39</v>
      </c>
      <c r="J804" s="1" t="s">
        <v>27</v>
      </c>
      <c r="K804">
        <v>4</v>
      </c>
      <c r="L804" s="1" t="s">
        <v>48</v>
      </c>
      <c r="M804">
        <v>24</v>
      </c>
      <c r="N804" s="1" t="s">
        <v>29</v>
      </c>
      <c r="O804" s="1" t="s">
        <v>30</v>
      </c>
      <c r="P804">
        <v>2</v>
      </c>
      <c r="Q804" s="1" t="s">
        <v>31</v>
      </c>
      <c r="R804">
        <v>1</v>
      </c>
      <c r="S804" s="1" t="s">
        <v>40</v>
      </c>
      <c r="T804" s="1" t="s">
        <v>33</v>
      </c>
      <c r="U804" s="1" t="s">
        <v>34</v>
      </c>
    </row>
    <row r="805" spans="1:21" x14ac:dyDescent="0.3">
      <c r="A805" s="1" t="s">
        <v>42</v>
      </c>
      <c r="B805">
        <v>12</v>
      </c>
      <c r="C805" s="1" t="s">
        <v>22</v>
      </c>
      <c r="D805" s="1" t="s">
        <v>23</v>
      </c>
      <c r="E805">
        <v>976</v>
      </c>
      <c r="F805" s="1" t="s">
        <v>24</v>
      </c>
      <c r="G805" s="1" t="s">
        <v>25</v>
      </c>
      <c r="H805">
        <v>4</v>
      </c>
      <c r="I805" s="1" t="s">
        <v>26</v>
      </c>
      <c r="J805" s="1" t="s">
        <v>27</v>
      </c>
      <c r="K805">
        <v>4</v>
      </c>
      <c r="L805" s="1" t="s">
        <v>55</v>
      </c>
      <c r="M805">
        <v>35</v>
      </c>
      <c r="N805" s="1" t="s">
        <v>29</v>
      </c>
      <c r="O805" s="1" t="s">
        <v>30</v>
      </c>
      <c r="P805">
        <v>2</v>
      </c>
      <c r="Q805" s="1" t="s">
        <v>31</v>
      </c>
      <c r="R805">
        <v>1</v>
      </c>
      <c r="S805" s="1" t="s">
        <v>40</v>
      </c>
      <c r="T805" s="1" t="s">
        <v>33</v>
      </c>
      <c r="U805" s="1" t="s">
        <v>34</v>
      </c>
    </row>
    <row r="806" spans="1:21" x14ac:dyDescent="0.3">
      <c r="A806" s="1" t="s">
        <v>35</v>
      </c>
      <c r="B806">
        <v>12</v>
      </c>
      <c r="C806" s="1" t="s">
        <v>36</v>
      </c>
      <c r="D806" s="1" t="s">
        <v>51</v>
      </c>
      <c r="E806">
        <v>7472</v>
      </c>
      <c r="F806" s="1" t="s">
        <v>24</v>
      </c>
      <c r="G806" s="1" t="s">
        <v>60</v>
      </c>
      <c r="H806">
        <v>1</v>
      </c>
      <c r="I806" s="1" t="s">
        <v>39</v>
      </c>
      <c r="J806" s="1" t="s">
        <v>27</v>
      </c>
      <c r="K806">
        <v>2</v>
      </c>
      <c r="L806" s="1" t="s">
        <v>28</v>
      </c>
      <c r="M806">
        <v>24</v>
      </c>
      <c r="N806" s="1" t="s">
        <v>29</v>
      </c>
      <c r="O806" s="1" t="s">
        <v>56</v>
      </c>
      <c r="P806">
        <v>1</v>
      </c>
      <c r="Q806" s="1" t="s">
        <v>74</v>
      </c>
      <c r="R806">
        <v>1</v>
      </c>
      <c r="S806" s="1" t="s">
        <v>40</v>
      </c>
      <c r="T806" s="1" t="s">
        <v>33</v>
      </c>
      <c r="U806" s="1" t="s">
        <v>34</v>
      </c>
    </row>
    <row r="807" spans="1:21" x14ac:dyDescent="0.3">
      <c r="A807" s="1" t="s">
        <v>21</v>
      </c>
      <c r="B807">
        <v>36</v>
      </c>
      <c r="C807" s="1" t="s">
        <v>36</v>
      </c>
      <c r="D807" s="1" t="s">
        <v>51</v>
      </c>
      <c r="E807">
        <v>9271</v>
      </c>
      <c r="F807" s="1" t="s">
        <v>37</v>
      </c>
      <c r="G807" s="1" t="s">
        <v>44</v>
      </c>
      <c r="H807">
        <v>2</v>
      </c>
      <c r="I807" s="1" t="s">
        <v>26</v>
      </c>
      <c r="J807" s="1" t="s">
        <v>27</v>
      </c>
      <c r="K807">
        <v>1</v>
      </c>
      <c r="L807" s="1" t="s">
        <v>55</v>
      </c>
      <c r="M807">
        <v>24</v>
      </c>
      <c r="N807" s="1" t="s">
        <v>29</v>
      </c>
      <c r="O807" s="1" t="s">
        <v>30</v>
      </c>
      <c r="P807">
        <v>1</v>
      </c>
      <c r="Q807" s="1" t="s">
        <v>31</v>
      </c>
      <c r="R807">
        <v>1</v>
      </c>
      <c r="S807" s="1" t="s">
        <v>32</v>
      </c>
      <c r="T807" s="1" t="s">
        <v>33</v>
      </c>
      <c r="U807" s="1" t="s">
        <v>41</v>
      </c>
    </row>
    <row r="808" spans="1:21" x14ac:dyDescent="0.3">
      <c r="A808" s="1" t="s">
        <v>35</v>
      </c>
      <c r="B808">
        <v>6</v>
      </c>
      <c r="C808" s="1" t="s">
        <v>36</v>
      </c>
      <c r="D808" s="1" t="s">
        <v>23</v>
      </c>
      <c r="E808">
        <v>590</v>
      </c>
      <c r="F808" s="1" t="s">
        <v>37</v>
      </c>
      <c r="G808" s="1" t="s">
        <v>62</v>
      </c>
      <c r="H808">
        <v>3</v>
      </c>
      <c r="I808" s="1" t="s">
        <v>61</v>
      </c>
      <c r="J808" s="1" t="s">
        <v>27</v>
      </c>
      <c r="K808">
        <v>3</v>
      </c>
      <c r="L808" s="1" t="s">
        <v>28</v>
      </c>
      <c r="M808">
        <v>26</v>
      </c>
      <c r="N808" s="1" t="s">
        <v>29</v>
      </c>
      <c r="O808" s="1" t="s">
        <v>30</v>
      </c>
      <c r="P808">
        <v>1</v>
      </c>
      <c r="Q808" s="1" t="s">
        <v>45</v>
      </c>
      <c r="R808">
        <v>1</v>
      </c>
      <c r="S808" s="1" t="s">
        <v>40</v>
      </c>
      <c r="T808" s="1" t="s">
        <v>67</v>
      </c>
      <c r="U808" s="1" t="s">
        <v>34</v>
      </c>
    </row>
    <row r="809" spans="1:21" x14ac:dyDescent="0.3">
      <c r="A809" s="1" t="s">
        <v>42</v>
      </c>
      <c r="B809">
        <v>12</v>
      </c>
      <c r="C809" s="1" t="s">
        <v>22</v>
      </c>
      <c r="D809" s="1" t="s">
        <v>23</v>
      </c>
      <c r="E809">
        <v>930</v>
      </c>
      <c r="F809" s="1" t="s">
        <v>24</v>
      </c>
      <c r="G809" s="1" t="s">
        <v>25</v>
      </c>
      <c r="H809">
        <v>4</v>
      </c>
      <c r="I809" s="1" t="s">
        <v>26</v>
      </c>
      <c r="J809" s="1" t="s">
        <v>27</v>
      </c>
      <c r="K809">
        <v>4</v>
      </c>
      <c r="L809" s="1" t="s">
        <v>28</v>
      </c>
      <c r="M809">
        <v>65</v>
      </c>
      <c r="N809" s="1" t="s">
        <v>29</v>
      </c>
      <c r="O809" s="1" t="s">
        <v>30</v>
      </c>
      <c r="P809">
        <v>4</v>
      </c>
      <c r="Q809" s="1" t="s">
        <v>31</v>
      </c>
      <c r="R809">
        <v>1</v>
      </c>
      <c r="S809" s="1" t="s">
        <v>40</v>
      </c>
      <c r="T809" s="1" t="s">
        <v>33</v>
      </c>
      <c r="U809" s="1" t="s">
        <v>34</v>
      </c>
    </row>
    <row r="810" spans="1:21" x14ac:dyDescent="0.3">
      <c r="A810" s="1" t="s">
        <v>35</v>
      </c>
      <c r="B810">
        <v>42</v>
      </c>
      <c r="C810" s="1" t="s">
        <v>69</v>
      </c>
      <c r="D810" s="1" t="s">
        <v>54</v>
      </c>
      <c r="E810">
        <v>9283</v>
      </c>
      <c r="F810" s="1" t="s">
        <v>37</v>
      </c>
      <c r="G810" s="1" t="s">
        <v>60</v>
      </c>
      <c r="H810">
        <v>1</v>
      </c>
      <c r="I810" s="1" t="s">
        <v>26</v>
      </c>
      <c r="J810" s="1" t="s">
        <v>27</v>
      </c>
      <c r="K810">
        <v>2</v>
      </c>
      <c r="L810" s="1" t="s">
        <v>52</v>
      </c>
      <c r="M810">
        <v>55</v>
      </c>
      <c r="N810" s="1" t="s">
        <v>66</v>
      </c>
      <c r="O810" s="1" t="s">
        <v>49</v>
      </c>
      <c r="P810">
        <v>1</v>
      </c>
      <c r="Q810" s="1" t="s">
        <v>57</v>
      </c>
      <c r="R810">
        <v>1</v>
      </c>
      <c r="S810" s="1" t="s">
        <v>32</v>
      </c>
      <c r="T810" s="1" t="s">
        <v>33</v>
      </c>
      <c r="U810" s="1" t="s">
        <v>34</v>
      </c>
    </row>
    <row r="811" spans="1:21" x14ac:dyDescent="0.3">
      <c r="A811" s="1" t="s">
        <v>35</v>
      </c>
      <c r="B811">
        <v>15</v>
      </c>
      <c r="C811" s="1" t="s">
        <v>65</v>
      </c>
      <c r="D811" s="1" t="s">
        <v>51</v>
      </c>
      <c r="E811">
        <v>1778</v>
      </c>
      <c r="F811" s="1" t="s">
        <v>37</v>
      </c>
      <c r="G811" s="1" t="s">
        <v>62</v>
      </c>
      <c r="H811">
        <v>2</v>
      </c>
      <c r="I811" s="1" t="s">
        <v>39</v>
      </c>
      <c r="J811" s="1" t="s">
        <v>27</v>
      </c>
      <c r="K811">
        <v>1</v>
      </c>
      <c r="L811" s="1" t="s">
        <v>28</v>
      </c>
      <c r="M811">
        <v>26</v>
      </c>
      <c r="N811" s="1" t="s">
        <v>29</v>
      </c>
      <c r="O811" s="1" t="s">
        <v>56</v>
      </c>
      <c r="P811">
        <v>2</v>
      </c>
      <c r="Q811" s="1" t="s">
        <v>74</v>
      </c>
      <c r="R811">
        <v>1</v>
      </c>
      <c r="S811" s="1" t="s">
        <v>40</v>
      </c>
      <c r="T811" s="1" t="s">
        <v>33</v>
      </c>
      <c r="U811" s="1" t="s">
        <v>41</v>
      </c>
    </row>
    <row r="812" spans="1:21" x14ac:dyDescent="0.3">
      <c r="A812" s="1" t="s">
        <v>35</v>
      </c>
      <c r="B812">
        <v>8</v>
      </c>
      <c r="C812" s="1" t="s">
        <v>36</v>
      </c>
      <c r="D812" s="1" t="s">
        <v>63</v>
      </c>
      <c r="E812">
        <v>907</v>
      </c>
      <c r="F812" s="1" t="s">
        <v>37</v>
      </c>
      <c r="G812" s="1" t="s">
        <v>62</v>
      </c>
      <c r="H812">
        <v>3</v>
      </c>
      <c r="I812" s="1" t="s">
        <v>61</v>
      </c>
      <c r="J812" s="1" t="s">
        <v>27</v>
      </c>
      <c r="K812">
        <v>2</v>
      </c>
      <c r="L812" s="1" t="s">
        <v>28</v>
      </c>
      <c r="M812">
        <v>26</v>
      </c>
      <c r="N812" s="1" t="s">
        <v>29</v>
      </c>
      <c r="O812" s="1" t="s">
        <v>30</v>
      </c>
      <c r="P812">
        <v>1</v>
      </c>
      <c r="Q812" s="1" t="s">
        <v>31</v>
      </c>
      <c r="R812">
        <v>1</v>
      </c>
      <c r="S812" s="1" t="s">
        <v>32</v>
      </c>
      <c r="T812" s="1" t="s">
        <v>33</v>
      </c>
      <c r="U812" s="1" t="s">
        <v>34</v>
      </c>
    </row>
    <row r="813" spans="1:21" x14ac:dyDescent="0.3">
      <c r="A813" s="1" t="s">
        <v>35</v>
      </c>
      <c r="B813">
        <v>6</v>
      </c>
      <c r="C813" s="1" t="s">
        <v>36</v>
      </c>
      <c r="D813" s="1" t="s">
        <v>23</v>
      </c>
      <c r="E813">
        <v>484</v>
      </c>
      <c r="F813" s="1" t="s">
        <v>37</v>
      </c>
      <c r="G813" s="1" t="s">
        <v>44</v>
      </c>
      <c r="H813">
        <v>3</v>
      </c>
      <c r="I813" s="1" t="s">
        <v>61</v>
      </c>
      <c r="J813" s="1" t="s">
        <v>47</v>
      </c>
      <c r="K813">
        <v>3</v>
      </c>
      <c r="L813" s="1" t="s">
        <v>28</v>
      </c>
      <c r="M813">
        <v>28</v>
      </c>
      <c r="N813" s="1" t="s">
        <v>66</v>
      </c>
      <c r="O813" s="1" t="s">
        <v>30</v>
      </c>
      <c r="P813">
        <v>1</v>
      </c>
      <c r="Q813" s="1" t="s">
        <v>45</v>
      </c>
      <c r="R813">
        <v>1</v>
      </c>
      <c r="S813" s="1" t="s">
        <v>40</v>
      </c>
      <c r="T813" s="1" t="s">
        <v>33</v>
      </c>
      <c r="U813" s="1" t="s">
        <v>34</v>
      </c>
    </row>
    <row r="814" spans="1:21" x14ac:dyDescent="0.3">
      <c r="A814" s="1" t="s">
        <v>21</v>
      </c>
      <c r="B814">
        <v>36</v>
      </c>
      <c r="C814" s="1" t="s">
        <v>22</v>
      </c>
      <c r="D814" s="1" t="s">
        <v>54</v>
      </c>
      <c r="E814">
        <v>9629</v>
      </c>
      <c r="F814" s="1" t="s">
        <v>37</v>
      </c>
      <c r="G814" s="1" t="s">
        <v>44</v>
      </c>
      <c r="H814">
        <v>4</v>
      </c>
      <c r="I814" s="1" t="s">
        <v>26</v>
      </c>
      <c r="J814" s="1" t="s">
        <v>27</v>
      </c>
      <c r="K814">
        <v>4</v>
      </c>
      <c r="L814" s="1" t="s">
        <v>55</v>
      </c>
      <c r="M814">
        <v>24</v>
      </c>
      <c r="N814" s="1" t="s">
        <v>29</v>
      </c>
      <c r="O814" s="1" t="s">
        <v>30</v>
      </c>
      <c r="P814">
        <v>2</v>
      </c>
      <c r="Q814" s="1" t="s">
        <v>31</v>
      </c>
      <c r="R814">
        <v>1</v>
      </c>
      <c r="S814" s="1" t="s">
        <v>32</v>
      </c>
      <c r="T814" s="1" t="s">
        <v>33</v>
      </c>
      <c r="U814" s="1" t="s">
        <v>41</v>
      </c>
    </row>
    <row r="815" spans="1:21" x14ac:dyDescent="0.3">
      <c r="A815" s="1" t="s">
        <v>21</v>
      </c>
      <c r="B815">
        <v>48</v>
      </c>
      <c r="C815" s="1" t="s">
        <v>36</v>
      </c>
      <c r="D815" s="1" t="s">
        <v>72</v>
      </c>
      <c r="E815">
        <v>3051</v>
      </c>
      <c r="F815" s="1" t="s">
        <v>37</v>
      </c>
      <c r="G815" s="1" t="s">
        <v>38</v>
      </c>
      <c r="H815">
        <v>3</v>
      </c>
      <c r="I815" s="1" t="s">
        <v>26</v>
      </c>
      <c r="J815" s="1" t="s">
        <v>27</v>
      </c>
      <c r="K815">
        <v>4</v>
      </c>
      <c r="L815" s="1" t="s">
        <v>55</v>
      </c>
      <c r="M815">
        <v>54</v>
      </c>
      <c r="N815" s="1" t="s">
        <v>29</v>
      </c>
      <c r="O815" s="1" t="s">
        <v>30</v>
      </c>
      <c r="P815">
        <v>1</v>
      </c>
      <c r="Q815" s="1" t="s">
        <v>31</v>
      </c>
      <c r="R815">
        <v>1</v>
      </c>
      <c r="S815" s="1" t="s">
        <v>40</v>
      </c>
      <c r="T815" s="1" t="s">
        <v>33</v>
      </c>
      <c r="U815" s="1" t="s">
        <v>41</v>
      </c>
    </row>
    <row r="816" spans="1:21" x14ac:dyDescent="0.3">
      <c r="A816" s="1" t="s">
        <v>21</v>
      </c>
      <c r="B816">
        <v>48</v>
      </c>
      <c r="C816" s="1" t="s">
        <v>36</v>
      </c>
      <c r="D816" s="1" t="s">
        <v>51</v>
      </c>
      <c r="E816">
        <v>3931</v>
      </c>
      <c r="F816" s="1" t="s">
        <v>37</v>
      </c>
      <c r="G816" s="1" t="s">
        <v>44</v>
      </c>
      <c r="H816">
        <v>4</v>
      </c>
      <c r="I816" s="1" t="s">
        <v>26</v>
      </c>
      <c r="J816" s="1" t="s">
        <v>27</v>
      </c>
      <c r="K816">
        <v>4</v>
      </c>
      <c r="L816" s="1" t="s">
        <v>52</v>
      </c>
      <c r="M816">
        <v>46</v>
      </c>
      <c r="N816" s="1" t="s">
        <v>29</v>
      </c>
      <c r="O816" s="1" t="s">
        <v>49</v>
      </c>
      <c r="P816">
        <v>1</v>
      </c>
      <c r="Q816" s="1" t="s">
        <v>31</v>
      </c>
      <c r="R816">
        <v>2</v>
      </c>
      <c r="S816" s="1" t="s">
        <v>40</v>
      </c>
      <c r="T816" s="1" t="s">
        <v>33</v>
      </c>
      <c r="U816" s="1" t="s">
        <v>41</v>
      </c>
    </row>
    <row r="817" spans="1:21" x14ac:dyDescent="0.3">
      <c r="A817" s="1" t="s">
        <v>35</v>
      </c>
      <c r="B817">
        <v>36</v>
      </c>
      <c r="C817" s="1" t="s">
        <v>50</v>
      </c>
      <c r="D817" s="1" t="s">
        <v>51</v>
      </c>
      <c r="E817">
        <v>7432</v>
      </c>
      <c r="F817" s="1" t="s">
        <v>37</v>
      </c>
      <c r="G817" s="1" t="s">
        <v>38</v>
      </c>
      <c r="H817">
        <v>2</v>
      </c>
      <c r="I817" s="1" t="s">
        <v>39</v>
      </c>
      <c r="J817" s="1" t="s">
        <v>27</v>
      </c>
      <c r="K817">
        <v>2</v>
      </c>
      <c r="L817" s="1" t="s">
        <v>48</v>
      </c>
      <c r="M817">
        <v>54</v>
      </c>
      <c r="N817" s="1" t="s">
        <v>29</v>
      </c>
      <c r="O817" s="1" t="s">
        <v>56</v>
      </c>
      <c r="P817">
        <v>1</v>
      </c>
      <c r="Q817" s="1" t="s">
        <v>31</v>
      </c>
      <c r="R817">
        <v>1</v>
      </c>
      <c r="S817" s="1" t="s">
        <v>40</v>
      </c>
      <c r="T817" s="1" t="s">
        <v>33</v>
      </c>
      <c r="U817" s="1" t="s">
        <v>34</v>
      </c>
    </row>
    <row r="818" spans="1:21" x14ac:dyDescent="0.3">
      <c r="A818" s="1" t="s">
        <v>42</v>
      </c>
      <c r="B818">
        <v>6</v>
      </c>
      <c r="C818" s="1" t="s">
        <v>36</v>
      </c>
      <c r="D818" s="1" t="s">
        <v>72</v>
      </c>
      <c r="E818">
        <v>1338</v>
      </c>
      <c r="F818" s="1" t="s">
        <v>53</v>
      </c>
      <c r="G818" s="1" t="s">
        <v>38</v>
      </c>
      <c r="H818">
        <v>1</v>
      </c>
      <c r="I818" s="1" t="s">
        <v>59</v>
      </c>
      <c r="J818" s="1" t="s">
        <v>27</v>
      </c>
      <c r="K818">
        <v>4</v>
      </c>
      <c r="L818" s="1" t="s">
        <v>28</v>
      </c>
      <c r="M818">
        <v>62</v>
      </c>
      <c r="N818" s="1" t="s">
        <v>29</v>
      </c>
      <c r="O818" s="1" t="s">
        <v>30</v>
      </c>
      <c r="P818">
        <v>1</v>
      </c>
      <c r="Q818" s="1" t="s">
        <v>31</v>
      </c>
      <c r="R818">
        <v>1</v>
      </c>
      <c r="S818" s="1" t="s">
        <v>40</v>
      </c>
      <c r="T818" s="1" t="s">
        <v>33</v>
      </c>
      <c r="U818" s="1" t="s">
        <v>34</v>
      </c>
    </row>
    <row r="819" spans="1:21" x14ac:dyDescent="0.3">
      <c r="A819" s="1" t="s">
        <v>42</v>
      </c>
      <c r="B819">
        <v>6</v>
      </c>
      <c r="C819" s="1" t="s">
        <v>22</v>
      </c>
      <c r="D819" s="1" t="s">
        <v>23</v>
      </c>
      <c r="E819">
        <v>1554</v>
      </c>
      <c r="F819" s="1" t="s">
        <v>37</v>
      </c>
      <c r="G819" s="1" t="s">
        <v>44</v>
      </c>
      <c r="H819">
        <v>1</v>
      </c>
      <c r="I819" s="1" t="s">
        <v>39</v>
      </c>
      <c r="J819" s="1" t="s">
        <v>27</v>
      </c>
      <c r="K819">
        <v>2</v>
      </c>
      <c r="L819" s="1" t="s">
        <v>55</v>
      </c>
      <c r="M819">
        <v>24</v>
      </c>
      <c r="N819" s="1" t="s">
        <v>29</v>
      </c>
      <c r="O819" s="1" t="s">
        <v>56</v>
      </c>
      <c r="P819">
        <v>2</v>
      </c>
      <c r="Q819" s="1" t="s">
        <v>31</v>
      </c>
      <c r="R819">
        <v>1</v>
      </c>
      <c r="S819" s="1" t="s">
        <v>32</v>
      </c>
      <c r="T819" s="1" t="s">
        <v>33</v>
      </c>
      <c r="U819" s="1" t="s">
        <v>34</v>
      </c>
    </row>
    <row r="820" spans="1:21" x14ac:dyDescent="0.3">
      <c r="A820" s="1" t="s">
        <v>21</v>
      </c>
      <c r="B820">
        <v>36</v>
      </c>
      <c r="C820" s="1" t="s">
        <v>36</v>
      </c>
      <c r="D820" s="1" t="s">
        <v>75</v>
      </c>
      <c r="E820">
        <v>15857</v>
      </c>
      <c r="F820" s="1" t="s">
        <v>37</v>
      </c>
      <c r="G820" s="1" t="s">
        <v>60</v>
      </c>
      <c r="H820">
        <v>2</v>
      </c>
      <c r="I820" s="1" t="s">
        <v>59</v>
      </c>
      <c r="J820" s="1" t="s">
        <v>71</v>
      </c>
      <c r="K820">
        <v>3</v>
      </c>
      <c r="L820" s="1" t="s">
        <v>55</v>
      </c>
      <c r="M820">
        <v>43</v>
      </c>
      <c r="N820" s="1" t="s">
        <v>29</v>
      </c>
      <c r="O820" s="1" t="s">
        <v>30</v>
      </c>
      <c r="P820">
        <v>1</v>
      </c>
      <c r="Q820" s="1" t="s">
        <v>57</v>
      </c>
      <c r="R820">
        <v>1</v>
      </c>
      <c r="S820" s="1" t="s">
        <v>40</v>
      </c>
      <c r="T820" s="1" t="s">
        <v>33</v>
      </c>
      <c r="U820" s="1" t="s">
        <v>34</v>
      </c>
    </row>
    <row r="821" spans="1:21" x14ac:dyDescent="0.3">
      <c r="A821" s="1" t="s">
        <v>21</v>
      </c>
      <c r="B821">
        <v>18</v>
      </c>
      <c r="C821" s="1" t="s">
        <v>36</v>
      </c>
      <c r="D821" s="1" t="s">
        <v>23</v>
      </c>
      <c r="E821">
        <v>1345</v>
      </c>
      <c r="F821" s="1" t="s">
        <v>37</v>
      </c>
      <c r="G821" s="1" t="s">
        <v>38</v>
      </c>
      <c r="H821">
        <v>4</v>
      </c>
      <c r="I821" s="1" t="s">
        <v>61</v>
      </c>
      <c r="J821" s="1" t="s">
        <v>27</v>
      </c>
      <c r="K821">
        <v>3</v>
      </c>
      <c r="L821" s="1" t="s">
        <v>28</v>
      </c>
      <c r="M821">
        <v>26</v>
      </c>
      <c r="N821" s="1" t="s">
        <v>66</v>
      </c>
      <c r="O821" s="1" t="s">
        <v>30</v>
      </c>
      <c r="P821">
        <v>1</v>
      </c>
      <c r="Q821" s="1" t="s">
        <v>31</v>
      </c>
      <c r="R821">
        <v>1</v>
      </c>
      <c r="S821" s="1" t="s">
        <v>40</v>
      </c>
      <c r="T821" s="1" t="s">
        <v>33</v>
      </c>
      <c r="U821" s="1" t="s">
        <v>41</v>
      </c>
    </row>
    <row r="822" spans="1:21" x14ac:dyDescent="0.3">
      <c r="A822" s="1" t="s">
        <v>42</v>
      </c>
      <c r="B822">
        <v>12</v>
      </c>
      <c r="C822" s="1" t="s">
        <v>36</v>
      </c>
      <c r="D822" s="1" t="s">
        <v>51</v>
      </c>
      <c r="E822">
        <v>1101</v>
      </c>
      <c r="F822" s="1" t="s">
        <v>37</v>
      </c>
      <c r="G822" s="1" t="s">
        <v>38</v>
      </c>
      <c r="H822">
        <v>3</v>
      </c>
      <c r="I822" s="1" t="s">
        <v>61</v>
      </c>
      <c r="J822" s="1" t="s">
        <v>27</v>
      </c>
      <c r="K822">
        <v>2</v>
      </c>
      <c r="L822" s="1" t="s">
        <v>28</v>
      </c>
      <c r="M822">
        <v>27</v>
      </c>
      <c r="N822" s="1" t="s">
        <v>29</v>
      </c>
      <c r="O822" s="1" t="s">
        <v>30</v>
      </c>
      <c r="P822">
        <v>2</v>
      </c>
      <c r="Q822" s="1" t="s">
        <v>31</v>
      </c>
      <c r="R822">
        <v>1</v>
      </c>
      <c r="S822" s="1" t="s">
        <v>32</v>
      </c>
      <c r="T822" s="1" t="s">
        <v>33</v>
      </c>
      <c r="U822" s="1" t="s">
        <v>34</v>
      </c>
    </row>
    <row r="823" spans="1:21" x14ac:dyDescent="0.3">
      <c r="A823" s="1" t="s">
        <v>68</v>
      </c>
      <c r="B823">
        <v>12</v>
      </c>
      <c r="C823" s="1" t="s">
        <v>36</v>
      </c>
      <c r="D823" s="1" t="s">
        <v>23</v>
      </c>
      <c r="E823">
        <v>3016</v>
      </c>
      <c r="F823" s="1" t="s">
        <v>37</v>
      </c>
      <c r="G823" s="1" t="s">
        <v>38</v>
      </c>
      <c r="H823">
        <v>3</v>
      </c>
      <c r="I823" s="1" t="s">
        <v>61</v>
      </c>
      <c r="J823" s="1" t="s">
        <v>27</v>
      </c>
      <c r="K823">
        <v>1</v>
      </c>
      <c r="L823" s="1" t="s">
        <v>55</v>
      </c>
      <c r="M823">
        <v>24</v>
      </c>
      <c r="N823" s="1" t="s">
        <v>29</v>
      </c>
      <c r="O823" s="1" t="s">
        <v>30</v>
      </c>
      <c r="P823">
        <v>1</v>
      </c>
      <c r="Q823" s="1" t="s">
        <v>31</v>
      </c>
      <c r="R823">
        <v>1</v>
      </c>
      <c r="S823" s="1" t="s">
        <v>40</v>
      </c>
      <c r="T823" s="1" t="s">
        <v>33</v>
      </c>
      <c r="U823" s="1" t="s">
        <v>34</v>
      </c>
    </row>
    <row r="824" spans="1:21" x14ac:dyDescent="0.3">
      <c r="A824" s="1" t="s">
        <v>21</v>
      </c>
      <c r="B824">
        <v>36</v>
      </c>
      <c r="C824" s="1" t="s">
        <v>36</v>
      </c>
      <c r="D824" s="1" t="s">
        <v>46</v>
      </c>
      <c r="E824">
        <v>2712</v>
      </c>
      <c r="F824" s="1" t="s">
        <v>37</v>
      </c>
      <c r="G824" s="1" t="s">
        <v>25</v>
      </c>
      <c r="H824">
        <v>2</v>
      </c>
      <c r="I824" s="1" t="s">
        <v>26</v>
      </c>
      <c r="J824" s="1" t="s">
        <v>27</v>
      </c>
      <c r="K824">
        <v>2</v>
      </c>
      <c r="L824" s="1" t="s">
        <v>48</v>
      </c>
      <c r="M824">
        <v>41</v>
      </c>
      <c r="N824" s="1" t="s">
        <v>66</v>
      </c>
      <c r="O824" s="1" t="s">
        <v>30</v>
      </c>
      <c r="P824">
        <v>1</v>
      </c>
      <c r="Q824" s="1" t="s">
        <v>31</v>
      </c>
      <c r="R824">
        <v>2</v>
      </c>
      <c r="S824" s="1" t="s">
        <v>40</v>
      </c>
      <c r="T824" s="1" t="s">
        <v>33</v>
      </c>
      <c r="U824" s="1" t="s">
        <v>41</v>
      </c>
    </row>
    <row r="825" spans="1:21" x14ac:dyDescent="0.3">
      <c r="A825" s="1" t="s">
        <v>21</v>
      </c>
      <c r="B825">
        <v>8</v>
      </c>
      <c r="C825" s="1" t="s">
        <v>22</v>
      </c>
      <c r="D825" s="1" t="s">
        <v>51</v>
      </c>
      <c r="E825">
        <v>731</v>
      </c>
      <c r="F825" s="1" t="s">
        <v>37</v>
      </c>
      <c r="G825" s="1" t="s">
        <v>25</v>
      </c>
      <c r="H825">
        <v>4</v>
      </c>
      <c r="I825" s="1" t="s">
        <v>26</v>
      </c>
      <c r="J825" s="1" t="s">
        <v>27</v>
      </c>
      <c r="K825">
        <v>4</v>
      </c>
      <c r="L825" s="1" t="s">
        <v>28</v>
      </c>
      <c r="M825">
        <v>47</v>
      </c>
      <c r="N825" s="1" t="s">
        <v>29</v>
      </c>
      <c r="O825" s="1" t="s">
        <v>30</v>
      </c>
      <c r="P825">
        <v>2</v>
      </c>
      <c r="Q825" s="1" t="s">
        <v>45</v>
      </c>
      <c r="R825">
        <v>1</v>
      </c>
      <c r="S825" s="1" t="s">
        <v>40</v>
      </c>
      <c r="T825" s="1" t="s">
        <v>33</v>
      </c>
      <c r="U825" s="1" t="s">
        <v>34</v>
      </c>
    </row>
    <row r="826" spans="1:21" x14ac:dyDescent="0.3">
      <c r="A826" s="1" t="s">
        <v>42</v>
      </c>
      <c r="B826">
        <v>18</v>
      </c>
      <c r="C826" s="1" t="s">
        <v>22</v>
      </c>
      <c r="D826" s="1" t="s">
        <v>46</v>
      </c>
      <c r="E826">
        <v>3780</v>
      </c>
      <c r="F826" s="1" t="s">
        <v>37</v>
      </c>
      <c r="G826" s="1" t="s">
        <v>62</v>
      </c>
      <c r="H826">
        <v>3</v>
      </c>
      <c r="I826" s="1" t="s">
        <v>59</v>
      </c>
      <c r="J826" s="1" t="s">
        <v>27</v>
      </c>
      <c r="K826">
        <v>2</v>
      </c>
      <c r="L826" s="1" t="s">
        <v>55</v>
      </c>
      <c r="M826">
        <v>35</v>
      </c>
      <c r="N826" s="1" t="s">
        <v>29</v>
      </c>
      <c r="O826" s="1" t="s">
        <v>30</v>
      </c>
      <c r="P826">
        <v>2</v>
      </c>
      <c r="Q826" s="1" t="s">
        <v>57</v>
      </c>
      <c r="R826">
        <v>1</v>
      </c>
      <c r="S826" s="1" t="s">
        <v>32</v>
      </c>
      <c r="T826" s="1" t="s">
        <v>33</v>
      </c>
      <c r="U826" s="1" t="s">
        <v>34</v>
      </c>
    </row>
    <row r="827" spans="1:21" x14ac:dyDescent="0.3">
      <c r="A827" s="1" t="s">
        <v>21</v>
      </c>
      <c r="B827">
        <v>21</v>
      </c>
      <c r="C827" s="1" t="s">
        <v>22</v>
      </c>
      <c r="D827" s="1" t="s">
        <v>51</v>
      </c>
      <c r="E827">
        <v>1602</v>
      </c>
      <c r="F827" s="1" t="s">
        <v>37</v>
      </c>
      <c r="G827" s="1" t="s">
        <v>25</v>
      </c>
      <c r="H827">
        <v>4</v>
      </c>
      <c r="I827" s="1" t="s">
        <v>61</v>
      </c>
      <c r="J827" s="1" t="s">
        <v>27</v>
      </c>
      <c r="K827">
        <v>3</v>
      </c>
      <c r="L827" s="1" t="s">
        <v>55</v>
      </c>
      <c r="M827">
        <v>30</v>
      </c>
      <c r="N827" s="1" t="s">
        <v>29</v>
      </c>
      <c r="O827" s="1" t="s">
        <v>30</v>
      </c>
      <c r="P827">
        <v>2</v>
      </c>
      <c r="Q827" s="1" t="s">
        <v>31</v>
      </c>
      <c r="R827">
        <v>1</v>
      </c>
      <c r="S827" s="1" t="s">
        <v>32</v>
      </c>
      <c r="T827" s="1" t="s">
        <v>33</v>
      </c>
      <c r="U827" s="1" t="s">
        <v>34</v>
      </c>
    </row>
    <row r="828" spans="1:21" x14ac:dyDescent="0.3">
      <c r="A828" s="1" t="s">
        <v>21</v>
      </c>
      <c r="B828">
        <v>18</v>
      </c>
      <c r="C828" s="1" t="s">
        <v>22</v>
      </c>
      <c r="D828" s="1" t="s">
        <v>51</v>
      </c>
      <c r="E828">
        <v>3966</v>
      </c>
      <c r="F828" s="1" t="s">
        <v>37</v>
      </c>
      <c r="G828" s="1" t="s">
        <v>25</v>
      </c>
      <c r="H828">
        <v>1</v>
      </c>
      <c r="I828" s="1" t="s">
        <v>39</v>
      </c>
      <c r="J828" s="1" t="s">
        <v>27</v>
      </c>
      <c r="K828">
        <v>4</v>
      </c>
      <c r="L828" s="1" t="s">
        <v>28</v>
      </c>
      <c r="M828">
        <v>33</v>
      </c>
      <c r="N828" s="1" t="s">
        <v>66</v>
      </c>
      <c r="O828" s="1" t="s">
        <v>56</v>
      </c>
      <c r="P828">
        <v>3</v>
      </c>
      <c r="Q828" s="1" t="s">
        <v>31</v>
      </c>
      <c r="R828">
        <v>1</v>
      </c>
      <c r="S828" s="1" t="s">
        <v>32</v>
      </c>
      <c r="T828" s="1" t="s">
        <v>33</v>
      </c>
      <c r="U828" s="1" t="s">
        <v>41</v>
      </c>
    </row>
    <row r="829" spans="1:21" x14ac:dyDescent="0.3">
      <c r="A829" s="1" t="s">
        <v>42</v>
      </c>
      <c r="B829">
        <v>18</v>
      </c>
      <c r="C829" s="1" t="s">
        <v>65</v>
      </c>
      <c r="D829" s="1" t="s">
        <v>63</v>
      </c>
      <c r="E829">
        <v>4165</v>
      </c>
      <c r="F829" s="1" t="s">
        <v>37</v>
      </c>
      <c r="G829" s="1" t="s">
        <v>38</v>
      </c>
      <c r="H829">
        <v>2</v>
      </c>
      <c r="I829" s="1" t="s">
        <v>26</v>
      </c>
      <c r="J829" s="1" t="s">
        <v>27</v>
      </c>
      <c r="K829">
        <v>2</v>
      </c>
      <c r="L829" s="1" t="s">
        <v>55</v>
      </c>
      <c r="M829">
        <v>36</v>
      </c>
      <c r="N829" s="1" t="s">
        <v>70</v>
      </c>
      <c r="O829" s="1" t="s">
        <v>30</v>
      </c>
      <c r="P829">
        <v>2</v>
      </c>
      <c r="Q829" s="1" t="s">
        <v>31</v>
      </c>
      <c r="R829">
        <v>2</v>
      </c>
      <c r="S829" s="1" t="s">
        <v>40</v>
      </c>
      <c r="T829" s="1" t="s">
        <v>33</v>
      </c>
      <c r="U829" s="1" t="s">
        <v>41</v>
      </c>
    </row>
    <row r="830" spans="1:21" x14ac:dyDescent="0.3">
      <c r="A830" s="1" t="s">
        <v>21</v>
      </c>
      <c r="B830">
        <v>36</v>
      </c>
      <c r="C830" s="1" t="s">
        <v>36</v>
      </c>
      <c r="D830" s="1" t="s">
        <v>54</v>
      </c>
      <c r="E830">
        <v>8335</v>
      </c>
      <c r="F830" s="1" t="s">
        <v>24</v>
      </c>
      <c r="G830" s="1" t="s">
        <v>25</v>
      </c>
      <c r="H830">
        <v>3</v>
      </c>
      <c r="I830" s="1" t="s">
        <v>26</v>
      </c>
      <c r="J830" s="1" t="s">
        <v>27</v>
      </c>
      <c r="K830">
        <v>4</v>
      </c>
      <c r="L830" s="1" t="s">
        <v>52</v>
      </c>
      <c r="M830">
        <v>47</v>
      </c>
      <c r="N830" s="1" t="s">
        <v>29</v>
      </c>
      <c r="O830" s="1" t="s">
        <v>49</v>
      </c>
      <c r="P830">
        <v>1</v>
      </c>
      <c r="Q830" s="1" t="s">
        <v>31</v>
      </c>
      <c r="R830">
        <v>1</v>
      </c>
      <c r="S830" s="1" t="s">
        <v>40</v>
      </c>
      <c r="T830" s="1" t="s">
        <v>33</v>
      </c>
      <c r="U830" s="1" t="s">
        <v>41</v>
      </c>
    </row>
    <row r="831" spans="1:21" x14ac:dyDescent="0.3">
      <c r="A831" s="1" t="s">
        <v>35</v>
      </c>
      <c r="B831">
        <v>48</v>
      </c>
      <c r="C831" s="1" t="s">
        <v>50</v>
      </c>
      <c r="D831" s="1" t="s">
        <v>63</v>
      </c>
      <c r="E831">
        <v>6681</v>
      </c>
      <c r="F831" s="1" t="s">
        <v>24</v>
      </c>
      <c r="G831" s="1" t="s">
        <v>38</v>
      </c>
      <c r="H831">
        <v>4</v>
      </c>
      <c r="I831" s="1" t="s">
        <v>26</v>
      </c>
      <c r="J831" s="1" t="s">
        <v>27</v>
      </c>
      <c r="K831">
        <v>4</v>
      </c>
      <c r="L831" s="1" t="s">
        <v>52</v>
      </c>
      <c r="M831">
        <v>38</v>
      </c>
      <c r="N831" s="1" t="s">
        <v>29</v>
      </c>
      <c r="O831" s="1" t="s">
        <v>49</v>
      </c>
      <c r="P831">
        <v>1</v>
      </c>
      <c r="Q831" s="1" t="s">
        <v>31</v>
      </c>
      <c r="R831">
        <v>2</v>
      </c>
      <c r="S831" s="1" t="s">
        <v>32</v>
      </c>
      <c r="T831" s="1" t="s">
        <v>33</v>
      </c>
      <c r="U831" s="1" t="s">
        <v>34</v>
      </c>
    </row>
    <row r="832" spans="1:21" x14ac:dyDescent="0.3">
      <c r="A832" s="1" t="s">
        <v>42</v>
      </c>
      <c r="B832">
        <v>24</v>
      </c>
      <c r="C832" s="1" t="s">
        <v>50</v>
      </c>
      <c r="D832" s="1" t="s">
        <v>63</v>
      </c>
      <c r="E832">
        <v>2375</v>
      </c>
      <c r="F832" s="1" t="s">
        <v>53</v>
      </c>
      <c r="G832" s="1" t="s">
        <v>38</v>
      </c>
      <c r="H832">
        <v>4</v>
      </c>
      <c r="I832" s="1" t="s">
        <v>26</v>
      </c>
      <c r="J832" s="1" t="s">
        <v>27</v>
      </c>
      <c r="K832">
        <v>2</v>
      </c>
      <c r="L832" s="1" t="s">
        <v>55</v>
      </c>
      <c r="M832">
        <v>44</v>
      </c>
      <c r="N832" s="1" t="s">
        <v>29</v>
      </c>
      <c r="O832" s="1" t="s">
        <v>30</v>
      </c>
      <c r="P832">
        <v>2</v>
      </c>
      <c r="Q832" s="1" t="s">
        <v>31</v>
      </c>
      <c r="R832">
        <v>2</v>
      </c>
      <c r="S832" s="1" t="s">
        <v>32</v>
      </c>
      <c r="T832" s="1" t="s">
        <v>33</v>
      </c>
      <c r="U832" s="1" t="s">
        <v>34</v>
      </c>
    </row>
    <row r="833" spans="1:21" x14ac:dyDescent="0.3">
      <c r="A833" s="1" t="s">
        <v>21</v>
      </c>
      <c r="B833">
        <v>18</v>
      </c>
      <c r="C833" s="1" t="s">
        <v>36</v>
      </c>
      <c r="D833" s="1" t="s">
        <v>51</v>
      </c>
      <c r="E833">
        <v>1216</v>
      </c>
      <c r="F833" s="1" t="s">
        <v>37</v>
      </c>
      <c r="G833" s="1" t="s">
        <v>62</v>
      </c>
      <c r="H833">
        <v>4</v>
      </c>
      <c r="I833" s="1" t="s">
        <v>39</v>
      </c>
      <c r="J833" s="1" t="s">
        <v>27</v>
      </c>
      <c r="K833">
        <v>3</v>
      </c>
      <c r="L833" s="1" t="s">
        <v>55</v>
      </c>
      <c r="M833">
        <v>23</v>
      </c>
      <c r="N833" s="1" t="s">
        <v>29</v>
      </c>
      <c r="O833" s="1" t="s">
        <v>56</v>
      </c>
      <c r="P833">
        <v>1</v>
      </c>
      <c r="Q833" s="1" t="s">
        <v>31</v>
      </c>
      <c r="R833">
        <v>1</v>
      </c>
      <c r="S833" s="1" t="s">
        <v>32</v>
      </c>
      <c r="T833" s="1" t="s">
        <v>33</v>
      </c>
      <c r="U833" s="1" t="s">
        <v>41</v>
      </c>
    </row>
    <row r="834" spans="1:21" x14ac:dyDescent="0.3">
      <c r="A834" s="1" t="s">
        <v>21</v>
      </c>
      <c r="B834">
        <v>45</v>
      </c>
      <c r="C834" s="1" t="s">
        <v>65</v>
      </c>
      <c r="D834" s="1" t="s">
        <v>63</v>
      </c>
      <c r="E834">
        <v>11816</v>
      </c>
      <c r="F834" s="1" t="s">
        <v>37</v>
      </c>
      <c r="G834" s="1" t="s">
        <v>25</v>
      </c>
      <c r="H834">
        <v>2</v>
      </c>
      <c r="I834" s="1" t="s">
        <v>26</v>
      </c>
      <c r="J834" s="1" t="s">
        <v>27</v>
      </c>
      <c r="K834">
        <v>4</v>
      </c>
      <c r="L834" s="1" t="s">
        <v>55</v>
      </c>
      <c r="M834">
        <v>29</v>
      </c>
      <c r="N834" s="1" t="s">
        <v>29</v>
      </c>
      <c r="O834" s="1" t="s">
        <v>56</v>
      </c>
      <c r="P834">
        <v>2</v>
      </c>
      <c r="Q834" s="1" t="s">
        <v>31</v>
      </c>
      <c r="R834">
        <v>1</v>
      </c>
      <c r="S834" s="1" t="s">
        <v>40</v>
      </c>
      <c r="T834" s="1" t="s">
        <v>33</v>
      </c>
      <c r="U834" s="1" t="s">
        <v>41</v>
      </c>
    </row>
    <row r="835" spans="1:21" x14ac:dyDescent="0.3">
      <c r="A835" s="1" t="s">
        <v>35</v>
      </c>
      <c r="B835">
        <v>24</v>
      </c>
      <c r="C835" s="1" t="s">
        <v>36</v>
      </c>
      <c r="D835" s="1" t="s">
        <v>23</v>
      </c>
      <c r="E835">
        <v>5084</v>
      </c>
      <c r="F835" s="1" t="s">
        <v>24</v>
      </c>
      <c r="G835" s="1" t="s">
        <v>25</v>
      </c>
      <c r="H835">
        <v>2</v>
      </c>
      <c r="I835" s="1" t="s">
        <v>39</v>
      </c>
      <c r="J835" s="1" t="s">
        <v>27</v>
      </c>
      <c r="K835">
        <v>4</v>
      </c>
      <c r="L835" s="1" t="s">
        <v>55</v>
      </c>
      <c r="M835">
        <v>42</v>
      </c>
      <c r="N835" s="1" t="s">
        <v>29</v>
      </c>
      <c r="O835" s="1" t="s">
        <v>30</v>
      </c>
      <c r="P835">
        <v>1</v>
      </c>
      <c r="Q835" s="1" t="s">
        <v>31</v>
      </c>
      <c r="R835">
        <v>1</v>
      </c>
      <c r="S835" s="1" t="s">
        <v>32</v>
      </c>
      <c r="T835" s="1" t="s">
        <v>33</v>
      </c>
      <c r="U835" s="1" t="s">
        <v>34</v>
      </c>
    </row>
    <row r="836" spans="1:21" x14ac:dyDescent="0.3">
      <c r="A836" s="1" t="s">
        <v>68</v>
      </c>
      <c r="B836">
        <v>15</v>
      </c>
      <c r="C836" s="1" t="s">
        <v>36</v>
      </c>
      <c r="D836" s="1" t="s">
        <v>23</v>
      </c>
      <c r="E836">
        <v>2327</v>
      </c>
      <c r="F836" s="1" t="s">
        <v>37</v>
      </c>
      <c r="G836" s="1" t="s">
        <v>62</v>
      </c>
      <c r="H836">
        <v>2</v>
      </c>
      <c r="I836" s="1" t="s">
        <v>39</v>
      </c>
      <c r="J836" s="1" t="s">
        <v>27</v>
      </c>
      <c r="K836">
        <v>3</v>
      </c>
      <c r="L836" s="1" t="s">
        <v>28</v>
      </c>
      <c r="M836">
        <v>25</v>
      </c>
      <c r="N836" s="1" t="s">
        <v>29</v>
      </c>
      <c r="O836" s="1" t="s">
        <v>30</v>
      </c>
      <c r="P836">
        <v>1</v>
      </c>
      <c r="Q836" s="1" t="s">
        <v>45</v>
      </c>
      <c r="R836">
        <v>1</v>
      </c>
      <c r="S836" s="1" t="s">
        <v>40</v>
      </c>
      <c r="T836" s="1" t="s">
        <v>33</v>
      </c>
      <c r="U836" s="1" t="s">
        <v>41</v>
      </c>
    </row>
    <row r="837" spans="1:21" x14ac:dyDescent="0.3">
      <c r="A837" s="1" t="s">
        <v>21</v>
      </c>
      <c r="B837">
        <v>12</v>
      </c>
      <c r="C837" s="1" t="s">
        <v>65</v>
      </c>
      <c r="D837" s="1" t="s">
        <v>51</v>
      </c>
      <c r="E837">
        <v>1082</v>
      </c>
      <c r="F837" s="1" t="s">
        <v>37</v>
      </c>
      <c r="G837" s="1" t="s">
        <v>38</v>
      </c>
      <c r="H837">
        <v>4</v>
      </c>
      <c r="I837" s="1" t="s">
        <v>26</v>
      </c>
      <c r="J837" s="1" t="s">
        <v>27</v>
      </c>
      <c r="K837">
        <v>4</v>
      </c>
      <c r="L837" s="1" t="s">
        <v>55</v>
      </c>
      <c r="M837">
        <v>48</v>
      </c>
      <c r="N837" s="1" t="s">
        <v>66</v>
      </c>
      <c r="O837" s="1" t="s">
        <v>30</v>
      </c>
      <c r="P837">
        <v>2</v>
      </c>
      <c r="Q837" s="1" t="s">
        <v>31</v>
      </c>
      <c r="R837">
        <v>1</v>
      </c>
      <c r="S837" s="1" t="s">
        <v>40</v>
      </c>
      <c r="T837" s="1" t="s">
        <v>33</v>
      </c>
      <c r="U837" s="1" t="s">
        <v>41</v>
      </c>
    </row>
    <row r="838" spans="1:21" x14ac:dyDescent="0.3">
      <c r="A838" s="1" t="s">
        <v>42</v>
      </c>
      <c r="B838">
        <v>12</v>
      </c>
      <c r="C838" s="1" t="s">
        <v>36</v>
      </c>
      <c r="D838" s="1" t="s">
        <v>23</v>
      </c>
      <c r="E838">
        <v>886</v>
      </c>
      <c r="F838" s="1" t="s">
        <v>24</v>
      </c>
      <c r="G838" s="1" t="s">
        <v>38</v>
      </c>
      <c r="H838">
        <v>4</v>
      </c>
      <c r="I838" s="1" t="s">
        <v>39</v>
      </c>
      <c r="J838" s="1" t="s">
        <v>27</v>
      </c>
      <c r="K838">
        <v>2</v>
      </c>
      <c r="L838" s="1" t="s">
        <v>55</v>
      </c>
      <c r="M838">
        <v>21</v>
      </c>
      <c r="N838" s="1" t="s">
        <v>29</v>
      </c>
      <c r="O838" s="1" t="s">
        <v>30</v>
      </c>
      <c r="P838">
        <v>1</v>
      </c>
      <c r="Q838" s="1" t="s">
        <v>31</v>
      </c>
      <c r="R838">
        <v>1</v>
      </c>
      <c r="S838" s="1" t="s">
        <v>40</v>
      </c>
      <c r="T838" s="1" t="s">
        <v>33</v>
      </c>
      <c r="U838" s="1" t="s">
        <v>34</v>
      </c>
    </row>
    <row r="839" spans="1:21" x14ac:dyDescent="0.3">
      <c r="A839" s="1" t="s">
        <v>42</v>
      </c>
      <c r="B839">
        <v>4</v>
      </c>
      <c r="C839" s="1" t="s">
        <v>36</v>
      </c>
      <c r="D839" s="1" t="s">
        <v>46</v>
      </c>
      <c r="E839">
        <v>601</v>
      </c>
      <c r="F839" s="1" t="s">
        <v>37</v>
      </c>
      <c r="G839" s="1" t="s">
        <v>62</v>
      </c>
      <c r="H839">
        <v>1</v>
      </c>
      <c r="I839" s="1" t="s">
        <v>39</v>
      </c>
      <c r="J839" s="1" t="s">
        <v>27</v>
      </c>
      <c r="K839">
        <v>3</v>
      </c>
      <c r="L839" s="1" t="s">
        <v>28</v>
      </c>
      <c r="M839">
        <v>23</v>
      </c>
      <c r="N839" s="1" t="s">
        <v>29</v>
      </c>
      <c r="O839" s="1" t="s">
        <v>56</v>
      </c>
      <c r="P839">
        <v>1</v>
      </c>
      <c r="Q839" s="1" t="s">
        <v>45</v>
      </c>
      <c r="R839">
        <v>2</v>
      </c>
      <c r="S839" s="1" t="s">
        <v>40</v>
      </c>
      <c r="T839" s="1" t="s">
        <v>33</v>
      </c>
      <c r="U839" s="1" t="s">
        <v>34</v>
      </c>
    </row>
    <row r="840" spans="1:21" x14ac:dyDescent="0.3">
      <c r="A840" s="1" t="s">
        <v>21</v>
      </c>
      <c r="B840">
        <v>24</v>
      </c>
      <c r="C840" s="1" t="s">
        <v>22</v>
      </c>
      <c r="D840" s="1" t="s">
        <v>54</v>
      </c>
      <c r="E840">
        <v>2957</v>
      </c>
      <c r="F840" s="1" t="s">
        <v>37</v>
      </c>
      <c r="G840" s="1" t="s">
        <v>25</v>
      </c>
      <c r="H840">
        <v>4</v>
      </c>
      <c r="I840" s="1" t="s">
        <v>26</v>
      </c>
      <c r="J840" s="1" t="s">
        <v>27</v>
      </c>
      <c r="K840">
        <v>4</v>
      </c>
      <c r="L840" s="1" t="s">
        <v>48</v>
      </c>
      <c r="M840">
        <v>63</v>
      </c>
      <c r="N840" s="1" t="s">
        <v>29</v>
      </c>
      <c r="O840" s="1" t="s">
        <v>30</v>
      </c>
      <c r="P840">
        <v>2</v>
      </c>
      <c r="Q840" s="1" t="s">
        <v>31</v>
      </c>
      <c r="R840">
        <v>1</v>
      </c>
      <c r="S840" s="1" t="s">
        <v>32</v>
      </c>
      <c r="T840" s="1" t="s">
        <v>33</v>
      </c>
      <c r="U840" s="1" t="s">
        <v>34</v>
      </c>
    </row>
    <row r="841" spans="1:21" x14ac:dyDescent="0.3">
      <c r="A841" s="1" t="s">
        <v>42</v>
      </c>
      <c r="B841">
        <v>24</v>
      </c>
      <c r="C841" s="1" t="s">
        <v>22</v>
      </c>
      <c r="D841" s="1" t="s">
        <v>23</v>
      </c>
      <c r="E841">
        <v>2611</v>
      </c>
      <c r="F841" s="1" t="s">
        <v>37</v>
      </c>
      <c r="G841" s="1" t="s">
        <v>25</v>
      </c>
      <c r="H841">
        <v>4</v>
      </c>
      <c r="I841" s="1" t="s">
        <v>61</v>
      </c>
      <c r="J841" s="1" t="s">
        <v>71</v>
      </c>
      <c r="K841">
        <v>3</v>
      </c>
      <c r="L841" s="1" t="s">
        <v>28</v>
      </c>
      <c r="M841">
        <v>46</v>
      </c>
      <c r="N841" s="1" t="s">
        <v>29</v>
      </c>
      <c r="O841" s="1" t="s">
        <v>30</v>
      </c>
      <c r="P841">
        <v>2</v>
      </c>
      <c r="Q841" s="1" t="s">
        <v>31</v>
      </c>
      <c r="R841">
        <v>1</v>
      </c>
      <c r="S841" s="1" t="s">
        <v>40</v>
      </c>
      <c r="T841" s="1" t="s">
        <v>33</v>
      </c>
      <c r="U841" s="1" t="s">
        <v>34</v>
      </c>
    </row>
    <row r="842" spans="1:21" x14ac:dyDescent="0.3">
      <c r="A842" s="1" t="s">
        <v>21</v>
      </c>
      <c r="B842">
        <v>36</v>
      </c>
      <c r="C842" s="1" t="s">
        <v>36</v>
      </c>
      <c r="D842" s="1" t="s">
        <v>46</v>
      </c>
      <c r="E842">
        <v>5179</v>
      </c>
      <c r="F842" s="1" t="s">
        <v>37</v>
      </c>
      <c r="G842" s="1" t="s">
        <v>44</v>
      </c>
      <c r="H842">
        <v>4</v>
      </c>
      <c r="I842" s="1" t="s">
        <v>26</v>
      </c>
      <c r="J842" s="1" t="s">
        <v>27</v>
      </c>
      <c r="K842">
        <v>2</v>
      </c>
      <c r="L842" s="1" t="s">
        <v>48</v>
      </c>
      <c r="M842">
        <v>29</v>
      </c>
      <c r="N842" s="1" t="s">
        <v>29</v>
      </c>
      <c r="O842" s="1" t="s">
        <v>30</v>
      </c>
      <c r="P842">
        <v>1</v>
      </c>
      <c r="Q842" s="1" t="s">
        <v>31</v>
      </c>
      <c r="R842">
        <v>1</v>
      </c>
      <c r="S842" s="1" t="s">
        <v>40</v>
      </c>
      <c r="T842" s="1" t="s">
        <v>33</v>
      </c>
      <c r="U842" s="1" t="s">
        <v>41</v>
      </c>
    </row>
    <row r="843" spans="1:21" x14ac:dyDescent="0.3">
      <c r="A843" s="1" t="s">
        <v>42</v>
      </c>
      <c r="B843">
        <v>21</v>
      </c>
      <c r="C843" s="1" t="s">
        <v>50</v>
      </c>
      <c r="D843" s="1" t="s">
        <v>54</v>
      </c>
      <c r="E843">
        <v>2993</v>
      </c>
      <c r="F843" s="1" t="s">
        <v>37</v>
      </c>
      <c r="G843" s="1" t="s">
        <v>38</v>
      </c>
      <c r="H843">
        <v>3</v>
      </c>
      <c r="I843" s="1" t="s">
        <v>26</v>
      </c>
      <c r="J843" s="1" t="s">
        <v>27</v>
      </c>
      <c r="K843">
        <v>2</v>
      </c>
      <c r="L843" s="1" t="s">
        <v>28</v>
      </c>
      <c r="M843">
        <v>28</v>
      </c>
      <c r="N843" s="1" t="s">
        <v>70</v>
      </c>
      <c r="O843" s="1" t="s">
        <v>30</v>
      </c>
      <c r="P843">
        <v>2</v>
      </c>
      <c r="Q843" s="1" t="s">
        <v>45</v>
      </c>
      <c r="R843">
        <v>1</v>
      </c>
      <c r="S843" s="1" t="s">
        <v>40</v>
      </c>
      <c r="T843" s="1" t="s">
        <v>33</v>
      </c>
      <c r="U843" s="1" t="s">
        <v>34</v>
      </c>
    </row>
    <row r="844" spans="1:21" x14ac:dyDescent="0.3">
      <c r="A844" s="1" t="s">
        <v>42</v>
      </c>
      <c r="B844">
        <v>18</v>
      </c>
      <c r="C844" s="1" t="s">
        <v>36</v>
      </c>
      <c r="D844" s="1" t="s">
        <v>73</v>
      </c>
      <c r="E844">
        <v>1943</v>
      </c>
      <c r="F844" s="1" t="s">
        <v>37</v>
      </c>
      <c r="G844" s="1" t="s">
        <v>62</v>
      </c>
      <c r="H844">
        <v>4</v>
      </c>
      <c r="I844" s="1" t="s">
        <v>39</v>
      </c>
      <c r="J844" s="1" t="s">
        <v>27</v>
      </c>
      <c r="K844">
        <v>4</v>
      </c>
      <c r="L844" s="1" t="s">
        <v>28</v>
      </c>
      <c r="M844">
        <v>23</v>
      </c>
      <c r="N844" s="1" t="s">
        <v>29</v>
      </c>
      <c r="O844" s="1" t="s">
        <v>30</v>
      </c>
      <c r="P844">
        <v>1</v>
      </c>
      <c r="Q844" s="1" t="s">
        <v>31</v>
      </c>
      <c r="R844">
        <v>1</v>
      </c>
      <c r="S844" s="1" t="s">
        <v>40</v>
      </c>
      <c r="T844" s="1" t="s">
        <v>33</v>
      </c>
      <c r="U844" s="1" t="s">
        <v>41</v>
      </c>
    </row>
    <row r="845" spans="1:21" x14ac:dyDescent="0.3">
      <c r="A845" s="1" t="s">
        <v>42</v>
      </c>
      <c r="B845">
        <v>24</v>
      </c>
      <c r="C845" s="1" t="s">
        <v>69</v>
      </c>
      <c r="D845" s="1" t="s">
        <v>63</v>
      </c>
      <c r="E845">
        <v>1559</v>
      </c>
      <c r="F845" s="1" t="s">
        <v>37</v>
      </c>
      <c r="G845" s="1" t="s">
        <v>44</v>
      </c>
      <c r="H845">
        <v>4</v>
      </c>
      <c r="I845" s="1" t="s">
        <v>26</v>
      </c>
      <c r="J845" s="1" t="s">
        <v>27</v>
      </c>
      <c r="K845">
        <v>4</v>
      </c>
      <c r="L845" s="1" t="s">
        <v>55</v>
      </c>
      <c r="M845">
        <v>50</v>
      </c>
      <c r="N845" s="1" t="s">
        <v>66</v>
      </c>
      <c r="O845" s="1" t="s">
        <v>30</v>
      </c>
      <c r="P845">
        <v>1</v>
      </c>
      <c r="Q845" s="1" t="s">
        <v>31</v>
      </c>
      <c r="R845">
        <v>1</v>
      </c>
      <c r="S845" s="1" t="s">
        <v>32</v>
      </c>
      <c r="T845" s="1" t="s">
        <v>33</v>
      </c>
      <c r="U845" s="1" t="s">
        <v>34</v>
      </c>
    </row>
    <row r="846" spans="1:21" x14ac:dyDescent="0.3">
      <c r="A846" s="1" t="s">
        <v>42</v>
      </c>
      <c r="B846">
        <v>18</v>
      </c>
      <c r="C846" s="1" t="s">
        <v>36</v>
      </c>
      <c r="D846" s="1" t="s">
        <v>46</v>
      </c>
      <c r="E846">
        <v>3422</v>
      </c>
      <c r="F846" s="1" t="s">
        <v>37</v>
      </c>
      <c r="G846" s="1" t="s">
        <v>25</v>
      </c>
      <c r="H846">
        <v>4</v>
      </c>
      <c r="I846" s="1" t="s">
        <v>26</v>
      </c>
      <c r="J846" s="1" t="s">
        <v>27</v>
      </c>
      <c r="K846">
        <v>4</v>
      </c>
      <c r="L846" s="1" t="s">
        <v>48</v>
      </c>
      <c r="M846">
        <v>47</v>
      </c>
      <c r="N846" s="1" t="s">
        <v>66</v>
      </c>
      <c r="O846" s="1" t="s">
        <v>30</v>
      </c>
      <c r="P846">
        <v>3</v>
      </c>
      <c r="Q846" s="1" t="s">
        <v>31</v>
      </c>
      <c r="R846">
        <v>2</v>
      </c>
      <c r="S846" s="1" t="s">
        <v>32</v>
      </c>
      <c r="T846" s="1" t="s">
        <v>33</v>
      </c>
      <c r="U846" s="1" t="s">
        <v>34</v>
      </c>
    </row>
    <row r="847" spans="1:21" x14ac:dyDescent="0.3">
      <c r="A847" s="1" t="s">
        <v>35</v>
      </c>
      <c r="B847">
        <v>21</v>
      </c>
      <c r="C847" s="1" t="s">
        <v>36</v>
      </c>
      <c r="D847" s="1" t="s">
        <v>46</v>
      </c>
      <c r="E847">
        <v>3976</v>
      </c>
      <c r="F847" s="1" t="s">
        <v>24</v>
      </c>
      <c r="G847" s="1" t="s">
        <v>44</v>
      </c>
      <c r="H847">
        <v>2</v>
      </c>
      <c r="I847" s="1" t="s">
        <v>26</v>
      </c>
      <c r="J847" s="1" t="s">
        <v>27</v>
      </c>
      <c r="K847">
        <v>3</v>
      </c>
      <c r="L847" s="1" t="s">
        <v>55</v>
      </c>
      <c r="M847">
        <v>35</v>
      </c>
      <c r="N847" s="1" t="s">
        <v>29</v>
      </c>
      <c r="O847" s="1" t="s">
        <v>30</v>
      </c>
      <c r="P847">
        <v>1</v>
      </c>
      <c r="Q847" s="1" t="s">
        <v>31</v>
      </c>
      <c r="R847">
        <v>1</v>
      </c>
      <c r="S847" s="1" t="s">
        <v>32</v>
      </c>
      <c r="T847" s="1" t="s">
        <v>33</v>
      </c>
      <c r="U847" s="1" t="s">
        <v>34</v>
      </c>
    </row>
    <row r="848" spans="1:21" x14ac:dyDescent="0.3">
      <c r="A848" s="1" t="s">
        <v>42</v>
      </c>
      <c r="B848">
        <v>18</v>
      </c>
      <c r="C848" s="1" t="s">
        <v>36</v>
      </c>
      <c r="D848" s="1" t="s">
        <v>51</v>
      </c>
      <c r="E848">
        <v>6761</v>
      </c>
      <c r="F848" s="1" t="s">
        <v>24</v>
      </c>
      <c r="G848" s="1" t="s">
        <v>38</v>
      </c>
      <c r="H848">
        <v>2</v>
      </c>
      <c r="I848" s="1" t="s">
        <v>26</v>
      </c>
      <c r="J848" s="1" t="s">
        <v>27</v>
      </c>
      <c r="K848">
        <v>4</v>
      </c>
      <c r="L848" s="1" t="s">
        <v>55</v>
      </c>
      <c r="M848">
        <v>68</v>
      </c>
      <c r="N848" s="1" t="s">
        <v>29</v>
      </c>
      <c r="O848" s="1" t="s">
        <v>56</v>
      </c>
      <c r="P848">
        <v>2</v>
      </c>
      <c r="Q848" s="1" t="s">
        <v>31</v>
      </c>
      <c r="R848">
        <v>1</v>
      </c>
      <c r="S848" s="1" t="s">
        <v>40</v>
      </c>
      <c r="T848" s="1" t="s">
        <v>33</v>
      </c>
      <c r="U848" s="1" t="s">
        <v>41</v>
      </c>
    </row>
    <row r="849" spans="1:21" x14ac:dyDescent="0.3">
      <c r="A849" s="1" t="s">
        <v>42</v>
      </c>
      <c r="B849">
        <v>24</v>
      </c>
      <c r="C849" s="1" t="s">
        <v>36</v>
      </c>
      <c r="D849" s="1" t="s">
        <v>51</v>
      </c>
      <c r="E849">
        <v>1249</v>
      </c>
      <c r="F849" s="1" t="s">
        <v>37</v>
      </c>
      <c r="G849" s="1" t="s">
        <v>62</v>
      </c>
      <c r="H849">
        <v>4</v>
      </c>
      <c r="I849" s="1" t="s">
        <v>61</v>
      </c>
      <c r="J849" s="1" t="s">
        <v>27</v>
      </c>
      <c r="K849">
        <v>2</v>
      </c>
      <c r="L849" s="1" t="s">
        <v>28</v>
      </c>
      <c r="M849">
        <v>28</v>
      </c>
      <c r="N849" s="1" t="s">
        <v>29</v>
      </c>
      <c r="O849" s="1" t="s">
        <v>30</v>
      </c>
      <c r="P849">
        <v>1</v>
      </c>
      <c r="Q849" s="1" t="s">
        <v>31</v>
      </c>
      <c r="R849">
        <v>1</v>
      </c>
      <c r="S849" s="1" t="s">
        <v>40</v>
      </c>
      <c r="T849" s="1" t="s">
        <v>33</v>
      </c>
      <c r="U849" s="1" t="s">
        <v>34</v>
      </c>
    </row>
    <row r="850" spans="1:21" x14ac:dyDescent="0.3">
      <c r="A850" s="1" t="s">
        <v>21</v>
      </c>
      <c r="B850">
        <v>9</v>
      </c>
      <c r="C850" s="1" t="s">
        <v>36</v>
      </c>
      <c r="D850" s="1" t="s">
        <v>23</v>
      </c>
      <c r="E850">
        <v>1364</v>
      </c>
      <c r="F850" s="1" t="s">
        <v>37</v>
      </c>
      <c r="G850" s="1" t="s">
        <v>44</v>
      </c>
      <c r="H850">
        <v>3</v>
      </c>
      <c r="I850" s="1" t="s">
        <v>26</v>
      </c>
      <c r="J850" s="1" t="s">
        <v>27</v>
      </c>
      <c r="K850">
        <v>4</v>
      </c>
      <c r="L850" s="1" t="s">
        <v>28</v>
      </c>
      <c r="M850">
        <v>59</v>
      </c>
      <c r="N850" s="1" t="s">
        <v>29</v>
      </c>
      <c r="O850" s="1" t="s">
        <v>30</v>
      </c>
      <c r="P850">
        <v>1</v>
      </c>
      <c r="Q850" s="1" t="s">
        <v>31</v>
      </c>
      <c r="R850">
        <v>1</v>
      </c>
      <c r="S850" s="1" t="s">
        <v>40</v>
      </c>
      <c r="T850" s="1" t="s">
        <v>33</v>
      </c>
      <c r="U850" s="1" t="s">
        <v>34</v>
      </c>
    </row>
    <row r="851" spans="1:21" x14ac:dyDescent="0.3">
      <c r="A851" s="1" t="s">
        <v>21</v>
      </c>
      <c r="B851">
        <v>12</v>
      </c>
      <c r="C851" s="1" t="s">
        <v>36</v>
      </c>
      <c r="D851" s="1" t="s">
        <v>23</v>
      </c>
      <c r="E851">
        <v>709</v>
      </c>
      <c r="F851" s="1" t="s">
        <v>37</v>
      </c>
      <c r="G851" s="1" t="s">
        <v>25</v>
      </c>
      <c r="H851">
        <v>4</v>
      </c>
      <c r="I851" s="1" t="s">
        <v>26</v>
      </c>
      <c r="J851" s="1" t="s">
        <v>27</v>
      </c>
      <c r="K851">
        <v>4</v>
      </c>
      <c r="L851" s="1" t="s">
        <v>28</v>
      </c>
      <c r="M851">
        <v>57</v>
      </c>
      <c r="N851" s="1" t="s">
        <v>70</v>
      </c>
      <c r="O851" s="1" t="s">
        <v>30</v>
      </c>
      <c r="P851">
        <v>1</v>
      </c>
      <c r="Q851" s="1" t="s">
        <v>45</v>
      </c>
      <c r="R851">
        <v>1</v>
      </c>
      <c r="S851" s="1" t="s">
        <v>40</v>
      </c>
      <c r="T851" s="1" t="s">
        <v>33</v>
      </c>
      <c r="U851" s="1" t="s">
        <v>41</v>
      </c>
    </row>
    <row r="852" spans="1:21" x14ac:dyDescent="0.3">
      <c r="A852" s="1" t="s">
        <v>21</v>
      </c>
      <c r="B852">
        <v>20</v>
      </c>
      <c r="C852" s="1" t="s">
        <v>22</v>
      </c>
      <c r="D852" s="1" t="s">
        <v>51</v>
      </c>
      <c r="E852">
        <v>2235</v>
      </c>
      <c r="F852" s="1" t="s">
        <v>37</v>
      </c>
      <c r="G852" s="1" t="s">
        <v>38</v>
      </c>
      <c r="H852">
        <v>4</v>
      </c>
      <c r="I852" s="1" t="s">
        <v>61</v>
      </c>
      <c r="J852" s="1" t="s">
        <v>47</v>
      </c>
      <c r="K852">
        <v>2</v>
      </c>
      <c r="L852" s="1" t="s">
        <v>48</v>
      </c>
      <c r="M852">
        <v>33</v>
      </c>
      <c r="N852" s="1" t="s">
        <v>66</v>
      </c>
      <c r="O852" s="1" t="s">
        <v>56</v>
      </c>
      <c r="P852">
        <v>2</v>
      </c>
      <c r="Q852" s="1" t="s">
        <v>31</v>
      </c>
      <c r="R852">
        <v>1</v>
      </c>
      <c r="S852" s="1" t="s">
        <v>40</v>
      </c>
      <c r="T852" s="1" t="s">
        <v>67</v>
      </c>
      <c r="U852" s="1" t="s">
        <v>41</v>
      </c>
    </row>
    <row r="853" spans="1:21" x14ac:dyDescent="0.3">
      <c r="A853" s="1" t="s">
        <v>42</v>
      </c>
      <c r="B853">
        <v>24</v>
      </c>
      <c r="C853" s="1" t="s">
        <v>22</v>
      </c>
      <c r="D853" s="1" t="s">
        <v>54</v>
      </c>
      <c r="E853">
        <v>4042</v>
      </c>
      <c r="F853" s="1" t="s">
        <v>24</v>
      </c>
      <c r="G853" s="1" t="s">
        <v>44</v>
      </c>
      <c r="H853">
        <v>3</v>
      </c>
      <c r="I853" s="1" t="s">
        <v>26</v>
      </c>
      <c r="J853" s="1" t="s">
        <v>27</v>
      </c>
      <c r="K853">
        <v>4</v>
      </c>
      <c r="L853" s="1" t="s">
        <v>48</v>
      </c>
      <c r="M853">
        <v>43</v>
      </c>
      <c r="N853" s="1" t="s">
        <v>29</v>
      </c>
      <c r="O853" s="1" t="s">
        <v>30</v>
      </c>
      <c r="P853">
        <v>2</v>
      </c>
      <c r="Q853" s="1" t="s">
        <v>31</v>
      </c>
      <c r="R853">
        <v>1</v>
      </c>
      <c r="S853" s="1" t="s">
        <v>32</v>
      </c>
      <c r="T853" s="1" t="s">
        <v>33</v>
      </c>
      <c r="U853" s="1" t="s">
        <v>34</v>
      </c>
    </row>
    <row r="854" spans="1:21" x14ac:dyDescent="0.3">
      <c r="A854" s="1" t="s">
        <v>42</v>
      </c>
      <c r="B854">
        <v>15</v>
      </c>
      <c r="C854" s="1" t="s">
        <v>22</v>
      </c>
      <c r="D854" s="1" t="s">
        <v>23</v>
      </c>
      <c r="E854">
        <v>1471</v>
      </c>
      <c r="F854" s="1" t="s">
        <v>37</v>
      </c>
      <c r="G854" s="1" t="s">
        <v>38</v>
      </c>
      <c r="H854">
        <v>4</v>
      </c>
      <c r="I854" s="1" t="s">
        <v>26</v>
      </c>
      <c r="J854" s="1" t="s">
        <v>27</v>
      </c>
      <c r="K854">
        <v>4</v>
      </c>
      <c r="L854" s="1" t="s">
        <v>52</v>
      </c>
      <c r="M854">
        <v>35</v>
      </c>
      <c r="N854" s="1" t="s">
        <v>29</v>
      </c>
      <c r="O854" s="1" t="s">
        <v>49</v>
      </c>
      <c r="P854">
        <v>2</v>
      </c>
      <c r="Q854" s="1" t="s">
        <v>31</v>
      </c>
      <c r="R854">
        <v>1</v>
      </c>
      <c r="S854" s="1" t="s">
        <v>32</v>
      </c>
      <c r="T854" s="1" t="s">
        <v>33</v>
      </c>
      <c r="U854" s="1" t="s">
        <v>34</v>
      </c>
    </row>
    <row r="855" spans="1:21" x14ac:dyDescent="0.3">
      <c r="A855" s="1" t="s">
        <v>21</v>
      </c>
      <c r="B855">
        <v>18</v>
      </c>
      <c r="C855" s="1" t="s">
        <v>69</v>
      </c>
      <c r="D855" s="1" t="s">
        <v>51</v>
      </c>
      <c r="E855">
        <v>1442</v>
      </c>
      <c r="F855" s="1" t="s">
        <v>37</v>
      </c>
      <c r="G855" s="1" t="s">
        <v>44</v>
      </c>
      <c r="H855">
        <v>4</v>
      </c>
      <c r="I855" s="1" t="s">
        <v>26</v>
      </c>
      <c r="J855" s="1" t="s">
        <v>27</v>
      </c>
      <c r="K855">
        <v>4</v>
      </c>
      <c r="L855" s="1" t="s">
        <v>52</v>
      </c>
      <c r="M855">
        <v>32</v>
      </c>
      <c r="N855" s="1" t="s">
        <v>29</v>
      </c>
      <c r="O855" s="1" t="s">
        <v>49</v>
      </c>
      <c r="P855">
        <v>2</v>
      </c>
      <c r="Q855" s="1" t="s">
        <v>45</v>
      </c>
      <c r="R855">
        <v>2</v>
      </c>
      <c r="S855" s="1" t="s">
        <v>40</v>
      </c>
      <c r="T855" s="1" t="s">
        <v>33</v>
      </c>
      <c r="U855" s="1" t="s">
        <v>41</v>
      </c>
    </row>
    <row r="856" spans="1:21" x14ac:dyDescent="0.3">
      <c r="A856" s="1" t="s">
        <v>42</v>
      </c>
      <c r="B856">
        <v>36</v>
      </c>
      <c r="C856" s="1" t="s">
        <v>50</v>
      </c>
      <c r="D856" s="1" t="s">
        <v>51</v>
      </c>
      <c r="E856">
        <v>10875</v>
      </c>
      <c r="F856" s="1" t="s">
        <v>37</v>
      </c>
      <c r="G856" s="1" t="s">
        <v>25</v>
      </c>
      <c r="H856">
        <v>2</v>
      </c>
      <c r="I856" s="1" t="s">
        <v>26</v>
      </c>
      <c r="J856" s="1" t="s">
        <v>27</v>
      </c>
      <c r="K856">
        <v>2</v>
      </c>
      <c r="L856" s="1" t="s">
        <v>55</v>
      </c>
      <c r="M856">
        <v>45</v>
      </c>
      <c r="N856" s="1" t="s">
        <v>29</v>
      </c>
      <c r="O856" s="1" t="s">
        <v>30</v>
      </c>
      <c r="P856">
        <v>2</v>
      </c>
      <c r="Q856" s="1" t="s">
        <v>31</v>
      </c>
      <c r="R856">
        <v>2</v>
      </c>
      <c r="S856" s="1" t="s">
        <v>32</v>
      </c>
      <c r="T856" s="1" t="s">
        <v>33</v>
      </c>
      <c r="U856" s="1" t="s">
        <v>34</v>
      </c>
    </row>
    <row r="857" spans="1:21" x14ac:dyDescent="0.3">
      <c r="A857" s="1" t="s">
        <v>42</v>
      </c>
      <c r="B857">
        <v>24</v>
      </c>
      <c r="C857" s="1" t="s">
        <v>36</v>
      </c>
      <c r="D857" s="1" t="s">
        <v>51</v>
      </c>
      <c r="E857">
        <v>1474</v>
      </c>
      <c r="F857" s="1" t="s">
        <v>64</v>
      </c>
      <c r="G857" s="1" t="s">
        <v>62</v>
      </c>
      <c r="H857">
        <v>4</v>
      </c>
      <c r="I857" s="1" t="s">
        <v>61</v>
      </c>
      <c r="J857" s="1" t="s">
        <v>27</v>
      </c>
      <c r="K857">
        <v>3</v>
      </c>
      <c r="L857" s="1" t="s">
        <v>28</v>
      </c>
      <c r="M857">
        <v>33</v>
      </c>
      <c r="N857" s="1" t="s">
        <v>29</v>
      </c>
      <c r="O857" s="1" t="s">
        <v>30</v>
      </c>
      <c r="P857">
        <v>1</v>
      </c>
      <c r="Q857" s="1" t="s">
        <v>31</v>
      </c>
      <c r="R857">
        <v>1</v>
      </c>
      <c r="S857" s="1" t="s">
        <v>32</v>
      </c>
      <c r="T857" s="1" t="s">
        <v>33</v>
      </c>
      <c r="U857" s="1" t="s">
        <v>34</v>
      </c>
    </row>
    <row r="858" spans="1:21" x14ac:dyDescent="0.3">
      <c r="A858" s="1" t="s">
        <v>42</v>
      </c>
      <c r="B858">
        <v>10</v>
      </c>
      <c r="C858" s="1" t="s">
        <v>36</v>
      </c>
      <c r="D858" s="1" t="s">
        <v>76</v>
      </c>
      <c r="E858">
        <v>894</v>
      </c>
      <c r="F858" s="1" t="s">
        <v>24</v>
      </c>
      <c r="G858" s="1" t="s">
        <v>44</v>
      </c>
      <c r="H858">
        <v>4</v>
      </c>
      <c r="I858" s="1" t="s">
        <v>39</v>
      </c>
      <c r="J858" s="1" t="s">
        <v>27</v>
      </c>
      <c r="K858">
        <v>3</v>
      </c>
      <c r="L858" s="1" t="s">
        <v>48</v>
      </c>
      <c r="M858">
        <v>40</v>
      </c>
      <c r="N858" s="1" t="s">
        <v>29</v>
      </c>
      <c r="O858" s="1" t="s">
        <v>30</v>
      </c>
      <c r="P858">
        <v>1</v>
      </c>
      <c r="Q858" s="1" t="s">
        <v>31</v>
      </c>
      <c r="R858">
        <v>1</v>
      </c>
      <c r="S858" s="1" t="s">
        <v>32</v>
      </c>
      <c r="T858" s="1" t="s">
        <v>33</v>
      </c>
      <c r="U858" s="1" t="s">
        <v>34</v>
      </c>
    </row>
    <row r="859" spans="1:21" x14ac:dyDescent="0.3">
      <c r="A859" s="1" t="s">
        <v>42</v>
      </c>
      <c r="B859">
        <v>15</v>
      </c>
      <c r="C859" s="1" t="s">
        <v>22</v>
      </c>
      <c r="D859" s="1" t="s">
        <v>46</v>
      </c>
      <c r="E859">
        <v>3343</v>
      </c>
      <c r="F859" s="1" t="s">
        <v>37</v>
      </c>
      <c r="G859" s="1" t="s">
        <v>38</v>
      </c>
      <c r="H859">
        <v>4</v>
      </c>
      <c r="I859" s="1" t="s">
        <v>26</v>
      </c>
      <c r="J859" s="1" t="s">
        <v>27</v>
      </c>
      <c r="K859">
        <v>2</v>
      </c>
      <c r="L859" s="1" t="s">
        <v>52</v>
      </c>
      <c r="M859">
        <v>28</v>
      </c>
      <c r="N859" s="1" t="s">
        <v>29</v>
      </c>
      <c r="O859" s="1" t="s">
        <v>49</v>
      </c>
      <c r="P859">
        <v>1</v>
      </c>
      <c r="Q859" s="1" t="s">
        <v>31</v>
      </c>
      <c r="R859">
        <v>1</v>
      </c>
      <c r="S859" s="1" t="s">
        <v>32</v>
      </c>
      <c r="T859" s="1" t="s">
        <v>33</v>
      </c>
      <c r="U859" s="1" t="s">
        <v>34</v>
      </c>
    </row>
    <row r="860" spans="1:21" x14ac:dyDescent="0.3">
      <c r="A860" s="1" t="s">
        <v>21</v>
      </c>
      <c r="B860">
        <v>15</v>
      </c>
      <c r="C860" s="1" t="s">
        <v>36</v>
      </c>
      <c r="D860" s="1" t="s">
        <v>51</v>
      </c>
      <c r="E860">
        <v>3959</v>
      </c>
      <c r="F860" s="1" t="s">
        <v>37</v>
      </c>
      <c r="G860" s="1" t="s">
        <v>38</v>
      </c>
      <c r="H860">
        <v>3</v>
      </c>
      <c r="I860" s="1" t="s">
        <v>39</v>
      </c>
      <c r="J860" s="1" t="s">
        <v>27</v>
      </c>
      <c r="K860">
        <v>2</v>
      </c>
      <c r="L860" s="1" t="s">
        <v>48</v>
      </c>
      <c r="M860">
        <v>29</v>
      </c>
      <c r="N860" s="1" t="s">
        <v>29</v>
      </c>
      <c r="O860" s="1" t="s">
        <v>30</v>
      </c>
      <c r="P860">
        <v>1</v>
      </c>
      <c r="Q860" s="1" t="s">
        <v>31</v>
      </c>
      <c r="R860">
        <v>1</v>
      </c>
      <c r="S860" s="1" t="s">
        <v>32</v>
      </c>
      <c r="T860" s="1" t="s">
        <v>33</v>
      </c>
      <c r="U860" s="1" t="s">
        <v>41</v>
      </c>
    </row>
    <row r="861" spans="1:21" x14ac:dyDescent="0.3">
      <c r="A861" s="1" t="s">
        <v>42</v>
      </c>
      <c r="B861">
        <v>9</v>
      </c>
      <c r="C861" s="1" t="s">
        <v>36</v>
      </c>
      <c r="D861" s="1" t="s">
        <v>51</v>
      </c>
      <c r="E861">
        <v>3577</v>
      </c>
      <c r="F861" s="1" t="s">
        <v>64</v>
      </c>
      <c r="G861" s="1" t="s">
        <v>38</v>
      </c>
      <c r="H861">
        <v>1</v>
      </c>
      <c r="I861" s="1" t="s">
        <v>26</v>
      </c>
      <c r="J861" s="1" t="s">
        <v>47</v>
      </c>
      <c r="K861">
        <v>2</v>
      </c>
      <c r="L861" s="1" t="s">
        <v>28</v>
      </c>
      <c r="M861">
        <v>26</v>
      </c>
      <c r="N861" s="1" t="s">
        <v>29</v>
      </c>
      <c r="O861" s="1" t="s">
        <v>56</v>
      </c>
      <c r="P861">
        <v>1</v>
      </c>
      <c r="Q861" s="1" t="s">
        <v>31</v>
      </c>
      <c r="R861">
        <v>2</v>
      </c>
      <c r="S861" s="1" t="s">
        <v>40</v>
      </c>
      <c r="T861" s="1" t="s">
        <v>67</v>
      </c>
      <c r="U861" s="1" t="s">
        <v>34</v>
      </c>
    </row>
    <row r="862" spans="1:21" x14ac:dyDescent="0.3">
      <c r="A862" s="1" t="s">
        <v>42</v>
      </c>
      <c r="B862">
        <v>24</v>
      </c>
      <c r="C862" s="1" t="s">
        <v>22</v>
      </c>
      <c r="D862" s="1" t="s">
        <v>54</v>
      </c>
      <c r="E862">
        <v>5804</v>
      </c>
      <c r="F862" s="1" t="s">
        <v>58</v>
      </c>
      <c r="G862" s="1" t="s">
        <v>38</v>
      </c>
      <c r="H862">
        <v>4</v>
      </c>
      <c r="I862" s="1" t="s">
        <v>26</v>
      </c>
      <c r="J862" s="1" t="s">
        <v>27</v>
      </c>
      <c r="K862">
        <v>2</v>
      </c>
      <c r="L862" s="1" t="s">
        <v>28</v>
      </c>
      <c r="M862">
        <v>27</v>
      </c>
      <c r="N862" s="1" t="s">
        <v>29</v>
      </c>
      <c r="O862" s="1" t="s">
        <v>30</v>
      </c>
      <c r="P862">
        <v>2</v>
      </c>
      <c r="Q862" s="1" t="s">
        <v>31</v>
      </c>
      <c r="R862">
        <v>1</v>
      </c>
      <c r="S862" s="1" t="s">
        <v>40</v>
      </c>
      <c r="T862" s="1" t="s">
        <v>33</v>
      </c>
      <c r="U862" s="1" t="s">
        <v>34</v>
      </c>
    </row>
    <row r="863" spans="1:21" x14ac:dyDescent="0.3">
      <c r="A863" s="1" t="s">
        <v>42</v>
      </c>
      <c r="B863">
        <v>18</v>
      </c>
      <c r="C863" s="1" t="s">
        <v>50</v>
      </c>
      <c r="D863" s="1" t="s">
        <v>63</v>
      </c>
      <c r="E863">
        <v>2169</v>
      </c>
      <c r="F863" s="1" t="s">
        <v>37</v>
      </c>
      <c r="G863" s="1" t="s">
        <v>38</v>
      </c>
      <c r="H863">
        <v>4</v>
      </c>
      <c r="I863" s="1" t="s">
        <v>61</v>
      </c>
      <c r="J863" s="1" t="s">
        <v>27</v>
      </c>
      <c r="K863">
        <v>2</v>
      </c>
      <c r="L863" s="1" t="s">
        <v>55</v>
      </c>
      <c r="M863">
        <v>28</v>
      </c>
      <c r="N863" s="1" t="s">
        <v>29</v>
      </c>
      <c r="O863" s="1" t="s">
        <v>30</v>
      </c>
      <c r="P863">
        <v>1</v>
      </c>
      <c r="Q863" s="1" t="s">
        <v>31</v>
      </c>
      <c r="R863">
        <v>1</v>
      </c>
      <c r="S863" s="1" t="s">
        <v>32</v>
      </c>
      <c r="T863" s="1" t="s">
        <v>33</v>
      </c>
      <c r="U863" s="1" t="s">
        <v>41</v>
      </c>
    </row>
    <row r="864" spans="1:21" x14ac:dyDescent="0.3">
      <c r="A864" s="1" t="s">
        <v>21</v>
      </c>
      <c r="B864">
        <v>24</v>
      </c>
      <c r="C864" s="1" t="s">
        <v>36</v>
      </c>
      <c r="D864" s="1" t="s">
        <v>23</v>
      </c>
      <c r="E864">
        <v>2439</v>
      </c>
      <c r="F864" s="1" t="s">
        <v>37</v>
      </c>
      <c r="G864" s="1" t="s">
        <v>62</v>
      </c>
      <c r="H864">
        <v>4</v>
      </c>
      <c r="I864" s="1" t="s">
        <v>39</v>
      </c>
      <c r="J864" s="1" t="s">
        <v>27</v>
      </c>
      <c r="K864">
        <v>4</v>
      </c>
      <c r="L864" s="1" t="s">
        <v>28</v>
      </c>
      <c r="M864">
        <v>35</v>
      </c>
      <c r="N864" s="1" t="s">
        <v>29</v>
      </c>
      <c r="O864" s="1" t="s">
        <v>30</v>
      </c>
      <c r="P864">
        <v>1</v>
      </c>
      <c r="Q864" s="1" t="s">
        <v>31</v>
      </c>
      <c r="R864">
        <v>1</v>
      </c>
      <c r="S864" s="1" t="s">
        <v>32</v>
      </c>
      <c r="T864" s="1" t="s">
        <v>33</v>
      </c>
      <c r="U864" s="1" t="s">
        <v>41</v>
      </c>
    </row>
    <row r="865" spans="1:21" x14ac:dyDescent="0.3">
      <c r="A865" s="1" t="s">
        <v>42</v>
      </c>
      <c r="B865">
        <v>27</v>
      </c>
      <c r="C865" s="1" t="s">
        <v>22</v>
      </c>
      <c r="D865" s="1" t="s">
        <v>46</v>
      </c>
      <c r="E865">
        <v>4526</v>
      </c>
      <c r="F865" s="1" t="s">
        <v>58</v>
      </c>
      <c r="G865" s="1" t="s">
        <v>62</v>
      </c>
      <c r="H865">
        <v>4</v>
      </c>
      <c r="I865" s="1" t="s">
        <v>26</v>
      </c>
      <c r="J865" s="1" t="s">
        <v>27</v>
      </c>
      <c r="K865">
        <v>2</v>
      </c>
      <c r="L865" s="1" t="s">
        <v>28</v>
      </c>
      <c r="M865">
        <v>32</v>
      </c>
      <c r="N865" s="1" t="s">
        <v>70</v>
      </c>
      <c r="O865" s="1" t="s">
        <v>30</v>
      </c>
      <c r="P865">
        <v>2</v>
      </c>
      <c r="Q865" s="1" t="s">
        <v>45</v>
      </c>
      <c r="R865">
        <v>2</v>
      </c>
      <c r="S865" s="1" t="s">
        <v>32</v>
      </c>
      <c r="T865" s="1" t="s">
        <v>33</v>
      </c>
      <c r="U865" s="1" t="s">
        <v>34</v>
      </c>
    </row>
    <row r="866" spans="1:21" x14ac:dyDescent="0.3">
      <c r="A866" s="1" t="s">
        <v>42</v>
      </c>
      <c r="B866">
        <v>10</v>
      </c>
      <c r="C866" s="1" t="s">
        <v>36</v>
      </c>
      <c r="D866" s="1" t="s">
        <v>46</v>
      </c>
      <c r="E866">
        <v>2210</v>
      </c>
      <c r="F866" s="1" t="s">
        <v>37</v>
      </c>
      <c r="G866" s="1" t="s">
        <v>38</v>
      </c>
      <c r="H866">
        <v>2</v>
      </c>
      <c r="I866" s="1" t="s">
        <v>26</v>
      </c>
      <c r="J866" s="1" t="s">
        <v>27</v>
      </c>
      <c r="K866">
        <v>2</v>
      </c>
      <c r="L866" s="1" t="s">
        <v>28</v>
      </c>
      <c r="M866">
        <v>25</v>
      </c>
      <c r="N866" s="1" t="s">
        <v>66</v>
      </c>
      <c r="O866" s="1" t="s">
        <v>56</v>
      </c>
      <c r="P866">
        <v>1</v>
      </c>
      <c r="Q866" s="1" t="s">
        <v>45</v>
      </c>
      <c r="R866">
        <v>1</v>
      </c>
      <c r="S866" s="1" t="s">
        <v>40</v>
      </c>
      <c r="T866" s="1" t="s">
        <v>33</v>
      </c>
      <c r="U866" s="1" t="s">
        <v>41</v>
      </c>
    </row>
    <row r="867" spans="1:21" x14ac:dyDescent="0.3">
      <c r="A867" s="1" t="s">
        <v>42</v>
      </c>
      <c r="B867">
        <v>15</v>
      </c>
      <c r="C867" s="1" t="s">
        <v>36</v>
      </c>
      <c r="D867" s="1" t="s">
        <v>46</v>
      </c>
      <c r="E867">
        <v>2221</v>
      </c>
      <c r="F867" s="1" t="s">
        <v>53</v>
      </c>
      <c r="G867" s="1" t="s">
        <v>38</v>
      </c>
      <c r="H867">
        <v>2</v>
      </c>
      <c r="I867" s="1" t="s">
        <v>39</v>
      </c>
      <c r="J867" s="1" t="s">
        <v>27</v>
      </c>
      <c r="K867">
        <v>4</v>
      </c>
      <c r="L867" s="1" t="s">
        <v>55</v>
      </c>
      <c r="M867">
        <v>20</v>
      </c>
      <c r="N867" s="1" t="s">
        <v>29</v>
      </c>
      <c r="O867" s="1" t="s">
        <v>56</v>
      </c>
      <c r="P867">
        <v>1</v>
      </c>
      <c r="Q867" s="1" t="s">
        <v>31</v>
      </c>
      <c r="R867">
        <v>1</v>
      </c>
      <c r="S867" s="1" t="s">
        <v>40</v>
      </c>
      <c r="T867" s="1" t="s">
        <v>33</v>
      </c>
      <c r="U867" s="1" t="s">
        <v>34</v>
      </c>
    </row>
    <row r="868" spans="1:21" x14ac:dyDescent="0.3">
      <c r="A868" s="1" t="s">
        <v>21</v>
      </c>
      <c r="B868">
        <v>18</v>
      </c>
      <c r="C868" s="1" t="s">
        <v>36</v>
      </c>
      <c r="D868" s="1" t="s">
        <v>23</v>
      </c>
      <c r="E868">
        <v>2389</v>
      </c>
      <c r="F868" s="1" t="s">
        <v>37</v>
      </c>
      <c r="G868" s="1" t="s">
        <v>62</v>
      </c>
      <c r="H868">
        <v>4</v>
      </c>
      <c r="I868" s="1" t="s">
        <v>39</v>
      </c>
      <c r="J868" s="1" t="s">
        <v>27</v>
      </c>
      <c r="K868">
        <v>1</v>
      </c>
      <c r="L868" s="1" t="s">
        <v>55</v>
      </c>
      <c r="M868">
        <v>27</v>
      </c>
      <c r="N868" s="1" t="s">
        <v>70</v>
      </c>
      <c r="O868" s="1" t="s">
        <v>30</v>
      </c>
      <c r="P868">
        <v>1</v>
      </c>
      <c r="Q868" s="1" t="s">
        <v>31</v>
      </c>
      <c r="R868">
        <v>1</v>
      </c>
      <c r="S868" s="1" t="s">
        <v>40</v>
      </c>
      <c r="T868" s="1" t="s">
        <v>33</v>
      </c>
      <c r="U868" s="1" t="s">
        <v>34</v>
      </c>
    </row>
    <row r="869" spans="1:21" x14ac:dyDescent="0.3">
      <c r="A869" s="1" t="s">
        <v>42</v>
      </c>
      <c r="B869">
        <v>12</v>
      </c>
      <c r="C869" s="1" t="s">
        <v>22</v>
      </c>
      <c r="D869" s="1" t="s">
        <v>46</v>
      </c>
      <c r="E869">
        <v>3331</v>
      </c>
      <c r="F869" s="1" t="s">
        <v>37</v>
      </c>
      <c r="G869" s="1" t="s">
        <v>25</v>
      </c>
      <c r="H869">
        <v>2</v>
      </c>
      <c r="I869" s="1" t="s">
        <v>26</v>
      </c>
      <c r="J869" s="1" t="s">
        <v>27</v>
      </c>
      <c r="K869">
        <v>4</v>
      </c>
      <c r="L869" s="1" t="s">
        <v>48</v>
      </c>
      <c r="M869">
        <v>42</v>
      </c>
      <c r="N869" s="1" t="s">
        <v>70</v>
      </c>
      <c r="O869" s="1" t="s">
        <v>30</v>
      </c>
      <c r="P869">
        <v>1</v>
      </c>
      <c r="Q869" s="1" t="s">
        <v>31</v>
      </c>
      <c r="R869">
        <v>1</v>
      </c>
      <c r="S869" s="1" t="s">
        <v>40</v>
      </c>
      <c r="T869" s="1" t="s">
        <v>33</v>
      </c>
      <c r="U869" s="1" t="s">
        <v>34</v>
      </c>
    </row>
    <row r="870" spans="1:21" x14ac:dyDescent="0.3">
      <c r="A870" s="1" t="s">
        <v>42</v>
      </c>
      <c r="B870">
        <v>36</v>
      </c>
      <c r="C870" s="1" t="s">
        <v>36</v>
      </c>
      <c r="D870" s="1" t="s">
        <v>63</v>
      </c>
      <c r="E870">
        <v>7409</v>
      </c>
      <c r="F870" s="1" t="s">
        <v>24</v>
      </c>
      <c r="G870" s="1" t="s">
        <v>25</v>
      </c>
      <c r="H870">
        <v>3</v>
      </c>
      <c r="I870" s="1" t="s">
        <v>26</v>
      </c>
      <c r="J870" s="1" t="s">
        <v>27</v>
      </c>
      <c r="K870">
        <v>2</v>
      </c>
      <c r="L870" s="1" t="s">
        <v>48</v>
      </c>
      <c r="M870">
        <v>37</v>
      </c>
      <c r="N870" s="1" t="s">
        <v>29</v>
      </c>
      <c r="O870" s="1" t="s">
        <v>30</v>
      </c>
      <c r="P870">
        <v>2</v>
      </c>
      <c r="Q870" s="1" t="s">
        <v>31</v>
      </c>
      <c r="R870">
        <v>1</v>
      </c>
      <c r="S870" s="1" t="s">
        <v>40</v>
      </c>
      <c r="T870" s="1" t="s">
        <v>33</v>
      </c>
      <c r="U870" s="1" t="s">
        <v>34</v>
      </c>
    </row>
    <row r="871" spans="1:21" x14ac:dyDescent="0.3">
      <c r="A871" s="1" t="s">
        <v>21</v>
      </c>
      <c r="B871">
        <v>12</v>
      </c>
      <c r="C871" s="1" t="s">
        <v>36</v>
      </c>
      <c r="D871" s="1" t="s">
        <v>46</v>
      </c>
      <c r="E871">
        <v>652</v>
      </c>
      <c r="F871" s="1" t="s">
        <v>37</v>
      </c>
      <c r="G871" s="1" t="s">
        <v>25</v>
      </c>
      <c r="H871">
        <v>4</v>
      </c>
      <c r="I871" s="1" t="s">
        <v>39</v>
      </c>
      <c r="J871" s="1" t="s">
        <v>27</v>
      </c>
      <c r="K871">
        <v>4</v>
      </c>
      <c r="L871" s="1" t="s">
        <v>48</v>
      </c>
      <c r="M871">
        <v>24</v>
      </c>
      <c r="N871" s="1" t="s">
        <v>29</v>
      </c>
      <c r="O871" s="1" t="s">
        <v>56</v>
      </c>
      <c r="P871">
        <v>1</v>
      </c>
      <c r="Q871" s="1" t="s">
        <v>31</v>
      </c>
      <c r="R871">
        <v>1</v>
      </c>
      <c r="S871" s="1" t="s">
        <v>40</v>
      </c>
      <c r="T871" s="1" t="s">
        <v>33</v>
      </c>
      <c r="U871" s="1" t="s">
        <v>34</v>
      </c>
    </row>
    <row r="872" spans="1:21" x14ac:dyDescent="0.3">
      <c r="A872" s="1" t="s">
        <v>42</v>
      </c>
      <c r="B872">
        <v>36</v>
      </c>
      <c r="C872" s="1" t="s">
        <v>50</v>
      </c>
      <c r="D872" s="1" t="s">
        <v>46</v>
      </c>
      <c r="E872">
        <v>7678</v>
      </c>
      <c r="F872" s="1" t="s">
        <v>53</v>
      </c>
      <c r="G872" s="1" t="s">
        <v>44</v>
      </c>
      <c r="H872">
        <v>2</v>
      </c>
      <c r="I872" s="1" t="s">
        <v>39</v>
      </c>
      <c r="J872" s="1" t="s">
        <v>27</v>
      </c>
      <c r="K872">
        <v>4</v>
      </c>
      <c r="L872" s="1" t="s">
        <v>55</v>
      </c>
      <c r="M872">
        <v>40</v>
      </c>
      <c r="N872" s="1" t="s">
        <v>29</v>
      </c>
      <c r="O872" s="1" t="s">
        <v>30</v>
      </c>
      <c r="P872">
        <v>2</v>
      </c>
      <c r="Q872" s="1" t="s">
        <v>31</v>
      </c>
      <c r="R872">
        <v>1</v>
      </c>
      <c r="S872" s="1" t="s">
        <v>32</v>
      </c>
      <c r="T872" s="1" t="s">
        <v>33</v>
      </c>
      <c r="U872" s="1" t="s">
        <v>34</v>
      </c>
    </row>
    <row r="873" spans="1:21" x14ac:dyDescent="0.3">
      <c r="A873" s="1" t="s">
        <v>68</v>
      </c>
      <c r="B873">
        <v>6</v>
      </c>
      <c r="C873" s="1" t="s">
        <v>22</v>
      </c>
      <c r="D873" s="1" t="s">
        <v>51</v>
      </c>
      <c r="E873">
        <v>1343</v>
      </c>
      <c r="F873" s="1" t="s">
        <v>37</v>
      </c>
      <c r="G873" s="1" t="s">
        <v>25</v>
      </c>
      <c r="H873">
        <v>1</v>
      </c>
      <c r="I873" s="1" t="s">
        <v>26</v>
      </c>
      <c r="J873" s="1" t="s">
        <v>27</v>
      </c>
      <c r="K873">
        <v>4</v>
      </c>
      <c r="L873" s="1" t="s">
        <v>28</v>
      </c>
      <c r="M873">
        <v>46</v>
      </c>
      <c r="N873" s="1" t="s">
        <v>29</v>
      </c>
      <c r="O873" s="1" t="s">
        <v>30</v>
      </c>
      <c r="P873">
        <v>2</v>
      </c>
      <c r="Q873" s="1" t="s">
        <v>31</v>
      </c>
      <c r="R873">
        <v>2</v>
      </c>
      <c r="S873" s="1" t="s">
        <v>40</v>
      </c>
      <c r="T873" s="1" t="s">
        <v>67</v>
      </c>
      <c r="U873" s="1" t="s">
        <v>34</v>
      </c>
    </row>
    <row r="874" spans="1:21" x14ac:dyDescent="0.3">
      <c r="A874" s="1" t="s">
        <v>21</v>
      </c>
      <c r="B874">
        <v>24</v>
      </c>
      <c r="C874" s="1" t="s">
        <v>22</v>
      </c>
      <c r="D874" s="1" t="s">
        <v>63</v>
      </c>
      <c r="E874">
        <v>1382</v>
      </c>
      <c r="F874" s="1" t="s">
        <v>64</v>
      </c>
      <c r="G874" s="1" t="s">
        <v>44</v>
      </c>
      <c r="H874">
        <v>4</v>
      </c>
      <c r="I874" s="1" t="s">
        <v>26</v>
      </c>
      <c r="J874" s="1" t="s">
        <v>27</v>
      </c>
      <c r="K874">
        <v>1</v>
      </c>
      <c r="L874" s="1" t="s">
        <v>28</v>
      </c>
      <c r="M874">
        <v>26</v>
      </c>
      <c r="N874" s="1" t="s">
        <v>29</v>
      </c>
      <c r="O874" s="1" t="s">
        <v>30</v>
      </c>
      <c r="P874">
        <v>2</v>
      </c>
      <c r="Q874" s="1" t="s">
        <v>31</v>
      </c>
      <c r="R874">
        <v>1</v>
      </c>
      <c r="S874" s="1" t="s">
        <v>32</v>
      </c>
      <c r="T874" s="1" t="s">
        <v>33</v>
      </c>
      <c r="U874" s="1" t="s">
        <v>34</v>
      </c>
    </row>
    <row r="875" spans="1:21" x14ac:dyDescent="0.3">
      <c r="A875" s="1" t="s">
        <v>42</v>
      </c>
      <c r="B875">
        <v>15</v>
      </c>
      <c r="C875" s="1" t="s">
        <v>36</v>
      </c>
      <c r="D875" s="1" t="s">
        <v>72</v>
      </c>
      <c r="E875">
        <v>874</v>
      </c>
      <c r="F875" s="1" t="s">
        <v>24</v>
      </c>
      <c r="G875" s="1" t="s">
        <v>62</v>
      </c>
      <c r="H875">
        <v>4</v>
      </c>
      <c r="I875" s="1" t="s">
        <v>39</v>
      </c>
      <c r="J875" s="1" t="s">
        <v>27</v>
      </c>
      <c r="K875">
        <v>1</v>
      </c>
      <c r="L875" s="1" t="s">
        <v>28</v>
      </c>
      <c r="M875">
        <v>24</v>
      </c>
      <c r="N875" s="1" t="s">
        <v>29</v>
      </c>
      <c r="O875" s="1" t="s">
        <v>30</v>
      </c>
      <c r="P875">
        <v>1</v>
      </c>
      <c r="Q875" s="1" t="s">
        <v>31</v>
      </c>
      <c r="R875">
        <v>1</v>
      </c>
      <c r="S875" s="1" t="s">
        <v>40</v>
      </c>
      <c r="T875" s="1" t="s">
        <v>33</v>
      </c>
      <c r="U875" s="1" t="s">
        <v>34</v>
      </c>
    </row>
    <row r="876" spans="1:21" x14ac:dyDescent="0.3">
      <c r="A876" s="1" t="s">
        <v>21</v>
      </c>
      <c r="B876">
        <v>12</v>
      </c>
      <c r="C876" s="1" t="s">
        <v>36</v>
      </c>
      <c r="D876" s="1" t="s">
        <v>46</v>
      </c>
      <c r="E876">
        <v>3590</v>
      </c>
      <c r="F876" s="1" t="s">
        <v>37</v>
      </c>
      <c r="G876" s="1" t="s">
        <v>38</v>
      </c>
      <c r="H876">
        <v>2</v>
      </c>
      <c r="I876" s="1" t="s">
        <v>26</v>
      </c>
      <c r="J876" s="1" t="s">
        <v>71</v>
      </c>
      <c r="K876">
        <v>2</v>
      </c>
      <c r="L876" s="1" t="s">
        <v>48</v>
      </c>
      <c r="M876">
        <v>29</v>
      </c>
      <c r="N876" s="1" t="s">
        <v>29</v>
      </c>
      <c r="O876" s="1" t="s">
        <v>30</v>
      </c>
      <c r="P876">
        <v>1</v>
      </c>
      <c r="Q876" s="1" t="s">
        <v>45</v>
      </c>
      <c r="R876">
        <v>2</v>
      </c>
      <c r="S876" s="1" t="s">
        <v>40</v>
      </c>
      <c r="T876" s="1" t="s">
        <v>33</v>
      </c>
      <c r="U876" s="1" t="s">
        <v>34</v>
      </c>
    </row>
    <row r="877" spans="1:21" x14ac:dyDescent="0.3">
      <c r="A877" s="1" t="s">
        <v>35</v>
      </c>
      <c r="B877">
        <v>11</v>
      </c>
      <c r="C877" s="1" t="s">
        <v>22</v>
      </c>
      <c r="D877" s="1" t="s">
        <v>51</v>
      </c>
      <c r="E877">
        <v>1322</v>
      </c>
      <c r="F877" s="1" t="s">
        <v>58</v>
      </c>
      <c r="G877" s="1" t="s">
        <v>38</v>
      </c>
      <c r="H877">
        <v>4</v>
      </c>
      <c r="I877" s="1" t="s">
        <v>39</v>
      </c>
      <c r="J877" s="1" t="s">
        <v>27</v>
      </c>
      <c r="K877">
        <v>4</v>
      </c>
      <c r="L877" s="1" t="s">
        <v>55</v>
      </c>
      <c r="M877">
        <v>40</v>
      </c>
      <c r="N877" s="1" t="s">
        <v>29</v>
      </c>
      <c r="O877" s="1" t="s">
        <v>30</v>
      </c>
      <c r="P877">
        <v>2</v>
      </c>
      <c r="Q877" s="1" t="s">
        <v>31</v>
      </c>
      <c r="R877">
        <v>1</v>
      </c>
      <c r="S877" s="1" t="s">
        <v>40</v>
      </c>
      <c r="T877" s="1" t="s">
        <v>33</v>
      </c>
      <c r="U877" s="1" t="s">
        <v>34</v>
      </c>
    </row>
    <row r="878" spans="1:21" x14ac:dyDescent="0.3">
      <c r="A878" s="1" t="s">
        <v>21</v>
      </c>
      <c r="B878">
        <v>18</v>
      </c>
      <c r="C878" s="1" t="s">
        <v>69</v>
      </c>
      <c r="D878" s="1" t="s">
        <v>23</v>
      </c>
      <c r="E878">
        <v>1940</v>
      </c>
      <c r="F878" s="1" t="s">
        <v>37</v>
      </c>
      <c r="G878" s="1" t="s">
        <v>62</v>
      </c>
      <c r="H878">
        <v>3</v>
      </c>
      <c r="I878" s="1" t="s">
        <v>26</v>
      </c>
      <c r="J878" s="1" t="s">
        <v>71</v>
      </c>
      <c r="K878">
        <v>4</v>
      </c>
      <c r="L878" s="1" t="s">
        <v>52</v>
      </c>
      <c r="M878">
        <v>36</v>
      </c>
      <c r="N878" s="1" t="s">
        <v>66</v>
      </c>
      <c r="O878" s="1" t="s">
        <v>49</v>
      </c>
      <c r="P878">
        <v>1</v>
      </c>
      <c r="Q878" s="1" t="s">
        <v>57</v>
      </c>
      <c r="R878">
        <v>1</v>
      </c>
      <c r="S878" s="1" t="s">
        <v>32</v>
      </c>
      <c r="T878" s="1" t="s">
        <v>33</v>
      </c>
      <c r="U878" s="1" t="s">
        <v>34</v>
      </c>
    </row>
    <row r="879" spans="1:21" x14ac:dyDescent="0.3">
      <c r="A879" s="1" t="s">
        <v>42</v>
      </c>
      <c r="B879">
        <v>36</v>
      </c>
      <c r="C879" s="1" t="s">
        <v>36</v>
      </c>
      <c r="D879" s="1" t="s">
        <v>23</v>
      </c>
      <c r="E879">
        <v>3595</v>
      </c>
      <c r="F879" s="1" t="s">
        <v>37</v>
      </c>
      <c r="G879" s="1" t="s">
        <v>25</v>
      </c>
      <c r="H879">
        <v>4</v>
      </c>
      <c r="I879" s="1" t="s">
        <v>26</v>
      </c>
      <c r="J879" s="1" t="s">
        <v>27</v>
      </c>
      <c r="K879">
        <v>2</v>
      </c>
      <c r="L879" s="1" t="s">
        <v>55</v>
      </c>
      <c r="M879">
        <v>28</v>
      </c>
      <c r="N879" s="1" t="s">
        <v>29</v>
      </c>
      <c r="O879" s="1" t="s">
        <v>30</v>
      </c>
      <c r="P879">
        <v>1</v>
      </c>
      <c r="Q879" s="1" t="s">
        <v>31</v>
      </c>
      <c r="R879">
        <v>1</v>
      </c>
      <c r="S879" s="1" t="s">
        <v>40</v>
      </c>
      <c r="T879" s="1" t="s">
        <v>33</v>
      </c>
      <c r="U879" s="1" t="s">
        <v>34</v>
      </c>
    </row>
    <row r="880" spans="1:21" x14ac:dyDescent="0.3">
      <c r="A880" s="1" t="s">
        <v>21</v>
      </c>
      <c r="B880">
        <v>9</v>
      </c>
      <c r="C880" s="1" t="s">
        <v>36</v>
      </c>
      <c r="D880" s="1" t="s">
        <v>51</v>
      </c>
      <c r="E880">
        <v>1422</v>
      </c>
      <c r="F880" s="1" t="s">
        <v>37</v>
      </c>
      <c r="G880" s="1" t="s">
        <v>62</v>
      </c>
      <c r="H880">
        <v>3</v>
      </c>
      <c r="I880" s="1" t="s">
        <v>26</v>
      </c>
      <c r="J880" s="1" t="s">
        <v>27</v>
      </c>
      <c r="K880">
        <v>2</v>
      </c>
      <c r="L880" s="1" t="s">
        <v>52</v>
      </c>
      <c r="M880">
        <v>27</v>
      </c>
      <c r="N880" s="1" t="s">
        <v>29</v>
      </c>
      <c r="O880" s="1" t="s">
        <v>49</v>
      </c>
      <c r="P880">
        <v>1</v>
      </c>
      <c r="Q880" s="1" t="s">
        <v>57</v>
      </c>
      <c r="R880">
        <v>1</v>
      </c>
      <c r="S880" s="1" t="s">
        <v>32</v>
      </c>
      <c r="T880" s="1" t="s">
        <v>33</v>
      </c>
      <c r="U880" s="1" t="s">
        <v>41</v>
      </c>
    </row>
    <row r="881" spans="1:21" x14ac:dyDescent="0.3">
      <c r="A881" s="1" t="s">
        <v>42</v>
      </c>
      <c r="B881">
        <v>30</v>
      </c>
      <c r="C881" s="1" t="s">
        <v>22</v>
      </c>
      <c r="D881" s="1" t="s">
        <v>23</v>
      </c>
      <c r="E881">
        <v>6742</v>
      </c>
      <c r="F881" s="1" t="s">
        <v>24</v>
      </c>
      <c r="G881" s="1" t="s">
        <v>44</v>
      </c>
      <c r="H881">
        <v>2</v>
      </c>
      <c r="I881" s="1" t="s">
        <v>26</v>
      </c>
      <c r="J881" s="1" t="s">
        <v>27</v>
      </c>
      <c r="K881">
        <v>3</v>
      </c>
      <c r="L881" s="1" t="s">
        <v>48</v>
      </c>
      <c r="M881">
        <v>36</v>
      </c>
      <c r="N881" s="1" t="s">
        <v>29</v>
      </c>
      <c r="O881" s="1" t="s">
        <v>30</v>
      </c>
      <c r="P881">
        <v>2</v>
      </c>
      <c r="Q881" s="1" t="s">
        <v>31</v>
      </c>
      <c r="R881">
        <v>1</v>
      </c>
      <c r="S881" s="1" t="s">
        <v>40</v>
      </c>
      <c r="T881" s="1" t="s">
        <v>33</v>
      </c>
      <c r="U881" s="1" t="s">
        <v>34</v>
      </c>
    </row>
    <row r="882" spans="1:21" x14ac:dyDescent="0.3">
      <c r="A882" s="1" t="s">
        <v>42</v>
      </c>
      <c r="B882">
        <v>24</v>
      </c>
      <c r="C882" s="1" t="s">
        <v>36</v>
      </c>
      <c r="D882" s="1" t="s">
        <v>54</v>
      </c>
      <c r="E882">
        <v>7814</v>
      </c>
      <c r="F882" s="1" t="s">
        <v>37</v>
      </c>
      <c r="G882" s="1" t="s">
        <v>44</v>
      </c>
      <c r="H882">
        <v>3</v>
      </c>
      <c r="I882" s="1" t="s">
        <v>26</v>
      </c>
      <c r="J882" s="1" t="s">
        <v>27</v>
      </c>
      <c r="K882">
        <v>3</v>
      </c>
      <c r="L882" s="1" t="s">
        <v>55</v>
      </c>
      <c r="M882">
        <v>38</v>
      </c>
      <c r="N882" s="1" t="s">
        <v>29</v>
      </c>
      <c r="O882" s="1" t="s">
        <v>30</v>
      </c>
      <c r="P882">
        <v>1</v>
      </c>
      <c r="Q882" s="1" t="s">
        <v>57</v>
      </c>
      <c r="R882">
        <v>1</v>
      </c>
      <c r="S882" s="1" t="s">
        <v>32</v>
      </c>
      <c r="T882" s="1" t="s">
        <v>33</v>
      </c>
      <c r="U882" s="1" t="s">
        <v>34</v>
      </c>
    </row>
    <row r="883" spans="1:21" x14ac:dyDescent="0.3">
      <c r="A883" s="1" t="s">
        <v>42</v>
      </c>
      <c r="B883">
        <v>24</v>
      </c>
      <c r="C883" s="1" t="s">
        <v>36</v>
      </c>
      <c r="D883" s="1" t="s">
        <v>54</v>
      </c>
      <c r="E883">
        <v>9277</v>
      </c>
      <c r="F883" s="1" t="s">
        <v>24</v>
      </c>
      <c r="G883" s="1" t="s">
        <v>38</v>
      </c>
      <c r="H883">
        <v>2</v>
      </c>
      <c r="I883" s="1" t="s">
        <v>59</v>
      </c>
      <c r="J883" s="1" t="s">
        <v>27</v>
      </c>
      <c r="K883">
        <v>4</v>
      </c>
      <c r="L883" s="1" t="s">
        <v>52</v>
      </c>
      <c r="M883">
        <v>48</v>
      </c>
      <c r="N883" s="1" t="s">
        <v>29</v>
      </c>
      <c r="O883" s="1" t="s">
        <v>49</v>
      </c>
      <c r="P883">
        <v>1</v>
      </c>
      <c r="Q883" s="1" t="s">
        <v>31</v>
      </c>
      <c r="R883">
        <v>1</v>
      </c>
      <c r="S883" s="1" t="s">
        <v>32</v>
      </c>
      <c r="T883" s="1" t="s">
        <v>33</v>
      </c>
      <c r="U883" s="1" t="s">
        <v>34</v>
      </c>
    </row>
    <row r="884" spans="1:21" x14ac:dyDescent="0.3">
      <c r="A884" s="1" t="s">
        <v>35</v>
      </c>
      <c r="B884">
        <v>30</v>
      </c>
      <c r="C884" s="1" t="s">
        <v>22</v>
      </c>
      <c r="D884" s="1" t="s">
        <v>51</v>
      </c>
      <c r="E884">
        <v>2181</v>
      </c>
      <c r="F884" s="1" t="s">
        <v>24</v>
      </c>
      <c r="G884" s="1" t="s">
        <v>25</v>
      </c>
      <c r="H884">
        <v>4</v>
      </c>
      <c r="I884" s="1" t="s">
        <v>26</v>
      </c>
      <c r="J884" s="1" t="s">
        <v>27</v>
      </c>
      <c r="K884">
        <v>4</v>
      </c>
      <c r="L884" s="1" t="s">
        <v>28</v>
      </c>
      <c r="M884">
        <v>36</v>
      </c>
      <c r="N884" s="1" t="s">
        <v>29</v>
      </c>
      <c r="O884" s="1" t="s">
        <v>30</v>
      </c>
      <c r="P884">
        <v>2</v>
      </c>
      <c r="Q884" s="1" t="s">
        <v>31</v>
      </c>
      <c r="R884">
        <v>1</v>
      </c>
      <c r="S884" s="1" t="s">
        <v>40</v>
      </c>
      <c r="T884" s="1" t="s">
        <v>33</v>
      </c>
      <c r="U884" s="1" t="s">
        <v>34</v>
      </c>
    </row>
    <row r="885" spans="1:21" x14ac:dyDescent="0.3">
      <c r="A885" s="1" t="s">
        <v>42</v>
      </c>
      <c r="B885">
        <v>18</v>
      </c>
      <c r="C885" s="1" t="s">
        <v>22</v>
      </c>
      <c r="D885" s="1" t="s">
        <v>23</v>
      </c>
      <c r="E885">
        <v>1098</v>
      </c>
      <c r="F885" s="1" t="s">
        <v>37</v>
      </c>
      <c r="G885" s="1" t="s">
        <v>60</v>
      </c>
      <c r="H885">
        <v>4</v>
      </c>
      <c r="I885" s="1" t="s">
        <v>39</v>
      </c>
      <c r="J885" s="1" t="s">
        <v>27</v>
      </c>
      <c r="K885">
        <v>4</v>
      </c>
      <c r="L885" s="1" t="s">
        <v>55</v>
      </c>
      <c r="M885">
        <v>65</v>
      </c>
      <c r="N885" s="1" t="s">
        <v>29</v>
      </c>
      <c r="O885" s="1" t="s">
        <v>30</v>
      </c>
      <c r="P885">
        <v>2</v>
      </c>
      <c r="Q885" s="1" t="s">
        <v>74</v>
      </c>
      <c r="R885">
        <v>1</v>
      </c>
      <c r="S885" s="1" t="s">
        <v>40</v>
      </c>
      <c r="T885" s="1" t="s">
        <v>33</v>
      </c>
      <c r="U885" s="1" t="s">
        <v>34</v>
      </c>
    </row>
    <row r="886" spans="1:21" x14ac:dyDescent="0.3">
      <c r="A886" s="1" t="s">
        <v>35</v>
      </c>
      <c r="B886">
        <v>24</v>
      </c>
      <c r="C886" s="1" t="s">
        <v>36</v>
      </c>
      <c r="D886" s="1" t="s">
        <v>46</v>
      </c>
      <c r="E886">
        <v>4057</v>
      </c>
      <c r="F886" s="1" t="s">
        <v>37</v>
      </c>
      <c r="G886" s="1" t="s">
        <v>44</v>
      </c>
      <c r="H886">
        <v>3</v>
      </c>
      <c r="I886" s="1" t="s">
        <v>59</v>
      </c>
      <c r="J886" s="1" t="s">
        <v>27</v>
      </c>
      <c r="K886">
        <v>3</v>
      </c>
      <c r="L886" s="1" t="s">
        <v>55</v>
      </c>
      <c r="M886">
        <v>43</v>
      </c>
      <c r="N886" s="1" t="s">
        <v>29</v>
      </c>
      <c r="O886" s="1" t="s">
        <v>30</v>
      </c>
      <c r="P886">
        <v>1</v>
      </c>
      <c r="Q886" s="1" t="s">
        <v>31</v>
      </c>
      <c r="R886">
        <v>1</v>
      </c>
      <c r="S886" s="1" t="s">
        <v>32</v>
      </c>
      <c r="T886" s="1" t="s">
        <v>33</v>
      </c>
      <c r="U886" s="1" t="s">
        <v>41</v>
      </c>
    </row>
    <row r="887" spans="1:21" x14ac:dyDescent="0.3">
      <c r="A887" s="1" t="s">
        <v>21</v>
      </c>
      <c r="B887">
        <v>12</v>
      </c>
      <c r="C887" s="1" t="s">
        <v>36</v>
      </c>
      <c r="D887" s="1" t="s">
        <v>43</v>
      </c>
      <c r="E887">
        <v>795</v>
      </c>
      <c r="F887" s="1" t="s">
        <v>37</v>
      </c>
      <c r="G887" s="1" t="s">
        <v>62</v>
      </c>
      <c r="H887">
        <v>4</v>
      </c>
      <c r="I887" s="1" t="s">
        <v>39</v>
      </c>
      <c r="J887" s="1" t="s">
        <v>27</v>
      </c>
      <c r="K887">
        <v>4</v>
      </c>
      <c r="L887" s="1" t="s">
        <v>48</v>
      </c>
      <c r="M887">
        <v>53</v>
      </c>
      <c r="N887" s="1" t="s">
        <v>29</v>
      </c>
      <c r="O887" s="1" t="s">
        <v>30</v>
      </c>
      <c r="P887">
        <v>1</v>
      </c>
      <c r="Q887" s="1" t="s">
        <v>31</v>
      </c>
      <c r="R887">
        <v>1</v>
      </c>
      <c r="S887" s="1" t="s">
        <v>40</v>
      </c>
      <c r="T887" s="1" t="s">
        <v>33</v>
      </c>
      <c r="U887" s="1" t="s">
        <v>41</v>
      </c>
    </row>
    <row r="888" spans="1:21" x14ac:dyDescent="0.3">
      <c r="A888" s="1" t="s">
        <v>35</v>
      </c>
      <c r="B888">
        <v>24</v>
      </c>
      <c r="C888" s="1" t="s">
        <v>22</v>
      </c>
      <c r="D888" s="1" t="s">
        <v>63</v>
      </c>
      <c r="E888">
        <v>2825</v>
      </c>
      <c r="F888" s="1" t="s">
        <v>24</v>
      </c>
      <c r="G888" s="1" t="s">
        <v>44</v>
      </c>
      <c r="H888">
        <v>4</v>
      </c>
      <c r="I888" s="1" t="s">
        <v>26</v>
      </c>
      <c r="J888" s="1" t="s">
        <v>27</v>
      </c>
      <c r="K888">
        <v>3</v>
      </c>
      <c r="L888" s="1" t="s">
        <v>52</v>
      </c>
      <c r="M888">
        <v>34</v>
      </c>
      <c r="N888" s="1" t="s">
        <v>29</v>
      </c>
      <c r="O888" s="1" t="s">
        <v>30</v>
      </c>
      <c r="P888">
        <v>2</v>
      </c>
      <c r="Q888" s="1" t="s">
        <v>31</v>
      </c>
      <c r="R888">
        <v>2</v>
      </c>
      <c r="S888" s="1" t="s">
        <v>32</v>
      </c>
      <c r="T888" s="1" t="s">
        <v>33</v>
      </c>
      <c r="U888" s="1" t="s">
        <v>34</v>
      </c>
    </row>
    <row r="889" spans="1:21" x14ac:dyDescent="0.3">
      <c r="A889" s="1" t="s">
        <v>35</v>
      </c>
      <c r="B889">
        <v>48</v>
      </c>
      <c r="C889" s="1" t="s">
        <v>36</v>
      </c>
      <c r="D889" s="1" t="s">
        <v>63</v>
      </c>
      <c r="E889">
        <v>15672</v>
      </c>
      <c r="F889" s="1" t="s">
        <v>37</v>
      </c>
      <c r="G889" s="1" t="s">
        <v>38</v>
      </c>
      <c r="H889">
        <v>2</v>
      </c>
      <c r="I889" s="1" t="s">
        <v>26</v>
      </c>
      <c r="J889" s="1" t="s">
        <v>27</v>
      </c>
      <c r="K889">
        <v>2</v>
      </c>
      <c r="L889" s="1" t="s">
        <v>55</v>
      </c>
      <c r="M889">
        <v>23</v>
      </c>
      <c r="N889" s="1" t="s">
        <v>29</v>
      </c>
      <c r="O889" s="1" t="s">
        <v>30</v>
      </c>
      <c r="P889">
        <v>1</v>
      </c>
      <c r="Q889" s="1" t="s">
        <v>31</v>
      </c>
      <c r="R889">
        <v>1</v>
      </c>
      <c r="S889" s="1" t="s">
        <v>32</v>
      </c>
      <c r="T889" s="1" t="s">
        <v>33</v>
      </c>
      <c r="U889" s="1" t="s">
        <v>41</v>
      </c>
    </row>
    <row r="890" spans="1:21" x14ac:dyDescent="0.3">
      <c r="A890" s="1" t="s">
        <v>42</v>
      </c>
      <c r="B890">
        <v>36</v>
      </c>
      <c r="C890" s="1" t="s">
        <v>22</v>
      </c>
      <c r="D890" s="1" t="s">
        <v>51</v>
      </c>
      <c r="E890">
        <v>6614</v>
      </c>
      <c r="F890" s="1" t="s">
        <v>37</v>
      </c>
      <c r="G890" s="1" t="s">
        <v>25</v>
      </c>
      <c r="H890">
        <v>4</v>
      </c>
      <c r="I890" s="1" t="s">
        <v>26</v>
      </c>
      <c r="J890" s="1" t="s">
        <v>27</v>
      </c>
      <c r="K890">
        <v>4</v>
      </c>
      <c r="L890" s="1" t="s">
        <v>55</v>
      </c>
      <c r="M890">
        <v>34</v>
      </c>
      <c r="N890" s="1" t="s">
        <v>29</v>
      </c>
      <c r="O890" s="1" t="s">
        <v>30</v>
      </c>
      <c r="P890">
        <v>2</v>
      </c>
      <c r="Q890" s="1" t="s">
        <v>57</v>
      </c>
      <c r="R890">
        <v>1</v>
      </c>
      <c r="S890" s="1" t="s">
        <v>32</v>
      </c>
      <c r="T890" s="1" t="s">
        <v>33</v>
      </c>
      <c r="U890" s="1" t="s">
        <v>34</v>
      </c>
    </row>
    <row r="891" spans="1:21" x14ac:dyDescent="0.3">
      <c r="A891" s="1" t="s">
        <v>42</v>
      </c>
      <c r="B891">
        <v>28</v>
      </c>
      <c r="C891" s="1" t="s">
        <v>69</v>
      </c>
      <c r="D891" s="1" t="s">
        <v>54</v>
      </c>
      <c r="E891">
        <v>7824</v>
      </c>
      <c r="F891" s="1" t="s">
        <v>24</v>
      </c>
      <c r="G891" s="1" t="s">
        <v>62</v>
      </c>
      <c r="H891">
        <v>3</v>
      </c>
      <c r="I891" s="1" t="s">
        <v>26</v>
      </c>
      <c r="J891" s="1" t="s">
        <v>47</v>
      </c>
      <c r="K891">
        <v>4</v>
      </c>
      <c r="L891" s="1" t="s">
        <v>28</v>
      </c>
      <c r="M891">
        <v>40</v>
      </c>
      <c r="N891" s="1" t="s">
        <v>66</v>
      </c>
      <c r="O891" s="1" t="s">
        <v>56</v>
      </c>
      <c r="P891">
        <v>2</v>
      </c>
      <c r="Q891" s="1" t="s">
        <v>31</v>
      </c>
      <c r="R891">
        <v>2</v>
      </c>
      <c r="S891" s="1" t="s">
        <v>32</v>
      </c>
      <c r="T891" s="1" t="s">
        <v>33</v>
      </c>
      <c r="U891" s="1" t="s">
        <v>34</v>
      </c>
    </row>
    <row r="892" spans="1:21" x14ac:dyDescent="0.3">
      <c r="A892" s="1" t="s">
        <v>21</v>
      </c>
      <c r="B892">
        <v>27</v>
      </c>
      <c r="C892" s="1" t="s">
        <v>22</v>
      </c>
      <c r="D892" s="1" t="s">
        <v>63</v>
      </c>
      <c r="E892">
        <v>2442</v>
      </c>
      <c r="F892" s="1" t="s">
        <v>37</v>
      </c>
      <c r="G892" s="1" t="s">
        <v>25</v>
      </c>
      <c r="H892">
        <v>4</v>
      </c>
      <c r="I892" s="1" t="s">
        <v>26</v>
      </c>
      <c r="J892" s="1" t="s">
        <v>27</v>
      </c>
      <c r="K892">
        <v>4</v>
      </c>
      <c r="L892" s="1" t="s">
        <v>55</v>
      </c>
      <c r="M892">
        <v>43</v>
      </c>
      <c r="N892" s="1" t="s">
        <v>70</v>
      </c>
      <c r="O892" s="1" t="s">
        <v>30</v>
      </c>
      <c r="P892">
        <v>4</v>
      </c>
      <c r="Q892" s="1" t="s">
        <v>57</v>
      </c>
      <c r="R892">
        <v>2</v>
      </c>
      <c r="S892" s="1" t="s">
        <v>32</v>
      </c>
      <c r="T892" s="1" t="s">
        <v>33</v>
      </c>
      <c r="U892" s="1" t="s">
        <v>34</v>
      </c>
    </row>
    <row r="893" spans="1:21" x14ac:dyDescent="0.3">
      <c r="A893" s="1" t="s">
        <v>42</v>
      </c>
      <c r="B893">
        <v>15</v>
      </c>
      <c r="C893" s="1" t="s">
        <v>22</v>
      </c>
      <c r="D893" s="1" t="s">
        <v>23</v>
      </c>
      <c r="E893">
        <v>1829</v>
      </c>
      <c r="F893" s="1" t="s">
        <v>37</v>
      </c>
      <c r="G893" s="1" t="s">
        <v>25</v>
      </c>
      <c r="H893">
        <v>4</v>
      </c>
      <c r="I893" s="1" t="s">
        <v>26</v>
      </c>
      <c r="J893" s="1" t="s">
        <v>27</v>
      </c>
      <c r="K893">
        <v>4</v>
      </c>
      <c r="L893" s="1" t="s">
        <v>55</v>
      </c>
      <c r="M893">
        <v>46</v>
      </c>
      <c r="N893" s="1" t="s">
        <v>29</v>
      </c>
      <c r="O893" s="1" t="s">
        <v>30</v>
      </c>
      <c r="P893">
        <v>2</v>
      </c>
      <c r="Q893" s="1" t="s">
        <v>31</v>
      </c>
      <c r="R893">
        <v>1</v>
      </c>
      <c r="S893" s="1" t="s">
        <v>32</v>
      </c>
      <c r="T893" s="1" t="s">
        <v>33</v>
      </c>
      <c r="U893" s="1" t="s">
        <v>34</v>
      </c>
    </row>
    <row r="894" spans="1:21" x14ac:dyDescent="0.3">
      <c r="A894" s="1" t="s">
        <v>21</v>
      </c>
      <c r="B894">
        <v>12</v>
      </c>
      <c r="C894" s="1" t="s">
        <v>22</v>
      </c>
      <c r="D894" s="1" t="s">
        <v>51</v>
      </c>
      <c r="E894">
        <v>2171</v>
      </c>
      <c r="F894" s="1" t="s">
        <v>37</v>
      </c>
      <c r="G894" s="1" t="s">
        <v>38</v>
      </c>
      <c r="H894">
        <v>4</v>
      </c>
      <c r="I894" s="1" t="s">
        <v>26</v>
      </c>
      <c r="J894" s="1" t="s">
        <v>27</v>
      </c>
      <c r="K894">
        <v>4</v>
      </c>
      <c r="L894" s="1" t="s">
        <v>48</v>
      </c>
      <c r="M894">
        <v>38</v>
      </c>
      <c r="N894" s="1" t="s">
        <v>66</v>
      </c>
      <c r="O894" s="1" t="s">
        <v>30</v>
      </c>
      <c r="P894">
        <v>2</v>
      </c>
      <c r="Q894" s="1" t="s">
        <v>45</v>
      </c>
      <c r="R894">
        <v>1</v>
      </c>
      <c r="S894" s="1" t="s">
        <v>40</v>
      </c>
      <c r="T894" s="1" t="s">
        <v>67</v>
      </c>
      <c r="U894" s="1" t="s">
        <v>34</v>
      </c>
    </row>
    <row r="895" spans="1:21" x14ac:dyDescent="0.3">
      <c r="A895" s="1" t="s">
        <v>35</v>
      </c>
      <c r="B895">
        <v>36</v>
      </c>
      <c r="C895" s="1" t="s">
        <v>22</v>
      </c>
      <c r="D895" s="1" t="s">
        <v>54</v>
      </c>
      <c r="E895">
        <v>5800</v>
      </c>
      <c r="F895" s="1" t="s">
        <v>37</v>
      </c>
      <c r="G895" s="1" t="s">
        <v>38</v>
      </c>
      <c r="H895">
        <v>3</v>
      </c>
      <c r="I895" s="1" t="s">
        <v>26</v>
      </c>
      <c r="J895" s="1" t="s">
        <v>27</v>
      </c>
      <c r="K895">
        <v>4</v>
      </c>
      <c r="L895" s="1" t="s">
        <v>55</v>
      </c>
      <c r="M895">
        <v>34</v>
      </c>
      <c r="N895" s="1" t="s">
        <v>29</v>
      </c>
      <c r="O895" s="1" t="s">
        <v>30</v>
      </c>
      <c r="P895">
        <v>2</v>
      </c>
      <c r="Q895" s="1" t="s">
        <v>31</v>
      </c>
      <c r="R895">
        <v>1</v>
      </c>
      <c r="S895" s="1" t="s">
        <v>32</v>
      </c>
      <c r="T895" s="1" t="s">
        <v>33</v>
      </c>
      <c r="U895" s="1" t="s">
        <v>34</v>
      </c>
    </row>
    <row r="896" spans="1:21" x14ac:dyDescent="0.3">
      <c r="A896" s="1" t="s">
        <v>42</v>
      </c>
      <c r="B896">
        <v>18</v>
      </c>
      <c r="C896" s="1" t="s">
        <v>22</v>
      </c>
      <c r="D896" s="1" t="s">
        <v>23</v>
      </c>
      <c r="E896">
        <v>1169</v>
      </c>
      <c r="F896" s="1" t="s">
        <v>24</v>
      </c>
      <c r="G896" s="1" t="s">
        <v>38</v>
      </c>
      <c r="H896">
        <v>4</v>
      </c>
      <c r="I896" s="1" t="s">
        <v>26</v>
      </c>
      <c r="J896" s="1" t="s">
        <v>27</v>
      </c>
      <c r="K896">
        <v>3</v>
      </c>
      <c r="L896" s="1" t="s">
        <v>48</v>
      </c>
      <c r="M896">
        <v>29</v>
      </c>
      <c r="N896" s="1" t="s">
        <v>29</v>
      </c>
      <c r="O896" s="1" t="s">
        <v>30</v>
      </c>
      <c r="P896">
        <v>2</v>
      </c>
      <c r="Q896" s="1" t="s">
        <v>31</v>
      </c>
      <c r="R896">
        <v>1</v>
      </c>
      <c r="S896" s="1" t="s">
        <v>32</v>
      </c>
      <c r="T896" s="1" t="s">
        <v>33</v>
      </c>
      <c r="U896" s="1" t="s">
        <v>34</v>
      </c>
    </row>
    <row r="897" spans="1:21" x14ac:dyDescent="0.3">
      <c r="A897" s="1" t="s">
        <v>42</v>
      </c>
      <c r="B897">
        <v>36</v>
      </c>
      <c r="C897" s="1" t="s">
        <v>50</v>
      </c>
      <c r="D897" s="1" t="s">
        <v>54</v>
      </c>
      <c r="E897">
        <v>8947</v>
      </c>
      <c r="F897" s="1" t="s">
        <v>24</v>
      </c>
      <c r="G897" s="1" t="s">
        <v>44</v>
      </c>
      <c r="H897">
        <v>3</v>
      </c>
      <c r="I897" s="1" t="s">
        <v>26</v>
      </c>
      <c r="J897" s="1" t="s">
        <v>27</v>
      </c>
      <c r="K897">
        <v>2</v>
      </c>
      <c r="L897" s="1" t="s">
        <v>55</v>
      </c>
      <c r="M897">
        <v>31</v>
      </c>
      <c r="N897" s="1" t="s">
        <v>70</v>
      </c>
      <c r="O897" s="1" t="s">
        <v>30</v>
      </c>
      <c r="P897">
        <v>1</v>
      </c>
      <c r="Q897" s="1" t="s">
        <v>57</v>
      </c>
      <c r="R897">
        <v>2</v>
      </c>
      <c r="S897" s="1" t="s">
        <v>32</v>
      </c>
      <c r="T897" s="1" t="s">
        <v>33</v>
      </c>
      <c r="U897" s="1" t="s">
        <v>34</v>
      </c>
    </row>
    <row r="898" spans="1:21" x14ac:dyDescent="0.3">
      <c r="A898" s="1" t="s">
        <v>21</v>
      </c>
      <c r="B898">
        <v>21</v>
      </c>
      <c r="C898" s="1" t="s">
        <v>36</v>
      </c>
      <c r="D898" s="1" t="s">
        <v>23</v>
      </c>
      <c r="E898">
        <v>2606</v>
      </c>
      <c r="F898" s="1" t="s">
        <v>37</v>
      </c>
      <c r="G898" s="1" t="s">
        <v>62</v>
      </c>
      <c r="H898">
        <v>4</v>
      </c>
      <c r="I898" s="1" t="s">
        <v>39</v>
      </c>
      <c r="J898" s="1" t="s">
        <v>27</v>
      </c>
      <c r="K898">
        <v>4</v>
      </c>
      <c r="L898" s="1" t="s">
        <v>48</v>
      </c>
      <c r="M898">
        <v>28</v>
      </c>
      <c r="N898" s="1" t="s">
        <v>29</v>
      </c>
      <c r="O898" s="1" t="s">
        <v>56</v>
      </c>
      <c r="P898">
        <v>1</v>
      </c>
      <c r="Q898" s="1" t="s">
        <v>57</v>
      </c>
      <c r="R898">
        <v>1</v>
      </c>
      <c r="S898" s="1" t="s">
        <v>32</v>
      </c>
      <c r="T898" s="1" t="s">
        <v>33</v>
      </c>
      <c r="U898" s="1" t="s">
        <v>34</v>
      </c>
    </row>
    <row r="899" spans="1:21" x14ac:dyDescent="0.3">
      <c r="A899" s="1" t="s">
        <v>42</v>
      </c>
      <c r="B899">
        <v>12</v>
      </c>
      <c r="C899" s="1" t="s">
        <v>22</v>
      </c>
      <c r="D899" s="1" t="s">
        <v>46</v>
      </c>
      <c r="E899">
        <v>1592</v>
      </c>
      <c r="F899" s="1" t="s">
        <v>58</v>
      </c>
      <c r="G899" s="1" t="s">
        <v>44</v>
      </c>
      <c r="H899">
        <v>3</v>
      </c>
      <c r="I899" s="1" t="s">
        <v>39</v>
      </c>
      <c r="J899" s="1" t="s">
        <v>27</v>
      </c>
      <c r="K899">
        <v>2</v>
      </c>
      <c r="L899" s="1" t="s">
        <v>48</v>
      </c>
      <c r="M899">
        <v>35</v>
      </c>
      <c r="N899" s="1" t="s">
        <v>29</v>
      </c>
      <c r="O899" s="1" t="s">
        <v>30</v>
      </c>
      <c r="P899">
        <v>1</v>
      </c>
      <c r="Q899" s="1" t="s">
        <v>31</v>
      </c>
      <c r="R899">
        <v>1</v>
      </c>
      <c r="S899" s="1" t="s">
        <v>40</v>
      </c>
      <c r="T899" s="1" t="s">
        <v>67</v>
      </c>
      <c r="U899" s="1" t="s">
        <v>34</v>
      </c>
    </row>
    <row r="900" spans="1:21" x14ac:dyDescent="0.3">
      <c r="A900" s="1" t="s">
        <v>42</v>
      </c>
      <c r="B900">
        <v>15</v>
      </c>
      <c r="C900" s="1" t="s">
        <v>36</v>
      </c>
      <c r="D900" s="1" t="s">
        <v>46</v>
      </c>
      <c r="E900">
        <v>2186</v>
      </c>
      <c r="F900" s="1" t="s">
        <v>24</v>
      </c>
      <c r="G900" s="1" t="s">
        <v>44</v>
      </c>
      <c r="H900">
        <v>1</v>
      </c>
      <c r="I900" s="1" t="s">
        <v>39</v>
      </c>
      <c r="J900" s="1" t="s">
        <v>27</v>
      </c>
      <c r="K900">
        <v>4</v>
      </c>
      <c r="L900" s="1" t="s">
        <v>28</v>
      </c>
      <c r="M900">
        <v>33</v>
      </c>
      <c r="N900" s="1" t="s">
        <v>66</v>
      </c>
      <c r="O900" s="1" t="s">
        <v>56</v>
      </c>
      <c r="P900">
        <v>1</v>
      </c>
      <c r="Q900" s="1" t="s">
        <v>45</v>
      </c>
      <c r="R900">
        <v>1</v>
      </c>
      <c r="S900" s="1" t="s">
        <v>40</v>
      </c>
      <c r="T900" s="1" t="s">
        <v>33</v>
      </c>
      <c r="U900" s="1" t="s">
        <v>34</v>
      </c>
    </row>
    <row r="901" spans="1:21" x14ac:dyDescent="0.3">
      <c r="A901" s="1" t="s">
        <v>21</v>
      </c>
      <c r="B901">
        <v>18</v>
      </c>
      <c r="C901" s="1" t="s">
        <v>36</v>
      </c>
      <c r="D901" s="1" t="s">
        <v>46</v>
      </c>
      <c r="E901">
        <v>4153</v>
      </c>
      <c r="F901" s="1" t="s">
        <v>37</v>
      </c>
      <c r="G901" s="1" t="s">
        <v>38</v>
      </c>
      <c r="H901">
        <v>2</v>
      </c>
      <c r="I901" s="1" t="s">
        <v>26</v>
      </c>
      <c r="J901" s="1" t="s">
        <v>71</v>
      </c>
      <c r="K901">
        <v>3</v>
      </c>
      <c r="L901" s="1" t="s">
        <v>55</v>
      </c>
      <c r="M901">
        <v>42</v>
      </c>
      <c r="N901" s="1" t="s">
        <v>29</v>
      </c>
      <c r="O901" s="1" t="s">
        <v>30</v>
      </c>
      <c r="P901">
        <v>1</v>
      </c>
      <c r="Q901" s="1" t="s">
        <v>31</v>
      </c>
      <c r="R901">
        <v>1</v>
      </c>
      <c r="S901" s="1" t="s">
        <v>40</v>
      </c>
      <c r="T901" s="1" t="s">
        <v>33</v>
      </c>
      <c r="U901" s="1" t="s">
        <v>41</v>
      </c>
    </row>
    <row r="902" spans="1:21" x14ac:dyDescent="0.3">
      <c r="A902" s="1" t="s">
        <v>21</v>
      </c>
      <c r="B902">
        <v>16</v>
      </c>
      <c r="C902" s="1" t="s">
        <v>22</v>
      </c>
      <c r="D902" s="1" t="s">
        <v>51</v>
      </c>
      <c r="E902">
        <v>2625</v>
      </c>
      <c r="F902" s="1" t="s">
        <v>37</v>
      </c>
      <c r="G902" s="1" t="s">
        <v>25</v>
      </c>
      <c r="H902">
        <v>2</v>
      </c>
      <c r="I902" s="1" t="s">
        <v>26</v>
      </c>
      <c r="J902" s="1" t="s">
        <v>47</v>
      </c>
      <c r="K902">
        <v>4</v>
      </c>
      <c r="L902" s="1" t="s">
        <v>48</v>
      </c>
      <c r="M902">
        <v>43</v>
      </c>
      <c r="N902" s="1" t="s">
        <v>66</v>
      </c>
      <c r="O902" s="1" t="s">
        <v>56</v>
      </c>
      <c r="P902">
        <v>1</v>
      </c>
      <c r="Q902" s="1" t="s">
        <v>31</v>
      </c>
      <c r="R902">
        <v>1</v>
      </c>
      <c r="S902" s="1" t="s">
        <v>32</v>
      </c>
      <c r="T902" s="1" t="s">
        <v>33</v>
      </c>
      <c r="U902" s="1" t="s">
        <v>41</v>
      </c>
    </row>
    <row r="903" spans="1:21" x14ac:dyDescent="0.3">
      <c r="A903" s="1" t="s">
        <v>42</v>
      </c>
      <c r="B903">
        <v>20</v>
      </c>
      <c r="C903" s="1" t="s">
        <v>22</v>
      </c>
      <c r="D903" s="1" t="s">
        <v>51</v>
      </c>
      <c r="E903">
        <v>3485</v>
      </c>
      <c r="F903" s="1" t="s">
        <v>24</v>
      </c>
      <c r="G903" s="1" t="s">
        <v>62</v>
      </c>
      <c r="H903">
        <v>2</v>
      </c>
      <c r="I903" s="1" t="s">
        <v>59</v>
      </c>
      <c r="J903" s="1" t="s">
        <v>27</v>
      </c>
      <c r="K903">
        <v>4</v>
      </c>
      <c r="L903" s="1" t="s">
        <v>28</v>
      </c>
      <c r="M903">
        <v>44</v>
      </c>
      <c r="N903" s="1" t="s">
        <v>29</v>
      </c>
      <c r="O903" s="1" t="s">
        <v>30</v>
      </c>
      <c r="P903">
        <v>2</v>
      </c>
      <c r="Q903" s="1" t="s">
        <v>31</v>
      </c>
      <c r="R903">
        <v>1</v>
      </c>
      <c r="S903" s="1" t="s">
        <v>32</v>
      </c>
      <c r="T903" s="1" t="s">
        <v>33</v>
      </c>
      <c r="U903" s="1" t="s">
        <v>34</v>
      </c>
    </row>
    <row r="904" spans="1:21" x14ac:dyDescent="0.3">
      <c r="A904" s="1" t="s">
        <v>42</v>
      </c>
      <c r="B904">
        <v>36</v>
      </c>
      <c r="C904" s="1" t="s">
        <v>22</v>
      </c>
      <c r="D904" s="1" t="s">
        <v>54</v>
      </c>
      <c r="E904">
        <v>10477</v>
      </c>
      <c r="F904" s="1" t="s">
        <v>24</v>
      </c>
      <c r="G904" s="1" t="s">
        <v>25</v>
      </c>
      <c r="H904">
        <v>2</v>
      </c>
      <c r="I904" s="1" t="s">
        <v>26</v>
      </c>
      <c r="J904" s="1" t="s">
        <v>27</v>
      </c>
      <c r="K904">
        <v>4</v>
      </c>
      <c r="L904" s="1" t="s">
        <v>52</v>
      </c>
      <c r="M904">
        <v>42</v>
      </c>
      <c r="N904" s="1" t="s">
        <v>29</v>
      </c>
      <c r="O904" s="1" t="s">
        <v>49</v>
      </c>
      <c r="P904">
        <v>2</v>
      </c>
      <c r="Q904" s="1" t="s">
        <v>31</v>
      </c>
      <c r="R904">
        <v>1</v>
      </c>
      <c r="S904" s="1" t="s">
        <v>40</v>
      </c>
      <c r="T904" s="1" t="s">
        <v>33</v>
      </c>
      <c r="U904" s="1" t="s">
        <v>34</v>
      </c>
    </row>
    <row r="905" spans="1:21" x14ac:dyDescent="0.3">
      <c r="A905" s="1" t="s">
        <v>42</v>
      </c>
      <c r="B905">
        <v>15</v>
      </c>
      <c r="C905" s="1" t="s">
        <v>36</v>
      </c>
      <c r="D905" s="1" t="s">
        <v>23</v>
      </c>
      <c r="E905">
        <v>1386</v>
      </c>
      <c r="F905" s="1" t="s">
        <v>24</v>
      </c>
      <c r="G905" s="1" t="s">
        <v>38</v>
      </c>
      <c r="H905">
        <v>4</v>
      </c>
      <c r="I905" s="1" t="s">
        <v>61</v>
      </c>
      <c r="J905" s="1" t="s">
        <v>27</v>
      </c>
      <c r="K905">
        <v>2</v>
      </c>
      <c r="L905" s="1" t="s">
        <v>28</v>
      </c>
      <c r="M905">
        <v>40</v>
      </c>
      <c r="N905" s="1" t="s">
        <v>29</v>
      </c>
      <c r="O905" s="1" t="s">
        <v>56</v>
      </c>
      <c r="P905">
        <v>1</v>
      </c>
      <c r="Q905" s="1" t="s">
        <v>31</v>
      </c>
      <c r="R905">
        <v>1</v>
      </c>
      <c r="S905" s="1" t="s">
        <v>32</v>
      </c>
      <c r="T905" s="1" t="s">
        <v>33</v>
      </c>
      <c r="U905" s="1" t="s">
        <v>34</v>
      </c>
    </row>
    <row r="906" spans="1:21" x14ac:dyDescent="0.3">
      <c r="A906" s="1" t="s">
        <v>42</v>
      </c>
      <c r="B906">
        <v>24</v>
      </c>
      <c r="C906" s="1" t="s">
        <v>36</v>
      </c>
      <c r="D906" s="1" t="s">
        <v>23</v>
      </c>
      <c r="E906">
        <v>1278</v>
      </c>
      <c r="F906" s="1" t="s">
        <v>37</v>
      </c>
      <c r="G906" s="1" t="s">
        <v>25</v>
      </c>
      <c r="H906">
        <v>4</v>
      </c>
      <c r="I906" s="1" t="s">
        <v>26</v>
      </c>
      <c r="J906" s="1" t="s">
        <v>27</v>
      </c>
      <c r="K906">
        <v>1</v>
      </c>
      <c r="L906" s="1" t="s">
        <v>28</v>
      </c>
      <c r="M906">
        <v>36</v>
      </c>
      <c r="N906" s="1" t="s">
        <v>29</v>
      </c>
      <c r="O906" s="1" t="s">
        <v>30</v>
      </c>
      <c r="P906">
        <v>1</v>
      </c>
      <c r="Q906" s="1" t="s">
        <v>57</v>
      </c>
      <c r="R906">
        <v>1</v>
      </c>
      <c r="S906" s="1" t="s">
        <v>32</v>
      </c>
      <c r="T906" s="1" t="s">
        <v>33</v>
      </c>
      <c r="U906" s="1" t="s">
        <v>34</v>
      </c>
    </row>
    <row r="907" spans="1:21" x14ac:dyDescent="0.3">
      <c r="A907" s="1" t="s">
        <v>21</v>
      </c>
      <c r="B907">
        <v>12</v>
      </c>
      <c r="C907" s="1" t="s">
        <v>36</v>
      </c>
      <c r="D907" s="1" t="s">
        <v>23</v>
      </c>
      <c r="E907">
        <v>1107</v>
      </c>
      <c r="F907" s="1" t="s">
        <v>37</v>
      </c>
      <c r="G907" s="1" t="s">
        <v>38</v>
      </c>
      <c r="H907">
        <v>2</v>
      </c>
      <c r="I907" s="1" t="s">
        <v>26</v>
      </c>
      <c r="J907" s="1" t="s">
        <v>27</v>
      </c>
      <c r="K907">
        <v>2</v>
      </c>
      <c r="L907" s="1" t="s">
        <v>28</v>
      </c>
      <c r="M907">
        <v>20</v>
      </c>
      <c r="N907" s="1" t="s">
        <v>29</v>
      </c>
      <c r="O907" s="1" t="s">
        <v>56</v>
      </c>
      <c r="P907">
        <v>1</v>
      </c>
      <c r="Q907" s="1" t="s">
        <v>57</v>
      </c>
      <c r="R907">
        <v>2</v>
      </c>
      <c r="S907" s="1" t="s">
        <v>32</v>
      </c>
      <c r="T907" s="1" t="s">
        <v>33</v>
      </c>
      <c r="U907" s="1" t="s">
        <v>34</v>
      </c>
    </row>
    <row r="908" spans="1:21" x14ac:dyDescent="0.3">
      <c r="A908" s="1" t="s">
        <v>21</v>
      </c>
      <c r="B908">
        <v>21</v>
      </c>
      <c r="C908" s="1" t="s">
        <v>36</v>
      </c>
      <c r="D908" s="1" t="s">
        <v>51</v>
      </c>
      <c r="E908">
        <v>3763</v>
      </c>
      <c r="F908" s="1" t="s">
        <v>24</v>
      </c>
      <c r="G908" s="1" t="s">
        <v>44</v>
      </c>
      <c r="H908">
        <v>2</v>
      </c>
      <c r="I908" s="1" t="s">
        <v>26</v>
      </c>
      <c r="J908" s="1" t="s">
        <v>71</v>
      </c>
      <c r="K908">
        <v>2</v>
      </c>
      <c r="L908" s="1" t="s">
        <v>28</v>
      </c>
      <c r="M908">
        <v>24</v>
      </c>
      <c r="N908" s="1" t="s">
        <v>29</v>
      </c>
      <c r="O908" s="1" t="s">
        <v>30</v>
      </c>
      <c r="P908">
        <v>1</v>
      </c>
      <c r="Q908" s="1" t="s">
        <v>45</v>
      </c>
      <c r="R908">
        <v>1</v>
      </c>
      <c r="S908" s="1" t="s">
        <v>40</v>
      </c>
      <c r="T908" s="1" t="s">
        <v>67</v>
      </c>
      <c r="U908" s="1" t="s">
        <v>34</v>
      </c>
    </row>
    <row r="909" spans="1:21" x14ac:dyDescent="0.3">
      <c r="A909" s="1" t="s">
        <v>35</v>
      </c>
      <c r="B909">
        <v>36</v>
      </c>
      <c r="C909" s="1" t="s">
        <v>36</v>
      </c>
      <c r="D909" s="1" t="s">
        <v>43</v>
      </c>
      <c r="E909">
        <v>3711</v>
      </c>
      <c r="F909" s="1" t="s">
        <v>24</v>
      </c>
      <c r="G909" s="1" t="s">
        <v>38</v>
      </c>
      <c r="H909">
        <v>2</v>
      </c>
      <c r="I909" s="1" t="s">
        <v>61</v>
      </c>
      <c r="J909" s="1" t="s">
        <v>27</v>
      </c>
      <c r="K909">
        <v>2</v>
      </c>
      <c r="L909" s="1" t="s">
        <v>55</v>
      </c>
      <c r="M909">
        <v>27</v>
      </c>
      <c r="N909" s="1" t="s">
        <v>29</v>
      </c>
      <c r="O909" s="1" t="s">
        <v>30</v>
      </c>
      <c r="P909">
        <v>1</v>
      </c>
      <c r="Q909" s="1" t="s">
        <v>31</v>
      </c>
      <c r="R909">
        <v>1</v>
      </c>
      <c r="S909" s="1" t="s">
        <v>40</v>
      </c>
      <c r="T909" s="1" t="s">
        <v>33</v>
      </c>
      <c r="U909" s="1" t="s">
        <v>34</v>
      </c>
    </row>
    <row r="910" spans="1:21" x14ac:dyDescent="0.3">
      <c r="A910" s="1" t="s">
        <v>42</v>
      </c>
      <c r="B910">
        <v>15</v>
      </c>
      <c r="C910" s="1" t="s">
        <v>50</v>
      </c>
      <c r="D910" s="1" t="s">
        <v>54</v>
      </c>
      <c r="E910">
        <v>3594</v>
      </c>
      <c r="F910" s="1" t="s">
        <v>37</v>
      </c>
      <c r="G910" s="1" t="s">
        <v>62</v>
      </c>
      <c r="H910">
        <v>1</v>
      </c>
      <c r="I910" s="1" t="s">
        <v>39</v>
      </c>
      <c r="J910" s="1" t="s">
        <v>27</v>
      </c>
      <c r="K910">
        <v>2</v>
      </c>
      <c r="L910" s="1" t="s">
        <v>48</v>
      </c>
      <c r="M910">
        <v>46</v>
      </c>
      <c r="N910" s="1" t="s">
        <v>29</v>
      </c>
      <c r="O910" s="1" t="s">
        <v>30</v>
      </c>
      <c r="P910">
        <v>2</v>
      </c>
      <c r="Q910" s="1" t="s">
        <v>45</v>
      </c>
      <c r="R910">
        <v>1</v>
      </c>
      <c r="S910" s="1" t="s">
        <v>40</v>
      </c>
      <c r="T910" s="1" t="s">
        <v>33</v>
      </c>
      <c r="U910" s="1" t="s">
        <v>34</v>
      </c>
    </row>
    <row r="911" spans="1:21" x14ac:dyDescent="0.3">
      <c r="A911" s="1" t="s">
        <v>35</v>
      </c>
      <c r="B911">
        <v>9</v>
      </c>
      <c r="C911" s="1" t="s">
        <v>36</v>
      </c>
      <c r="D911" s="1" t="s">
        <v>51</v>
      </c>
      <c r="E911">
        <v>3195</v>
      </c>
      <c r="F911" s="1" t="s">
        <v>24</v>
      </c>
      <c r="G911" s="1" t="s">
        <v>38</v>
      </c>
      <c r="H911">
        <v>1</v>
      </c>
      <c r="I911" s="1" t="s">
        <v>39</v>
      </c>
      <c r="J911" s="1" t="s">
        <v>27</v>
      </c>
      <c r="K911">
        <v>2</v>
      </c>
      <c r="L911" s="1" t="s">
        <v>28</v>
      </c>
      <c r="M911">
        <v>33</v>
      </c>
      <c r="N911" s="1" t="s">
        <v>29</v>
      </c>
      <c r="O911" s="1" t="s">
        <v>30</v>
      </c>
      <c r="P911">
        <v>1</v>
      </c>
      <c r="Q911" s="1" t="s">
        <v>45</v>
      </c>
      <c r="R911">
        <v>1</v>
      </c>
      <c r="S911" s="1" t="s">
        <v>40</v>
      </c>
      <c r="T911" s="1" t="s">
        <v>33</v>
      </c>
      <c r="U911" s="1" t="s">
        <v>34</v>
      </c>
    </row>
    <row r="912" spans="1:21" x14ac:dyDescent="0.3">
      <c r="A912" s="1" t="s">
        <v>42</v>
      </c>
      <c r="B912">
        <v>36</v>
      </c>
      <c r="C912" s="1" t="s">
        <v>50</v>
      </c>
      <c r="D912" s="1" t="s">
        <v>23</v>
      </c>
      <c r="E912">
        <v>4454</v>
      </c>
      <c r="F912" s="1" t="s">
        <v>37</v>
      </c>
      <c r="G912" s="1" t="s">
        <v>38</v>
      </c>
      <c r="H912">
        <v>4</v>
      </c>
      <c r="I912" s="1" t="s">
        <v>39</v>
      </c>
      <c r="J912" s="1" t="s">
        <v>27</v>
      </c>
      <c r="K912">
        <v>4</v>
      </c>
      <c r="L912" s="1" t="s">
        <v>28</v>
      </c>
      <c r="M912">
        <v>34</v>
      </c>
      <c r="N912" s="1" t="s">
        <v>29</v>
      </c>
      <c r="O912" s="1" t="s">
        <v>30</v>
      </c>
      <c r="P912">
        <v>2</v>
      </c>
      <c r="Q912" s="1" t="s">
        <v>31</v>
      </c>
      <c r="R912">
        <v>1</v>
      </c>
      <c r="S912" s="1" t="s">
        <v>40</v>
      </c>
      <c r="T912" s="1" t="s">
        <v>33</v>
      </c>
      <c r="U912" s="1" t="s">
        <v>34</v>
      </c>
    </row>
    <row r="913" spans="1:21" x14ac:dyDescent="0.3">
      <c r="A913" s="1" t="s">
        <v>35</v>
      </c>
      <c r="B913">
        <v>24</v>
      </c>
      <c r="C913" s="1" t="s">
        <v>22</v>
      </c>
      <c r="D913" s="1" t="s">
        <v>46</v>
      </c>
      <c r="E913">
        <v>4736</v>
      </c>
      <c r="F913" s="1" t="s">
        <v>37</v>
      </c>
      <c r="G913" s="1" t="s">
        <v>62</v>
      </c>
      <c r="H913">
        <v>2</v>
      </c>
      <c r="I913" s="1" t="s">
        <v>39</v>
      </c>
      <c r="J913" s="1" t="s">
        <v>27</v>
      </c>
      <c r="K913">
        <v>4</v>
      </c>
      <c r="L913" s="1" t="s">
        <v>55</v>
      </c>
      <c r="M913">
        <v>25</v>
      </c>
      <c r="N913" s="1" t="s">
        <v>66</v>
      </c>
      <c r="O913" s="1" t="s">
        <v>30</v>
      </c>
      <c r="P913">
        <v>1</v>
      </c>
      <c r="Q913" s="1" t="s">
        <v>45</v>
      </c>
      <c r="R913">
        <v>1</v>
      </c>
      <c r="S913" s="1" t="s">
        <v>40</v>
      </c>
      <c r="T913" s="1" t="s">
        <v>33</v>
      </c>
      <c r="U913" s="1" t="s">
        <v>41</v>
      </c>
    </row>
    <row r="914" spans="1:21" x14ac:dyDescent="0.3">
      <c r="A914" s="1" t="s">
        <v>35</v>
      </c>
      <c r="B914">
        <v>30</v>
      </c>
      <c r="C914" s="1" t="s">
        <v>36</v>
      </c>
      <c r="D914" s="1" t="s">
        <v>23</v>
      </c>
      <c r="E914">
        <v>2991</v>
      </c>
      <c r="F914" s="1" t="s">
        <v>24</v>
      </c>
      <c r="G914" s="1" t="s">
        <v>25</v>
      </c>
      <c r="H914">
        <v>2</v>
      </c>
      <c r="I914" s="1" t="s">
        <v>39</v>
      </c>
      <c r="J914" s="1" t="s">
        <v>27</v>
      </c>
      <c r="K914">
        <v>4</v>
      </c>
      <c r="L914" s="1" t="s">
        <v>55</v>
      </c>
      <c r="M914">
        <v>25</v>
      </c>
      <c r="N914" s="1" t="s">
        <v>29</v>
      </c>
      <c r="O914" s="1" t="s">
        <v>30</v>
      </c>
      <c r="P914">
        <v>1</v>
      </c>
      <c r="Q914" s="1" t="s">
        <v>31</v>
      </c>
      <c r="R914">
        <v>1</v>
      </c>
      <c r="S914" s="1" t="s">
        <v>40</v>
      </c>
      <c r="T914" s="1" t="s">
        <v>33</v>
      </c>
      <c r="U914" s="1" t="s">
        <v>34</v>
      </c>
    </row>
    <row r="915" spans="1:21" x14ac:dyDescent="0.3">
      <c r="A915" s="1" t="s">
        <v>42</v>
      </c>
      <c r="B915">
        <v>11</v>
      </c>
      <c r="C915" s="1" t="s">
        <v>36</v>
      </c>
      <c r="D915" s="1" t="s">
        <v>63</v>
      </c>
      <c r="E915">
        <v>2142</v>
      </c>
      <c r="F915" s="1" t="s">
        <v>58</v>
      </c>
      <c r="G915" s="1" t="s">
        <v>25</v>
      </c>
      <c r="H915">
        <v>1</v>
      </c>
      <c r="I915" s="1" t="s">
        <v>59</v>
      </c>
      <c r="J915" s="1" t="s">
        <v>27</v>
      </c>
      <c r="K915">
        <v>2</v>
      </c>
      <c r="L915" s="1" t="s">
        <v>28</v>
      </c>
      <c r="M915">
        <v>28</v>
      </c>
      <c r="N915" s="1" t="s">
        <v>29</v>
      </c>
      <c r="O915" s="1" t="s">
        <v>30</v>
      </c>
      <c r="P915">
        <v>1</v>
      </c>
      <c r="Q915" s="1" t="s">
        <v>31</v>
      </c>
      <c r="R915">
        <v>1</v>
      </c>
      <c r="S915" s="1" t="s">
        <v>32</v>
      </c>
      <c r="T915" s="1" t="s">
        <v>33</v>
      </c>
      <c r="U915" s="1" t="s">
        <v>34</v>
      </c>
    </row>
    <row r="916" spans="1:21" x14ac:dyDescent="0.3">
      <c r="A916" s="1" t="s">
        <v>21</v>
      </c>
      <c r="B916">
        <v>24</v>
      </c>
      <c r="C916" s="1" t="s">
        <v>69</v>
      </c>
      <c r="D916" s="1" t="s">
        <v>63</v>
      </c>
      <c r="E916">
        <v>3161</v>
      </c>
      <c r="F916" s="1" t="s">
        <v>37</v>
      </c>
      <c r="G916" s="1" t="s">
        <v>38</v>
      </c>
      <c r="H916">
        <v>4</v>
      </c>
      <c r="I916" s="1" t="s">
        <v>26</v>
      </c>
      <c r="J916" s="1" t="s">
        <v>27</v>
      </c>
      <c r="K916">
        <v>2</v>
      </c>
      <c r="L916" s="1" t="s">
        <v>48</v>
      </c>
      <c r="M916">
        <v>31</v>
      </c>
      <c r="N916" s="1" t="s">
        <v>29</v>
      </c>
      <c r="O916" s="1" t="s">
        <v>56</v>
      </c>
      <c r="P916">
        <v>1</v>
      </c>
      <c r="Q916" s="1" t="s">
        <v>31</v>
      </c>
      <c r="R916">
        <v>1</v>
      </c>
      <c r="S916" s="1" t="s">
        <v>32</v>
      </c>
      <c r="T916" s="1" t="s">
        <v>33</v>
      </c>
      <c r="U916" s="1" t="s">
        <v>41</v>
      </c>
    </row>
    <row r="917" spans="1:21" x14ac:dyDescent="0.3">
      <c r="A917" s="1" t="s">
        <v>35</v>
      </c>
      <c r="B917">
        <v>48</v>
      </c>
      <c r="C917" s="1" t="s">
        <v>65</v>
      </c>
      <c r="D917" s="1" t="s">
        <v>75</v>
      </c>
      <c r="E917">
        <v>18424</v>
      </c>
      <c r="F917" s="1" t="s">
        <v>37</v>
      </c>
      <c r="G917" s="1" t="s">
        <v>38</v>
      </c>
      <c r="H917">
        <v>1</v>
      </c>
      <c r="I917" s="1" t="s">
        <v>39</v>
      </c>
      <c r="J917" s="1" t="s">
        <v>27</v>
      </c>
      <c r="K917">
        <v>2</v>
      </c>
      <c r="L917" s="1" t="s">
        <v>48</v>
      </c>
      <c r="M917">
        <v>32</v>
      </c>
      <c r="N917" s="1" t="s">
        <v>66</v>
      </c>
      <c r="O917" s="1" t="s">
        <v>30</v>
      </c>
      <c r="P917">
        <v>1</v>
      </c>
      <c r="Q917" s="1" t="s">
        <v>57</v>
      </c>
      <c r="R917">
        <v>1</v>
      </c>
      <c r="S917" s="1" t="s">
        <v>32</v>
      </c>
      <c r="T917" s="1" t="s">
        <v>67</v>
      </c>
      <c r="U917" s="1" t="s">
        <v>41</v>
      </c>
    </row>
    <row r="918" spans="1:21" x14ac:dyDescent="0.3">
      <c r="A918" s="1" t="s">
        <v>42</v>
      </c>
      <c r="B918">
        <v>10</v>
      </c>
      <c r="C918" s="1" t="s">
        <v>36</v>
      </c>
      <c r="D918" s="1" t="s">
        <v>54</v>
      </c>
      <c r="E918">
        <v>2848</v>
      </c>
      <c r="F918" s="1" t="s">
        <v>64</v>
      </c>
      <c r="G918" s="1" t="s">
        <v>38</v>
      </c>
      <c r="H918">
        <v>1</v>
      </c>
      <c r="I918" s="1" t="s">
        <v>26</v>
      </c>
      <c r="J918" s="1" t="s">
        <v>71</v>
      </c>
      <c r="K918">
        <v>2</v>
      </c>
      <c r="L918" s="1" t="s">
        <v>28</v>
      </c>
      <c r="M918">
        <v>32</v>
      </c>
      <c r="N918" s="1" t="s">
        <v>29</v>
      </c>
      <c r="O918" s="1" t="s">
        <v>30</v>
      </c>
      <c r="P918">
        <v>1</v>
      </c>
      <c r="Q918" s="1" t="s">
        <v>31</v>
      </c>
      <c r="R918">
        <v>2</v>
      </c>
      <c r="S918" s="1" t="s">
        <v>40</v>
      </c>
      <c r="T918" s="1" t="s">
        <v>33</v>
      </c>
      <c r="U918" s="1" t="s">
        <v>34</v>
      </c>
    </row>
    <row r="919" spans="1:21" x14ac:dyDescent="0.3">
      <c r="A919" s="1" t="s">
        <v>21</v>
      </c>
      <c r="B919">
        <v>6</v>
      </c>
      <c r="C919" s="1" t="s">
        <v>36</v>
      </c>
      <c r="D919" s="1" t="s">
        <v>51</v>
      </c>
      <c r="E919">
        <v>14896</v>
      </c>
      <c r="F919" s="1" t="s">
        <v>37</v>
      </c>
      <c r="G919" s="1" t="s">
        <v>25</v>
      </c>
      <c r="H919">
        <v>1</v>
      </c>
      <c r="I919" s="1" t="s">
        <v>26</v>
      </c>
      <c r="J919" s="1" t="s">
        <v>27</v>
      </c>
      <c r="K919">
        <v>4</v>
      </c>
      <c r="L919" s="1" t="s">
        <v>52</v>
      </c>
      <c r="M919">
        <v>68</v>
      </c>
      <c r="N919" s="1" t="s">
        <v>66</v>
      </c>
      <c r="O919" s="1" t="s">
        <v>30</v>
      </c>
      <c r="P919">
        <v>1</v>
      </c>
      <c r="Q919" s="1" t="s">
        <v>57</v>
      </c>
      <c r="R919">
        <v>1</v>
      </c>
      <c r="S919" s="1" t="s">
        <v>32</v>
      </c>
      <c r="T919" s="1" t="s">
        <v>33</v>
      </c>
      <c r="U919" s="1" t="s">
        <v>41</v>
      </c>
    </row>
    <row r="920" spans="1:21" x14ac:dyDescent="0.3">
      <c r="A920" s="1" t="s">
        <v>21</v>
      </c>
      <c r="B920">
        <v>24</v>
      </c>
      <c r="C920" s="1" t="s">
        <v>36</v>
      </c>
      <c r="D920" s="1" t="s">
        <v>46</v>
      </c>
      <c r="E920">
        <v>2359</v>
      </c>
      <c r="F920" s="1" t="s">
        <v>64</v>
      </c>
      <c r="G920" s="1" t="s">
        <v>60</v>
      </c>
      <c r="H920">
        <v>1</v>
      </c>
      <c r="I920" s="1" t="s">
        <v>59</v>
      </c>
      <c r="J920" s="1" t="s">
        <v>27</v>
      </c>
      <c r="K920">
        <v>1</v>
      </c>
      <c r="L920" s="1" t="s">
        <v>48</v>
      </c>
      <c r="M920">
        <v>33</v>
      </c>
      <c r="N920" s="1" t="s">
        <v>29</v>
      </c>
      <c r="O920" s="1" t="s">
        <v>30</v>
      </c>
      <c r="P920">
        <v>1</v>
      </c>
      <c r="Q920" s="1" t="s">
        <v>31</v>
      </c>
      <c r="R920">
        <v>1</v>
      </c>
      <c r="S920" s="1" t="s">
        <v>40</v>
      </c>
      <c r="T920" s="1" t="s">
        <v>33</v>
      </c>
      <c r="U920" s="1" t="s">
        <v>41</v>
      </c>
    </row>
    <row r="921" spans="1:21" x14ac:dyDescent="0.3">
      <c r="A921" s="1" t="s">
        <v>21</v>
      </c>
      <c r="B921">
        <v>24</v>
      </c>
      <c r="C921" s="1" t="s">
        <v>36</v>
      </c>
      <c r="D921" s="1" t="s">
        <v>46</v>
      </c>
      <c r="E921">
        <v>3345</v>
      </c>
      <c r="F921" s="1" t="s">
        <v>37</v>
      </c>
      <c r="G921" s="1" t="s">
        <v>25</v>
      </c>
      <c r="H921">
        <v>4</v>
      </c>
      <c r="I921" s="1" t="s">
        <v>26</v>
      </c>
      <c r="J921" s="1" t="s">
        <v>27</v>
      </c>
      <c r="K921">
        <v>2</v>
      </c>
      <c r="L921" s="1" t="s">
        <v>48</v>
      </c>
      <c r="M921">
        <v>39</v>
      </c>
      <c r="N921" s="1" t="s">
        <v>29</v>
      </c>
      <c r="O921" s="1" t="s">
        <v>56</v>
      </c>
      <c r="P921">
        <v>1</v>
      </c>
      <c r="Q921" s="1" t="s">
        <v>57</v>
      </c>
      <c r="R921">
        <v>1</v>
      </c>
      <c r="S921" s="1" t="s">
        <v>32</v>
      </c>
      <c r="T921" s="1" t="s">
        <v>33</v>
      </c>
      <c r="U921" s="1" t="s">
        <v>41</v>
      </c>
    </row>
    <row r="922" spans="1:21" x14ac:dyDescent="0.3">
      <c r="A922" s="1" t="s">
        <v>42</v>
      </c>
      <c r="B922">
        <v>18</v>
      </c>
      <c r="C922" s="1" t="s">
        <v>22</v>
      </c>
      <c r="D922" s="1" t="s">
        <v>46</v>
      </c>
      <c r="E922">
        <v>1817</v>
      </c>
      <c r="F922" s="1" t="s">
        <v>37</v>
      </c>
      <c r="G922" s="1" t="s">
        <v>38</v>
      </c>
      <c r="H922">
        <v>4</v>
      </c>
      <c r="I922" s="1" t="s">
        <v>39</v>
      </c>
      <c r="J922" s="1" t="s">
        <v>27</v>
      </c>
      <c r="K922">
        <v>2</v>
      </c>
      <c r="L922" s="1" t="s">
        <v>52</v>
      </c>
      <c r="M922">
        <v>28</v>
      </c>
      <c r="N922" s="1" t="s">
        <v>29</v>
      </c>
      <c r="O922" s="1" t="s">
        <v>30</v>
      </c>
      <c r="P922">
        <v>2</v>
      </c>
      <c r="Q922" s="1" t="s">
        <v>31</v>
      </c>
      <c r="R922">
        <v>1</v>
      </c>
      <c r="S922" s="1" t="s">
        <v>40</v>
      </c>
      <c r="T922" s="1" t="s">
        <v>33</v>
      </c>
      <c r="U922" s="1" t="s">
        <v>34</v>
      </c>
    </row>
    <row r="923" spans="1:21" x14ac:dyDescent="0.3">
      <c r="A923" s="1" t="s">
        <v>42</v>
      </c>
      <c r="B923">
        <v>48</v>
      </c>
      <c r="C923" s="1" t="s">
        <v>50</v>
      </c>
      <c r="D923" s="1" t="s">
        <v>23</v>
      </c>
      <c r="E923">
        <v>12749</v>
      </c>
      <c r="F923" s="1" t="s">
        <v>53</v>
      </c>
      <c r="G923" s="1" t="s">
        <v>44</v>
      </c>
      <c r="H923">
        <v>4</v>
      </c>
      <c r="I923" s="1" t="s">
        <v>26</v>
      </c>
      <c r="J923" s="1" t="s">
        <v>27</v>
      </c>
      <c r="K923">
        <v>1</v>
      </c>
      <c r="L923" s="1" t="s">
        <v>55</v>
      </c>
      <c r="M923">
        <v>37</v>
      </c>
      <c r="N923" s="1" t="s">
        <v>29</v>
      </c>
      <c r="O923" s="1" t="s">
        <v>30</v>
      </c>
      <c r="P923">
        <v>1</v>
      </c>
      <c r="Q923" s="1" t="s">
        <v>57</v>
      </c>
      <c r="R923">
        <v>1</v>
      </c>
      <c r="S923" s="1" t="s">
        <v>32</v>
      </c>
      <c r="T923" s="1" t="s">
        <v>33</v>
      </c>
      <c r="U923" s="1" t="s">
        <v>34</v>
      </c>
    </row>
    <row r="924" spans="1:21" x14ac:dyDescent="0.3">
      <c r="A924" s="1" t="s">
        <v>21</v>
      </c>
      <c r="B924">
        <v>9</v>
      </c>
      <c r="C924" s="1" t="s">
        <v>36</v>
      </c>
      <c r="D924" s="1" t="s">
        <v>23</v>
      </c>
      <c r="E924">
        <v>1366</v>
      </c>
      <c r="F924" s="1" t="s">
        <v>37</v>
      </c>
      <c r="G924" s="1" t="s">
        <v>62</v>
      </c>
      <c r="H924">
        <v>3</v>
      </c>
      <c r="I924" s="1" t="s">
        <v>39</v>
      </c>
      <c r="J924" s="1" t="s">
        <v>27</v>
      </c>
      <c r="K924">
        <v>4</v>
      </c>
      <c r="L924" s="1" t="s">
        <v>48</v>
      </c>
      <c r="M924">
        <v>22</v>
      </c>
      <c r="N924" s="1" t="s">
        <v>29</v>
      </c>
      <c r="O924" s="1" t="s">
        <v>56</v>
      </c>
      <c r="P924">
        <v>1</v>
      </c>
      <c r="Q924" s="1" t="s">
        <v>31</v>
      </c>
      <c r="R924">
        <v>1</v>
      </c>
      <c r="S924" s="1" t="s">
        <v>40</v>
      </c>
      <c r="T924" s="1" t="s">
        <v>33</v>
      </c>
      <c r="U924" s="1" t="s">
        <v>41</v>
      </c>
    </row>
    <row r="925" spans="1:21" x14ac:dyDescent="0.3">
      <c r="A925" s="1" t="s">
        <v>35</v>
      </c>
      <c r="B925">
        <v>12</v>
      </c>
      <c r="C925" s="1" t="s">
        <v>36</v>
      </c>
      <c r="D925" s="1" t="s">
        <v>51</v>
      </c>
      <c r="E925">
        <v>2002</v>
      </c>
      <c r="F925" s="1" t="s">
        <v>37</v>
      </c>
      <c r="G925" s="1" t="s">
        <v>44</v>
      </c>
      <c r="H925">
        <v>3</v>
      </c>
      <c r="I925" s="1" t="s">
        <v>26</v>
      </c>
      <c r="J925" s="1" t="s">
        <v>27</v>
      </c>
      <c r="K925">
        <v>4</v>
      </c>
      <c r="L925" s="1" t="s">
        <v>48</v>
      </c>
      <c r="M925">
        <v>30</v>
      </c>
      <c r="N925" s="1" t="s">
        <v>29</v>
      </c>
      <c r="O925" s="1" t="s">
        <v>56</v>
      </c>
      <c r="P925">
        <v>1</v>
      </c>
      <c r="Q925" s="1" t="s">
        <v>31</v>
      </c>
      <c r="R925">
        <v>2</v>
      </c>
      <c r="S925" s="1" t="s">
        <v>32</v>
      </c>
      <c r="T925" s="1" t="s">
        <v>33</v>
      </c>
      <c r="U925" s="1" t="s">
        <v>34</v>
      </c>
    </row>
    <row r="926" spans="1:21" x14ac:dyDescent="0.3">
      <c r="A926" s="1" t="s">
        <v>21</v>
      </c>
      <c r="B926">
        <v>24</v>
      </c>
      <c r="C926" s="1" t="s">
        <v>69</v>
      </c>
      <c r="D926" s="1" t="s">
        <v>46</v>
      </c>
      <c r="E926">
        <v>6872</v>
      </c>
      <c r="F926" s="1" t="s">
        <v>37</v>
      </c>
      <c r="G926" s="1" t="s">
        <v>62</v>
      </c>
      <c r="H926">
        <v>2</v>
      </c>
      <c r="I926" s="1" t="s">
        <v>59</v>
      </c>
      <c r="J926" s="1" t="s">
        <v>27</v>
      </c>
      <c r="K926">
        <v>1</v>
      </c>
      <c r="L926" s="1" t="s">
        <v>48</v>
      </c>
      <c r="M926">
        <v>55</v>
      </c>
      <c r="N926" s="1" t="s">
        <v>66</v>
      </c>
      <c r="O926" s="1" t="s">
        <v>30</v>
      </c>
      <c r="P926">
        <v>1</v>
      </c>
      <c r="Q926" s="1" t="s">
        <v>31</v>
      </c>
      <c r="R926">
        <v>1</v>
      </c>
      <c r="S926" s="1" t="s">
        <v>32</v>
      </c>
      <c r="T926" s="1" t="s">
        <v>33</v>
      </c>
      <c r="U926" s="1" t="s">
        <v>41</v>
      </c>
    </row>
    <row r="927" spans="1:21" x14ac:dyDescent="0.3">
      <c r="A927" s="1" t="s">
        <v>21</v>
      </c>
      <c r="B927">
        <v>12</v>
      </c>
      <c r="C927" s="1" t="s">
        <v>69</v>
      </c>
      <c r="D927" s="1" t="s">
        <v>51</v>
      </c>
      <c r="E927">
        <v>697</v>
      </c>
      <c r="F927" s="1" t="s">
        <v>37</v>
      </c>
      <c r="G927" s="1" t="s">
        <v>62</v>
      </c>
      <c r="H927">
        <v>4</v>
      </c>
      <c r="I927" s="1" t="s">
        <v>26</v>
      </c>
      <c r="J927" s="1" t="s">
        <v>27</v>
      </c>
      <c r="K927">
        <v>2</v>
      </c>
      <c r="L927" s="1" t="s">
        <v>55</v>
      </c>
      <c r="M927">
        <v>46</v>
      </c>
      <c r="N927" s="1" t="s">
        <v>66</v>
      </c>
      <c r="O927" s="1" t="s">
        <v>30</v>
      </c>
      <c r="P927">
        <v>2</v>
      </c>
      <c r="Q927" s="1" t="s">
        <v>31</v>
      </c>
      <c r="R927">
        <v>1</v>
      </c>
      <c r="S927" s="1" t="s">
        <v>32</v>
      </c>
      <c r="T927" s="1" t="s">
        <v>33</v>
      </c>
      <c r="U927" s="1" t="s">
        <v>41</v>
      </c>
    </row>
    <row r="928" spans="1:21" x14ac:dyDescent="0.3">
      <c r="A928" s="1" t="s">
        <v>21</v>
      </c>
      <c r="B928">
        <v>18</v>
      </c>
      <c r="C928" s="1" t="s">
        <v>22</v>
      </c>
      <c r="D928" s="1" t="s">
        <v>46</v>
      </c>
      <c r="E928">
        <v>1049</v>
      </c>
      <c r="F928" s="1" t="s">
        <v>37</v>
      </c>
      <c r="G928" s="1" t="s">
        <v>62</v>
      </c>
      <c r="H928">
        <v>4</v>
      </c>
      <c r="I928" s="1" t="s">
        <v>39</v>
      </c>
      <c r="J928" s="1" t="s">
        <v>27</v>
      </c>
      <c r="K928">
        <v>4</v>
      </c>
      <c r="L928" s="1" t="s">
        <v>48</v>
      </c>
      <c r="M928">
        <v>21</v>
      </c>
      <c r="N928" s="1" t="s">
        <v>29</v>
      </c>
      <c r="O928" s="1" t="s">
        <v>56</v>
      </c>
      <c r="P928">
        <v>1</v>
      </c>
      <c r="Q928" s="1" t="s">
        <v>31</v>
      </c>
      <c r="R928">
        <v>1</v>
      </c>
      <c r="S928" s="1" t="s">
        <v>40</v>
      </c>
      <c r="T928" s="1" t="s">
        <v>33</v>
      </c>
      <c r="U928" s="1" t="s">
        <v>34</v>
      </c>
    </row>
    <row r="929" spans="1:21" x14ac:dyDescent="0.3">
      <c r="A929" s="1" t="s">
        <v>21</v>
      </c>
      <c r="B929">
        <v>48</v>
      </c>
      <c r="C929" s="1" t="s">
        <v>36</v>
      </c>
      <c r="D929" s="1" t="s">
        <v>54</v>
      </c>
      <c r="E929">
        <v>10297</v>
      </c>
      <c r="F929" s="1" t="s">
        <v>37</v>
      </c>
      <c r="G929" s="1" t="s">
        <v>44</v>
      </c>
      <c r="H929">
        <v>4</v>
      </c>
      <c r="I929" s="1" t="s">
        <v>26</v>
      </c>
      <c r="J929" s="1" t="s">
        <v>27</v>
      </c>
      <c r="K929">
        <v>4</v>
      </c>
      <c r="L929" s="1" t="s">
        <v>52</v>
      </c>
      <c r="M929">
        <v>39</v>
      </c>
      <c r="N929" s="1" t="s">
        <v>70</v>
      </c>
      <c r="O929" s="1" t="s">
        <v>49</v>
      </c>
      <c r="P929">
        <v>3</v>
      </c>
      <c r="Q929" s="1" t="s">
        <v>31</v>
      </c>
      <c r="R929">
        <v>2</v>
      </c>
      <c r="S929" s="1" t="s">
        <v>32</v>
      </c>
      <c r="T929" s="1" t="s">
        <v>33</v>
      </c>
      <c r="U929" s="1" t="s">
        <v>41</v>
      </c>
    </row>
    <row r="930" spans="1:21" x14ac:dyDescent="0.3">
      <c r="A930" s="1" t="s">
        <v>42</v>
      </c>
      <c r="B930">
        <v>30</v>
      </c>
      <c r="C930" s="1" t="s">
        <v>36</v>
      </c>
      <c r="D930" s="1" t="s">
        <v>23</v>
      </c>
      <c r="E930">
        <v>1867</v>
      </c>
      <c r="F930" s="1" t="s">
        <v>24</v>
      </c>
      <c r="G930" s="1" t="s">
        <v>25</v>
      </c>
      <c r="H930">
        <v>4</v>
      </c>
      <c r="I930" s="1" t="s">
        <v>26</v>
      </c>
      <c r="J930" s="1" t="s">
        <v>27</v>
      </c>
      <c r="K930">
        <v>4</v>
      </c>
      <c r="L930" s="1" t="s">
        <v>55</v>
      </c>
      <c r="M930">
        <v>58</v>
      </c>
      <c r="N930" s="1" t="s">
        <v>29</v>
      </c>
      <c r="O930" s="1" t="s">
        <v>30</v>
      </c>
      <c r="P930">
        <v>1</v>
      </c>
      <c r="Q930" s="1" t="s">
        <v>31</v>
      </c>
      <c r="R930">
        <v>1</v>
      </c>
      <c r="S930" s="1" t="s">
        <v>32</v>
      </c>
      <c r="T930" s="1" t="s">
        <v>33</v>
      </c>
      <c r="U930" s="1" t="s">
        <v>34</v>
      </c>
    </row>
    <row r="931" spans="1:21" x14ac:dyDescent="0.3">
      <c r="A931" s="1" t="s">
        <v>21</v>
      </c>
      <c r="B931">
        <v>12</v>
      </c>
      <c r="C931" s="1" t="s">
        <v>50</v>
      </c>
      <c r="D931" s="1" t="s">
        <v>51</v>
      </c>
      <c r="E931">
        <v>1344</v>
      </c>
      <c r="F931" s="1" t="s">
        <v>37</v>
      </c>
      <c r="G931" s="1" t="s">
        <v>38</v>
      </c>
      <c r="H931">
        <v>4</v>
      </c>
      <c r="I931" s="1" t="s">
        <v>26</v>
      </c>
      <c r="J931" s="1" t="s">
        <v>27</v>
      </c>
      <c r="K931">
        <v>2</v>
      </c>
      <c r="L931" s="1" t="s">
        <v>28</v>
      </c>
      <c r="M931">
        <v>43</v>
      </c>
      <c r="N931" s="1" t="s">
        <v>29</v>
      </c>
      <c r="O931" s="1" t="s">
        <v>30</v>
      </c>
      <c r="P931">
        <v>2</v>
      </c>
      <c r="Q931" s="1" t="s">
        <v>45</v>
      </c>
      <c r="R931">
        <v>2</v>
      </c>
      <c r="S931" s="1" t="s">
        <v>40</v>
      </c>
      <c r="T931" s="1" t="s">
        <v>33</v>
      </c>
      <c r="U931" s="1" t="s">
        <v>34</v>
      </c>
    </row>
    <row r="932" spans="1:21" x14ac:dyDescent="0.3">
      <c r="A932" s="1" t="s">
        <v>21</v>
      </c>
      <c r="B932">
        <v>24</v>
      </c>
      <c r="C932" s="1" t="s">
        <v>36</v>
      </c>
      <c r="D932" s="1" t="s">
        <v>46</v>
      </c>
      <c r="E932">
        <v>1747</v>
      </c>
      <c r="F932" s="1" t="s">
        <v>37</v>
      </c>
      <c r="G932" s="1" t="s">
        <v>62</v>
      </c>
      <c r="H932">
        <v>4</v>
      </c>
      <c r="I932" s="1" t="s">
        <v>26</v>
      </c>
      <c r="J932" s="1" t="s">
        <v>71</v>
      </c>
      <c r="K932">
        <v>1</v>
      </c>
      <c r="L932" s="1" t="s">
        <v>48</v>
      </c>
      <c r="M932">
        <v>24</v>
      </c>
      <c r="N932" s="1" t="s">
        <v>29</v>
      </c>
      <c r="O932" s="1" t="s">
        <v>30</v>
      </c>
      <c r="P932">
        <v>1</v>
      </c>
      <c r="Q932" s="1" t="s">
        <v>45</v>
      </c>
      <c r="R932">
        <v>1</v>
      </c>
      <c r="S932" s="1" t="s">
        <v>40</v>
      </c>
      <c r="T932" s="1" t="s">
        <v>67</v>
      </c>
      <c r="U932" s="1" t="s">
        <v>34</v>
      </c>
    </row>
    <row r="933" spans="1:21" x14ac:dyDescent="0.3">
      <c r="A933" s="1" t="s">
        <v>35</v>
      </c>
      <c r="B933">
        <v>9</v>
      </c>
      <c r="C933" s="1" t="s">
        <v>36</v>
      </c>
      <c r="D933" s="1" t="s">
        <v>23</v>
      </c>
      <c r="E933">
        <v>1670</v>
      </c>
      <c r="F933" s="1" t="s">
        <v>37</v>
      </c>
      <c r="G933" s="1" t="s">
        <v>62</v>
      </c>
      <c r="H933">
        <v>4</v>
      </c>
      <c r="I933" s="1" t="s">
        <v>39</v>
      </c>
      <c r="J933" s="1" t="s">
        <v>27</v>
      </c>
      <c r="K933">
        <v>2</v>
      </c>
      <c r="L933" s="1" t="s">
        <v>55</v>
      </c>
      <c r="M933">
        <v>22</v>
      </c>
      <c r="N933" s="1" t="s">
        <v>29</v>
      </c>
      <c r="O933" s="1" t="s">
        <v>30</v>
      </c>
      <c r="P933">
        <v>1</v>
      </c>
      <c r="Q933" s="1" t="s">
        <v>31</v>
      </c>
      <c r="R933">
        <v>1</v>
      </c>
      <c r="S933" s="1" t="s">
        <v>32</v>
      </c>
      <c r="T933" s="1" t="s">
        <v>33</v>
      </c>
      <c r="U933" s="1" t="s">
        <v>41</v>
      </c>
    </row>
    <row r="934" spans="1:21" x14ac:dyDescent="0.3">
      <c r="A934" s="1" t="s">
        <v>42</v>
      </c>
      <c r="B934">
        <v>9</v>
      </c>
      <c r="C934" s="1" t="s">
        <v>22</v>
      </c>
      <c r="D934" s="1" t="s">
        <v>51</v>
      </c>
      <c r="E934">
        <v>1224</v>
      </c>
      <c r="F934" s="1" t="s">
        <v>37</v>
      </c>
      <c r="G934" s="1" t="s">
        <v>38</v>
      </c>
      <c r="H934">
        <v>3</v>
      </c>
      <c r="I934" s="1" t="s">
        <v>26</v>
      </c>
      <c r="J934" s="1" t="s">
        <v>27</v>
      </c>
      <c r="K934">
        <v>1</v>
      </c>
      <c r="L934" s="1" t="s">
        <v>28</v>
      </c>
      <c r="M934">
        <v>30</v>
      </c>
      <c r="N934" s="1" t="s">
        <v>29</v>
      </c>
      <c r="O934" s="1" t="s">
        <v>30</v>
      </c>
      <c r="P934">
        <v>2</v>
      </c>
      <c r="Q934" s="1" t="s">
        <v>31</v>
      </c>
      <c r="R934">
        <v>1</v>
      </c>
      <c r="S934" s="1" t="s">
        <v>40</v>
      </c>
      <c r="T934" s="1" t="s">
        <v>33</v>
      </c>
      <c r="U934" s="1" t="s">
        <v>34</v>
      </c>
    </row>
    <row r="935" spans="1:21" x14ac:dyDescent="0.3">
      <c r="A935" s="1" t="s">
        <v>42</v>
      </c>
      <c r="B935">
        <v>12</v>
      </c>
      <c r="C935" s="1" t="s">
        <v>22</v>
      </c>
      <c r="D935" s="1" t="s">
        <v>23</v>
      </c>
      <c r="E935">
        <v>522</v>
      </c>
      <c r="F935" s="1" t="s">
        <v>53</v>
      </c>
      <c r="G935" s="1" t="s">
        <v>25</v>
      </c>
      <c r="H935">
        <v>4</v>
      </c>
      <c r="I935" s="1" t="s">
        <v>26</v>
      </c>
      <c r="J935" s="1" t="s">
        <v>27</v>
      </c>
      <c r="K935">
        <v>4</v>
      </c>
      <c r="L935" s="1" t="s">
        <v>48</v>
      </c>
      <c r="M935">
        <v>42</v>
      </c>
      <c r="N935" s="1" t="s">
        <v>29</v>
      </c>
      <c r="O935" s="1" t="s">
        <v>30</v>
      </c>
      <c r="P935">
        <v>2</v>
      </c>
      <c r="Q935" s="1" t="s">
        <v>31</v>
      </c>
      <c r="R935">
        <v>2</v>
      </c>
      <c r="S935" s="1" t="s">
        <v>32</v>
      </c>
      <c r="T935" s="1" t="s">
        <v>33</v>
      </c>
      <c r="U935" s="1" t="s">
        <v>34</v>
      </c>
    </row>
    <row r="936" spans="1:21" x14ac:dyDescent="0.3">
      <c r="A936" s="1" t="s">
        <v>21</v>
      </c>
      <c r="B936">
        <v>12</v>
      </c>
      <c r="C936" s="1" t="s">
        <v>36</v>
      </c>
      <c r="D936" s="1" t="s">
        <v>23</v>
      </c>
      <c r="E936">
        <v>1498</v>
      </c>
      <c r="F936" s="1" t="s">
        <v>37</v>
      </c>
      <c r="G936" s="1" t="s">
        <v>38</v>
      </c>
      <c r="H936">
        <v>4</v>
      </c>
      <c r="I936" s="1" t="s">
        <v>39</v>
      </c>
      <c r="J936" s="1" t="s">
        <v>27</v>
      </c>
      <c r="K936">
        <v>1</v>
      </c>
      <c r="L936" s="1" t="s">
        <v>55</v>
      </c>
      <c r="M936">
        <v>23</v>
      </c>
      <c r="N936" s="1" t="s">
        <v>66</v>
      </c>
      <c r="O936" s="1" t="s">
        <v>30</v>
      </c>
      <c r="P936">
        <v>1</v>
      </c>
      <c r="Q936" s="1" t="s">
        <v>31</v>
      </c>
      <c r="R936">
        <v>1</v>
      </c>
      <c r="S936" s="1" t="s">
        <v>40</v>
      </c>
      <c r="T936" s="1" t="s">
        <v>33</v>
      </c>
      <c r="U936" s="1" t="s">
        <v>34</v>
      </c>
    </row>
    <row r="937" spans="1:21" x14ac:dyDescent="0.3">
      <c r="A937" s="1" t="s">
        <v>35</v>
      </c>
      <c r="B937">
        <v>30</v>
      </c>
      <c r="C937" s="1" t="s">
        <v>50</v>
      </c>
      <c r="D937" s="1" t="s">
        <v>23</v>
      </c>
      <c r="E937">
        <v>1919</v>
      </c>
      <c r="F937" s="1" t="s">
        <v>64</v>
      </c>
      <c r="G937" s="1" t="s">
        <v>62</v>
      </c>
      <c r="H937">
        <v>4</v>
      </c>
      <c r="I937" s="1" t="s">
        <v>26</v>
      </c>
      <c r="J937" s="1" t="s">
        <v>27</v>
      </c>
      <c r="K937">
        <v>3</v>
      </c>
      <c r="L937" s="1" t="s">
        <v>52</v>
      </c>
      <c r="M937">
        <v>30</v>
      </c>
      <c r="N937" s="1" t="s">
        <v>70</v>
      </c>
      <c r="O937" s="1" t="s">
        <v>30</v>
      </c>
      <c r="P937">
        <v>2</v>
      </c>
      <c r="Q937" s="1" t="s">
        <v>57</v>
      </c>
      <c r="R937">
        <v>1</v>
      </c>
      <c r="S937" s="1" t="s">
        <v>40</v>
      </c>
      <c r="T937" s="1" t="s">
        <v>33</v>
      </c>
      <c r="U937" s="1" t="s">
        <v>41</v>
      </c>
    </row>
    <row r="938" spans="1:21" x14ac:dyDescent="0.3">
      <c r="A938" s="1" t="s">
        <v>68</v>
      </c>
      <c r="B938">
        <v>9</v>
      </c>
      <c r="C938" s="1" t="s">
        <v>36</v>
      </c>
      <c r="D938" s="1" t="s">
        <v>23</v>
      </c>
      <c r="E938">
        <v>745</v>
      </c>
      <c r="F938" s="1" t="s">
        <v>37</v>
      </c>
      <c r="G938" s="1" t="s">
        <v>38</v>
      </c>
      <c r="H938">
        <v>3</v>
      </c>
      <c r="I938" s="1" t="s">
        <v>39</v>
      </c>
      <c r="J938" s="1" t="s">
        <v>27</v>
      </c>
      <c r="K938">
        <v>2</v>
      </c>
      <c r="L938" s="1" t="s">
        <v>28</v>
      </c>
      <c r="M938">
        <v>28</v>
      </c>
      <c r="N938" s="1" t="s">
        <v>29</v>
      </c>
      <c r="O938" s="1" t="s">
        <v>30</v>
      </c>
      <c r="P938">
        <v>1</v>
      </c>
      <c r="Q938" s="1" t="s">
        <v>45</v>
      </c>
      <c r="R938">
        <v>1</v>
      </c>
      <c r="S938" s="1" t="s">
        <v>40</v>
      </c>
      <c r="T938" s="1" t="s">
        <v>33</v>
      </c>
      <c r="U938" s="1" t="s">
        <v>41</v>
      </c>
    </row>
    <row r="939" spans="1:21" x14ac:dyDescent="0.3">
      <c r="A939" s="1" t="s">
        <v>35</v>
      </c>
      <c r="B939">
        <v>6</v>
      </c>
      <c r="C939" s="1" t="s">
        <v>36</v>
      </c>
      <c r="D939" s="1" t="s">
        <v>23</v>
      </c>
      <c r="E939">
        <v>2063</v>
      </c>
      <c r="F939" s="1" t="s">
        <v>37</v>
      </c>
      <c r="G939" s="1" t="s">
        <v>62</v>
      </c>
      <c r="H939">
        <v>4</v>
      </c>
      <c r="I939" s="1" t="s">
        <v>61</v>
      </c>
      <c r="J939" s="1" t="s">
        <v>27</v>
      </c>
      <c r="K939">
        <v>3</v>
      </c>
      <c r="L939" s="1" t="s">
        <v>55</v>
      </c>
      <c r="M939">
        <v>30</v>
      </c>
      <c r="N939" s="1" t="s">
        <v>29</v>
      </c>
      <c r="O939" s="1" t="s">
        <v>56</v>
      </c>
      <c r="P939">
        <v>1</v>
      </c>
      <c r="Q939" s="1" t="s">
        <v>57</v>
      </c>
      <c r="R939">
        <v>1</v>
      </c>
      <c r="S939" s="1" t="s">
        <v>32</v>
      </c>
      <c r="T939" s="1" t="s">
        <v>33</v>
      </c>
      <c r="U939" s="1" t="s">
        <v>34</v>
      </c>
    </row>
    <row r="940" spans="1:21" x14ac:dyDescent="0.3">
      <c r="A940" s="1" t="s">
        <v>35</v>
      </c>
      <c r="B940">
        <v>60</v>
      </c>
      <c r="C940" s="1" t="s">
        <v>36</v>
      </c>
      <c r="D940" s="1" t="s">
        <v>43</v>
      </c>
      <c r="E940">
        <v>6288</v>
      </c>
      <c r="F940" s="1" t="s">
        <v>37</v>
      </c>
      <c r="G940" s="1" t="s">
        <v>38</v>
      </c>
      <c r="H940">
        <v>4</v>
      </c>
      <c r="I940" s="1" t="s">
        <v>26</v>
      </c>
      <c r="J940" s="1" t="s">
        <v>27</v>
      </c>
      <c r="K940">
        <v>4</v>
      </c>
      <c r="L940" s="1" t="s">
        <v>52</v>
      </c>
      <c r="M940">
        <v>42</v>
      </c>
      <c r="N940" s="1" t="s">
        <v>29</v>
      </c>
      <c r="O940" s="1" t="s">
        <v>49</v>
      </c>
      <c r="P940">
        <v>1</v>
      </c>
      <c r="Q940" s="1" t="s">
        <v>31</v>
      </c>
      <c r="R940">
        <v>1</v>
      </c>
      <c r="S940" s="1" t="s">
        <v>40</v>
      </c>
      <c r="T940" s="1" t="s">
        <v>33</v>
      </c>
      <c r="U940" s="1" t="s">
        <v>41</v>
      </c>
    </row>
    <row r="941" spans="1:21" x14ac:dyDescent="0.3">
      <c r="A941" s="1" t="s">
        <v>42</v>
      </c>
      <c r="B941">
        <v>24</v>
      </c>
      <c r="C941" s="1" t="s">
        <v>22</v>
      </c>
      <c r="D941" s="1" t="s">
        <v>54</v>
      </c>
      <c r="E941">
        <v>6842</v>
      </c>
      <c r="F941" s="1" t="s">
        <v>24</v>
      </c>
      <c r="G941" s="1" t="s">
        <v>38</v>
      </c>
      <c r="H941">
        <v>2</v>
      </c>
      <c r="I941" s="1" t="s">
        <v>26</v>
      </c>
      <c r="J941" s="1" t="s">
        <v>27</v>
      </c>
      <c r="K941">
        <v>4</v>
      </c>
      <c r="L941" s="1" t="s">
        <v>48</v>
      </c>
      <c r="M941">
        <v>46</v>
      </c>
      <c r="N941" s="1" t="s">
        <v>29</v>
      </c>
      <c r="O941" s="1" t="s">
        <v>30</v>
      </c>
      <c r="P941">
        <v>2</v>
      </c>
      <c r="Q941" s="1" t="s">
        <v>57</v>
      </c>
      <c r="R941">
        <v>2</v>
      </c>
      <c r="S941" s="1" t="s">
        <v>32</v>
      </c>
      <c r="T941" s="1" t="s">
        <v>33</v>
      </c>
      <c r="U941" s="1" t="s">
        <v>34</v>
      </c>
    </row>
    <row r="942" spans="1:21" x14ac:dyDescent="0.3">
      <c r="A942" s="1" t="s">
        <v>42</v>
      </c>
      <c r="B942">
        <v>12</v>
      </c>
      <c r="C942" s="1" t="s">
        <v>36</v>
      </c>
      <c r="D942" s="1" t="s">
        <v>51</v>
      </c>
      <c r="E942">
        <v>3527</v>
      </c>
      <c r="F942" s="1" t="s">
        <v>24</v>
      </c>
      <c r="G942" s="1" t="s">
        <v>62</v>
      </c>
      <c r="H942">
        <v>2</v>
      </c>
      <c r="I942" s="1" t="s">
        <v>26</v>
      </c>
      <c r="J942" s="1" t="s">
        <v>27</v>
      </c>
      <c r="K942">
        <v>3</v>
      </c>
      <c r="L942" s="1" t="s">
        <v>48</v>
      </c>
      <c r="M942">
        <v>45</v>
      </c>
      <c r="N942" s="1" t="s">
        <v>29</v>
      </c>
      <c r="O942" s="1" t="s">
        <v>30</v>
      </c>
      <c r="P942">
        <v>1</v>
      </c>
      <c r="Q942" s="1" t="s">
        <v>57</v>
      </c>
      <c r="R942">
        <v>2</v>
      </c>
      <c r="S942" s="1" t="s">
        <v>32</v>
      </c>
      <c r="T942" s="1" t="s">
        <v>33</v>
      </c>
      <c r="U942" s="1" t="s">
        <v>34</v>
      </c>
    </row>
    <row r="943" spans="1:21" x14ac:dyDescent="0.3">
      <c r="A943" s="1" t="s">
        <v>42</v>
      </c>
      <c r="B943">
        <v>10</v>
      </c>
      <c r="C943" s="1" t="s">
        <v>36</v>
      </c>
      <c r="D943" s="1" t="s">
        <v>51</v>
      </c>
      <c r="E943">
        <v>1546</v>
      </c>
      <c r="F943" s="1" t="s">
        <v>37</v>
      </c>
      <c r="G943" s="1" t="s">
        <v>38</v>
      </c>
      <c r="H943">
        <v>3</v>
      </c>
      <c r="I943" s="1" t="s">
        <v>26</v>
      </c>
      <c r="J943" s="1" t="s">
        <v>27</v>
      </c>
      <c r="K943">
        <v>2</v>
      </c>
      <c r="L943" s="1" t="s">
        <v>28</v>
      </c>
      <c r="M943">
        <v>31</v>
      </c>
      <c r="N943" s="1" t="s">
        <v>29</v>
      </c>
      <c r="O943" s="1" t="s">
        <v>30</v>
      </c>
      <c r="P943">
        <v>1</v>
      </c>
      <c r="Q943" s="1" t="s">
        <v>45</v>
      </c>
      <c r="R943">
        <v>2</v>
      </c>
      <c r="S943" s="1" t="s">
        <v>40</v>
      </c>
      <c r="T943" s="1" t="s">
        <v>67</v>
      </c>
      <c r="U943" s="1" t="s">
        <v>34</v>
      </c>
    </row>
    <row r="944" spans="1:21" x14ac:dyDescent="0.3">
      <c r="A944" s="1" t="s">
        <v>42</v>
      </c>
      <c r="B944">
        <v>24</v>
      </c>
      <c r="C944" s="1" t="s">
        <v>36</v>
      </c>
      <c r="D944" s="1" t="s">
        <v>46</v>
      </c>
      <c r="E944">
        <v>929</v>
      </c>
      <c r="F944" s="1" t="s">
        <v>24</v>
      </c>
      <c r="G944" s="1" t="s">
        <v>44</v>
      </c>
      <c r="H944">
        <v>4</v>
      </c>
      <c r="I944" s="1" t="s">
        <v>26</v>
      </c>
      <c r="J944" s="1" t="s">
        <v>27</v>
      </c>
      <c r="K944">
        <v>2</v>
      </c>
      <c r="L944" s="1" t="s">
        <v>55</v>
      </c>
      <c r="M944">
        <v>31</v>
      </c>
      <c r="N944" s="1" t="s">
        <v>70</v>
      </c>
      <c r="O944" s="1" t="s">
        <v>30</v>
      </c>
      <c r="P944">
        <v>1</v>
      </c>
      <c r="Q944" s="1" t="s">
        <v>31</v>
      </c>
      <c r="R944">
        <v>1</v>
      </c>
      <c r="S944" s="1" t="s">
        <v>32</v>
      </c>
      <c r="T944" s="1" t="s">
        <v>33</v>
      </c>
      <c r="U944" s="1" t="s">
        <v>34</v>
      </c>
    </row>
    <row r="945" spans="1:21" x14ac:dyDescent="0.3">
      <c r="A945" s="1" t="s">
        <v>42</v>
      </c>
      <c r="B945">
        <v>4</v>
      </c>
      <c r="C945" s="1" t="s">
        <v>22</v>
      </c>
      <c r="D945" s="1" t="s">
        <v>51</v>
      </c>
      <c r="E945">
        <v>1455</v>
      </c>
      <c r="F945" s="1" t="s">
        <v>37</v>
      </c>
      <c r="G945" s="1" t="s">
        <v>44</v>
      </c>
      <c r="H945">
        <v>2</v>
      </c>
      <c r="I945" s="1" t="s">
        <v>26</v>
      </c>
      <c r="J945" s="1" t="s">
        <v>27</v>
      </c>
      <c r="K945">
        <v>1</v>
      </c>
      <c r="L945" s="1" t="s">
        <v>28</v>
      </c>
      <c r="M945">
        <v>42</v>
      </c>
      <c r="N945" s="1" t="s">
        <v>29</v>
      </c>
      <c r="O945" s="1" t="s">
        <v>30</v>
      </c>
      <c r="P945">
        <v>3</v>
      </c>
      <c r="Q945" s="1" t="s">
        <v>45</v>
      </c>
      <c r="R945">
        <v>2</v>
      </c>
      <c r="S945" s="1" t="s">
        <v>40</v>
      </c>
      <c r="T945" s="1" t="s">
        <v>33</v>
      </c>
      <c r="U945" s="1" t="s">
        <v>34</v>
      </c>
    </row>
    <row r="946" spans="1:21" x14ac:dyDescent="0.3">
      <c r="A946" s="1" t="s">
        <v>21</v>
      </c>
      <c r="B946">
        <v>15</v>
      </c>
      <c r="C946" s="1" t="s">
        <v>36</v>
      </c>
      <c r="D946" s="1" t="s">
        <v>46</v>
      </c>
      <c r="E946">
        <v>1845</v>
      </c>
      <c r="F946" s="1" t="s">
        <v>37</v>
      </c>
      <c r="G946" s="1" t="s">
        <v>62</v>
      </c>
      <c r="H946">
        <v>4</v>
      </c>
      <c r="I946" s="1" t="s">
        <v>39</v>
      </c>
      <c r="J946" s="1" t="s">
        <v>47</v>
      </c>
      <c r="K946">
        <v>1</v>
      </c>
      <c r="L946" s="1" t="s">
        <v>48</v>
      </c>
      <c r="M946">
        <v>46</v>
      </c>
      <c r="N946" s="1" t="s">
        <v>29</v>
      </c>
      <c r="O946" s="1" t="s">
        <v>56</v>
      </c>
      <c r="P946">
        <v>1</v>
      </c>
      <c r="Q946" s="1" t="s">
        <v>31</v>
      </c>
      <c r="R946">
        <v>1</v>
      </c>
      <c r="S946" s="1" t="s">
        <v>40</v>
      </c>
      <c r="T946" s="1" t="s">
        <v>33</v>
      </c>
      <c r="U946" s="1" t="s">
        <v>34</v>
      </c>
    </row>
    <row r="947" spans="1:21" x14ac:dyDescent="0.3">
      <c r="A947" s="1" t="s">
        <v>35</v>
      </c>
      <c r="B947">
        <v>48</v>
      </c>
      <c r="C947" s="1" t="s">
        <v>65</v>
      </c>
      <c r="D947" s="1" t="s">
        <v>51</v>
      </c>
      <c r="E947">
        <v>8358</v>
      </c>
      <c r="F947" s="1" t="s">
        <v>53</v>
      </c>
      <c r="G947" s="1" t="s">
        <v>62</v>
      </c>
      <c r="H947">
        <v>1</v>
      </c>
      <c r="I947" s="1" t="s">
        <v>39</v>
      </c>
      <c r="J947" s="1" t="s">
        <v>27</v>
      </c>
      <c r="K947">
        <v>1</v>
      </c>
      <c r="L947" s="1" t="s">
        <v>55</v>
      </c>
      <c r="M947">
        <v>30</v>
      </c>
      <c r="N947" s="1" t="s">
        <v>29</v>
      </c>
      <c r="O947" s="1" t="s">
        <v>30</v>
      </c>
      <c r="P947">
        <v>2</v>
      </c>
      <c r="Q947" s="1" t="s">
        <v>31</v>
      </c>
      <c r="R947">
        <v>1</v>
      </c>
      <c r="S947" s="1" t="s">
        <v>40</v>
      </c>
      <c r="T947" s="1" t="s">
        <v>33</v>
      </c>
      <c r="U947" s="1" t="s">
        <v>34</v>
      </c>
    </row>
    <row r="948" spans="1:21" x14ac:dyDescent="0.3">
      <c r="A948" s="1" t="s">
        <v>21</v>
      </c>
      <c r="B948">
        <v>24</v>
      </c>
      <c r="C948" s="1" t="s">
        <v>69</v>
      </c>
      <c r="D948" s="1" t="s">
        <v>46</v>
      </c>
      <c r="E948">
        <v>3349</v>
      </c>
      <c r="F948" s="1" t="s">
        <v>53</v>
      </c>
      <c r="G948" s="1" t="s">
        <v>62</v>
      </c>
      <c r="H948">
        <v>4</v>
      </c>
      <c r="I948" s="1" t="s">
        <v>26</v>
      </c>
      <c r="J948" s="1" t="s">
        <v>27</v>
      </c>
      <c r="K948">
        <v>4</v>
      </c>
      <c r="L948" s="1" t="s">
        <v>52</v>
      </c>
      <c r="M948">
        <v>30</v>
      </c>
      <c r="N948" s="1" t="s">
        <v>29</v>
      </c>
      <c r="O948" s="1" t="s">
        <v>49</v>
      </c>
      <c r="P948">
        <v>1</v>
      </c>
      <c r="Q948" s="1" t="s">
        <v>31</v>
      </c>
      <c r="R948">
        <v>2</v>
      </c>
      <c r="S948" s="1" t="s">
        <v>32</v>
      </c>
      <c r="T948" s="1" t="s">
        <v>33</v>
      </c>
      <c r="U948" s="1" t="s">
        <v>41</v>
      </c>
    </row>
    <row r="949" spans="1:21" x14ac:dyDescent="0.3">
      <c r="A949" s="1" t="s">
        <v>42</v>
      </c>
      <c r="B949">
        <v>12</v>
      </c>
      <c r="C949" s="1" t="s">
        <v>36</v>
      </c>
      <c r="D949" s="1" t="s">
        <v>51</v>
      </c>
      <c r="E949">
        <v>2859</v>
      </c>
      <c r="F949" s="1" t="s">
        <v>24</v>
      </c>
      <c r="G949" s="1" t="s">
        <v>60</v>
      </c>
      <c r="H949">
        <v>4</v>
      </c>
      <c r="I949" s="1" t="s">
        <v>26</v>
      </c>
      <c r="J949" s="1" t="s">
        <v>27</v>
      </c>
      <c r="K949">
        <v>4</v>
      </c>
      <c r="L949" s="1" t="s">
        <v>52</v>
      </c>
      <c r="M949">
        <v>38</v>
      </c>
      <c r="N949" s="1" t="s">
        <v>29</v>
      </c>
      <c r="O949" s="1" t="s">
        <v>30</v>
      </c>
      <c r="P949">
        <v>1</v>
      </c>
      <c r="Q949" s="1" t="s">
        <v>57</v>
      </c>
      <c r="R949">
        <v>1</v>
      </c>
      <c r="S949" s="1" t="s">
        <v>32</v>
      </c>
      <c r="T949" s="1" t="s">
        <v>33</v>
      </c>
      <c r="U949" s="1" t="s">
        <v>34</v>
      </c>
    </row>
    <row r="950" spans="1:21" x14ac:dyDescent="0.3">
      <c r="A950" s="1" t="s">
        <v>42</v>
      </c>
      <c r="B950">
        <v>18</v>
      </c>
      <c r="C950" s="1" t="s">
        <v>36</v>
      </c>
      <c r="D950" s="1" t="s">
        <v>46</v>
      </c>
      <c r="E950">
        <v>1533</v>
      </c>
      <c r="F950" s="1" t="s">
        <v>37</v>
      </c>
      <c r="G950" s="1" t="s">
        <v>62</v>
      </c>
      <c r="H950">
        <v>4</v>
      </c>
      <c r="I950" s="1" t="s">
        <v>61</v>
      </c>
      <c r="J950" s="1" t="s">
        <v>71</v>
      </c>
      <c r="K950">
        <v>1</v>
      </c>
      <c r="L950" s="1" t="s">
        <v>48</v>
      </c>
      <c r="M950">
        <v>43</v>
      </c>
      <c r="N950" s="1" t="s">
        <v>29</v>
      </c>
      <c r="O950" s="1" t="s">
        <v>30</v>
      </c>
      <c r="P950">
        <v>1</v>
      </c>
      <c r="Q950" s="1" t="s">
        <v>45</v>
      </c>
      <c r="R950">
        <v>2</v>
      </c>
      <c r="S950" s="1" t="s">
        <v>40</v>
      </c>
      <c r="T950" s="1" t="s">
        <v>33</v>
      </c>
      <c r="U950" s="1" t="s">
        <v>41</v>
      </c>
    </row>
    <row r="951" spans="1:21" x14ac:dyDescent="0.3">
      <c r="A951" s="1" t="s">
        <v>42</v>
      </c>
      <c r="B951">
        <v>24</v>
      </c>
      <c r="C951" s="1" t="s">
        <v>36</v>
      </c>
      <c r="D951" s="1" t="s">
        <v>23</v>
      </c>
      <c r="E951">
        <v>3621</v>
      </c>
      <c r="F951" s="1" t="s">
        <v>64</v>
      </c>
      <c r="G951" s="1" t="s">
        <v>25</v>
      </c>
      <c r="H951">
        <v>2</v>
      </c>
      <c r="I951" s="1" t="s">
        <v>26</v>
      </c>
      <c r="J951" s="1" t="s">
        <v>27</v>
      </c>
      <c r="K951">
        <v>4</v>
      </c>
      <c r="L951" s="1" t="s">
        <v>55</v>
      </c>
      <c r="M951">
        <v>31</v>
      </c>
      <c r="N951" s="1" t="s">
        <v>29</v>
      </c>
      <c r="O951" s="1" t="s">
        <v>30</v>
      </c>
      <c r="P951">
        <v>2</v>
      </c>
      <c r="Q951" s="1" t="s">
        <v>31</v>
      </c>
      <c r="R951">
        <v>1</v>
      </c>
      <c r="S951" s="1" t="s">
        <v>40</v>
      </c>
      <c r="T951" s="1" t="s">
        <v>33</v>
      </c>
      <c r="U951" s="1" t="s">
        <v>41</v>
      </c>
    </row>
    <row r="952" spans="1:21" x14ac:dyDescent="0.3">
      <c r="A952" s="1" t="s">
        <v>35</v>
      </c>
      <c r="B952">
        <v>18</v>
      </c>
      <c r="C952" s="1" t="s">
        <v>22</v>
      </c>
      <c r="D952" s="1" t="s">
        <v>63</v>
      </c>
      <c r="E952">
        <v>3590</v>
      </c>
      <c r="F952" s="1" t="s">
        <v>37</v>
      </c>
      <c r="G952" s="1" t="s">
        <v>60</v>
      </c>
      <c r="H952">
        <v>3</v>
      </c>
      <c r="I952" s="1" t="s">
        <v>61</v>
      </c>
      <c r="J952" s="1" t="s">
        <v>27</v>
      </c>
      <c r="K952">
        <v>3</v>
      </c>
      <c r="L952" s="1" t="s">
        <v>55</v>
      </c>
      <c r="M952">
        <v>40</v>
      </c>
      <c r="N952" s="1" t="s">
        <v>29</v>
      </c>
      <c r="O952" s="1" t="s">
        <v>30</v>
      </c>
      <c r="P952">
        <v>3</v>
      </c>
      <c r="Q952" s="1" t="s">
        <v>74</v>
      </c>
      <c r="R952">
        <v>2</v>
      </c>
      <c r="S952" s="1" t="s">
        <v>32</v>
      </c>
      <c r="T952" s="1" t="s">
        <v>33</v>
      </c>
      <c r="U952" s="1" t="s">
        <v>34</v>
      </c>
    </row>
    <row r="953" spans="1:21" x14ac:dyDescent="0.3">
      <c r="A953" s="1" t="s">
        <v>21</v>
      </c>
      <c r="B953">
        <v>36</v>
      </c>
      <c r="C953" s="1" t="s">
        <v>50</v>
      </c>
      <c r="D953" s="1" t="s">
        <v>63</v>
      </c>
      <c r="E953">
        <v>2145</v>
      </c>
      <c r="F953" s="1" t="s">
        <v>37</v>
      </c>
      <c r="G953" s="1" t="s">
        <v>44</v>
      </c>
      <c r="H953">
        <v>2</v>
      </c>
      <c r="I953" s="1" t="s">
        <v>26</v>
      </c>
      <c r="J953" s="1" t="s">
        <v>27</v>
      </c>
      <c r="K953">
        <v>1</v>
      </c>
      <c r="L953" s="1" t="s">
        <v>55</v>
      </c>
      <c r="M953">
        <v>24</v>
      </c>
      <c r="N953" s="1" t="s">
        <v>29</v>
      </c>
      <c r="O953" s="1" t="s">
        <v>30</v>
      </c>
      <c r="P953">
        <v>2</v>
      </c>
      <c r="Q953" s="1" t="s">
        <v>31</v>
      </c>
      <c r="R953">
        <v>1</v>
      </c>
      <c r="S953" s="1" t="s">
        <v>32</v>
      </c>
      <c r="T953" s="1" t="s">
        <v>33</v>
      </c>
      <c r="U953" s="1" t="s">
        <v>41</v>
      </c>
    </row>
    <row r="954" spans="1:21" x14ac:dyDescent="0.3">
      <c r="A954" s="1" t="s">
        <v>35</v>
      </c>
      <c r="B954">
        <v>24</v>
      </c>
      <c r="C954" s="1" t="s">
        <v>36</v>
      </c>
      <c r="D954" s="1" t="s">
        <v>54</v>
      </c>
      <c r="E954">
        <v>4113</v>
      </c>
      <c r="F954" s="1" t="s">
        <v>53</v>
      </c>
      <c r="G954" s="1" t="s">
        <v>62</v>
      </c>
      <c r="H954">
        <v>3</v>
      </c>
      <c r="I954" s="1" t="s">
        <v>39</v>
      </c>
      <c r="J954" s="1" t="s">
        <v>27</v>
      </c>
      <c r="K954">
        <v>4</v>
      </c>
      <c r="L954" s="1" t="s">
        <v>55</v>
      </c>
      <c r="M954">
        <v>28</v>
      </c>
      <c r="N954" s="1" t="s">
        <v>29</v>
      </c>
      <c r="O954" s="1" t="s">
        <v>56</v>
      </c>
      <c r="P954">
        <v>1</v>
      </c>
      <c r="Q954" s="1" t="s">
        <v>31</v>
      </c>
      <c r="R954">
        <v>1</v>
      </c>
      <c r="S954" s="1" t="s">
        <v>40</v>
      </c>
      <c r="T954" s="1" t="s">
        <v>33</v>
      </c>
      <c r="U954" s="1" t="s">
        <v>41</v>
      </c>
    </row>
    <row r="955" spans="1:21" x14ac:dyDescent="0.3">
      <c r="A955" s="1" t="s">
        <v>42</v>
      </c>
      <c r="B955">
        <v>36</v>
      </c>
      <c r="C955" s="1" t="s">
        <v>36</v>
      </c>
      <c r="D955" s="1" t="s">
        <v>46</v>
      </c>
      <c r="E955">
        <v>10974</v>
      </c>
      <c r="F955" s="1" t="s">
        <v>37</v>
      </c>
      <c r="G955" s="1" t="s">
        <v>60</v>
      </c>
      <c r="H955">
        <v>4</v>
      </c>
      <c r="I955" s="1" t="s">
        <v>39</v>
      </c>
      <c r="J955" s="1" t="s">
        <v>27</v>
      </c>
      <c r="K955">
        <v>2</v>
      </c>
      <c r="L955" s="1" t="s">
        <v>55</v>
      </c>
      <c r="M955">
        <v>26</v>
      </c>
      <c r="N955" s="1" t="s">
        <v>29</v>
      </c>
      <c r="O955" s="1" t="s">
        <v>30</v>
      </c>
      <c r="P955">
        <v>2</v>
      </c>
      <c r="Q955" s="1" t="s">
        <v>57</v>
      </c>
      <c r="R955">
        <v>1</v>
      </c>
      <c r="S955" s="1" t="s">
        <v>32</v>
      </c>
      <c r="T955" s="1" t="s">
        <v>33</v>
      </c>
      <c r="U955" s="1" t="s">
        <v>41</v>
      </c>
    </row>
    <row r="956" spans="1:21" x14ac:dyDescent="0.3">
      <c r="A956" s="1" t="s">
        <v>21</v>
      </c>
      <c r="B956">
        <v>12</v>
      </c>
      <c r="C956" s="1" t="s">
        <v>36</v>
      </c>
      <c r="D956" s="1" t="s">
        <v>51</v>
      </c>
      <c r="E956">
        <v>1893</v>
      </c>
      <c r="F956" s="1" t="s">
        <v>37</v>
      </c>
      <c r="G956" s="1" t="s">
        <v>38</v>
      </c>
      <c r="H956">
        <v>4</v>
      </c>
      <c r="I956" s="1" t="s">
        <v>39</v>
      </c>
      <c r="J956" s="1" t="s">
        <v>47</v>
      </c>
      <c r="K956">
        <v>4</v>
      </c>
      <c r="L956" s="1" t="s">
        <v>48</v>
      </c>
      <c r="M956">
        <v>29</v>
      </c>
      <c r="N956" s="1" t="s">
        <v>29</v>
      </c>
      <c r="O956" s="1" t="s">
        <v>30</v>
      </c>
      <c r="P956">
        <v>1</v>
      </c>
      <c r="Q956" s="1" t="s">
        <v>31</v>
      </c>
      <c r="R956">
        <v>1</v>
      </c>
      <c r="S956" s="1" t="s">
        <v>32</v>
      </c>
      <c r="T956" s="1" t="s">
        <v>33</v>
      </c>
      <c r="U956" s="1" t="s">
        <v>34</v>
      </c>
    </row>
    <row r="957" spans="1:21" x14ac:dyDescent="0.3">
      <c r="A957" s="1" t="s">
        <v>21</v>
      </c>
      <c r="B957">
        <v>24</v>
      </c>
      <c r="C957" s="1" t="s">
        <v>22</v>
      </c>
      <c r="D957" s="1" t="s">
        <v>23</v>
      </c>
      <c r="E957">
        <v>1231</v>
      </c>
      <c r="F957" s="1" t="s">
        <v>58</v>
      </c>
      <c r="G957" s="1" t="s">
        <v>25</v>
      </c>
      <c r="H957">
        <v>4</v>
      </c>
      <c r="I957" s="1" t="s">
        <v>39</v>
      </c>
      <c r="J957" s="1" t="s">
        <v>27</v>
      </c>
      <c r="K957">
        <v>4</v>
      </c>
      <c r="L957" s="1" t="s">
        <v>48</v>
      </c>
      <c r="M957">
        <v>57</v>
      </c>
      <c r="N957" s="1" t="s">
        <v>29</v>
      </c>
      <c r="O957" s="1" t="s">
        <v>56</v>
      </c>
      <c r="P957">
        <v>2</v>
      </c>
      <c r="Q957" s="1" t="s">
        <v>57</v>
      </c>
      <c r="R957">
        <v>1</v>
      </c>
      <c r="S957" s="1" t="s">
        <v>32</v>
      </c>
      <c r="T957" s="1" t="s">
        <v>33</v>
      </c>
      <c r="U957" s="1" t="s">
        <v>34</v>
      </c>
    </row>
    <row r="958" spans="1:21" x14ac:dyDescent="0.3">
      <c r="A958" s="1" t="s">
        <v>68</v>
      </c>
      <c r="B958">
        <v>30</v>
      </c>
      <c r="C958" s="1" t="s">
        <v>22</v>
      </c>
      <c r="D958" s="1" t="s">
        <v>23</v>
      </c>
      <c r="E958">
        <v>3656</v>
      </c>
      <c r="F958" s="1" t="s">
        <v>24</v>
      </c>
      <c r="G958" s="1" t="s">
        <v>25</v>
      </c>
      <c r="H958">
        <v>4</v>
      </c>
      <c r="I958" s="1" t="s">
        <v>26</v>
      </c>
      <c r="J958" s="1" t="s">
        <v>27</v>
      </c>
      <c r="K958">
        <v>4</v>
      </c>
      <c r="L958" s="1" t="s">
        <v>48</v>
      </c>
      <c r="M958">
        <v>49</v>
      </c>
      <c r="N958" s="1" t="s">
        <v>70</v>
      </c>
      <c r="O958" s="1" t="s">
        <v>30</v>
      </c>
      <c r="P958">
        <v>2</v>
      </c>
      <c r="Q958" s="1" t="s">
        <v>45</v>
      </c>
      <c r="R958">
        <v>1</v>
      </c>
      <c r="S958" s="1" t="s">
        <v>40</v>
      </c>
      <c r="T958" s="1" t="s">
        <v>33</v>
      </c>
      <c r="U958" s="1" t="s">
        <v>34</v>
      </c>
    </row>
    <row r="959" spans="1:21" x14ac:dyDescent="0.3">
      <c r="A959" s="1" t="s">
        <v>35</v>
      </c>
      <c r="B959">
        <v>9</v>
      </c>
      <c r="C959" s="1" t="s">
        <v>22</v>
      </c>
      <c r="D959" s="1" t="s">
        <v>23</v>
      </c>
      <c r="E959">
        <v>1154</v>
      </c>
      <c r="F959" s="1" t="s">
        <v>37</v>
      </c>
      <c r="G959" s="1" t="s">
        <v>25</v>
      </c>
      <c r="H959">
        <v>2</v>
      </c>
      <c r="I959" s="1" t="s">
        <v>26</v>
      </c>
      <c r="J959" s="1" t="s">
        <v>27</v>
      </c>
      <c r="K959">
        <v>4</v>
      </c>
      <c r="L959" s="1" t="s">
        <v>28</v>
      </c>
      <c r="M959">
        <v>37</v>
      </c>
      <c r="N959" s="1" t="s">
        <v>29</v>
      </c>
      <c r="O959" s="1" t="s">
        <v>30</v>
      </c>
      <c r="P959">
        <v>3</v>
      </c>
      <c r="Q959" s="1" t="s">
        <v>45</v>
      </c>
      <c r="R959">
        <v>1</v>
      </c>
      <c r="S959" s="1" t="s">
        <v>40</v>
      </c>
      <c r="T959" s="1" t="s">
        <v>33</v>
      </c>
      <c r="U959" s="1" t="s">
        <v>34</v>
      </c>
    </row>
    <row r="960" spans="1:21" x14ac:dyDescent="0.3">
      <c r="A960" s="1" t="s">
        <v>21</v>
      </c>
      <c r="B960">
        <v>28</v>
      </c>
      <c r="C960" s="1" t="s">
        <v>36</v>
      </c>
      <c r="D960" s="1" t="s">
        <v>51</v>
      </c>
      <c r="E960">
        <v>4006</v>
      </c>
      <c r="F960" s="1" t="s">
        <v>37</v>
      </c>
      <c r="G960" s="1" t="s">
        <v>38</v>
      </c>
      <c r="H960">
        <v>3</v>
      </c>
      <c r="I960" s="1" t="s">
        <v>26</v>
      </c>
      <c r="J960" s="1" t="s">
        <v>27</v>
      </c>
      <c r="K960">
        <v>2</v>
      </c>
      <c r="L960" s="1" t="s">
        <v>55</v>
      </c>
      <c r="M960">
        <v>45</v>
      </c>
      <c r="N960" s="1" t="s">
        <v>29</v>
      </c>
      <c r="O960" s="1" t="s">
        <v>30</v>
      </c>
      <c r="P960">
        <v>1</v>
      </c>
      <c r="Q960" s="1" t="s">
        <v>45</v>
      </c>
      <c r="R960">
        <v>1</v>
      </c>
      <c r="S960" s="1" t="s">
        <v>40</v>
      </c>
      <c r="T960" s="1" t="s">
        <v>33</v>
      </c>
      <c r="U960" s="1" t="s">
        <v>41</v>
      </c>
    </row>
    <row r="961" spans="1:21" x14ac:dyDescent="0.3">
      <c r="A961" s="1" t="s">
        <v>35</v>
      </c>
      <c r="B961">
        <v>24</v>
      </c>
      <c r="C961" s="1" t="s">
        <v>36</v>
      </c>
      <c r="D961" s="1" t="s">
        <v>46</v>
      </c>
      <c r="E961">
        <v>3069</v>
      </c>
      <c r="F961" s="1" t="s">
        <v>64</v>
      </c>
      <c r="G961" s="1" t="s">
        <v>25</v>
      </c>
      <c r="H961">
        <v>4</v>
      </c>
      <c r="I961" s="1" t="s">
        <v>26</v>
      </c>
      <c r="J961" s="1" t="s">
        <v>27</v>
      </c>
      <c r="K961">
        <v>4</v>
      </c>
      <c r="L961" s="1" t="s">
        <v>52</v>
      </c>
      <c r="M961">
        <v>30</v>
      </c>
      <c r="N961" s="1" t="s">
        <v>29</v>
      </c>
      <c r="O961" s="1" t="s">
        <v>49</v>
      </c>
      <c r="P961">
        <v>1</v>
      </c>
      <c r="Q961" s="1" t="s">
        <v>31</v>
      </c>
      <c r="R961">
        <v>1</v>
      </c>
      <c r="S961" s="1" t="s">
        <v>40</v>
      </c>
      <c r="T961" s="1" t="s">
        <v>33</v>
      </c>
      <c r="U961" s="1" t="s">
        <v>34</v>
      </c>
    </row>
    <row r="962" spans="1:21" x14ac:dyDescent="0.3">
      <c r="A962" s="1" t="s">
        <v>42</v>
      </c>
      <c r="B962">
        <v>6</v>
      </c>
      <c r="C962" s="1" t="s">
        <v>22</v>
      </c>
      <c r="D962" s="1" t="s">
        <v>23</v>
      </c>
      <c r="E962">
        <v>1740</v>
      </c>
      <c r="F962" s="1" t="s">
        <v>37</v>
      </c>
      <c r="G962" s="1" t="s">
        <v>25</v>
      </c>
      <c r="H962">
        <v>2</v>
      </c>
      <c r="I962" s="1" t="s">
        <v>61</v>
      </c>
      <c r="J962" s="1" t="s">
        <v>27</v>
      </c>
      <c r="K962">
        <v>2</v>
      </c>
      <c r="L962" s="1" t="s">
        <v>28</v>
      </c>
      <c r="M962">
        <v>30</v>
      </c>
      <c r="N962" s="1" t="s">
        <v>29</v>
      </c>
      <c r="O962" s="1" t="s">
        <v>56</v>
      </c>
      <c r="P962">
        <v>2</v>
      </c>
      <c r="Q962" s="1" t="s">
        <v>31</v>
      </c>
      <c r="R962">
        <v>1</v>
      </c>
      <c r="S962" s="1" t="s">
        <v>40</v>
      </c>
      <c r="T962" s="1" t="s">
        <v>33</v>
      </c>
      <c r="U962" s="1" t="s">
        <v>34</v>
      </c>
    </row>
    <row r="963" spans="1:21" x14ac:dyDescent="0.3">
      <c r="A963" s="1" t="s">
        <v>35</v>
      </c>
      <c r="B963">
        <v>21</v>
      </c>
      <c r="C963" s="1" t="s">
        <v>50</v>
      </c>
      <c r="D963" s="1" t="s">
        <v>51</v>
      </c>
      <c r="E963">
        <v>2353</v>
      </c>
      <c r="F963" s="1" t="s">
        <v>37</v>
      </c>
      <c r="G963" s="1" t="s">
        <v>38</v>
      </c>
      <c r="H963">
        <v>1</v>
      </c>
      <c r="I963" s="1" t="s">
        <v>59</v>
      </c>
      <c r="J963" s="1" t="s">
        <v>27</v>
      </c>
      <c r="K963">
        <v>4</v>
      </c>
      <c r="L963" s="1" t="s">
        <v>48</v>
      </c>
      <c r="M963">
        <v>47</v>
      </c>
      <c r="N963" s="1" t="s">
        <v>29</v>
      </c>
      <c r="O963" s="1" t="s">
        <v>30</v>
      </c>
      <c r="P963">
        <v>2</v>
      </c>
      <c r="Q963" s="1" t="s">
        <v>31</v>
      </c>
      <c r="R963">
        <v>1</v>
      </c>
      <c r="S963" s="1" t="s">
        <v>40</v>
      </c>
      <c r="T963" s="1" t="s">
        <v>33</v>
      </c>
      <c r="U963" s="1" t="s">
        <v>34</v>
      </c>
    </row>
    <row r="964" spans="1:21" x14ac:dyDescent="0.3">
      <c r="A964" s="1" t="s">
        <v>42</v>
      </c>
      <c r="B964">
        <v>15</v>
      </c>
      <c r="C964" s="1" t="s">
        <v>36</v>
      </c>
      <c r="D964" s="1" t="s">
        <v>51</v>
      </c>
      <c r="E964">
        <v>3556</v>
      </c>
      <c r="F964" s="1" t="s">
        <v>24</v>
      </c>
      <c r="G964" s="1" t="s">
        <v>38</v>
      </c>
      <c r="H964">
        <v>3</v>
      </c>
      <c r="I964" s="1" t="s">
        <v>26</v>
      </c>
      <c r="J964" s="1" t="s">
        <v>27</v>
      </c>
      <c r="K964">
        <v>2</v>
      </c>
      <c r="L964" s="1" t="s">
        <v>52</v>
      </c>
      <c r="M964">
        <v>29</v>
      </c>
      <c r="N964" s="1" t="s">
        <v>29</v>
      </c>
      <c r="O964" s="1" t="s">
        <v>30</v>
      </c>
      <c r="P964">
        <v>1</v>
      </c>
      <c r="Q964" s="1" t="s">
        <v>31</v>
      </c>
      <c r="R964">
        <v>1</v>
      </c>
      <c r="S964" s="1" t="s">
        <v>40</v>
      </c>
      <c r="T964" s="1" t="s">
        <v>33</v>
      </c>
      <c r="U964" s="1" t="s">
        <v>34</v>
      </c>
    </row>
    <row r="965" spans="1:21" x14ac:dyDescent="0.3">
      <c r="A965" s="1" t="s">
        <v>42</v>
      </c>
      <c r="B965">
        <v>24</v>
      </c>
      <c r="C965" s="1" t="s">
        <v>36</v>
      </c>
      <c r="D965" s="1" t="s">
        <v>23</v>
      </c>
      <c r="E965">
        <v>2397</v>
      </c>
      <c r="F965" s="1" t="s">
        <v>53</v>
      </c>
      <c r="G965" s="1" t="s">
        <v>25</v>
      </c>
      <c r="H965">
        <v>3</v>
      </c>
      <c r="I965" s="1" t="s">
        <v>26</v>
      </c>
      <c r="J965" s="1" t="s">
        <v>27</v>
      </c>
      <c r="K965">
        <v>2</v>
      </c>
      <c r="L965" s="1" t="s">
        <v>55</v>
      </c>
      <c r="M965">
        <v>35</v>
      </c>
      <c r="N965" s="1" t="s">
        <v>66</v>
      </c>
      <c r="O965" s="1" t="s">
        <v>30</v>
      </c>
      <c r="P965">
        <v>2</v>
      </c>
      <c r="Q965" s="1" t="s">
        <v>31</v>
      </c>
      <c r="R965">
        <v>1</v>
      </c>
      <c r="S965" s="1" t="s">
        <v>32</v>
      </c>
      <c r="T965" s="1" t="s">
        <v>33</v>
      </c>
      <c r="U965" s="1" t="s">
        <v>41</v>
      </c>
    </row>
    <row r="966" spans="1:21" x14ac:dyDescent="0.3">
      <c r="A966" s="1" t="s">
        <v>35</v>
      </c>
      <c r="B966">
        <v>6</v>
      </c>
      <c r="C966" s="1" t="s">
        <v>36</v>
      </c>
      <c r="D966" s="1" t="s">
        <v>73</v>
      </c>
      <c r="E966">
        <v>454</v>
      </c>
      <c r="F966" s="1" t="s">
        <v>37</v>
      </c>
      <c r="G966" s="1" t="s">
        <v>62</v>
      </c>
      <c r="H966">
        <v>3</v>
      </c>
      <c r="I966" s="1" t="s">
        <v>61</v>
      </c>
      <c r="J966" s="1" t="s">
        <v>27</v>
      </c>
      <c r="K966">
        <v>1</v>
      </c>
      <c r="L966" s="1" t="s">
        <v>48</v>
      </c>
      <c r="M966">
        <v>22</v>
      </c>
      <c r="N966" s="1" t="s">
        <v>29</v>
      </c>
      <c r="O966" s="1" t="s">
        <v>30</v>
      </c>
      <c r="P966">
        <v>1</v>
      </c>
      <c r="Q966" s="1" t="s">
        <v>45</v>
      </c>
      <c r="R966">
        <v>1</v>
      </c>
      <c r="S966" s="1" t="s">
        <v>40</v>
      </c>
      <c r="T966" s="1" t="s">
        <v>33</v>
      </c>
      <c r="U966" s="1" t="s">
        <v>34</v>
      </c>
    </row>
    <row r="967" spans="1:21" x14ac:dyDescent="0.3">
      <c r="A967" s="1" t="s">
        <v>35</v>
      </c>
      <c r="B967">
        <v>30</v>
      </c>
      <c r="C967" s="1" t="s">
        <v>36</v>
      </c>
      <c r="D967" s="1" t="s">
        <v>23</v>
      </c>
      <c r="E967">
        <v>1715</v>
      </c>
      <c r="F967" s="1" t="s">
        <v>24</v>
      </c>
      <c r="G967" s="1" t="s">
        <v>38</v>
      </c>
      <c r="H967">
        <v>4</v>
      </c>
      <c r="I967" s="1" t="s">
        <v>39</v>
      </c>
      <c r="J967" s="1" t="s">
        <v>27</v>
      </c>
      <c r="K967">
        <v>1</v>
      </c>
      <c r="L967" s="1" t="s">
        <v>55</v>
      </c>
      <c r="M967">
        <v>26</v>
      </c>
      <c r="N967" s="1" t="s">
        <v>29</v>
      </c>
      <c r="O967" s="1" t="s">
        <v>30</v>
      </c>
      <c r="P967">
        <v>1</v>
      </c>
      <c r="Q967" s="1" t="s">
        <v>31</v>
      </c>
      <c r="R967">
        <v>1</v>
      </c>
      <c r="S967" s="1" t="s">
        <v>40</v>
      </c>
      <c r="T967" s="1" t="s">
        <v>33</v>
      </c>
      <c r="U967" s="1" t="s">
        <v>34</v>
      </c>
    </row>
    <row r="968" spans="1:21" x14ac:dyDescent="0.3">
      <c r="A968" s="1" t="s">
        <v>35</v>
      </c>
      <c r="B968">
        <v>27</v>
      </c>
      <c r="C968" s="1" t="s">
        <v>22</v>
      </c>
      <c r="D968" s="1" t="s">
        <v>23</v>
      </c>
      <c r="E968">
        <v>2520</v>
      </c>
      <c r="F968" s="1" t="s">
        <v>53</v>
      </c>
      <c r="G968" s="1" t="s">
        <v>38</v>
      </c>
      <c r="H968">
        <v>4</v>
      </c>
      <c r="I968" s="1" t="s">
        <v>26</v>
      </c>
      <c r="J968" s="1" t="s">
        <v>27</v>
      </c>
      <c r="K968">
        <v>2</v>
      </c>
      <c r="L968" s="1" t="s">
        <v>48</v>
      </c>
      <c r="M968">
        <v>23</v>
      </c>
      <c r="N968" s="1" t="s">
        <v>29</v>
      </c>
      <c r="O968" s="1" t="s">
        <v>30</v>
      </c>
      <c r="P968">
        <v>2</v>
      </c>
      <c r="Q968" s="1" t="s">
        <v>45</v>
      </c>
      <c r="R968">
        <v>1</v>
      </c>
      <c r="S968" s="1" t="s">
        <v>40</v>
      </c>
      <c r="T968" s="1" t="s">
        <v>33</v>
      </c>
      <c r="U968" s="1" t="s">
        <v>41</v>
      </c>
    </row>
    <row r="969" spans="1:21" x14ac:dyDescent="0.3">
      <c r="A969" s="1" t="s">
        <v>42</v>
      </c>
      <c r="B969">
        <v>15</v>
      </c>
      <c r="C969" s="1" t="s">
        <v>36</v>
      </c>
      <c r="D969" s="1" t="s">
        <v>23</v>
      </c>
      <c r="E969">
        <v>3568</v>
      </c>
      <c r="F969" s="1" t="s">
        <v>37</v>
      </c>
      <c r="G969" s="1" t="s">
        <v>25</v>
      </c>
      <c r="H969">
        <v>4</v>
      </c>
      <c r="I969" s="1" t="s">
        <v>39</v>
      </c>
      <c r="J969" s="1" t="s">
        <v>27</v>
      </c>
      <c r="K969">
        <v>2</v>
      </c>
      <c r="L969" s="1" t="s">
        <v>55</v>
      </c>
      <c r="M969">
        <v>54</v>
      </c>
      <c r="N969" s="1" t="s">
        <v>66</v>
      </c>
      <c r="O969" s="1" t="s">
        <v>56</v>
      </c>
      <c r="P969">
        <v>1</v>
      </c>
      <c r="Q969" s="1" t="s">
        <v>57</v>
      </c>
      <c r="R969">
        <v>1</v>
      </c>
      <c r="S969" s="1" t="s">
        <v>32</v>
      </c>
      <c r="T969" s="1" t="s">
        <v>33</v>
      </c>
      <c r="U969" s="1" t="s">
        <v>34</v>
      </c>
    </row>
    <row r="970" spans="1:21" x14ac:dyDescent="0.3">
      <c r="A970" s="1" t="s">
        <v>42</v>
      </c>
      <c r="B970">
        <v>42</v>
      </c>
      <c r="C970" s="1" t="s">
        <v>36</v>
      </c>
      <c r="D970" s="1" t="s">
        <v>23</v>
      </c>
      <c r="E970">
        <v>7166</v>
      </c>
      <c r="F970" s="1" t="s">
        <v>24</v>
      </c>
      <c r="G970" s="1" t="s">
        <v>44</v>
      </c>
      <c r="H970">
        <v>2</v>
      </c>
      <c r="I970" s="1" t="s">
        <v>61</v>
      </c>
      <c r="J970" s="1" t="s">
        <v>27</v>
      </c>
      <c r="K970">
        <v>4</v>
      </c>
      <c r="L970" s="1" t="s">
        <v>48</v>
      </c>
      <c r="M970">
        <v>29</v>
      </c>
      <c r="N970" s="1" t="s">
        <v>29</v>
      </c>
      <c r="O970" s="1" t="s">
        <v>56</v>
      </c>
      <c r="P970">
        <v>1</v>
      </c>
      <c r="Q970" s="1" t="s">
        <v>31</v>
      </c>
      <c r="R970">
        <v>1</v>
      </c>
      <c r="S970" s="1" t="s">
        <v>32</v>
      </c>
      <c r="T970" s="1" t="s">
        <v>33</v>
      </c>
      <c r="U970" s="1" t="s">
        <v>34</v>
      </c>
    </row>
    <row r="971" spans="1:21" x14ac:dyDescent="0.3">
      <c r="A971" s="1" t="s">
        <v>21</v>
      </c>
      <c r="B971">
        <v>11</v>
      </c>
      <c r="C971" s="1" t="s">
        <v>22</v>
      </c>
      <c r="D971" s="1" t="s">
        <v>51</v>
      </c>
      <c r="E971">
        <v>3939</v>
      </c>
      <c r="F971" s="1" t="s">
        <v>37</v>
      </c>
      <c r="G971" s="1" t="s">
        <v>38</v>
      </c>
      <c r="H971">
        <v>1</v>
      </c>
      <c r="I971" s="1" t="s">
        <v>26</v>
      </c>
      <c r="J971" s="1" t="s">
        <v>27</v>
      </c>
      <c r="K971">
        <v>2</v>
      </c>
      <c r="L971" s="1" t="s">
        <v>28</v>
      </c>
      <c r="M971">
        <v>40</v>
      </c>
      <c r="N971" s="1" t="s">
        <v>29</v>
      </c>
      <c r="O971" s="1" t="s">
        <v>30</v>
      </c>
      <c r="P971">
        <v>2</v>
      </c>
      <c r="Q971" s="1" t="s">
        <v>45</v>
      </c>
      <c r="R971">
        <v>2</v>
      </c>
      <c r="S971" s="1" t="s">
        <v>40</v>
      </c>
      <c r="T971" s="1" t="s">
        <v>33</v>
      </c>
      <c r="U971" s="1" t="s">
        <v>34</v>
      </c>
    </row>
    <row r="972" spans="1:21" x14ac:dyDescent="0.3">
      <c r="A972" s="1" t="s">
        <v>35</v>
      </c>
      <c r="B972">
        <v>15</v>
      </c>
      <c r="C972" s="1" t="s">
        <v>36</v>
      </c>
      <c r="D972" s="1" t="s">
        <v>73</v>
      </c>
      <c r="E972">
        <v>1514</v>
      </c>
      <c r="F972" s="1" t="s">
        <v>64</v>
      </c>
      <c r="G972" s="1" t="s">
        <v>38</v>
      </c>
      <c r="H972">
        <v>4</v>
      </c>
      <c r="I972" s="1" t="s">
        <v>26</v>
      </c>
      <c r="J972" s="1" t="s">
        <v>47</v>
      </c>
      <c r="K972">
        <v>2</v>
      </c>
      <c r="L972" s="1" t="s">
        <v>28</v>
      </c>
      <c r="M972">
        <v>22</v>
      </c>
      <c r="N972" s="1" t="s">
        <v>29</v>
      </c>
      <c r="O972" s="1" t="s">
        <v>30</v>
      </c>
      <c r="P972">
        <v>1</v>
      </c>
      <c r="Q972" s="1" t="s">
        <v>31</v>
      </c>
      <c r="R972">
        <v>1</v>
      </c>
      <c r="S972" s="1" t="s">
        <v>40</v>
      </c>
      <c r="T972" s="1" t="s">
        <v>33</v>
      </c>
      <c r="U972" s="1" t="s">
        <v>34</v>
      </c>
    </row>
    <row r="973" spans="1:21" x14ac:dyDescent="0.3">
      <c r="A973" s="1" t="s">
        <v>42</v>
      </c>
      <c r="B973">
        <v>24</v>
      </c>
      <c r="C973" s="1" t="s">
        <v>36</v>
      </c>
      <c r="D973" s="1" t="s">
        <v>51</v>
      </c>
      <c r="E973">
        <v>7393</v>
      </c>
      <c r="F973" s="1" t="s">
        <v>37</v>
      </c>
      <c r="G973" s="1" t="s">
        <v>38</v>
      </c>
      <c r="H973">
        <v>1</v>
      </c>
      <c r="I973" s="1" t="s">
        <v>26</v>
      </c>
      <c r="J973" s="1" t="s">
        <v>27</v>
      </c>
      <c r="K973">
        <v>4</v>
      </c>
      <c r="L973" s="1" t="s">
        <v>48</v>
      </c>
      <c r="M973">
        <v>43</v>
      </c>
      <c r="N973" s="1" t="s">
        <v>29</v>
      </c>
      <c r="O973" s="1" t="s">
        <v>30</v>
      </c>
      <c r="P973">
        <v>1</v>
      </c>
      <c r="Q973" s="1" t="s">
        <v>45</v>
      </c>
      <c r="R973">
        <v>2</v>
      </c>
      <c r="S973" s="1" t="s">
        <v>40</v>
      </c>
      <c r="T973" s="1" t="s">
        <v>33</v>
      </c>
      <c r="U973" s="1" t="s">
        <v>34</v>
      </c>
    </row>
    <row r="974" spans="1:21" x14ac:dyDescent="0.3">
      <c r="A974" s="1" t="s">
        <v>21</v>
      </c>
      <c r="B974">
        <v>24</v>
      </c>
      <c r="C974" s="1" t="s">
        <v>69</v>
      </c>
      <c r="D974" s="1" t="s">
        <v>51</v>
      </c>
      <c r="E974">
        <v>1193</v>
      </c>
      <c r="F974" s="1" t="s">
        <v>37</v>
      </c>
      <c r="G974" s="1" t="s">
        <v>60</v>
      </c>
      <c r="H974">
        <v>1</v>
      </c>
      <c r="I974" s="1" t="s">
        <v>39</v>
      </c>
      <c r="J974" s="1" t="s">
        <v>71</v>
      </c>
      <c r="K974">
        <v>4</v>
      </c>
      <c r="L974" s="1" t="s">
        <v>52</v>
      </c>
      <c r="M974">
        <v>29</v>
      </c>
      <c r="N974" s="1" t="s">
        <v>29</v>
      </c>
      <c r="O974" s="1" t="s">
        <v>56</v>
      </c>
      <c r="P974">
        <v>2</v>
      </c>
      <c r="Q974" s="1" t="s">
        <v>74</v>
      </c>
      <c r="R974">
        <v>1</v>
      </c>
      <c r="S974" s="1" t="s">
        <v>40</v>
      </c>
      <c r="T974" s="1" t="s">
        <v>33</v>
      </c>
      <c r="U974" s="1" t="s">
        <v>41</v>
      </c>
    </row>
    <row r="975" spans="1:21" x14ac:dyDescent="0.3">
      <c r="A975" s="1" t="s">
        <v>21</v>
      </c>
      <c r="B975">
        <v>60</v>
      </c>
      <c r="C975" s="1" t="s">
        <v>36</v>
      </c>
      <c r="D975" s="1" t="s">
        <v>63</v>
      </c>
      <c r="E975">
        <v>7297</v>
      </c>
      <c r="F975" s="1" t="s">
        <v>37</v>
      </c>
      <c r="G975" s="1" t="s">
        <v>25</v>
      </c>
      <c r="H975">
        <v>4</v>
      </c>
      <c r="I975" s="1" t="s">
        <v>26</v>
      </c>
      <c r="J975" s="1" t="s">
        <v>71</v>
      </c>
      <c r="K975">
        <v>4</v>
      </c>
      <c r="L975" s="1" t="s">
        <v>52</v>
      </c>
      <c r="M975">
        <v>36</v>
      </c>
      <c r="N975" s="1" t="s">
        <v>29</v>
      </c>
      <c r="O975" s="1" t="s">
        <v>56</v>
      </c>
      <c r="P975">
        <v>1</v>
      </c>
      <c r="Q975" s="1" t="s">
        <v>31</v>
      </c>
      <c r="R975">
        <v>1</v>
      </c>
      <c r="S975" s="1" t="s">
        <v>40</v>
      </c>
      <c r="T975" s="1" t="s">
        <v>33</v>
      </c>
      <c r="U975" s="1" t="s">
        <v>41</v>
      </c>
    </row>
    <row r="976" spans="1:21" x14ac:dyDescent="0.3">
      <c r="A976" s="1" t="s">
        <v>42</v>
      </c>
      <c r="B976">
        <v>30</v>
      </c>
      <c r="C976" s="1" t="s">
        <v>22</v>
      </c>
      <c r="D976" s="1" t="s">
        <v>23</v>
      </c>
      <c r="E976">
        <v>2831</v>
      </c>
      <c r="F976" s="1" t="s">
        <v>37</v>
      </c>
      <c r="G976" s="1" t="s">
        <v>38</v>
      </c>
      <c r="H976">
        <v>4</v>
      </c>
      <c r="I976" s="1" t="s">
        <v>39</v>
      </c>
      <c r="J976" s="1" t="s">
        <v>27</v>
      </c>
      <c r="K976">
        <v>2</v>
      </c>
      <c r="L976" s="1" t="s">
        <v>55</v>
      </c>
      <c r="M976">
        <v>33</v>
      </c>
      <c r="N976" s="1" t="s">
        <v>29</v>
      </c>
      <c r="O976" s="1" t="s">
        <v>30</v>
      </c>
      <c r="P976">
        <v>1</v>
      </c>
      <c r="Q976" s="1" t="s">
        <v>31</v>
      </c>
      <c r="R976">
        <v>1</v>
      </c>
      <c r="S976" s="1" t="s">
        <v>32</v>
      </c>
      <c r="T976" s="1" t="s">
        <v>33</v>
      </c>
      <c r="U976" s="1" t="s">
        <v>34</v>
      </c>
    </row>
    <row r="977" spans="1:21" x14ac:dyDescent="0.3">
      <c r="A977" s="1" t="s">
        <v>68</v>
      </c>
      <c r="B977">
        <v>24</v>
      </c>
      <c r="C977" s="1" t="s">
        <v>36</v>
      </c>
      <c r="D977" s="1" t="s">
        <v>23</v>
      </c>
      <c r="E977">
        <v>1258</v>
      </c>
      <c r="F977" s="1" t="s">
        <v>53</v>
      </c>
      <c r="G977" s="1" t="s">
        <v>38</v>
      </c>
      <c r="H977">
        <v>3</v>
      </c>
      <c r="I977" s="1" t="s">
        <v>39</v>
      </c>
      <c r="J977" s="1" t="s">
        <v>27</v>
      </c>
      <c r="K977">
        <v>3</v>
      </c>
      <c r="L977" s="1" t="s">
        <v>55</v>
      </c>
      <c r="M977">
        <v>57</v>
      </c>
      <c r="N977" s="1" t="s">
        <v>29</v>
      </c>
      <c r="O977" s="1" t="s">
        <v>30</v>
      </c>
      <c r="P977">
        <v>1</v>
      </c>
      <c r="Q977" s="1" t="s">
        <v>45</v>
      </c>
      <c r="R977">
        <v>1</v>
      </c>
      <c r="S977" s="1" t="s">
        <v>40</v>
      </c>
      <c r="T977" s="1" t="s">
        <v>33</v>
      </c>
      <c r="U977" s="1" t="s">
        <v>34</v>
      </c>
    </row>
    <row r="978" spans="1:21" x14ac:dyDescent="0.3">
      <c r="A978" s="1" t="s">
        <v>35</v>
      </c>
      <c r="B978">
        <v>6</v>
      </c>
      <c r="C978" s="1" t="s">
        <v>36</v>
      </c>
      <c r="D978" s="1" t="s">
        <v>23</v>
      </c>
      <c r="E978">
        <v>753</v>
      </c>
      <c r="F978" s="1" t="s">
        <v>37</v>
      </c>
      <c r="G978" s="1" t="s">
        <v>38</v>
      </c>
      <c r="H978">
        <v>2</v>
      </c>
      <c r="I978" s="1" t="s">
        <v>39</v>
      </c>
      <c r="J978" s="1" t="s">
        <v>47</v>
      </c>
      <c r="K978">
        <v>3</v>
      </c>
      <c r="L978" s="1" t="s">
        <v>28</v>
      </c>
      <c r="M978">
        <v>64</v>
      </c>
      <c r="N978" s="1" t="s">
        <v>29</v>
      </c>
      <c r="O978" s="1" t="s">
        <v>30</v>
      </c>
      <c r="P978">
        <v>1</v>
      </c>
      <c r="Q978" s="1" t="s">
        <v>31</v>
      </c>
      <c r="R978">
        <v>1</v>
      </c>
      <c r="S978" s="1" t="s">
        <v>40</v>
      </c>
      <c r="T978" s="1" t="s">
        <v>33</v>
      </c>
      <c r="U978" s="1" t="s">
        <v>34</v>
      </c>
    </row>
    <row r="979" spans="1:21" x14ac:dyDescent="0.3">
      <c r="A979" s="1" t="s">
        <v>35</v>
      </c>
      <c r="B979">
        <v>18</v>
      </c>
      <c r="C979" s="1" t="s">
        <v>50</v>
      </c>
      <c r="D979" s="1" t="s">
        <v>63</v>
      </c>
      <c r="E979">
        <v>2427</v>
      </c>
      <c r="F979" s="1" t="s">
        <v>24</v>
      </c>
      <c r="G979" s="1" t="s">
        <v>25</v>
      </c>
      <c r="H979">
        <v>4</v>
      </c>
      <c r="I979" s="1" t="s">
        <v>26</v>
      </c>
      <c r="J979" s="1" t="s">
        <v>27</v>
      </c>
      <c r="K979">
        <v>2</v>
      </c>
      <c r="L979" s="1" t="s">
        <v>48</v>
      </c>
      <c r="M979">
        <v>42</v>
      </c>
      <c r="N979" s="1" t="s">
        <v>29</v>
      </c>
      <c r="O979" s="1" t="s">
        <v>30</v>
      </c>
      <c r="P979">
        <v>2</v>
      </c>
      <c r="Q979" s="1" t="s">
        <v>31</v>
      </c>
      <c r="R979">
        <v>1</v>
      </c>
      <c r="S979" s="1" t="s">
        <v>40</v>
      </c>
      <c r="T979" s="1" t="s">
        <v>33</v>
      </c>
      <c r="U979" s="1" t="s">
        <v>34</v>
      </c>
    </row>
    <row r="980" spans="1:21" x14ac:dyDescent="0.3">
      <c r="A980" s="1" t="s">
        <v>42</v>
      </c>
      <c r="B980">
        <v>24</v>
      </c>
      <c r="C980" s="1" t="s">
        <v>50</v>
      </c>
      <c r="D980" s="1" t="s">
        <v>51</v>
      </c>
      <c r="E980">
        <v>2538</v>
      </c>
      <c r="F980" s="1" t="s">
        <v>37</v>
      </c>
      <c r="G980" s="1" t="s">
        <v>25</v>
      </c>
      <c r="H980">
        <v>4</v>
      </c>
      <c r="I980" s="1" t="s">
        <v>26</v>
      </c>
      <c r="J980" s="1" t="s">
        <v>27</v>
      </c>
      <c r="K980">
        <v>4</v>
      </c>
      <c r="L980" s="1" t="s">
        <v>55</v>
      </c>
      <c r="M980">
        <v>47</v>
      </c>
      <c r="N980" s="1" t="s">
        <v>29</v>
      </c>
      <c r="O980" s="1" t="s">
        <v>30</v>
      </c>
      <c r="P980">
        <v>2</v>
      </c>
      <c r="Q980" s="1" t="s">
        <v>45</v>
      </c>
      <c r="R980">
        <v>2</v>
      </c>
      <c r="S980" s="1" t="s">
        <v>40</v>
      </c>
      <c r="T980" s="1" t="s">
        <v>33</v>
      </c>
      <c r="U980" s="1" t="s">
        <v>41</v>
      </c>
    </row>
    <row r="981" spans="1:21" x14ac:dyDescent="0.3">
      <c r="A981" s="1" t="s">
        <v>35</v>
      </c>
      <c r="B981">
        <v>15</v>
      </c>
      <c r="C981" s="1" t="s">
        <v>69</v>
      </c>
      <c r="D981" s="1" t="s">
        <v>51</v>
      </c>
      <c r="E981">
        <v>1264</v>
      </c>
      <c r="F981" s="1" t="s">
        <v>64</v>
      </c>
      <c r="G981" s="1" t="s">
        <v>38</v>
      </c>
      <c r="H981">
        <v>2</v>
      </c>
      <c r="I981" s="1" t="s">
        <v>61</v>
      </c>
      <c r="J981" s="1" t="s">
        <v>27</v>
      </c>
      <c r="K981">
        <v>2</v>
      </c>
      <c r="L981" s="1" t="s">
        <v>48</v>
      </c>
      <c r="M981">
        <v>25</v>
      </c>
      <c r="N981" s="1" t="s">
        <v>29</v>
      </c>
      <c r="O981" s="1" t="s">
        <v>56</v>
      </c>
      <c r="P981">
        <v>1</v>
      </c>
      <c r="Q981" s="1" t="s">
        <v>31</v>
      </c>
      <c r="R981">
        <v>1</v>
      </c>
      <c r="S981" s="1" t="s">
        <v>40</v>
      </c>
      <c r="T981" s="1" t="s">
        <v>33</v>
      </c>
      <c r="U981" s="1" t="s">
        <v>41</v>
      </c>
    </row>
    <row r="982" spans="1:21" x14ac:dyDescent="0.3">
      <c r="A982" s="1" t="s">
        <v>35</v>
      </c>
      <c r="B982">
        <v>30</v>
      </c>
      <c r="C982" s="1" t="s">
        <v>22</v>
      </c>
      <c r="D982" s="1" t="s">
        <v>46</v>
      </c>
      <c r="E982">
        <v>8386</v>
      </c>
      <c r="F982" s="1" t="s">
        <v>37</v>
      </c>
      <c r="G982" s="1" t="s">
        <v>44</v>
      </c>
      <c r="H982">
        <v>2</v>
      </c>
      <c r="I982" s="1" t="s">
        <v>26</v>
      </c>
      <c r="J982" s="1" t="s">
        <v>27</v>
      </c>
      <c r="K982">
        <v>2</v>
      </c>
      <c r="L982" s="1" t="s">
        <v>48</v>
      </c>
      <c r="M982">
        <v>49</v>
      </c>
      <c r="N982" s="1" t="s">
        <v>29</v>
      </c>
      <c r="O982" s="1" t="s">
        <v>30</v>
      </c>
      <c r="P982">
        <v>1</v>
      </c>
      <c r="Q982" s="1" t="s">
        <v>31</v>
      </c>
      <c r="R982">
        <v>1</v>
      </c>
      <c r="S982" s="1" t="s">
        <v>40</v>
      </c>
      <c r="T982" s="1" t="s">
        <v>33</v>
      </c>
      <c r="U982" s="1" t="s">
        <v>41</v>
      </c>
    </row>
    <row r="983" spans="1:21" x14ac:dyDescent="0.3">
      <c r="A983" s="1" t="s">
        <v>42</v>
      </c>
      <c r="B983">
        <v>48</v>
      </c>
      <c r="C983" s="1" t="s">
        <v>36</v>
      </c>
      <c r="D983" s="1" t="s">
        <v>63</v>
      </c>
      <c r="E983">
        <v>4844</v>
      </c>
      <c r="F983" s="1" t="s">
        <v>37</v>
      </c>
      <c r="G983" s="1" t="s">
        <v>60</v>
      </c>
      <c r="H983">
        <v>3</v>
      </c>
      <c r="I983" s="1" t="s">
        <v>26</v>
      </c>
      <c r="J983" s="1" t="s">
        <v>27</v>
      </c>
      <c r="K983">
        <v>2</v>
      </c>
      <c r="L983" s="1" t="s">
        <v>55</v>
      </c>
      <c r="M983">
        <v>33</v>
      </c>
      <c r="N983" s="1" t="s">
        <v>66</v>
      </c>
      <c r="O983" s="1" t="s">
        <v>56</v>
      </c>
      <c r="P983">
        <v>1</v>
      </c>
      <c r="Q983" s="1" t="s">
        <v>57</v>
      </c>
      <c r="R983">
        <v>1</v>
      </c>
      <c r="S983" s="1" t="s">
        <v>32</v>
      </c>
      <c r="T983" s="1" t="s">
        <v>33</v>
      </c>
      <c r="U983" s="1" t="s">
        <v>41</v>
      </c>
    </row>
    <row r="984" spans="1:21" x14ac:dyDescent="0.3">
      <c r="A984" s="1" t="s">
        <v>68</v>
      </c>
      <c r="B984">
        <v>21</v>
      </c>
      <c r="C984" s="1" t="s">
        <v>36</v>
      </c>
      <c r="D984" s="1" t="s">
        <v>51</v>
      </c>
      <c r="E984">
        <v>2923</v>
      </c>
      <c r="F984" s="1" t="s">
        <v>64</v>
      </c>
      <c r="G984" s="1" t="s">
        <v>38</v>
      </c>
      <c r="H984">
        <v>1</v>
      </c>
      <c r="I984" s="1" t="s">
        <v>39</v>
      </c>
      <c r="J984" s="1" t="s">
        <v>27</v>
      </c>
      <c r="K984">
        <v>1</v>
      </c>
      <c r="L984" s="1" t="s">
        <v>55</v>
      </c>
      <c r="M984">
        <v>28</v>
      </c>
      <c r="N984" s="1" t="s">
        <v>66</v>
      </c>
      <c r="O984" s="1" t="s">
        <v>30</v>
      </c>
      <c r="P984">
        <v>1</v>
      </c>
      <c r="Q984" s="1" t="s">
        <v>57</v>
      </c>
      <c r="R984">
        <v>1</v>
      </c>
      <c r="S984" s="1" t="s">
        <v>32</v>
      </c>
      <c r="T984" s="1" t="s">
        <v>33</v>
      </c>
      <c r="U984" s="1" t="s">
        <v>34</v>
      </c>
    </row>
    <row r="985" spans="1:21" x14ac:dyDescent="0.3">
      <c r="A985" s="1" t="s">
        <v>21</v>
      </c>
      <c r="B985">
        <v>36</v>
      </c>
      <c r="C985" s="1" t="s">
        <v>36</v>
      </c>
      <c r="D985" s="1" t="s">
        <v>54</v>
      </c>
      <c r="E985">
        <v>8229</v>
      </c>
      <c r="F985" s="1" t="s">
        <v>37</v>
      </c>
      <c r="G985" s="1" t="s">
        <v>38</v>
      </c>
      <c r="H985">
        <v>2</v>
      </c>
      <c r="I985" s="1" t="s">
        <v>26</v>
      </c>
      <c r="J985" s="1" t="s">
        <v>27</v>
      </c>
      <c r="K985">
        <v>2</v>
      </c>
      <c r="L985" s="1" t="s">
        <v>48</v>
      </c>
      <c r="M985">
        <v>26</v>
      </c>
      <c r="N985" s="1" t="s">
        <v>29</v>
      </c>
      <c r="O985" s="1" t="s">
        <v>30</v>
      </c>
      <c r="P985">
        <v>1</v>
      </c>
      <c r="Q985" s="1" t="s">
        <v>31</v>
      </c>
      <c r="R985">
        <v>2</v>
      </c>
      <c r="S985" s="1" t="s">
        <v>40</v>
      </c>
      <c r="T985" s="1" t="s">
        <v>33</v>
      </c>
      <c r="U985" s="1" t="s">
        <v>41</v>
      </c>
    </row>
    <row r="986" spans="1:21" x14ac:dyDescent="0.3">
      <c r="A986" s="1" t="s">
        <v>42</v>
      </c>
      <c r="B986">
        <v>24</v>
      </c>
      <c r="C986" s="1" t="s">
        <v>22</v>
      </c>
      <c r="D986" s="1" t="s">
        <v>46</v>
      </c>
      <c r="E986">
        <v>2028</v>
      </c>
      <c r="F986" s="1" t="s">
        <v>37</v>
      </c>
      <c r="G986" s="1" t="s">
        <v>44</v>
      </c>
      <c r="H986">
        <v>2</v>
      </c>
      <c r="I986" s="1" t="s">
        <v>26</v>
      </c>
      <c r="J986" s="1" t="s">
        <v>27</v>
      </c>
      <c r="K986">
        <v>2</v>
      </c>
      <c r="L986" s="1" t="s">
        <v>48</v>
      </c>
      <c r="M986">
        <v>30</v>
      </c>
      <c r="N986" s="1" t="s">
        <v>29</v>
      </c>
      <c r="O986" s="1" t="s">
        <v>30</v>
      </c>
      <c r="P986">
        <v>2</v>
      </c>
      <c r="Q986" s="1" t="s">
        <v>45</v>
      </c>
      <c r="R986">
        <v>1</v>
      </c>
      <c r="S986" s="1" t="s">
        <v>40</v>
      </c>
      <c r="T986" s="1" t="s">
        <v>33</v>
      </c>
      <c r="U986" s="1" t="s">
        <v>34</v>
      </c>
    </row>
    <row r="987" spans="1:21" x14ac:dyDescent="0.3">
      <c r="A987" s="1" t="s">
        <v>21</v>
      </c>
      <c r="B987">
        <v>15</v>
      </c>
      <c r="C987" s="1" t="s">
        <v>22</v>
      </c>
      <c r="D987" s="1" t="s">
        <v>46</v>
      </c>
      <c r="E987">
        <v>1433</v>
      </c>
      <c r="F987" s="1" t="s">
        <v>37</v>
      </c>
      <c r="G987" s="1" t="s">
        <v>38</v>
      </c>
      <c r="H987">
        <v>4</v>
      </c>
      <c r="I987" s="1" t="s">
        <v>39</v>
      </c>
      <c r="J987" s="1" t="s">
        <v>27</v>
      </c>
      <c r="K987">
        <v>3</v>
      </c>
      <c r="L987" s="1" t="s">
        <v>48</v>
      </c>
      <c r="M987">
        <v>25</v>
      </c>
      <c r="N987" s="1" t="s">
        <v>29</v>
      </c>
      <c r="O987" s="1" t="s">
        <v>56</v>
      </c>
      <c r="P987">
        <v>2</v>
      </c>
      <c r="Q987" s="1" t="s">
        <v>31</v>
      </c>
      <c r="R987">
        <v>1</v>
      </c>
      <c r="S987" s="1" t="s">
        <v>40</v>
      </c>
      <c r="T987" s="1" t="s">
        <v>33</v>
      </c>
      <c r="U987" s="1" t="s">
        <v>34</v>
      </c>
    </row>
    <row r="988" spans="1:21" x14ac:dyDescent="0.3">
      <c r="A988" s="1" t="s">
        <v>68</v>
      </c>
      <c r="B988">
        <v>42</v>
      </c>
      <c r="C988" s="1" t="s">
        <v>65</v>
      </c>
      <c r="D988" s="1" t="s">
        <v>63</v>
      </c>
      <c r="E988">
        <v>6289</v>
      </c>
      <c r="F988" s="1" t="s">
        <v>37</v>
      </c>
      <c r="G988" s="1" t="s">
        <v>62</v>
      </c>
      <c r="H988">
        <v>2</v>
      </c>
      <c r="I988" s="1" t="s">
        <v>59</v>
      </c>
      <c r="J988" s="1" t="s">
        <v>27</v>
      </c>
      <c r="K988">
        <v>1</v>
      </c>
      <c r="L988" s="1" t="s">
        <v>48</v>
      </c>
      <c r="M988">
        <v>33</v>
      </c>
      <c r="N988" s="1" t="s">
        <v>29</v>
      </c>
      <c r="O988" s="1" t="s">
        <v>30</v>
      </c>
      <c r="P988">
        <v>2</v>
      </c>
      <c r="Q988" s="1" t="s">
        <v>31</v>
      </c>
      <c r="R988">
        <v>1</v>
      </c>
      <c r="S988" s="1" t="s">
        <v>40</v>
      </c>
      <c r="T988" s="1" t="s">
        <v>33</v>
      </c>
      <c r="U988" s="1" t="s">
        <v>34</v>
      </c>
    </row>
    <row r="989" spans="1:21" x14ac:dyDescent="0.3">
      <c r="A989" s="1" t="s">
        <v>42</v>
      </c>
      <c r="B989">
        <v>13</v>
      </c>
      <c r="C989" s="1" t="s">
        <v>36</v>
      </c>
      <c r="D989" s="1" t="s">
        <v>23</v>
      </c>
      <c r="E989">
        <v>1409</v>
      </c>
      <c r="F989" s="1" t="s">
        <v>64</v>
      </c>
      <c r="G989" s="1" t="s">
        <v>60</v>
      </c>
      <c r="H989">
        <v>2</v>
      </c>
      <c r="I989" s="1" t="s">
        <v>39</v>
      </c>
      <c r="J989" s="1" t="s">
        <v>27</v>
      </c>
      <c r="K989">
        <v>4</v>
      </c>
      <c r="L989" s="1" t="s">
        <v>28</v>
      </c>
      <c r="M989">
        <v>64</v>
      </c>
      <c r="N989" s="1" t="s">
        <v>29</v>
      </c>
      <c r="O989" s="1" t="s">
        <v>30</v>
      </c>
      <c r="P989">
        <v>1</v>
      </c>
      <c r="Q989" s="1" t="s">
        <v>31</v>
      </c>
      <c r="R989">
        <v>1</v>
      </c>
      <c r="S989" s="1" t="s">
        <v>40</v>
      </c>
      <c r="T989" s="1" t="s">
        <v>33</v>
      </c>
      <c r="U989" s="1" t="s">
        <v>34</v>
      </c>
    </row>
    <row r="990" spans="1:21" x14ac:dyDescent="0.3">
      <c r="A990" s="1" t="s">
        <v>21</v>
      </c>
      <c r="B990">
        <v>24</v>
      </c>
      <c r="C990" s="1" t="s">
        <v>36</v>
      </c>
      <c r="D990" s="1" t="s">
        <v>54</v>
      </c>
      <c r="E990">
        <v>6579</v>
      </c>
      <c r="F990" s="1" t="s">
        <v>37</v>
      </c>
      <c r="G990" s="1" t="s">
        <v>60</v>
      </c>
      <c r="H990">
        <v>4</v>
      </c>
      <c r="I990" s="1" t="s">
        <v>26</v>
      </c>
      <c r="J990" s="1" t="s">
        <v>27</v>
      </c>
      <c r="K990">
        <v>2</v>
      </c>
      <c r="L990" s="1" t="s">
        <v>52</v>
      </c>
      <c r="M990">
        <v>29</v>
      </c>
      <c r="N990" s="1" t="s">
        <v>29</v>
      </c>
      <c r="O990" s="1" t="s">
        <v>49</v>
      </c>
      <c r="P990">
        <v>1</v>
      </c>
      <c r="Q990" s="1" t="s">
        <v>57</v>
      </c>
      <c r="R990">
        <v>1</v>
      </c>
      <c r="S990" s="1" t="s">
        <v>32</v>
      </c>
      <c r="T990" s="1" t="s">
        <v>33</v>
      </c>
      <c r="U990" s="1" t="s">
        <v>34</v>
      </c>
    </row>
    <row r="991" spans="1:21" x14ac:dyDescent="0.3">
      <c r="A991" s="1" t="s">
        <v>35</v>
      </c>
      <c r="B991">
        <v>24</v>
      </c>
      <c r="C991" s="1" t="s">
        <v>22</v>
      </c>
      <c r="D991" s="1" t="s">
        <v>23</v>
      </c>
      <c r="E991">
        <v>1743</v>
      </c>
      <c r="F991" s="1" t="s">
        <v>37</v>
      </c>
      <c r="G991" s="1" t="s">
        <v>25</v>
      </c>
      <c r="H991">
        <v>4</v>
      </c>
      <c r="I991" s="1" t="s">
        <v>26</v>
      </c>
      <c r="J991" s="1" t="s">
        <v>27</v>
      </c>
      <c r="K991">
        <v>2</v>
      </c>
      <c r="L991" s="1" t="s">
        <v>48</v>
      </c>
      <c r="M991">
        <v>48</v>
      </c>
      <c r="N991" s="1" t="s">
        <v>29</v>
      </c>
      <c r="O991" s="1" t="s">
        <v>30</v>
      </c>
      <c r="P991">
        <v>2</v>
      </c>
      <c r="Q991" s="1" t="s">
        <v>45</v>
      </c>
      <c r="R991">
        <v>1</v>
      </c>
      <c r="S991" s="1" t="s">
        <v>40</v>
      </c>
      <c r="T991" s="1" t="s">
        <v>33</v>
      </c>
      <c r="U991" s="1" t="s">
        <v>34</v>
      </c>
    </row>
    <row r="992" spans="1:21" x14ac:dyDescent="0.3">
      <c r="A992" s="1" t="s">
        <v>42</v>
      </c>
      <c r="B992">
        <v>12</v>
      </c>
      <c r="C992" s="1" t="s">
        <v>22</v>
      </c>
      <c r="D992" s="1" t="s">
        <v>43</v>
      </c>
      <c r="E992">
        <v>3565</v>
      </c>
      <c r="F992" s="1" t="s">
        <v>24</v>
      </c>
      <c r="G992" s="1" t="s">
        <v>62</v>
      </c>
      <c r="H992">
        <v>2</v>
      </c>
      <c r="I992" s="1" t="s">
        <v>26</v>
      </c>
      <c r="J992" s="1" t="s">
        <v>27</v>
      </c>
      <c r="K992">
        <v>1</v>
      </c>
      <c r="L992" s="1" t="s">
        <v>48</v>
      </c>
      <c r="M992">
        <v>37</v>
      </c>
      <c r="N992" s="1" t="s">
        <v>29</v>
      </c>
      <c r="O992" s="1" t="s">
        <v>30</v>
      </c>
      <c r="P992">
        <v>2</v>
      </c>
      <c r="Q992" s="1" t="s">
        <v>45</v>
      </c>
      <c r="R992">
        <v>2</v>
      </c>
      <c r="S992" s="1" t="s">
        <v>40</v>
      </c>
      <c r="T992" s="1" t="s">
        <v>33</v>
      </c>
      <c r="U992" s="1" t="s">
        <v>34</v>
      </c>
    </row>
    <row r="993" spans="1:21" x14ac:dyDescent="0.3">
      <c r="A993" s="1" t="s">
        <v>42</v>
      </c>
      <c r="B993">
        <v>15</v>
      </c>
      <c r="C993" s="1" t="s">
        <v>69</v>
      </c>
      <c r="D993" s="1" t="s">
        <v>23</v>
      </c>
      <c r="E993">
        <v>1569</v>
      </c>
      <c r="F993" s="1" t="s">
        <v>64</v>
      </c>
      <c r="G993" s="1" t="s">
        <v>25</v>
      </c>
      <c r="H993">
        <v>4</v>
      </c>
      <c r="I993" s="1" t="s">
        <v>26</v>
      </c>
      <c r="J993" s="1" t="s">
        <v>27</v>
      </c>
      <c r="K993">
        <v>4</v>
      </c>
      <c r="L993" s="1" t="s">
        <v>55</v>
      </c>
      <c r="M993">
        <v>34</v>
      </c>
      <c r="N993" s="1" t="s">
        <v>66</v>
      </c>
      <c r="O993" s="1" t="s">
        <v>30</v>
      </c>
      <c r="P993">
        <v>1</v>
      </c>
      <c r="Q993" s="1" t="s">
        <v>45</v>
      </c>
      <c r="R993">
        <v>2</v>
      </c>
      <c r="S993" s="1" t="s">
        <v>40</v>
      </c>
      <c r="T993" s="1" t="s">
        <v>33</v>
      </c>
      <c r="U993" s="1" t="s">
        <v>34</v>
      </c>
    </row>
    <row r="994" spans="1:21" x14ac:dyDescent="0.3">
      <c r="A994" s="1" t="s">
        <v>21</v>
      </c>
      <c r="B994">
        <v>18</v>
      </c>
      <c r="C994" s="1" t="s">
        <v>36</v>
      </c>
      <c r="D994" s="1" t="s">
        <v>23</v>
      </c>
      <c r="E994">
        <v>1936</v>
      </c>
      <c r="F994" s="1" t="s">
        <v>24</v>
      </c>
      <c r="G994" s="1" t="s">
        <v>44</v>
      </c>
      <c r="H994">
        <v>2</v>
      </c>
      <c r="I994" s="1" t="s">
        <v>61</v>
      </c>
      <c r="J994" s="1" t="s">
        <v>27</v>
      </c>
      <c r="K994">
        <v>4</v>
      </c>
      <c r="L994" s="1" t="s">
        <v>55</v>
      </c>
      <c r="M994">
        <v>23</v>
      </c>
      <c r="N994" s="1" t="s">
        <v>29</v>
      </c>
      <c r="O994" s="1" t="s">
        <v>56</v>
      </c>
      <c r="P994">
        <v>2</v>
      </c>
      <c r="Q994" s="1" t="s">
        <v>45</v>
      </c>
      <c r="R994">
        <v>1</v>
      </c>
      <c r="S994" s="1" t="s">
        <v>40</v>
      </c>
      <c r="T994" s="1" t="s">
        <v>33</v>
      </c>
      <c r="U994" s="1" t="s">
        <v>34</v>
      </c>
    </row>
    <row r="995" spans="1:21" x14ac:dyDescent="0.3">
      <c r="A995" s="1" t="s">
        <v>21</v>
      </c>
      <c r="B995">
        <v>36</v>
      </c>
      <c r="C995" s="1" t="s">
        <v>36</v>
      </c>
      <c r="D995" s="1" t="s">
        <v>46</v>
      </c>
      <c r="E995">
        <v>3959</v>
      </c>
      <c r="F995" s="1" t="s">
        <v>37</v>
      </c>
      <c r="G995" s="1" t="s">
        <v>60</v>
      </c>
      <c r="H995">
        <v>4</v>
      </c>
      <c r="I995" s="1" t="s">
        <v>26</v>
      </c>
      <c r="J995" s="1" t="s">
        <v>27</v>
      </c>
      <c r="K995">
        <v>3</v>
      </c>
      <c r="L995" s="1" t="s">
        <v>48</v>
      </c>
      <c r="M995">
        <v>30</v>
      </c>
      <c r="N995" s="1" t="s">
        <v>29</v>
      </c>
      <c r="O995" s="1" t="s">
        <v>30</v>
      </c>
      <c r="P995">
        <v>1</v>
      </c>
      <c r="Q995" s="1" t="s">
        <v>57</v>
      </c>
      <c r="R995">
        <v>1</v>
      </c>
      <c r="S995" s="1" t="s">
        <v>32</v>
      </c>
      <c r="T995" s="1" t="s">
        <v>33</v>
      </c>
      <c r="U995" s="1" t="s">
        <v>34</v>
      </c>
    </row>
    <row r="996" spans="1:21" x14ac:dyDescent="0.3">
      <c r="A996" s="1" t="s">
        <v>42</v>
      </c>
      <c r="B996">
        <v>12</v>
      </c>
      <c r="C996" s="1" t="s">
        <v>36</v>
      </c>
      <c r="D996" s="1" t="s">
        <v>51</v>
      </c>
      <c r="E996">
        <v>2390</v>
      </c>
      <c r="F996" s="1" t="s">
        <v>24</v>
      </c>
      <c r="G996" s="1" t="s">
        <v>25</v>
      </c>
      <c r="H996">
        <v>4</v>
      </c>
      <c r="I996" s="1" t="s">
        <v>26</v>
      </c>
      <c r="J996" s="1" t="s">
        <v>27</v>
      </c>
      <c r="K996">
        <v>3</v>
      </c>
      <c r="L996" s="1" t="s">
        <v>55</v>
      </c>
      <c r="M996">
        <v>50</v>
      </c>
      <c r="N996" s="1" t="s">
        <v>29</v>
      </c>
      <c r="O996" s="1" t="s">
        <v>30</v>
      </c>
      <c r="P996">
        <v>1</v>
      </c>
      <c r="Q996" s="1" t="s">
        <v>31</v>
      </c>
      <c r="R996">
        <v>1</v>
      </c>
      <c r="S996" s="1" t="s">
        <v>32</v>
      </c>
      <c r="T996" s="1" t="s">
        <v>33</v>
      </c>
      <c r="U996" s="1" t="s">
        <v>34</v>
      </c>
    </row>
    <row r="997" spans="1:21" x14ac:dyDescent="0.3">
      <c r="A997" s="1" t="s">
        <v>42</v>
      </c>
      <c r="B997">
        <v>12</v>
      </c>
      <c r="C997" s="1" t="s">
        <v>36</v>
      </c>
      <c r="D997" s="1" t="s">
        <v>46</v>
      </c>
      <c r="E997">
        <v>1736</v>
      </c>
      <c r="F997" s="1" t="s">
        <v>37</v>
      </c>
      <c r="G997" s="1" t="s">
        <v>44</v>
      </c>
      <c r="H997">
        <v>3</v>
      </c>
      <c r="I997" s="1" t="s">
        <v>39</v>
      </c>
      <c r="J997" s="1" t="s">
        <v>27</v>
      </c>
      <c r="K997">
        <v>4</v>
      </c>
      <c r="L997" s="1" t="s">
        <v>28</v>
      </c>
      <c r="M997">
        <v>31</v>
      </c>
      <c r="N997" s="1" t="s">
        <v>29</v>
      </c>
      <c r="O997" s="1" t="s">
        <v>30</v>
      </c>
      <c r="P997">
        <v>1</v>
      </c>
      <c r="Q997" s="1" t="s">
        <v>45</v>
      </c>
      <c r="R997">
        <v>1</v>
      </c>
      <c r="S997" s="1" t="s">
        <v>40</v>
      </c>
      <c r="T997" s="1" t="s">
        <v>33</v>
      </c>
      <c r="U997" s="1" t="s">
        <v>34</v>
      </c>
    </row>
    <row r="998" spans="1:21" x14ac:dyDescent="0.3">
      <c r="A998" s="1" t="s">
        <v>21</v>
      </c>
      <c r="B998">
        <v>30</v>
      </c>
      <c r="C998" s="1" t="s">
        <v>36</v>
      </c>
      <c r="D998" s="1" t="s">
        <v>54</v>
      </c>
      <c r="E998">
        <v>3857</v>
      </c>
      <c r="F998" s="1" t="s">
        <v>37</v>
      </c>
      <c r="G998" s="1" t="s">
        <v>38</v>
      </c>
      <c r="H998">
        <v>4</v>
      </c>
      <c r="I998" s="1" t="s">
        <v>59</v>
      </c>
      <c r="J998" s="1" t="s">
        <v>27</v>
      </c>
      <c r="K998">
        <v>4</v>
      </c>
      <c r="L998" s="1" t="s">
        <v>48</v>
      </c>
      <c r="M998">
        <v>40</v>
      </c>
      <c r="N998" s="1" t="s">
        <v>29</v>
      </c>
      <c r="O998" s="1" t="s">
        <v>30</v>
      </c>
      <c r="P998">
        <v>1</v>
      </c>
      <c r="Q998" s="1" t="s">
        <v>57</v>
      </c>
      <c r="R998">
        <v>1</v>
      </c>
      <c r="S998" s="1" t="s">
        <v>32</v>
      </c>
      <c r="T998" s="1" t="s">
        <v>33</v>
      </c>
      <c r="U998" s="1" t="s">
        <v>34</v>
      </c>
    </row>
    <row r="999" spans="1:21" x14ac:dyDescent="0.3">
      <c r="A999" s="1" t="s">
        <v>42</v>
      </c>
      <c r="B999">
        <v>12</v>
      </c>
      <c r="C999" s="1" t="s">
        <v>36</v>
      </c>
      <c r="D999" s="1" t="s">
        <v>23</v>
      </c>
      <c r="E999">
        <v>804</v>
      </c>
      <c r="F999" s="1" t="s">
        <v>37</v>
      </c>
      <c r="G999" s="1" t="s">
        <v>25</v>
      </c>
      <c r="H999">
        <v>4</v>
      </c>
      <c r="I999" s="1" t="s">
        <v>26</v>
      </c>
      <c r="J999" s="1" t="s">
        <v>27</v>
      </c>
      <c r="K999">
        <v>4</v>
      </c>
      <c r="L999" s="1" t="s">
        <v>55</v>
      </c>
      <c r="M999">
        <v>38</v>
      </c>
      <c r="N999" s="1" t="s">
        <v>29</v>
      </c>
      <c r="O999" s="1" t="s">
        <v>30</v>
      </c>
      <c r="P999">
        <v>1</v>
      </c>
      <c r="Q999" s="1" t="s">
        <v>31</v>
      </c>
      <c r="R999">
        <v>1</v>
      </c>
      <c r="S999" s="1" t="s">
        <v>40</v>
      </c>
      <c r="T999" s="1" t="s">
        <v>33</v>
      </c>
      <c r="U999" s="1" t="s">
        <v>34</v>
      </c>
    </row>
    <row r="1000" spans="1:21" x14ac:dyDescent="0.3">
      <c r="A1000" s="1" t="s">
        <v>21</v>
      </c>
      <c r="B1000">
        <v>45</v>
      </c>
      <c r="C1000" s="1" t="s">
        <v>36</v>
      </c>
      <c r="D1000" s="1" t="s">
        <v>23</v>
      </c>
      <c r="E1000">
        <v>1845</v>
      </c>
      <c r="F1000" s="1" t="s">
        <v>37</v>
      </c>
      <c r="G1000" s="1" t="s">
        <v>38</v>
      </c>
      <c r="H1000">
        <v>4</v>
      </c>
      <c r="I1000" s="1" t="s">
        <v>26</v>
      </c>
      <c r="J1000" s="1" t="s">
        <v>27</v>
      </c>
      <c r="K1000">
        <v>4</v>
      </c>
      <c r="L1000" s="1" t="s">
        <v>52</v>
      </c>
      <c r="M1000">
        <v>23</v>
      </c>
      <c r="N1000" s="1" t="s">
        <v>29</v>
      </c>
      <c r="O1000" s="1" t="s">
        <v>49</v>
      </c>
      <c r="P1000">
        <v>1</v>
      </c>
      <c r="Q1000" s="1" t="s">
        <v>31</v>
      </c>
      <c r="R1000">
        <v>1</v>
      </c>
      <c r="S1000" s="1" t="s">
        <v>32</v>
      </c>
      <c r="T1000" s="1" t="s">
        <v>33</v>
      </c>
      <c r="U1000" s="1" t="s">
        <v>41</v>
      </c>
    </row>
    <row r="1001" spans="1:21" x14ac:dyDescent="0.3">
      <c r="A1001" s="1" t="s">
        <v>35</v>
      </c>
      <c r="B1001">
        <v>45</v>
      </c>
      <c r="C1001" s="1" t="s">
        <v>22</v>
      </c>
      <c r="D1001" s="1" t="s">
        <v>54</v>
      </c>
      <c r="E1001">
        <v>4576</v>
      </c>
      <c r="F1001" s="1" t="s">
        <v>64</v>
      </c>
      <c r="G1001" s="1" t="s">
        <v>60</v>
      </c>
      <c r="H1001">
        <v>3</v>
      </c>
      <c r="I1001" s="1" t="s">
        <v>26</v>
      </c>
      <c r="J1001" s="1" t="s">
        <v>27</v>
      </c>
      <c r="K1001">
        <v>4</v>
      </c>
      <c r="L1001" s="1" t="s">
        <v>55</v>
      </c>
      <c r="M1001">
        <v>27</v>
      </c>
      <c r="N1001" s="1" t="s">
        <v>29</v>
      </c>
      <c r="O1001" s="1" t="s">
        <v>30</v>
      </c>
      <c r="P1001">
        <v>1</v>
      </c>
      <c r="Q1001" s="1" t="s">
        <v>31</v>
      </c>
      <c r="R1001">
        <v>1</v>
      </c>
      <c r="S1001" s="1" t="s">
        <v>40</v>
      </c>
      <c r="T1001" s="1" t="s">
        <v>33</v>
      </c>
      <c r="U100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70D2-4615-4E76-9119-B28FFDAFEA65}">
  <dimension ref="A1:AA1001"/>
  <sheetViews>
    <sheetView workbookViewId="0">
      <selection activeCell="H18" sqref="H18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109375" bestFit="1" customWidth="1"/>
    <col min="4" max="5" width="10.109375" bestFit="1" customWidth="1"/>
    <col min="6" max="6" width="9.5546875" bestFit="1" customWidth="1"/>
    <col min="7" max="7" width="14" bestFit="1" customWidth="1"/>
    <col min="8" max="8" width="16.5546875" bestFit="1" customWidth="1"/>
    <col min="9" max="9" width="15.77734375" bestFit="1" customWidth="1"/>
    <col min="10" max="10" width="14.5546875" bestFit="1" customWidth="1"/>
    <col min="11" max="11" width="15.88671875" bestFit="1" customWidth="1"/>
    <col min="12" max="12" width="10.5546875" bestFit="1" customWidth="1"/>
    <col min="13" max="13" width="6.44140625" bestFit="1" customWidth="1"/>
    <col min="14" max="14" width="22.109375" bestFit="1" customWidth="1"/>
    <col min="15" max="15" width="10" bestFit="1" customWidth="1"/>
    <col min="16" max="16" width="15.44140625" bestFit="1" customWidth="1"/>
    <col min="17" max="17" width="6.109375" bestFit="1" customWidth="1"/>
    <col min="18" max="18" width="13.33203125" bestFit="1" customWidth="1"/>
    <col min="19" max="19" width="12.109375" bestFit="1" customWidth="1"/>
    <col min="20" max="20" width="15.77734375" bestFit="1" customWidth="1"/>
    <col min="21" max="21" width="11.5546875" bestFit="1" customWidth="1"/>
    <col min="22" max="22" width="15.109375" bestFit="1" customWidth="1"/>
    <col min="23" max="23" width="17.77734375" bestFit="1" customWidth="1"/>
    <col min="24" max="24" width="14.5546875" bestFit="1" customWidth="1"/>
    <col min="25" max="25" width="31.6640625" bestFit="1" customWidth="1"/>
    <col min="26" max="26" width="54" bestFit="1" customWidth="1"/>
    <col min="27" max="27" width="1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82</v>
      </c>
      <c r="W1" t="s">
        <v>84</v>
      </c>
      <c r="X1" t="s">
        <v>98</v>
      </c>
      <c r="Y1" t="s">
        <v>110</v>
      </c>
      <c r="Z1" t="s">
        <v>116</v>
      </c>
      <c r="AA1" t="s">
        <v>117</v>
      </c>
    </row>
    <row r="2" spans="1:27" x14ac:dyDescent="0.3">
      <c r="A2" s="1" t="s">
        <v>21</v>
      </c>
      <c r="B2">
        <v>6</v>
      </c>
      <c r="C2" s="1" t="s">
        <v>22</v>
      </c>
      <c r="D2" s="1" t="s">
        <v>23</v>
      </c>
      <c r="E2">
        <v>1169</v>
      </c>
      <c r="F2" s="1" t="s">
        <v>24</v>
      </c>
      <c r="G2" s="1" t="s">
        <v>25</v>
      </c>
      <c r="H2">
        <v>4</v>
      </c>
      <c r="I2" s="1" t="s">
        <v>26</v>
      </c>
      <c r="J2" s="1" t="s">
        <v>27</v>
      </c>
      <c r="K2">
        <v>4</v>
      </c>
      <c r="L2" s="1" t="s">
        <v>28</v>
      </c>
      <c r="M2">
        <v>67</v>
      </c>
      <c r="N2" s="1" t="s">
        <v>29</v>
      </c>
      <c r="O2" s="1" t="s">
        <v>30</v>
      </c>
      <c r="P2">
        <v>2</v>
      </c>
      <c r="Q2" s="1" t="s">
        <v>31</v>
      </c>
      <c r="R2">
        <v>1</v>
      </c>
      <c r="S2" s="1" t="s">
        <v>32</v>
      </c>
      <c r="T2" s="1" t="s">
        <v>33</v>
      </c>
      <c r="U2" s="1" t="s">
        <v>34</v>
      </c>
      <c r="V2" s="1" t="str">
        <f>_xlfn.XLOOKUP(A2,Dictonary!$A$2:$A$5,Dictonary!$B$2:$B$5)</f>
        <v>Negative balance</v>
      </c>
      <c r="W2" s="1" t="str">
        <f>_xlfn.XLOOKUP(D2,Dictonary!$D$2:$D$12,Dictonary!$E$2:$E$12)</f>
        <v>radio/television</v>
      </c>
      <c r="X2" s="1" t="str">
        <f>_xlfn.XLOOKUP(F2,Dictonary!$G$2:$G$6,Dictonary!$H$2:$H$6)</f>
        <v>No information</v>
      </c>
      <c r="Y2" s="1" t="str">
        <f>_xlfn.XLOOKUP(I2,Dictonary!$J$2:$J$6,Dictonary!$K$2:$K$6)</f>
        <v>male : single</v>
      </c>
      <c r="Z2" s="1" t="str">
        <f>_xlfn.XLOOKUP(Q2,Dictonary!$M$2:$M$5,Dictonary!$N$2:$N$5)</f>
        <v>skilled employee / official</v>
      </c>
      <c r="AA2" s="1" t="str">
        <f>_xlfn.XLOOKUP(O2,Dictonary!$P$2:$P$4,Dictonary!$Q$2:$Q$4)</f>
        <v>own</v>
      </c>
    </row>
    <row r="3" spans="1:27" x14ac:dyDescent="0.3">
      <c r="A3" s="1" t="s">
        <v>35</v>
      </c>
      <c r="B3">
        <v>48</v>
      </c>
      <c r="C3" s="1" t="s">
        <v>36</v>
      </c>
      <c r="D3" s="1" t="s">
        <v>23</v>
      </c>
      <c r="E3">
        <v>5951</v>
      </c>
      <c r="F3" s="1" t="s">
        <v>37</v>
      </c>
      <c r="G3" s="1" t="s">
        <v>38</v>
      </c>
      <c r="H3">
        <v>2</v>
      </c>
      <c r="I3" s="1" t="s">
        <v>39</v>
      </c>
      <c r="J3" s="1" t="s">
        <v>27</v>
      </c>
      <c r="K3">
        <v>2</v>
      </c>
      <c r="L3" s="1" t="s">
        <v>28</v>
      </c>
      <c r="M3">
        <v>22</v>
      </c>
      <c r="N3" s="1" t="s">
        <v>29</v>
      </c>
      <c r="O3" s="1" t="s">
        <v>30</v>
      </c>
      <c r="P3">
        <v>1</v>
      </c>
      <c r="Q3" s="1" t="s">
        <v>31</v>
      </c>
      <c r="R3">
        <v>1</v>
      </c>
      <c r="S3" s="1" t="s">
        <v>40</v>
      </c>
      <c r="T3" s="1" t="s">
        <v>33</v>
      </c>
      <c r="U3" s="1" t="s">
        <v>41</v>
      </c>
      <c r="V3" s="1" t="str">
        <f>_xlfn.XLOOKUP(A3,Dictonary!$A$2:$A$5,Dictonary!$B$2:$B$5)</f>
        <v>Low balance</v>
      </c>
      <c r="W3" s="1" t="str">
        <f>_xlfn.XLOOKUP(D3,Dictonary!$D$2:$D$12,Dictonary!$E$2:$E$12)</f>
        <v>radio/television</v>
      </c>
      <c r="X3" s="1" t="str">
        <f>_xlfn.XLOOKUP(F3,Dictonary!$G$2:$G$6,Dictonary!$H$2:$H$6)</f>
        <v>Less 100</v>
      </c>
      <c r="Y3" s="1" t="str">
        <f>_xlfn.XLOOKUP(I3,Dictonary!$J$2:$J$6,Dictonary!$K$2:$K$6)</f>
        <v>female : divorced/separated/married</v>
      </c>
      <c r="Z3" s="1" t="str">
        <f>_xlfn.XLOOKUP(Q3,Dictonary!$M$2:$M$5,Dictonary!$N$2:$N$5)</f>
        <v>skilled employee / official</v>
      </c>
      <c r="AA3" s="1" t="str">
        <f>_xlfn.XLOOKUP(O3,Dictonary!$P$2:$P$4,Dictonary!$Q$2:$Q$4)</f>
        <v>own</v>
      </c>
    </row>
    <row r="4" spans="1:27" x14ac:dyDescent="0.3">
      <c r="A4" s="1" t="s">
        <v>42</v>
      </c>
      <c r="B4">
        <v>12</v>
      </c>
      <c r="C4" s="1" t="s">
        <v>22</v>
      </c>
      <c r="D4" s="1" t="s">
        <v>43</v>
      </c>
      <c r="E4">
        <v>2096</v>
      </c>
      <c r="F4" s="1" t="s">
        <v>37</v>
      </c>
      <c r="G4" s="1" t="s">
        <v>44</v>
      </c>
      <c r="H4">
        <v>2</v>
      </c>
      <c r="I4" s="1" t="s">
        <v>26</v>
      </c>
      <c r="J4" s="1" t="s">
        <v>27</v>
      </c>
      <c r="K4">
        <v>3</v>
      </c>
      <c r="L4" s="1" t="s">
        <v>28</v>
      </c>
      <c r="M4">
        <v>49</v>
      </c>
      <c r="N4" s="1" t="s">
        <v>29</v>
      </c>
      <c r="O4" s="1" t="s">
        <v>30</v>
      </c>
      <c r="P4">
        <v>1</v>
      </c>
      <c r="Q4" s="1" t="s">
        <v>45</v>
      </c>
      <c r="R4">
        <v>2</v>
      </c>
      <c r="S4" s="1" t="s">
        <v>40</v>
      </c>
      <c r="T4" s="1" t="s">
        <v>33</v>
      </c>
      <c r="U4" s="1" t="s">
        <v>34</v>
      </c>
      <c r="V4" s="1" t="str">
        <f>_xlfn.XLOOKUP(A4,Dictonary!$A$2:$A$5,Dictonary!$B$2:$B$5)</f>
        <v>No information</v>
      </c>
      <c r="W4" s="1" t="str">
        <f>_xlfn.XLOOKUP(D4,Dictonary!$D$2:$D$12,Dictonary!$E$2:$E$12)</f>
        <v>education</v>
      </c>
      <c r="X4" s="1" t="str">
        <f>_xlfn.XLOOKUP(F4,Dictonary!$G$2:$G$6,Dictonary!$H$2:$H$6)</f>
        <v>Less 100</v>
      </c>
      <c r="Y4" s="1" t="str">
        <f>_xlfn.XLOOKUP(I4,Dictonary!$J$2:$J$6,Dictonary!$K$2:$K$6)</f>
        <v>male : single</v>
      </c>
      <c r="Z4" s="1" t="str">
        <f>_xlfn.XLOOKUP(Q4,Dictonary!$M$2:$M$5,Dictonary!$N$2:$N$5)</f>
        <v>unskilled - resident</v>
      </c>
      <c r="AA4" s="1" t="str">
        <f>_xlfn.XLOOKUP(O4,Dictonary!$P$2:$P$4,Dictonary!$Q$2:$Q$4)</f>
        <v>own</v>
      </c>
    </row>
    <row r="5" spans="1:27" x14ac:dyDescent="0.3">
      <c r="A5" s="1" t="s">
        <v>21</v>
      </c>
      <c r="B5">
        <v>42</v>
      </c>
      <c r="C5" s="1" t="s">
        <v>36</v>
      </c>
      <c r="D5" s="1" t="s">
        <v>46</v>
      </c>
      <c r="E5">
        <v>7882</v>
      </c>
      <c r="F5" s="1" t="s">
        <v>37</v>
      </c>
      <c r="G5" s="1" t="s">
        <v>44</v>
      </c>
      <c r="H5">
        <v>2</v>
      </c>
      <c r="I5" s="1" t="s">
        <v>26</v>
      </c>
      <c r="J5" s="1" t="s">
        <v>47</v>
      </c>
      <c r="K5">
        <v>4</v>
      </c>
      <c r="L5" s="1" t="s">
        <v>48</v>
      </c>
      <c r="M5">
        <v>45</v>
      </c>
      <c r="N5" s="1" t="s">
        <v>29</v>
      </c>
      <c r="O5" s="1" t="s">
        <v>49</v>
      </c>
      <c r="P5">
        <v>1</v>
      </c>
      <c r="Q5" s="1" t="s">
        <v>31</v>
      </c>
      <c r="R5">
        <v>2</v>
      </c>
      <c r="S5" s="1" t="s">
        <v>40</v>
      </c>
      <c r="T5" s="1" t="s">
        <v>33</v>
      </c>
      <c r="U5" s="1" t="s">
        <v>34</v>
      </c>
      <c r="V5" s="1" t="str">
        <f>_xlfn.XLOOKUP(A5,Dictonary!$A$2:$A$5,Dictonary!$B$2:$B$5)</f>
        <v>Negative balance</v>
      </c>
      <c r="W5" s="1" t="str">
        <f>_xlfn.XLOOKUP(D5,Dictonary!$D$2:$D$12,Dictonary!$E$2:$E$12)</f>
        <v>furniture/equipment</v>
      </c>
      <c r="X5" s="1" t="str">
        <f>_xlfn.XLOOKUP(F5,Dictonary!$G$2:$G$6,Dictonary!$H$2:$H$6)</f>
        <v>Less 100</v>
      </c>
      <c r="Y5" s="1" t="str">
        <f>_xlfn.XLOOKUP(I5,Dictonary!$J$2:$J$6,Dictonary!$K$2:$K$6)</f>
        <v>male : single</v>
      </c>
      <c r="Z5" s="1" t="str">
        <f>_xlfn.XLOOKUP(Q5,Dictonary!$M$2:$M$5,Dictonary!$N$2:$N$5)</f>
        <v>skilled employee / official</v>
      </c>
      <c r="AA5" s="1" t="str">
        <f>_xlfn.XLOOKUP(O5,Dictonary!$P$2:$P$4,Dictonary!$Q$2:$Q$4)</f>
        <v>for free</v>
      </c>
    </row>
    <row r="6" spans="1:27" x14ac:dyDescent="0.3">
      <c r="A6" s="1" t="s">
        <v>21</v>
      </c>
      <c r="B6">
        <v>24</v>
      </c>
      <c r="C6" s="1" t="s">
        <v>50</v>
      </c>
      <c r="D6" s="1" t="s">
        <v>51</v>
      </c>
      <c r="E6">
        <v>4870</v>
      </c>
      <c r="F6" s="1" t="s">
        <v>37</v>
      </c>
      <c r="G6" s="1" t="s">
        <v>38</v>
      </c>
      <c r="H6">
        <v>3</v>
      </c>
      <c r="I6" s="1" t="s">
        <v>26</v>
      </c>
      <c r="J6" s="1" t="s">
        <v>27</v>
      </c>
      <c r="K6">
        <v>4</v>
      </c>
      <c r="L6" s="1" t="s">
        <v>52</v>
      </c>
      <c r="M6">
        <v>53</v>
      </c>
      <c r="N6" s="1" t="s">
        <v>29</v>
      </c>
      <c r="O6" s="1" t="s">
        <v>49</v>
      </c>
      <c r="P6">
        <v>2</v>
      </c>
      <c r="Q6" s="1" t="s">
        <v>31</v>
      </c>
      <c r="R6">
        <v>2</v>
      </c>
      <c r="S6" s="1" t="s">
        <v>40</v>
      </c>
      <c r="T6" s="1" t="s">
        <v>33</v>
      </c>
      <c r="U6" s="1" t="s">
        <v>41</v>
      </c>
      <c r="V6" s="1" t="str">
        <f>_xlfn.XLOOKUP(A6,Dictonary!$A$2:$A$5,Dictonary!$B$2:$B$5)</f>
        <v>Negative balance</v>
      </c>
      <c r="W6" s="1" t="str">
        <f>_xlfn.XLOOKUP(D6,Dictonary!$D$2:$D$12,Dictonary!$E$2:$E$12)</f>
        <v>car (new)</v>
      </c>
      <c r="X6" s="1" t="str">
        <f>_xlfn.XLOOKUP(F6,Dictonary!$G$2:$G$6,Dictonary!$H$2:$H$6)</f>
        <v>Less 100</v>
      </c>
      <c r="Y6" s="1" t="str">
        <f>_xlfn.XLOOKUP(I6,Dictonary!$J$2:$J$6,Dictonary!$K$2:$K$6)</f>
        <v>male : single</v>
      </c>
      <c r="Z6" s="1" t="str">
        <f>_xlfn.XLOOKUP(Q6,Dictonary!$M$2:$M$5,Dictonary!$N$2:$N$5)</f>
        <v>skilled employee / official</v>
      </c>
      <c r="AA6" s="1" t="str">
        <f>_xlfn.XLOOKUP(O6,Dictonary!$P$2:$P$4,Dictonary!$Q$2:$Q$4)</f>
        <v>for free</v>
      </c>
    </row>
    <row r="7" spans="1:27" x14ac:dyDescent="0.3">
      <c r="A7" s="1" t="s">
        <v>42</v>
      </c>
      <c r="B7">
        <v>36</v>
      </c>
      <c r="C7" s="1" t="s">
        <v>36</v>
      </c>
      <c r="D7" s="1" t="s">
        <v>43</v>
      </c>
      <c r="E7">
        <v>9055</v>
      </c>
      <c r="F7" s="1" t="s">
        <v>24</v>
      </c>
      <c r="G7" s="1" t="s">
        <v>38</v>
      </c>
      <c r="H7">
        <v>2</v>
      </c>
      <c r="I7" s="1" t="s">
        <v>26</v>
      </c>
      <c r="J7" s="1" t="s">
        <v>27</v>
      </c>
      <c r="K7">
        <v>4</v>
      </c>
      <c r="L7" s="1" t="s">
        <v>52</v>
      </c>
      <c r="M7">
        <v>35</v>
      </c>
      <c r="N7" s="1" t="s">
        <v>29</v>
      </c>
      <c r="O7" s="1" t="s">
        <v>49</v>
      </c>
      <c r="P7">
        <v>1</v>
      </c>
      <c r="Q7" s="1" t="s">
        <v>45</v>
      </c>
      <c r="R7">
        <v>2</v>
      </c>
      <c r="S7" s="1" t="s">
        <v>32</v>
      </c>
      <c r="T7" s="1" t="s">
        <v>33</v>
      </c>
      <c r="U7" s="1" t="s">
        <v>34</v>
      </c>
      <c r="V7" s="1" t="str">
        <f>_xlfn.XLOOKUP(A7,Dictonary!$A$2:$A$5,Dictonary!$B$2:$B$5)</f>
        <v>No information</v>
      </c>
      <c r="W7" s="1" t="str">
        <f>_xlfn.XLOOKUP(D7,Dictonary!$D$2:$D$12,Dictonary!$E$2:$E$12)</f>
        <v>education</v>
      </c>
      <c r="X7" s="1" t="str">
        <f>_xlfn.XLOOKUP(F7,Dictonary!$G$2:$G$6,Dictonary!$H$2:$H$6)</f>
        <v>No information</v>
      </c>
      <c r="Y7" s="1" t="str">
        <f>_xlfn.XLOOKUP(I7,Dictonary!$J$2:$J$6,Dictonary!$K$2:$K$6)</f>
        <v>male : single</v>
      </c>
      <c r="Z7" s="1" t="str">
        <f>_xlfn.XLOOKUP(Q7,Dictonary!$M$2:$M$5,Dictonary!$N$2:$N$5)</f>
        <v>unskilled - resident</v>
      </c>
      <c r="AA7" s="1" t="str">
        <f>_xlfn.XLOOKUP(O7,Dictonary!$P$2:$P$4,Dictonary!$Q$2:$Q$4)</f>
        <v>for free</v>
      </c>
    </row>
    <row r="8" spans="1:27" x14ac:dyDescent="0.3">
      <c r="A8" s="1" t="s">
        <v>42</v>
      </c>
      <c r="B8">
        <v>24</v>
      </c>
      <c r="C8" s="1" t="s">
        <v>36</v>
      </c>
      <c r="D8" s="1" t="s">
        <v>46</v>
      </c>
      <c r="E8">
        <v>2835</v>
      </c>
      <c r="F8" s="1" t="s">
        <v>53</v>
      </c>
      <c r="G8" s="1" t="s">
        <v>25</v>
      </c>
      <c r="H8">
        <v>3</v>
      </c>
      <c r="I8" s="1" t="s">
        <v>26</v>
      </c>
      <c r="J8" s="1" t="s">
        <v>27</v>
      </c>
      <c r="K8">
        <v>4</v>
      </c>
      <c r="L8" s="1" t="s">
        <v>48</v>
      </c>
      <c r="M8">
        <v>53</v>
      </c>
      <c r="N8" s="1" t="s">
        <v>29</v>
      </c>
      <c r="O8" s="1" t="s">
        <v>30</v>
      </c>
      <c r="P8">
        <v>1</v>
      </c>
      <c r="Q8" s="1" t="s">
        <v>31</v>
      </c>
      <c r="R8">
        <v>1</v>
      </c>
      <c r="S8" s="1" t="s">
        <v>40</v>
      </c>
      <c r="T8" s="1" t="s">
        <v>33</v>
      </c>
      <c r="U8" s="1" t="s">
        <v>34</v>
      </c>
      <c r="V8" s="1" t="str">
        <f>_xlfn.XLOOKUP(A8,Dictonary!$A$2:$A$5,Dictonary!$B$2:$B$5)</f>
        <v>No information</v>
      </c>
      <c r="W8" s="1" t="str">
        <f>_xlfn.XLOOKUP(D8,Dictonary!$D$2:$D$12,Dictonary!$E$2:$E$12)</f>
        <v>furniture/equipment</v>
      </c>
      <c r="X8" s="1" t="str">
        <f>_xlfn.XLOOKUP(F8,Dictonary!$G$2:$G$6,Dictonary!$H$2:$H$6)</f>
        <v>Up to 1000</v>
      </c>
      <c r="Y8" s="1" t="str">
        <f>_xlfn.XLOOKUP(I8,Dictonary!$J$2:$J$6,Dictonary!$K$2:$K$6)</f>
        <v>male : single</v>
      </c>
      <c r="Z8" s="1" t="str">
        <f>_xlfn.XLOOKUP(Q8,Dictonary!$M$2:$M$5,Dictonary!$N$2:$N$5)</f>
        <v>skilled employee / official</v>
      </c>
      <c r="AA8" s="1" t="str">
        <f>_xlfn.XLOOKUP(O8,Dictonary!$P$2:$P$4,Dictonary!$Q$2:$Q$4)</f>
        <v>own</v>
      </c>
    </row>
    <row r="9" spans="1:27" x14ac:dyDescent="0.3">
      <c r="A9" s="1" t="s">
        <v>35</v>
      </c>
      <c r="B9">
        <v>36</v>
      </c>
      <c r="C9" s="1" t="s">
        <v>36</v>
      </c>
      <c r="D9" s="1" t="s">
        <v>54</v>
      </c>
      <c r="E9">
        <v>6948</v>
      </c>
      <c r="F9" s="1" t="s">
        <v>37</v>
      </c>
      <c r="G9" s="1" t="s">
        <v>38</v>
      </c>
      <c r="H9">
        <v>2</v>
      </c>
      <c r="I9" s="1" t="s">
        <v>26</v>
      </c>
      <c r="J9" s="1" t="s">
        <v>27</v>
      </c>
      <c r="K9">
        <v>2</v>
      </c>
      <c r="L9" s="1" t="s">
        <v>55</v>
      </c>
      <c r="M9">
        <v>35</v>
      </c>
      <c r="N9" s="1" t="s">
        <v>29</v>
      </c>
      <c r="O9" s="1" t="s">
        <v>56</v>
      </c>
      <c r="P9">
        <v>1</v>
      </c>
      <c r="Q9" s="1" t="s">
        <v>57</v>
      </c>
      <c r="R9">
        <v>1</v>
      </c>
      <c r="S9" s="1" t="s">
        <v>32</v>
      </c>
      <c r="T9" s="1" t="s">
        <v>33</v>
      </c>
      <c r="U9" s="1" t="s">
        <v>34</v>
      </c>
      <c r="V9" s="1" t="str">
        <f>_xlfn.XLOOKUP(A9,Dictonary!$A$2:$A$5,Dictonary!$B$2:$B$5)</f>
        <v>Low balance</v>
      </c>
      <c r="W9" s="1" t="str">
        <f>_xlfn.XLOOKUP(D9,Dictonary!$D$2:$D$12,Dictonary!$E$2:$E$12)</f>
        <v>car (used)</v>
      </c>
      <c r="X9" s="1" t="str">
        <f>_xlfn.XLOOKUP(F9,Dictonary!$G$2:$G$6,Dictonary!$H$2:$H$6)</f>
        <v>Less 100</v>
      </c>
      <c r="Y9" s="1" t="str">
        <f>_xlfn.XLOOKUP(I9,Dictonary!$J$2:$J$6,Dictonary!$K$2:$K$6)</f>
        <v>male : single</v>
      </c>
      <c r="Z9" s="1" t="str">
        <f>_xlfn.XLOOKUP(Q9,Dictonary!$M$2:$M$5,Dictonary!$N$2:$N$5)</f>
        <v>management/ self-employed/ highly qualified employee/ officer</v>
      </c>
      <c r="AA9" s="1" t="str">
        <f>_xlfn.XLOOKUP(O9,Dictonary!$P$2:$P$4,Dictonary!$Q$2:$Q$4)</f>
        <v>rent</v>
      </c>
    </row>
    <row r="10" spans="1:27" x14ac:dyDescent="0.3">
      <c r="A10" s="1" t="s">
        <v>42</v>
      </c>
      <c r="B10">
        <v>12</v>
      </c>
      <c r="C10" s="1" t="s">
        <v>36</v>
      </c>
      <c r="D10" s="1" t="s">
        <v>23</v>
      </c>
      <c r="E10">
        <v>3059</v>
      </c>
      <c r="F10" s="1" t="s">
        <v>58</v>
      </c>
      <c r="G10" s="1" t="s">
        <v>44</v>
      </c>
      <c r="H10">
        <v>2</v>
      </c>
      <c r="I10" s="1" t="s">
        <v>59</v>
      </c>
      <c r="J10" s="1" t="s">
        <v>27</v>
      </c>
      <c r="K10">
        <v>4</v>
      </c>
      <c r="L10" s="1" t="s">
        <v>28</v>
      </c>
      <c r="M10">
        <v>61</v>
      </c>
      <c r="N10" s="1" t="s">
        <v>29</v>
      </c>
      <c r="O10" s="1" t="s">
        <v>30</v>
      </c>
      <c r="P10">
        <v>1</v>
      </c>
      <c r="Q10" s="1" t="s">
        <v>45</v>
      </c>
      <c r="R10">
        <v>1</v>
      </c>
      <c r="S10" s="1" t="s">
        <v>40</v>
      </c>
      <c r="T10" s="1" t="s">
        <v>33</v>
      </c>
      <c r="U10" s="1" t="s">
        <v>34</v>
      </c>
      <c r="V10" s="1" t="str">
        <f>_xlfn.XLOOKUP(A10,Dictonary!$A$2:$A$5,Dictonary!$B$2:$B$5)</f>
        <v>No information</v>
      </c>
      <c r="W10" s="1" t="str">
        <f>_xlfn.XLOOKUP(D10,Dictonary!$D$2:$D$12,Dictonary!$E$2:$E$12)</f>
        <v>radio/television</v>
      </c>
      <c r="X10" s="1" t="str">
        <f>_xlfn.XLOOKUP(F10,Dictonary!$G$2:$G$6,Dictonary!$H$2:$H$6)</f>
        <v>More 1000</v>
      </c>
      <c r="Y10" s="1" t="str">
        <f>_xlfn.XLOOKUP(I10,Dictonary!$J$2:$J$6,Dictonary!$K$2:$K$6)</f>
        <v>male : divorced/separated</v>
      </c>
      <c r="Z10" s="1" t="str">
        <f>_xlfn.XLOOKUP(Q10,Dictonary!$M$2:$M$5,Dictonary!$N$2:$N$5)</f>
        <v>unskilled - resident</v>
      </c>
      <c r="AA10" s="1" t="str">
        <f>_xlfn.XLOOKUP(O10,Dictonary!$P$2:$P$4,Dictonary!$Q$2:$Q$4)</f>
        <v>own</v>
      </c>
    </row>
    <row r="11" spans="1:27" x14ac:dyDescent="0.3">
      <c r="A11" s="1" t="s">
        <v>35</v>
      </c>
      <c r="B11">
        <v>30</v>
      </c>
      <c r="C11" s="1" t="s">
        <v>22</v>
      </c>
      <c r="D11" s="1" t="s">
        <v>51</v>
      </c>
      <c r="E11">
        <v>5234</v>
      </c>
      <c r="F11" s="1" t="s">
        <v>37</v>
      </c>
      <c r="G11" s="1" t="s">
        <v>60</v>
      </c>
      <c r="H11">
        <v>4</v>
      </c>
      <c r="I11" s="1" t="s">
        <v>61</v>
      </c>
      <c r="J11" s="1" t="s">
        <v>27</v>
      </c>
      <c r="K11">
        <v>2</v>
      </c>
      <c r="L11" s="1" t="s">
        <v>55</v>
      </c>
      <c r="M11">
        <v>28</v>
      </c>
      <c r="N11" s="1" t="s">
        <v>29</v>
      </c>
      <c r="O11" s="1" t="s">
        <v>30</v>
      </c>
      <c r="P11">
        <v>2</v>
      </c>
      <c r="Q11" s="1" t="s">
        <v>57</v>
      </c>
      <c r="R11">
        <v>1</v>
      </c>
      <c r="S11" s="1" t="s">
        <v>40</v>
      </c>
      <c r="T11" s="1" t="s">
        <v>33</v>
      </c>
      <c r="U11" s="1" t="s">
        <v>41</v>
      </c>
      <c r="V11" s="1" t="str">
        <f>_xlfn.XLOOKUP(A11,Dictonary!$A$2:$A$5,Dictonary!$B$2:$B$5)</f>
        <v>Low balance</v>
      </c>
      <c r="W11" s="1" t="str">
        <f>_xlfn.XLOOKUP(D11,Dictonary!$D$2:$D$12,Dictonary!$E$2:$E$12)</f>
        <v>car (new)</v>
      </c>
      <c r="X11" s="1" t="str">
        <f>_xlfn.XLOOKUP(F11,Dictonary!$G$2:$G$6,Dictonary!$H$2:$H$6)</f>
        <v>Less 100</v>
      </c>
      <c r="Y11" s="1" t="str">
        <f>_xlfn.XLOOKUP(I11,Dictonary!$J$2:$J$6,Dictonary!$K$2:$K$6)</f>
        <v>male : married/widowed</v>
      </c>
      <c r="Z11" s="1" t="str">
        <f>_xlfn.XLOOKUP(Q11,Dictonary!$M$2:$M$5,Dictonary!$N$2:$N$5)</f>
        <v>management/ self-employed/ highly qualified employee/ officer</v>
      </c>
      <c r="AA11" s="1" t="str">
        <f>_xlfn.XLOOKUP(O11,Dictonary!$P$2:$P$4,Dictonary!$Q$2:$Q$4)</f>
        <v>own</v>
      </c>
    </row>
    <row r="12" spans="1:27" x14ac:dyDescent="0.3">
      <c r="A12" s="1" t="s">
        <v>35</v>
      </c>
      <c r="B12">
        <v>12</v>
      </c>
      <c r="C12" s="1" t="s">
        <v>36</v>
      </c>
      <c r="D12" s="1" t="s">
        <v>51</v>
      </c>
      <c r="E12">
        <v>1295</v>
      </c>
      <c r="F12" s="1" t="s">
        <v>37</v>
      </c>
      <c r="G12" s="1" t="s">
        <v>62</v>
      </c>
      <c r="H12">
        <v>3</v>
      </c>
      <c r="I12" s="1" t="s">
        <v>39</v>
      </c>
      <c r="J12" s="1" t="s">
        <v>27</v>
      </c>
      <c r="K12">
        <v>1</v>
      </c>
      <c r="L12" s="1" t="s">
        <v>55</v>
      </c>
      <c r="M12">
        <v>25</v>
      </c>
      <c r="N12" s="1" t="s">
        <v>29</v>
      </c>
      <c r="O12" s="1" t="s">
        <v>56</v>
      </c>
      <c r="P12">
        <v>1</v>
      </c>
      <c r="Q12" s="1" t="s">
        <v>31</v>
      </c>
      <c r="R12">
        <v>1</v>
      </c>
      <c r="S12" s="1" t="s">
        <v>40</v>
      </c>
      <c r="T12" s="1" t="s">
        <v>33</v>
      </c>
      <c r="U12" s="1" t="s">
        <v>41</v>
      </c>
      <c r="V12" s="1" t="str">
        <f>_xlfn.XLOOKUP(A12,Dictonary!$A$2:$A$5,Dictonary!$B$2:$B$5)</f>
        <v>Low balance</v>
      </c>
      <c r="W12" s="1" t="str">
        <f>_xlfn.XLOOKUP(D12,Dictonary!$D$2:$D$12,Dictonary!$E$2:$E$12)</f>
        <v>car (new)</v>
      </c>
      <c r="X12" s="1" t="str">
        <f>_xlfn.XLOOKUP(F12,Dictonary!$G$2:$G$6,Dictonary!$H$2:$H$6)</f>
        <v>Less 100</v>
      </c>
      <c r="Y12" s="1" t="str">
        <f>_xlfn.XLOOKUP(I12,Dictonary!$J$2:$J$6,Dictonary!$K$2:$K$6)</f>
        <v>female : divorced/separated/married</v>
      </c>
      <c r="Z12" s="1" t="str">
        <f>_xlfn.XLOOKUP(Q12,Dictonary!$M$2:$M$5,Dictonary!$N$2:$N$5)</f>
        <v>skilled employee / official</v>
      </c>
      <c r="AA12" s="1" t="str">
        <f>_xlfn.XLOOKUP(O12,Dictonary!$P$2:$P$4,Dictonary!$Q$2:$Q$4)</f>
        <v>rent</v>
      </c>
    </row>
    <row r="13" spans="1:27" x14ac:dyDescent="0.3">
      <c r="A13" s="1" t="s">
        <v>21</v>
      </c>
      <c r="B13">
        <v>48</v>
      </c>
      <c r="C13" s="1" t="s">
        <v>36</v>
      </c>
      <c r="D13" s="1" t="s">
        <v>63</v>
      </c>
      <c r="E13">
        <v>4308</v>
      </c>
      <c r="F13" s="1" t="s">
        <v>37</v>
      </c>
      <c r="G13" s="1" t="s">
        <v>62</v>
      </c>
      <c r="H13">
        <v>3</v>
      </c>
      <c r="I13" s="1" t="s">
        <v>39</v>
      </c>
      <c r="J13" s="1" t="s">
        <v>27</v>
      </c>
      <c r="K13">
        <v>4</v>
      </c>
      <c r="L13" s="1" t="s">
        <v>48</v>
      </c>
      <c r="M13">
        <v>24</v>
      </c>
      <c r="N13" s="1" t="s">
        <v>29</v>
      </c>
      <c r="O13" s="1" t="s">
        <v>56</v>
      </c>
      <c r="P13">
        <v>1</v>
      </c>
      <c r="Q13" s="1" t="s">
        <v>31</v>
      </c>
      <c r="R13">
        <v>1</v>
      </c>
      <c r="S13" s="1" t="s">
        <v>40</v>
      </c>
      <c r="T13" s="1" t="s">
        <v>33</v>
      </c>
      <c r="U13" s="1" t="s">
        <v>41</v>
      </c>
      <c r="V13" s="1" t="str">
        <f>_xlfn.XLOOKUP(A13,Dictonary!$A$2:$A$5,Dictonary!$B$2:$B$5)</f>
        <v>Negative balance</v>
      </c>
      <c r="W13" s="1" t="str">
        <f>_xlfn.XLOOKUP(D13,Dictonary!$D$2:$D$12,Dictonary!$E$2:$E$12)</f>
        <v>business</v>
      </c>
      <c r="X13" s="1" t="str">
        <f>_xlfn.XLOOKUP(F13,Dictonary!$G$2:$G$6,Dictonary!$H$2:$H$6)</f>
        <v>Less 100</v>
      </c>
      <c r="Y13" s="1" t="str">
        <f>_xlfn.XLOOKUP(I13,Dictonary!$J$2:$J$6,Dictonary!$K$2:$K$6)</f>
        <v>female : divorced/separated/married</v>
      </c>
      <c r="Z13" s="1" t="str">
        <f>_xlfn.XLOOKUP(Q13,Dictonary!$M$2:$M$5,Dictonary!$N$2:$N$5)</f>
        <v>skilled employee / official</v>
      </c>
      <c r="AA13" s="1" t="str">
        <f>_xlfn.XLOOKUP(O13,Dictonary!$P$2:$P$4,Dictonary!$Q$2:$Q$4)</f>
        <v>rent</v>
      </c>
    </row>
    <row r="14" spans="1:27" x14ac:dyDescent="0.3">
      <c r="A14" s="1" t="s">
        <v>35</v>
      </c>
      <c r="B14">
        <v>12</v>
      </c>
      <c r="C14" s="1" t="s">
        <v>36</v>
      </c>
      <c r="D14" s="1" t="s">
        <v>23</v>
      </c>
      <c r="E14">
        <v>1567</v>
      </c>
      <c r="F14" s="1" t="s">
        <v>37</v>
      </c>
      <c r="G14" s="1" t="s">
        <v>38</v>
      </c>
      <c r="H14">
        <v>1</v>
      </c>
      <c r="I14" s="1" t="s">
        <v>39</v>
      </c>
      <c r="J14" s="1" t="s">
        <v>27</v>
      </c>
      <c r="K14">
        <v>1</v>
      </c>
      <c r="L14" s="1" t="s">
        <v>55</v>
      </c>
      <c r="M14">
        <v>22</v>
      </c>
      <c r="N14" s="1" t="s">
        <v>29</v>
      </c>
      <c r="O14" s="1" t="s">
        <v>30</v>
      </c>
      <c r="P14">
        <v>1</v>
      </c>
      <c r="Q14" s="1" t="s">
        <v>31</v>
      </c>
      <c r="R14">
        <v>1</v>
      </c>
      <c r="S14" s="1" t="s">
        <v>32</v>
      </c>
      <c r="T14" s="1" t="s">
        <v>33</v>
      </c>
      <c r="U14" s="1" t="s">
        <v>34</v>
      </c>
      <c r="V14" s="1" t="str">
        <f>_xlfn.XLOOKUP(A14,Dictonary!$A$2:$A$5,Dictonary!$B$2:$B$5)</f>
        <v>Low balance</v>
      </c>
      <c r="W14" s="1" t="str">
        <f>_xlfn.XLOOKUP(D14,Dictonary!$D$2:$D$12,Dictonary!$E$2:$E$12)</f>
        <v>radio/television</v>
      </c>
      <c r="X14" s="1" t="str">
        <f>_xlfn.XLOOKUP(F14,Dictonary!$G$2:$G$6,Dictonary!$H$2:$H$6)</f>
        <v>Less 100</v>
      </c>
      <c r="Y14" s="1" t="str">
        <f>_xlfn.XLOOKUP(I14,Dictonary!$J$2:$J$6,Dictonary!$K$2:$K$6)</f>
        <v>female : divorced/separated/married</v>
      </c>
      <c r="Z14" s="1" t="str">
        <f>_xlfn.XLOOKUP(Q14,Dictonary!$M$2:$M$5,Dictonary!$N$2:$N$5)</f>
        <v>skilled employee / official</v>
      </c>
      <c r="AA14" s="1" t="str">
        <f>_xlfn.XLOOKUP(O14,Dictonary!$P$2:$P$4,Dictonary!$Q$2:$Q$4)</f>
        <v>own</v>
      </c>
    </row>
    <row r="15" spans="1:27" x14ac:dyDescent="0.3">
      <c r="A15" s="1" t="s">
        <v>21</v>
      </c>
      <c r="B15">
        <v>24</v>
      </c>
      <c r="C15" s="1" t="s">
        <v>22</v>
      </c>
      <c r="D15" s="1" t="s">
        <v>51</v>
      </c>
      <c r="E15">
        <v>1199</v>
      </c>
      <c r="F15" s="1" t="s">
        <v>37</v>
      </c>
      <c r="G15" s="1" t="s">
        <v>25</v>
      </c>
      <c r="H15">
        <v>4</v>
      </c>
      <c r="I15" s="1" t="s">
        <v>26</v>
      </c>
      <c r="J15" s="1" t="s">
        <v>27</v>
      </c>
      <c r="K15">
        <v>4</v>
      </c>
      <c r="L15" s="1" t="s">
        <v>55</v>
      </c>
      <c r="M15">
        <v>60</v>
      </c>
      <c r="N15" s="1" t="s">
        <v>29</v>
      </c>
      <c r="O15" s="1" t="s">
        <v>30</v>
      </c>
      <c r="P15">
        <v>2</v>
      </c>
      <c r="Q15" s="1" t="s">
        <v>45</v>
      </c>
      <c r="R15">
        <v>1</v>
      </c>
      <c r="S15" s="1" t="s">
        <v>40</v>
      </c>
      <c r="T15" s="1" t="s">
        <v>33</v>
      </c>
      <c r="U15" s="1" t="s">
        <v>41</v>
      </c>
      <c r="V15" s="1" t="str">
        <f>_xlfn.XLOOKUP(A15,Dictonary!$A$2:$A$5,Dictonary!$B$2:$B$5)</f>
        <v>Negative balance</v>
      </c>
      <c r="W15" s="1" t="str">
        <f>_xlfn.XLOOKUP(D15,Dictonary!$D$2:$D$12,Dictonary!$E$2:$E$12)</f>
        <v>car (new)</v>
      </c>
      <c r="X15" s="1" t="str">
        <f>_xlfn.XLOOKUP(F15,Dictonary!$G$2:$G$6,Dictonary!$H$2:$H$6)</f>
        <v>Less 100</v>
      </c>
      <c r="Y15" s="1" t="str">
        <f>_xlfn.XLOOKUP(I15,Dictonary!$J$2:$J$6,Dictonary!$K$2:$K$6)</f>
        <v>male : single</v>
      </c>
      <c r="Z15" s="1" t="str">
        <f>_xlfn.XLOOKUP(Q15,Dictonary!$M$2:$M$5,Dictonary!$N$2:$N$5)</f>
        <v>unskilled - resident</v>
      </c>
      <c r="AA15" s="1" t="str">
        <f>_xlfn.XLOOKUP(O15,Dictonary!$P$2:$P$4,Dictonary!$Q$2:$Q$4)</f>
        <v>own</v>
      </c>
    </row>
    <row r="16" spans="1:27" x14ac:dyDescent="0.3">
      <c r="A16" s="1" t="s">
        <v>21</v>
      </c>
      <c r="B16">
        <v>15</v>
      </c>
      <c r="C16" s="1" t="s">
        <v>36</v>
      </c>
      <c r="D16" s="1" t="s">
        <v>51</v>
      </c>
      <c r="E16">
        <v>1403</v>
      </c>
      <c r="F16" s="1" t="s">
        <v>37</v>
      </c>
      <c r="G16" s="1" t="s">
        <v>38</v>
      </c>
      <c r="H16">
        <v>2</v>
      </c>
      <c r="I16" s="1" t="s">
        <v>39</v>
      </c>
      <c r="J16" s="1" t="s">
        <v>27</v>
      </c>
      <c r="K16">
        <v>4</v>
      </c>
      <c r="L16" s="1" t="s">
        <v>55</v>
      </c>
      <c r="M16">
        <v>28</v>
      </c>
      <c r="N16" s="1" t="s">
        <v>29</v>
      </c>
      <c r="O16" s="1" t="s">
        <v>56</v>
      </c>
      <c r="P16">
        <v>1</v>
      </c>
      <c r="Q16" s="1" t="s">
        <v>31</v>
      </c>
      <c r="R16">
        <v>1</v>
      </c>
      <c r="S16" s="1" t="s">
        <v>40</v>
      </c>
      <c r="T16" s="1" t="s">
        <v>33</v>
      </c>
      <c r="U16" s="1" t="s">
        <v>34</v>
      </c>
      <c r="V16" s="1" t="str">
        <f>_xlfn.XLOOKUP(A16,Dictonary!$A$2:$A$5,Dictonary!$B$2:$B$5)</f>
        <v>Negative balance</v>
      </c>
      <c r="W16" s="1" t="str">
        <f>_xlfn.XLOOKUP(D16,Dictonary!$D$2:$D$12,Dictonary!$E$2:$E$12)</f>
        <v>car (new)</v>
      </c>
      <c r="X16" s="1" t="str">
        <f>_xlfn.XLOOKUP(F16,Dictonary!$G$2:$G$6,Dictonary!$H$2:$H$6)</f>
        <v>Less 100</v>
      </c>
      <c r="Y16" s="1" t="str">
        <f>_xlfn.XLOOKUP(I16,Dictonary!$J$2:$J$6,Dictonary!$K$2:$K$6)</f>
        <v>female : divorced/separated/married</v>
      </c>
      <c r="Z16" s="1" t="str">
        <f>_xlfn.XLOOKUP(Q16,Dictonary!$M$2:$M$5,Dictonary!$N$2:$N$5)</f>
        <v>skilled employee / official</v>
      </c>
      <c r="AA16" s="1" t="str">
        <f>_xlfn.XLOOKUP(O16,Dictonary!$P$2:$P$4,Dictonary!$Q$2:$Q$4)</f>
        <v>rent</v>
      </c>
    </row>
    <row r="17" spans="1:27" x14ac:dyDescent="0.3">
      <c r="A17" s="1" t="s">
        <v>21</v>
      </c>
      <c r="B17">
        <v>24</v>
      </c>
      <c r="C17" s="1" t="s">
        <v>36</v>
      </c>
      <c r="D17" s="1" t="s">
        <v>23</v>
      </c>
      <c r="E17">
        <v>1282</v>
      </c>
      <c r="F17" s="1" t="s">
        <v>64</v>
      </c>
      <c r="G17" s="1" t="s">
        <v>38</v>
      </c>
      <c r="H17">
        <v>4</v>
      </c>
      <c r="I17" s="1" t="s">
        <v>39</v>
      </c>
      <c r="J17" s="1" t="s">
        <v>27</v>
      </c>
      <c r="K17">
        <v>2</v>
      </c>
      <c r="L17" s="1" t="s">
        <v>55</v>
      </c>
      <c r="M17">
        <v>32</v>
      </c>
      <c r="N17" s="1" t="s">
        <v>29</v>
      </c>
      <c r="O17" s="1" t="s">
        <v>30</v>
      </c>
      <c r="P17">
        <v>1</v>
      </c>
      <c r="Q17" s="1" t="s">
        <v>45</v>
      </c>
      <c r="R17">
        <v>1</v>
      </c>
      <c r="S17" s="1" t="s">
        <v>40</v>
      </c>
      <c r="T17" s="1" t="s">
        <v>33</v>
      </c>
      <c r="U17" s="1" t="s">
        <v>41</v>
      </c>
      <c r="V17" s="1" t="str">
        <f>_xlfn.XLOOKUP(A17,Dictonary!$A$2:$A$5,Dictonary!$B$2:$B$5)</f>
        <v>Negative balance</v>
      </c>
      <c r="W17" s="1" t="str">
        <f>_xlfn.XLOOKUP(D17,Dictonary!$D$2:$D$12,Dictonary!$E$2:$E$12)</f>
        <v>radio/television</v>
      </c>
      <c r="X17" s="1" t="str">
        <f>_xlfn.XLOOKUP(F17,Dictonary!$G$2:$G$6,Dictonary!$H$2:$H$6)</f>
        <v>Up to 500</v>
      </c>
      <c r="Y17" s="1" t="str">
        <f>_xlfn.XLOOKUP(I17,Dictonary!$J$2:$J$6,Dictonary!$K$2:$K$6)</f>
        <v>female : divorced/separated/married</v>
      </c>
      <c r="Z17" s="1" t="str">
        <f>_xlfn.XLOOKUP(Q17,Dictonary!$M$2:$M$5,Dictonary!$N$2:$N$5)</f>
        <v>unskilled - resident</v>
      </c>
      <c r="AA17" s="1" t="str">
        <f>_xlfn.XLOOKUP(O17,Dictonary!$P$2:$P$4,Dictonary!$Q$2:$Q$4)</f>
        <v>own</v>
      </c>
    </row>
    <row r="18" spans="1:27" x14ac:dyDescent="0.3">
      <c r="A18" s="1" t="s">
        <v>42</v>
      </c>
      <c r="B18">
        <v>24</v>
      </c>
      <c r="C18" s="1" t="s">
        <v>22</v>
      </c>
      <c r="D18" s="1" t="s">
        <v>23</v>
      </c>
      <c r="E18">
        <v>2424</v>
      </c>
      <c r="F18" s="1" t="s">
        <v>24</v>
      </c>
      <c r="G18" s="1" t="s">
        <v>25</v>
      </c>
      <c r="H18">
        <v>4</v>
      </c>
      <c r="I18" s="1" t="s">
        <v>26</v>
      </c>
      <c r="J18" s="1" t="s">
        <v>27</v>
      </c>
      <c r="K18">
        <v>4</v>
      </c>
      <c r="L18" s="1" t="s">
        <v>48</v>
      </c>
      <c r="M18">
        <v>53</v>
      </c>
      <c r="N18" s="1" t="s">
        <v>29</v>
      </c>
      <c r="O18" s="1" t="s">
        <v>30</v>
      </c>
      <c r="P18">
        <v>2</v>
      </c>
      <c r="Q18" s="1" t="s">
        <v>31</v>
      </c>
      <c r="R18">
        <v>1</v>
      </c>
      <c r="S18" s="1" t="s">
        <v>40</v>
      </c>
      <c r="T18" s="1" t="s">
        <v>33</v>
      </c>
      <c r="U18" s="1" t="s">
        <v>34</v>
      </c>
      <c r="V18" s="1" t="str">
        <f>_xlfn.XLOOKUP(A18,Dictonary!$A$2:$A$5,Dictonary!$B$2:$B$5)</f>
        <v>No information</v>
      </c>
      <c r="W18" s="1" t="str">
        <f>_xlfn.XLOOKUP(D18,Dictonary!$D$2:$D$12,Dictonary!$E$2:$E$12)</f>
        <v>radio/television</v>
      </c>
      <c r="X18" s="1" t="str">
        <f>_xlfn.XLOOKUP(F18,Dictonary!$G$2:$G$6,Dictonary!$H$2:$H$6)</f>
        <v>No information</v>
      </c>
      <c r="Y18" s="1" t="str">
        <f>_xlfn.XLOOKUP(I18,Dictonary!$J$2:$J$6,Dictonary!$K$2:$K$6)</f>
        <v>male : single</v>
      </c>
      <c r="Z18" s="1" t="str">
        <f>_xlfn.XLOOKUP(Q18,Dictonary!$M$2:$M$5,Dictonary!$N$2:$N$5)</f>
        <v>skilled employee / official</v>
      </c>
      <c r="AA18" s="1" t="str">
        <f>_xlfn.XLOOKUP(O18,Dictonary!$P$2:$P$4,Dictonary!$Q$2:$Q$4)</f>
        <v>own</v>
      </c>
    </row>
    <row r="19" spans="1:27" x14ac:dyDescent="0.3">
      <c r="A19" s="1" t="s">
        <v>21</v>
      </c>
      <c r="B19">
        <v>30</v>
      </c>
      <c r="C19" s="1" t="s">
        <v>65</v>
      </c>
      <c r="D19" s="1" t="s">
        <v>63</v>
      </c>
      <c r="E19">
        <v>8072</v>
      </c>
      <c r="F19" s="1" t="s">
        <v>24</v>
      </c>
      <c r="G19" s="1" t="s">
        <v>62</v>
      </c>
      <c r="H19">
        <v>2</v>
      </c>
      <c r="I19" s="1" t="s">
        <v>26</v>
      </c>
      <c r="J19" s="1" t="s">
        <v>27</v>
      </c>
      <c r="K19">
        <v>3</v>
      </c>
      <c r="L19" s="1" t="s">
        <v>55</v>
      </c>
      <c r="M19">
        <v>25</v>
      </c>
      <c r="N19" s="1" t="s">
        <v>66</v>
      </c>
      <c r="O19" s="1" t="s">
        <v>30</v>
      </c>
      <c r="P19">
        <v>3</v>
      </c>
      <c r="Q19" s="1" t="s">
        <v>31</v>
      </c>
      <c r="R19">
        <v>1</v>
      </c>
      <c r="S19" s="1" t="s">
        <v>40</v>
      </c>
      <c r="T19" s="1" t="s">
        <v>33</v>
      </c>
      <c r="U19" s="1" t="s">
        <v>34</v>
      </c>
      <c r="V19" s="1" t="str">
        <f>_xlfn.XLOOKUP(A19,Dictonary!$A$2:$A$5,Dictonary!$B$2:$B$5)</f>
        <v>Negative balance</v>
      </c>
      <c r="W19" s="1" t="str">
        <f>_xlfn.XLOOKUP(D19,Dictonary!$D$2:$D$12,Dictonary!$E$2:$E$12)</f>
        <v>business</v>
      </c>
      <c r="X19" s="1" t="str">
        <f>_xlfn.XLOOKUP(F19,Dictonary!$G$2:$G$6,Dictonary!$H$2:$H$6)</f>
        <v>No information</v>
      </c>
      <c r="Y19" s="1" t="str">
        <f>_xlfn.XLOOKUP(I19,Dictonary!$J$2:$J$6,Dictonary!$K$2:$K$6)</f>
        <v>male : single</v>
      </c>
      <c r="Z19" s="1" t="str">
        <f>_xlfn.XLOOKUP(Q19,Dictonary!$M$2:$M$5,Dictonary!$N$2:$N$5)</f>
        <v>skilled employee / official</v>
      </c>
      <c r="AA19" s="1" t="str">
        <f>_xlfn.XLOOKUP(O19,Dictonary!$P$2:$P$4,Dictonary!$Q$2:$Q$4)</f>
        <v>own</v>
      </c>
    </row>
    <row r="20" spans="1:27" x14ac:dyDescent="0.3">
      <c r="A20" s="1" t="s">
        <v>35</v>
      </c>
      <c r="B20">
        <v>24</v>
      </c>
      <c r="C20" s="1" t="s">
        <v>36</v>
      </c>
      <c r="D20" s="1" t="s">
        <v>54</v>
      </c>
      <c r="E20">
        <v>12579</v>
      </c>
      <c r="F20" s="1" t="s">
        <v>37</v>
      </c>
      <c r="G20" s="1" t="s">
        <v>25</v>
      </c>
      <c r="H20">
        <v>4</v>
      </c>
      <c r="I20" s="1" t="s">
        <v>39</v>
      </c>
      <c r="J20" s="1" t="s">
        <v>27</v>
      </c>
      <c r="K20">
        <v>2</v>
      </c>
      <c r="L20" s="1" t="s">
        <v>52</v>
      </c>
      <c r="M20">
        <v>44</v>
      </c>
      <c r="N20" s="1" t="s">
        <v>29</v>
      </c>
      <c r="O20" s="1" t="s">
        <v>49</v>
      </c>
      <c r="P20">
        <v>1</v>
      </c>
      <c r="Q20" s="1" t="s">
        <v>57</v>
      </c>
      <c r="R20">
        <v>1</v>
      </c>
      <c r="S20" s="1" t="s">
        <v>32</v>
      </c>
      <c r="T20" s="1" t="s">
        <v>33</v>
      </c>
      <c r="U20" s="1" t="s">
        <v>41</v>
      </c>
      <c r="V20" s="1" t="str">
        <f>_xlfn.XLOOKUP(A20,Dictonary!$A$2:$A$5,Dictonary!$B$2:$B$5)</f>
        <v>Low balance</v>
      </c>
      <c r="W20" s="1" t="str">
        <f>_xlfn.XLOOKUP(D20,Dictonary!$D$2:$D$12,Dictonary!$E$2:$E$12)</f>
        <v>car (used)</v>
      </c>
      <c r="X20" s="1" t="str">
        <f>_xlfn.XLOOKUP(F20,Dictonary!$G$2:$G$6,Dictonary!$H$2:$H$6)</f>
        <v>Less 100</v>
      </c>
      <c r="Y20" s="1" t="str">
        <f>_xlfn.XLOOKUP(I20,Dictonary!$J$2:$J$6,Dictonary!$K$2:$K$6)</f>
        <v>female : divorced/separated/married</v>
      </c>
      <c r="Z20" s="1" t="str">
        <f>_xlfn.XLOOKUP(Q20,Dictonary!$M$2:$M$5,Dictonary!$N$2:$N$5)</f>
        <v>management/ self-employed/ highly qualified employee/ officer</v>
      </c>
      <c r="AA20" s="1" t="str">
        <f>_xlfn.XLOOKUP(O20,Dictonary!$P$2:$P$4,Dictonary!$Q$2:$Q$4)</f>
        <v>for free</v>
      </c>
    </row>
    <row r="21" spans="1:27" x14ac:dyDescent="0.3">
      <c r="A21" s="1" t="s">
        <v>42</v>
      </c>
      <c r="B21">
        <v>24</v>
      </c>
      <c r="C21" s="1" t="s">
        <v>36</v>
      </c>
      <c r="D21" s="1" t="s">
        <v>23</v>
      </c>
      <c r="E21">
        <v>3430</v>
      </c>
      <c r="F21" s="1" t="s">
        <v>53</v>
      </c>
      <c r="G21" s="1" t="s">
        <v>25</v>
      </c>
      <c r="H21">
        <v>3</v>
      </c>
      <c r="I21" s="1" t="s">
        <v>26</v>
      </c>
      <c r="J21" s="1" t="s">
        <v>27</v>
      </c>
      <c r="K21">
        <v>2</v>
      </c>
      <c r="L21" s="1" t="s">
        <v>55</v>
      </c>
      <c r="M21">
        <v>31</v>
      </c>
      <c r="N21" s="1" t="s">
        <v>29</v>
      </c>
      <c r="O21" s="1" t="s">
        <v>30</v>
      </c>
      <c r="P21">
        <v>1</v>
      </c>
      <c r="Q21" s="1" t="s">
        <v>31</v>
      </c>
      <c r="R21">
        <v>2</v>
      </c>
      <c r="S21" s="1" t="s">
        <v>32</v>
      </c>
      <c r="T21" s="1" t="s">
        <v>33</v>
      </c>
      <c r="U21" s="1" t="s">
        <v>34</v>
      </c>
      <c r="V21" s="1" t="str">
        <f>_xlfn.XLOOKUP(A21,Dictonary!$A$2:$A$5,Dictonary!$B$2:$B$5)</f>
        <v>No information</v>
      </c>
      <c r="W21" s="1" t="str">
        <f>_xlfn.XLOOKUP(D21,Dictonary!$D$2:$D$12,Dictonary!$E$2:$E$12)</f>
        <v>radio/television</v>
      </c>
      <c r="X21" s="1" t="str">
        <f>_xlfn.XLOOKUP(F21,Dictonary!$G$2:$G$6,Dictonary!$H$2:$H$6)</f>
        <v>Up to 1000</v>
      </c>
      <c r="Y21" s="1" t="str">
        <f>_xlfn.XLOOKUP(I21,Dictonary!$J$2:$J$6,Dictonary!$K$2:$K$6)</f>
        <v>male : single</v>
      </c>
      <c r="Z21" s="1" t="str">
        <f>_xlfn.XLOOKUP(Q21,Dictonary!$M$2:$M$5,Dictonary!$N$2:$N$5)</f>
        <v>skilled employee / official</v>
      </c>
      <c r="AA21" s="1" t="str">
        <f>_xlfn.XLOOKUP(O21,Dictonary!$P$2:$P$4,Dictonary!$Q$2:$Q$4)</f>
        <v>own</v>
      </c>
    </row>
    <row r="22" spans="1:27" x14ac:dyDescent="0.3">
      <c r="A22" s="1" t="s">
        <v>42</v>
      </c>
      <c r="B22">
        <v>9</v>
      </c>
      <c r="C22" s="1" t="s">
        <v>22</v>
      </c>
      <c r="D22" s="1" t="s">
        <v>51</v>
      </c>
      <c r="E22">
        <v>2134</v>
      </c>
      <c r="F22" s="1" t="s">
        <v>37</v>
      </c>
      <c r="G22" s="1" t="s">
        <v>38</v>
      </c>
      <c r="H22">
        <v>4</v>
      </c>
      <c r="I22" s="1" t="s">
        <v>26</v>
      </c>
      <c r="J22" s="1" t="s">
        <v>27</v>
      </c>
      <c r="K22">
        <v>4</v>
      </c>
      <c r="L22" s="1" t="s">
        <v>55</v>
      </c>
      <c r="M22">
        <v>48</v>
      </c>
      <c r="N22" s="1" t="s">
        <v>29</v>
      </c>
      <c r="O22" s="1" t="s">
        <v>30</v>
      </c>
      <c r="P22">
        <v>3</v>
      </c>
      <c r="Q22" s="1" t="s">
        <v>31</v>
      </c>
      <c r="R22">
        <v>1</v>
      </c>
      <c r="S22" s="1" t="s">
        <v>32</v>
      </c>
      <c r="T22" s="1" t="s">
        <v>33</v>
      </c>
      <c r="U22" s="1" t="s">
        <v>34</v>
      </c>
      <c r="V22" s="1" t="str">
        <f>_xlfn.XLOOKUP(A22,Dictonary!$A$2:$A$5,Dictonary!$B$2:$B$5)</f>
        <v>No information</v>
      </c>
      <c r="W22" s="1" t="str">
        <f>_xlfn.XLOOKUP(D22,Dictonary!$D$2:$D$12,Dictonary!$E$2:$E$12)</f>
        <v>car (new)</v>
      </c>
      <c r="X22" s="1" t="str">
        <f>_xlfn.XLOOKUP(F22,Dictonary!$G$2:$G$6,Dictonary!$H$2:$H$6)</f>
        <v>Less 100</v>
      </c>
      <c r="Y22" s="1" t="str">
        <f>_xlfn.XLOOKUP(I22,Dictonary!$J$2:$J$6,Dictonary!$K$2:$K$6)</f>
        <v>male : single</v>
      </c>
      <c r="Z22" s="1" t="str">
        <f>_xlfn.XLOOKUP(Q22,Dictonary!$M$2:$M$5,Dictonary!$N$2:$N$5)</f>
        <v>skilled employee / official</v>
      </c>
      <c r="AA22" s="1" t="str">
        <f>_xlfn.XLOOKUP(O22,Dictonary!$P$2:$P$4,Dictonary!$Q$2:$Q$4)</f>
        <v>own</v>
      </c>
    </row>
    <row r="23" spans="1:27" x14ac:dyDescent="0.3">
      <c r="A23" s="1" t="s">
        <v>21</v>
      </c>
      <c r="B23">
        <v>6</v>
      </c>
      <c r="C23" s="1" t="s">
        <v>36</v>
      </c>
      <c r="D23" s="1" t="s">
        <v>23</v>
      </c>
      <c r="E23">
        <v>2647</v>
      </c>
      <c r="F23" s="1" t="s">
        <v>53</v>
      </c>
      <c r="G23" s="1" t="s">
        <v>38</v>
      </c>
      <c r="H23">
        <v>2</v>
      </c>
      <c r="I23" s="1" t="s">
        <v>26</v>
      </c>
      <c r="J23" s="1" t="s">
        <v>27</v>
      </c>
      <c r="K23">
        <v>3</v>
      </c>
      <c r="L23" s="1" t="s">
        <v>28</v>
      </c>
      <c r="M23">
        <v>44</v>
      </c>
      <c r="N23" s="1" t="s">
        <v>29</v>
      </c>
      <c r="O23" s="1" t="s">
        <v>56</v>
      </c>
      <c r="P23">
        <v>1</v>
      </c>
      <c r="Q23" s="1" t="s">
        <v>31</v>
      </c>
      <c r="R23">
        <v>2</v>
      </c>
      <c r="S23" s="1" t="s">
        <v>40</v>
      </c>
      <c r="T23" s="1" t="s">
        <v>33</v>
      </c>
      <c r="U23" s="1" t="s">
        <v>34</v>
      </c>
      <c r="V23" s="1" t="str">
        <f>_xlfn.XLOOKUP(A23,Dictonary!$A$2:$A$5,Dictonary!$B$2:$B$5)</f>
        <v>Negative balance</v>
      </c>
      <c r="W23" s="1" t="str">
        <f>_xlfn.XLOOKUP(D23,Dictonary!$D$2:$D$12,Dictonary!$E$2:$E$12)</f>
        <v>radio/television</v>
      </c>
      <c r="X23" s="1" t="str">
        <f>_xlfn.XLOOKUP(F23,Dictonary!$G$2:$G$6,Dictonary!$H$2:$H$6)</f>
        <v>Up to 1000</v>
      </c>
      <c r="Y23" s="1" t="str">
        <f>_xlfn.XLOOKUP(I23,Dictonary!$J$2:$J$6,Dictonary!$K$2:$K$6)</f>
        <v>male : single</v>
      </c>
      <c r="Z23" s="1" t="str">
        <f>_xlfn.XLOOKUP(Q23,Dictonary!$M$2:$M$5,Dictonary!$N$2:$N$5)</f>
        <v>skilled employee / official</v>
      </c>
      <c r="AA23" s="1" t="str">
        <f>_xlfn.XLOOKUP(O23,Dictonary!$P$2:$P$4,Dictonary!$Q$2:$Q$4)</f>
        <v>rent</v>
      </c>
    </row>
    <row r="24" spans="1:27" x14ac:dyDescent="0.3">
      <c r="A24" s="1" t="s">
        <v>21</v>
      </c>
      <c r="B24">
        <v>10</v>
      </c>
      <c r="C24" s="1" t="s">
        <v>22</v>
      </c>
      <c r="D24" s="1" t="s">
        <v>51</v>
      </c>
      <c r="E24">
        <v>2241</v>
      </c>
      <c r="F24" s="1" t="s">
        <v>37</v>
      </c>
      <c r="G24" s="1" t="s">
        <v>62</v>
      </c>
      <c r="H24">
        <v>1</v>
      </c>
      <c r="I24" s="1" t="s">
        <v>26</v>
      </c>
      <c r="J24" s="1" t="s">
        <v>27</v>
      </c>
      <c r="K24">
        <v>3</v>
      </c>
      <c r="L24" s="1" t="s">
        <v>28</v>
      </c>
      <c r="M24">
        <v>48</v>
      </c>
      <c r="N24" s="1" t="s">
        <v>29</v>
      </c>
      <c r="O24" s="1" t="s">
        <v>56</v>
      </c>
      <c r="P24">
        <v>2</v>
      </c>
      <c r="Q24" s="1" t="s">
        <v>45</v>
      </c>
      <c r="R24">
        <v>2</v>
      </c>
      <c r="S24" s="1" t="s">
        <v>40</v>
      </c>
      <c r="T24" s="1" t="s">
        <v>67</v>
      </c>
      <c r="U24" s="1" t="s">
        <v>34</v>
      </c>
      <c r="V24" s="1" t="str">
        <f>_xlfn.XLOOKUP(A24,Dictonary!$A$2:$A$5,Dictonary!$B$2:$B$5)</f>
        <v>Negative balance</v>
      </c>
      <c r="W24" s="1" t="str">
        <f>_xlfn.XLOOKUP(D24,Dictonary!$D$2:$D$12,Dictonary!$E$2:$E$12)</f>
        <v>car (new)</v>
      </c>
      <c r="X24" s="1" t="str">
        <f>_xlfn.XLOOKUP(F24,Dictonary!$G$2:$G$6,Dictonary!$H$2:$H$6)</f>
        <v>Less 100</v>
      </c>
      <c r="Y24" s="1" t="str">
        <f>_xlfn.XLOOKUP(I24,Dictonary!$J$2:$J$6,Dictonary!$K$2:$K$6)</f>
        <v>male : single</v>
      </c>
      <c r="Z24" s="1" t="str">
        <f>_xlfn.XLOOKUP(Q24,Dictonary!$M$2:$M$5,Dictonary!$N$2:$N$5)</f>
        <v>unskilled - resident</v>
      </c>
      <c r="AA24" s="1" t="str">
        <f>_xlfn.XLOOKUP(O24,Dictonary!$P$2:$P$4,Dictonary!$Q$2:$Q$4)</f>
        <v>rent</v>
      </c>
    </row>
    <row r="25" spans="1:27" x14ac:dyDescent="0.3">
      <c r="A25" s="1" t="s">
        <v>35</v>
      </c>
      <c r="B25">
        <v>12</v>
      </c>
      <c r="C25" s="1" t="s">
        <v>22</v>
      </c>
      <c r="D25" s="1" t="s">
        <v>54</v>
      </c>
      <c r="E25">
        <v>1804</v>
      </c>
      <c r="F25" s="1" t="s">
        <v>64</v>
      </c>
      <c r="G25" s="1" t="s">
        <v>62</v>
      </c>
      <c r="H25">
        <v>3</v>
      </c>
      <c r="I25" s="1" t="s">
        <v>26</v>
      </c>
      <c r="J25" s="1" t="s">
        <v>27</v>
      </c>
      <c r="K25">
        <v>4</v>
      </c>
      <c r="L25" s="1" t="s">
        <v>48</v>
      </c>
      <c r="M25">
        <v>44</v>
      </c>
      <c r="N25" s="1" t="s">
        <v>29</v>
      </c>
      <c r="O25" s="1" t="s">
        <v>30</v>
      </c>
      <c r="P25">
        <v>1</v>
      </c>
      <c r="Q25" s="1" t="s">
        <v>31</v>
      </c>
      <c r="R25">
        <v>1</v>
      </c>
      <c r="S25" s="1" t="s">
        <v>40</v>
      </c>
      <c r="T25" s="1" t="s">
        <v>33</v>
      </c>
      <c r="U25" s="1" t="s">
        <v>34</v>
      </c>
      <c r="V25" s="1" t="str">
        <f>_xlfn.XLOOKUP(A25,Dictonary!$A$2:$A$5,Dictonary!$B$2:$B$5)</f>
        <v>Low balance</v>
      </c>
      <c r="W25" s="1" t="str">
        <f>_xlfn.XLOOKUP(D25,Dictonary!$D$2:$D$12,Dictonary!$E$2:$E$12)</f>
        <v>car (used)</v>
      </c>
      <c r="X25" s="1" t="str">
        <f>_xlfn.XLOOKUP(F25,Dictonary!$G$2:$G$6,Dictonary!$H$2:$H$6)</f>
        <v>Up to 500</v>
      </c>
      <c r="Y25" s="1" t="str">
        <f>_xlfn.XLOOKUP(I25,Dictonary!$J$2:$J$6,Dictonary!$K$2:$K$6)</f>
        <v>male : single</v>
      </c>
      <c r="Z25" s="1" t="str">
        <f>_xlfn.XLOOKUP(Q25,Dictonary!$M$2:$M$5,Dictonary!$N$2:$N$5)</f>
        <v>skilled employee / official</v>
      </c>
      <c r="AA25" s="1" t="str">
        <f>_xlfn.XLOOKUP(O25,Dictonary!$P$2:$P$4,Dictonary!$Q$2:$Q$4)</f>
        <v>own</v>
      </c>
    </row>
    <row r="26" spans="1:27" x14ac:dyDescent="0.3">
      <c r="A26" s="1" t="s">
        <v>42</v>
      </c>
      <c r="B26">
        <v>10</v>
      </c>
      <c r="C26" s="1" t="s">
        <v>22</v>
      </c>
      <c r="D26" s="1" t="s">
        <v>46</v>
      </c>
      <c r="E26">
        <v>2069</v>
      </c>
      <c r="F26" s="1" t="s">
        <v>24</v>
      </c>
      <c r="G26" s="1" t="s">
        <v>38</v>
      </c>
      <c r="H26">
        <v>2</v>
      </c>
      <c r="I26" s="1" t="s">
        <v>61</v>
      </c>
      <c r="J26" s="1" t="s">
        <v>27</v>
      </c>
      <c r="K26">
        <v>1</v>
      </c>
      <c r="L26" s="1" t="s">
        <v>55</v>
      </c>
      <c r="M26">
        <v>26</v>
      </c>
      <c r="N26" s="1" t="s">
        <v>29</v>
      </c>
      <c r="O26" s="1" t="s">
        <v>30</v>
      </c>
      <c r="P26">
        <v>2</v>
      </c>
      <c r="Q26" s="1" t="s">
        <v>31</v>
      </c>
      <c r="R26">
        <v>1</v>
      </c>
      <c r="S26" s="1" t="s">
        <v>40</v>
      </c>
      <c r="T26" s="1" t="s">
        <v>67</v>
      </c>
      <c r="U26" s="1" t="s">
        <v>34</v>
      </c>
      <c r="V26" s="1" t="str">
        <f>_xlfn.XLOOKUP(A26,Dictonary!$A$2:$A$5,Dictonary!$B$2:$B$5)</f>
        <v>No information</v>
      </c>
      <c r="W26" s="1" t="str">
        <f>_xlfn.XLOOKUP(D26,Dictonary!$D$2:$D$12,Dictonary!$E$2:$E$12)</f>
        <v>furniture/equipment</v>
      </c>
      <c r="X26" s="1" t="str">
        <f>_xlfn.XLOOKUP(F26,Dictonary!$G$2:$G$6,Dictonary!$H$2:$H$6)</f>
        <v>No information</v>
      </c>
      <c r="Y26" s="1" t="str">
        <f>_xlfn.XLOOKUP(I26,Dictonary!$J$2:$J$6,Dictonary!$K$2:$K$6)</f>
        <v>male : married/widowed</v>
      </c>
      <c r="Z26" s="1" t="str">
        <f>_xlfn.XLOOKUP(Q26,Dictonary!$M$2:$M$5,Dictonary!$N$2:$N$5)</f>
        <v>skilled employee / official</v>
      </c>
      <c r="AA26" s="1" t="str">
        <f>_xlfn.XLOOKUP(O26,Dictonary!$P$2:$P$4,Dictonary!$Q$2:$Q$4)</f>
        <v>own</v>
      </c>
    </row>
    <row r="27" spans="1:27" x14ac:dyDescent="0.3">
      <c r="A27" s="1" t="s">
        <v>21</v>
      </c>
      <c r="B27">
        <v>6</v>
      </c>
      <c r="C27" s="1" t="s">
        <v>36</v>
      </c>
      <c r="D27" s="1" t="s">
        <v>46</v>
      </c>
      <c r="E27">
        <v>1374</v>
      </c>
      <c r="F27" s="1" t="s">
        <v>37</v>
      </c>
      <c r="G27" s="1" t="s">
        <v>38</v>
      </c>
      <c r="H27">
        <v>1</v>
      </c>
      <c r="I27" s="1" t="s">
        <v>26</v>
      </c>
      <c r="J27" s="1" t="s">
        <v>27</v>
      </c>
      <c r="K27">
        <v>2</v>
      </c>
      <c r="L27" s="1" t="s">
        <v>28</v>
      </c>
      <c r="M27">
        <v>36</v>
      </c>
      <c r="N27" s="1" t="s">
        <v>66</v>
      </c>
      <c r="O27" s="1" t="s">
        <v>30</v>
      </c>
      <c r="P27">
        <v>1</v>
      </c>
      <c r="Q27" s="1" t="s">
        <v>45</v>
      </c>
      <c r="R27">
        <v>1</v>
      </c>
      <c r="S27" s="1" t="s">
        <v>32</v>
      </c>
      <c r="T27" s="1" t="s">
        <v>33</v>
      </c>
      <c r="U27" s="1" t="s">
        <v>34</v>
      </c>
      <c r="V27" s="1" t="str">
        <f>_xlfn.XLOOKUP(A27,Dictonary!$A$2:$A$5,Dictonary!$B$2:$B$5)</f>
        <v>Negative balance</v>
      </c>
      <c r="W27" s="1" t="str">
        <f>_xlfn.XLOOKUP(D27,Dictonary!$D$2:$D$12,Dictonary!$E$2:$E$12)</f>
        <v>furniture/equipment</v>
      </c>
      <c r="X27" s="1" t="str">
        <f>_xlfn.XLOOKUP(F27,Dictonary!$G$2:$G$6,Dictonary!$H$2:$H$6)</f>
        <v>Less 100</v>
      </c>
      <c r="Y27" s="1" t="str">
        <f>_xlfn.XLOOKUP(I27,Dictonary!$J$2:$J$6,Dictonary!$K$2:$K$6)</f>
        <v>male : single</v>
      </c>
      <c r="Z27" s="1" t="str">
        <f>_xlfn.XLOOKUP(Q27,Dictonary!$M$2:$M$5,Dictonary!$N$2:$N$5)</f>
        <v>unskilled - resident</v>
      </c>
      <c r="AA27" s="1" t="str">
        <f>_xlfn.XLOOKUP(O27,Dictonary!$P$2:$P$4,Dictonary!$Q$2:$Q$4)</f>
        <v>own</v>
      </c>
    </row>
    <row r="28" spans="1:27" x14ac:dyDescent="0.3">
      <c r="A28" s="1" t="s">
        <v>42</v>
      </c>
      <c r="B28">
        <v>6</v>
      </c>
      <c r="C28" s="1" t="s">
        <v>65</v>
      </c>
      <c r="D28" s="1" t="s">
        <v>23</v>
      </c>
      <c r="E28">
        <v>426</v>
      </c>
      <c r="F28" s="1" t="s">
        <v>37</v>
      </c>
      <c r="G28" s="1" t="s">
        <v>25</v>
      </c>
      <c r="H28">
        <v>4</v>
      </c>
      <c r="I28" s="1" t="s">
        <v>61</v>
      </c>
      <c r="J28" s="1" t="s">
        <v>27</v>
      </c>
      <c r="K28">
        <v>4</v>
      </c>
      <c r="L28" s="1" t="s">
        <v>55</v>
      </c>
      <c r="M28">
        <v>39</v>
      </c>
      <c r="N28" s="1" t="s">
        <v>29</v>
      </c>
      <c r="O28" s="1" t="s">
        <v>30</v>
      </c>
      <c r="P28">
        <v>1</v>
      </c>
      <c r="Q28" s="1" t="s">
        <v>45</v>
      </c>
      <c r="R28">
        <v>1</v>
      </c>
      <c r="S28" s="1" t="s">
        <v>40</v>
      </c>
      <c r="T28" s="1" t="s">
        <v>33</v>
      </c>
      <c r="U28" s="1" t="s">
        <v>34</v>
      </c>
      <c r="V28" s="1" t="str">
        <f>_xlfn.XLOOKUP(A28,Dictonary!$A$2:$A$5,Dictonary!$B$2:$B$5)</f>
        <v>No information</v>
      </c>
      <c r="W28" s="1" t="str">
        <f>_xlfn.XLOOKUP(D28,Dictonary!$D$2:$D$12,Dictonary!$E$2:$E$12)</f>
        <v>radio/television</v>
      </c>
      <c r="X28" s="1" t="str">
        <f>_xlfn.XLOOKUP(F28,Dictonary!$G$2:$G$6,Dictonary!$H$2:$H$6)</f>
        <v>Less 100</v>
      </c>
      <c r="Y28" s="1" t="str">
        <f>_xlfn.XLOOKUP(I28,Dictonary!$J$2:$J$6,Dictonary!$K$2:$K$6)</f>
        <v>male : married/widowed</v>
      </c>
      <c r="Z28" s="1" t="str">
        <f>_xlfn.XLOOKUP(Q28,Dictonary!$M$2:$M$5,Dictonary!$N$2:$N$5)</f>
        <v>unskilled - resident</v>
      </c>
      <c r="AA28" s="1" t="str">
        <f>_xlfn.XLOOKUP(O28,Dictonary!$P$2:$P$4,Dictonary!$Q$2:$Q$4)</f>
        <v>own</v>
      </c>
    </row>
    <row r="29" spans="1:27" x14ac:dyDescent="0.3">
      <c r="A29" s="1" t="s">
        <v>68</v>
      </c>
      <c r="B29">
        <v>12</v>
      </c>
      <c r="C29" s="1" t="s">
        <v>69</v>
      </c>
      <c r="D29" s="1" t="s">
        <v>23</v>
      </c>
      <c r="E29">
        <v>409</v>
      </c>
      <c r="F29" s="1" t="s">
        <v>58</v>
      </c>
      <c r="G29" s="1" t="s">
        <v>38</v>
      </c>
      <c r="H29">
        <v>3</v>
      </c>
      <c r="I29" s="1" t="s">
        <v>39</v>
      </c>
      <c r="J29" s="1" t="s">
        <v>27</v>
      </c>
      <c r="K29">
        <v>3</v>
      </c>
      <c r="L29" s="1" t="s">
        <v>28</v>
      </c>
      <c r="M29">
        <v>42</v>
      </c>
      <c r="N29" s="1" t="s">
        <v>29</v>
      </c>
      <c r="O29" s="1" t="s">
        <v>56</v>
      </c>
      <c r="P29">
        <v>2</v>
      </c>
      <c r="Q29" s="1" t="s">
        <v>31</v>
      </c>
      <c r="R29">
        <v>1</v>
      </c>
      <c r="S29" s="1" t="s">
        <v>40</v>
      </c>
      <c r="T29" s="1" t="s">
        <v>33</v>
      </c>
      <c r="U29" s="1" t="s">
        <v>34</v>
      </c>
      <c r="V29" s="1" t="str">
        <f>_xlfn.XLOOKUP(A29,Dictonary!$A$2:$A$5,Dictonary!$B$2:$B$5)</f>
        <v>Normal balance</v>
      </c>
      <c r="W29" s="1" t="str">
        <f>_xlfn.XLOOKUP(D29,Dictonary!$D$2:$D$12,Dictonary!$E$2:$E$12)</f>
        <v>radio/television</v>
      </c>
      <c r="X29" s="1" t="str">
        <f>_xlfn.XLOOKUP(F29,Dictonary!$G$2:$G$6,Dictonary!$H$2:$H$6)</f>
        <v>More 1000</v>
      </c>
      <c r="Y29" s="1" t="str">
        <f>_xlfn.XLOOKUP(I29,Dictonary!$J$2:$J$6,Dictonary!$K$2:$K$6)</f>
        <v>female : divorced/separated/married</v>
      </c>
      <c r="Z29" s="1" t="str">
        <f>_xlfn.XLOOKUP(Q29,Dictonary!$M$2:$M$5,Dictonary!$N$2:$N$5)</f>
        <v>skilled employee / official</v>
      </c>
      <c r="AA29" s="1" t="str">
        <f>_xlfn.XLOOKUP(O29,Dictonary!$P$2:$P$4,Dictonary!$Q$2:$Q$4)</f>
        <v>rent</v>
      </c>
    </row>
    <row r="30" spans="1:27" x14ac:dyDescent="0.3">
      <c r="A30" s="1" t="s">
        <v>35</v>
      </c>
      <c r="B30">
        <v>7</v>
      </c>
      <c r="C30" s="1" t="s">
        <v>36</v>
      </c>
      <c r="D30" s="1" t="s">
        <v>23</v>
      </c>
      <c r="E30">
        <v>2415</v>
      </c>
      <c r="F30" s="1" t="s">
        <v>37</v>
      </c>
      <c r="G30" s="1" t="s">
        <v>38</v>
      </c>
      <c r="H30">
        <v>3</v>
      </c>
      <c r="I30" s="1" t="s">
        <v>26</v>
      </c>
      <c r="J30" s="1" t="s">
        <v>47</v>
      </c>
      <c r="K30">
        <v>2</v>
      </c>
      <c r="L30" s="1" t="s">
        <v>28</v>
      </c>
      <c r="M30">
        <v>34</v>
      </c>
      <c r="N30" s="1" t="s">
        <v>29</v>
      </c>
      <c r="O30" s="1" t="s">
        <v>30</v>
      </c>
      <c r="P30">
        <v>1</v>
      </c>
      <c r="Q30" s="1" t="s">
        <v>31</v>
      </c>
      <c r="R30">
        <v>1</v>
      </c>
      <c r="S30" s="1" t="s">
        <v>40</v>
      </c>
      <c r="T30" s="1" t="s">
        <v>33</v>
      </c>
      <c r="U30" s="1" t="s">
        <v>34</v>
      </c>
      <c r="V30" s="1" t="str">
        <f>_xlfn.XLOOKUP(A30,Dictonary!$A$2:$A$5,Dictonary!$B$2:$B$5)</f>
        <v>Low balance</v>
      </c>
      <c r="W30" s="1" t="str">
        <f>_xlfn.XLOOKUP(D30,Dictonary!$D$2:$D$12,Dictonary!$E$2:$E$12)</f>
        <v>radio/television</v>
      </c>
      <c r="X30" s="1" t="str">
        <f>_xlfn.XLOOKUP(F30,Dictonary!$G$2:$G$6,Dictonary!$H$2:$H$6)</f>
        <v>Less 100</v>
      </c>
      <c r="Y30" s="1" t="str">
        <f>_xlfn.XLOOKUP(I30,Dictonary!$J$2:$J$6,Dictonary!$K$2:$K$6)</f>
        <v>male : single</v>
      </c>
      <c r="Z30" s="1" t="str">
        <f>_xlfn.XLOOKUP(Q30,Dictonary!$M$2:$M$5,Dictonary!$N$2:$N$5)</f>
        <v>skilled employee / official</v>
      </c>
      <c r="AA30" s="1" t="str">
        <f>_xlfn.XLOOKUP(O30,Dictonary!$P$2:$P$4,Dictonary!$Q$2:$Q$4)</f>
        <v>own</v>
      </c>
    </row>
    <row r="31" spans="1:27" x14ac:dyDescent="0.3">
      <c r="A31" s="1" t="s">
        <v>21</v>
      </c>
      <c r="B31">
        <v>60</v>
      </c>
      <c r="C31" s="1" t="s">
        <v>50</v>
      </c>
      <c r="D31" s="1" t="s">
        <v>63</v>
      </c>
      <c r="E31">
        <v>6836</v>
      </c>
      <c r="F31" s="1" t="s">
        <v>37</v>
      </c>
      <c r="G31" s="1" t="s">
        <v>25</v>
      </c>
      <c r="H31">
        <v>3</v>
      </c>
      <c r="I31" s="1" t="s">
        <v>26</v>
      </c>
      <c r="J31" s="1" t="s">
        <v>27</v>
      </c>
      <c r="K31">
        <v>4</v>
      </c>
      <c r="L31" s="1" t="s">
        <v>52</v>
      </c>
      <c r="M31">
        <v>63</v>
      </c>
      <c r="N31" s="1" t="s">
        <v>29</v>
      </c>
      <c r="O31" s="1" t="s">
        <v>30</v>
      </c>
      <c r="P31">
        <v>2</v>
      </c>
      <c r="Q31" s="1" t="s">
        <v>31</v>
      </c>
      <c r="R31">
        <v>1</v>
      </c>
      <c r="S31" s="1" t="s">
        <v>32</v>
      </c>
      <c r="T31" s="1" t="s">
        <v>33</v>
      </c>
      <c r="U31" s="1" t="s">
        <v>41</v>
      </c>
      <c r="V31" s="1" t="str">
        <f>_xlfn.XLOOKUP(A31,Dictonary!$A$2:$A$5,Dictonary!$B$2:$B$5)</f>
        <v>Negative balance</v>
      </c>
      <c r="W31" s="1" t="str">
        <f>_xlfn.XLOOKUP(D31,Dictonary!$D$2:$D$12,Dictonary!$E$2:$E$12)</f>
        <v>business</v>
      </c>
      <c r="X31" s="1" t="str">
        <f>_xlfn.XLOOKUP(F31,Dictonary!$G$2:$G$6,Dictonary!$H$2:$H$6)</f>
        <v>Less 100</v>
      </c>
      <c r="Y31" s="1" t="str">
        <f>_xlfn.XLOOKUP(I31,Dictonary!$J$2:$J$6,Dictonary!$K$2:$K$6)</f>
        <v>male : single</v>
      </c>
      <c r="Z31" s="1" t="str">
        <f>_xlfn.XLOOKUP(Q31,Dictonary!$M$2:$M$5,Dictonary!$N$2:$N$5)</f>
        <v>skilled employee / official</v>
      </c>
      <c r="AA31" s="1" t="str">
        <f>_xlfn.XLOOKUP(O31,Dictonary!$P$2:$P$4,Dictonary!$Q$2:$Q$4)</f>
        <v>own</v>
      </c>
    </row>
    <row r="32" spans="1:27" x14ac:dyDescent="0.3">
      <c r="A32" s="1" t="s">
        <v>35</v>
      </c>
      <c r="B32">
        <v>18</v>
      </c>
      <c r="C32" s="1" t="s">
        <v>36</v>
      </c>
      <c r="D32" s="1" t="s">
        <v>63</v>
      </c>
      <c r="E32">
        <v>1913</v>
      </c>
      <c r="F32" s="1" t="s">
        <v>58</v>
      </c>
      <c r="G32" s="1" t="s">
        <v>62</v>
      </c>
      <c r="H32">
        <v>3</v>
      </c>
      <c r="I32" s="1" t="s">
        <v>61</v>
      </c>
      <c r="J32" s="1" t="s">
        <v>27</v>
      </c>
      <c r="K32">
        <v>3</v>
      </c>
      <c r="L32" s="1" t="s">
        <v>28</v>
      </c>
      <c r="M32">
        <v>36</v>
      </c>
      <c r="N32" s="1" t="s">
        <v>66</v>
      </c>
      <c r="O32" s="1" t="s">
        <v>30</v>
      </c>
      <c r="P32">
        <v>1</v>
      </c>
      <c r="Q32" s="1" t="s">
        <v>31</v>
      </c>
      <c r="R32">
        <v>1</v>
      </c>
      <c r="S32" s="1" t="s">
        <v>32</v>
      </c>
      <c r="T32" s="1" t="s">
        <v>33</v>
      </c>
      <c r="U32" s="1" t="s">
        <v>34</v>
      </c>
      <c r="V32" s="1" t="str">
        <f>_xlfn.XLOOKUP(A32,Dictonary!$A$2:$A$5,Dictonary!$B$2:$B$5)</f>
        <v>Low balance</v>
      </c>
      <c r="W32" s="1" t="str">
        <f>_xlfn.XLOOKUP(D32,Dictonary!$D$2:$D$12,Dictonary!$E$2:$E$12)</f>
        <v>business</v>
      </c>
      <c r="X32" s="1" t="str">
        <f>_xlfn.XLOOKUP(F32,Dictonary!$G$2:$G$6,Dictonary!$H$2:$H$6)</f>
        <v>More 1000</v>
      </c>
      <c r="Y32" s="1" t="str">
        <f>_xlfn.XLOOKUP(I32,Dictonary!$J$2:$J$6,Dictonary!$K$2:$K$6)</f>
        <v>male : married/widowed</v>
      </c>
      <c r="Z32" s="1" t="str">
        <f>_xlfn.XLOOKUP(Q32,Dictonary!$M$2:$M$5,Dictonary!$N$2:$N$5)</f>
        <v>skilled employee / official</v>
      </c>
      <c r="AA32" s="1" t="str">
        <f>_xlfn.XLOOKUP(O32,Dictonary!$P$2:$P$4,Dictonary!$Q$2:$Q$4)</f>
        <v>own</v>
      </c>
    </row>
    <row r="33" spans="1:27" x14ac:dyDescent="0.3">
      <c r="A33" s="1" t="s">
        <v>21</v>
      </c>
      <c r="B33">
        <v>24</v>
      </c>
      <c r="C33" s="1" t="s">
        <v>36</v>
      </c>
      <c r="D33" s="1" t="s">
        <v>46</v>
      </c>
      <c r="E33">
        <v>4020</v>
      </c>
      <c r="F33" s="1" t="s">
        <v>37</v>
      </c>
      <c r="G33" s="1" t="s">
        <v>38</v>
      </c>
      <c r="H33">
        <v>2</v>
      </c>
      <c r="I33" s="1" t="s">
        <v>26</v>
      </c>
      <c r="J33" s="1" t="s">
        <v>27</v>
      </c>
      <c r="K33">
        <v>2</v>
      </c>
      <c r="L33" s="1" t="s">
        <v>55</v>
      </c>
      <c r="M33">
        <v>27</v>
      </c>
      <c r="N33" s="1" t="s">
        <v>70</v>
      </c>
      <c r="O33" s="1" t="s">
        <v>30</v>
      </c>
      <c r="P33">
        <v>1</v>
      </c>
      <c r="Q33" s="1" t="s">
        <v>31</v>
      </c>
      <c r="R33">
        <v>1</v>
      </c>
      <c r="S33" s="1" t="s">
        <v>40</v>
      </c>
      <c r="T33" s="1" t="s">
        <v>33</v>
      </c>
      <c r="U33" s="1" t="s">
        <v>34</v>
      </c>
      <c r="V33" s="1" t="str">
        <f>_xlfn.XLOOKUP(A33,Dictonary!$A$2:$A$5,Dictonary!$B$2:$B$5)</f>
        <v>Negative balance</v>
      </c>
      <c r="W33" s="1" t="str">
        <f>_xlfn.XLOOKUP(D33,Dictonary!$D$2:$D$12,Dictonary!$E$2:$E$12)</f>
        <v>furniture/equipment</v>
      </c>
      <c r="X33" s="1" t="str">
        <f>_xlfn.XLOOKUP(F33,Dictonary!$G$2:$G$6,Dictonary!$H$2:$H$6)</f>
        <v>Less 100</v>
      </c>
      <c r="Y33" s="1" t="str">
        <f>_xlfn.XLOOKUP(I33,Dictonary!$J$2:$J$6,Dictonary!$K$2:$K$6)</f>
        <v>male : single</v>
      </c>
      <c r="Z33" s="1" t="str">
        <f>_xlfn.XLOOKUP(Q33,Dictonary!$M$2:$M$5,Dictonary!$N$2:$N$5)</f>
        <v>skilled employee / official</v>
      </c>
      <c r="AA33" s="1" t="str">
        <f>_xlfn.XLOOKUP(O33,Dictonary!$P$2:$P$4,Dictonary!$Q$2:$Q$4)</f>
        <v>own</v>
      </c>
    </row>
    <row r="34" spans="1:27" x14ac:dyDescent="0.3">
      <c r="A34" s="1" t="s">
        <v>35</v>
      </c>
      <c r="B34">
        <v>18</v>
      </c>
      <c r="C34" s="1" t="s">
        <v>36</v>
      </c>
      <c r="D34" s="1" t="s">
        <v>51</v>
      </c>
      <c r="E34">
        <v>5866</v>
      </c>
      <c r="F34" s="1" t="s">
        <v>64</v>
      </c>
      <c r="G34" s="1" t="s">
        <v>38</v>
      </c>
      <c r="H34">
        <v>2</v>
      </c>
      <c r="I34" s="1" t="s">
        <v>26</v>
      </c>
      <c r="J34" s="1" t="s">
        <v>27</v>
      </c>
      <c r="K34">
        <v>2</v>
      </c>
      <c r="L34" s="1" t="s">
        <v>55</v>
      </c>
      <c r="M34">
        <v>30</v>
      </c>
      <c r="N34" s="1" t="s">
        <v>29</v>
      </c>
      <c r="O34" s="1" t="s">
        <v>30</v>
      </c>
      <c r="P34">
        <v>2</v>
      </c>
      <c r="Q34" s="1" t="s">
        <v>31</v>
      </c>
      <c r="R34">
        <v>1</v>
      </c>
      <c r="S34" s="1" t="s">
        <v>32</v>
      </c>
      <c r="T34" s="1" t="s">
        <v>33</v>
      </c>
      <c r="U34" s="1" t="s">
        <v>34</v>
      </c>
      <c r="V34" s="1" t="str">
        <f>_xlfn.XLOOKUP(A34,Dictonary!$A$2:$A$5,Dictonary!$B$2:$B$5)</f>
        <v>Low balance</v>
      </c>
      <c r="W34" s="1" t="str">
        <f>_xlfn.XLOOKUP(D34,Dictonary!$D$2:$D$12,Dictonary!$E$2:$E$12)</f>
        <v>car (new)</v>
      </c>
      <c r="X34" s="1" t="str">
        <f>_xlfn.XLOOKUP(F34,Dictonary!$G$2:$G$6,Dictonary!$H$2:$H$6)</f>
        <v>Up to 500</v>
      </c>
      <c r="Y34" s="1" t="str">
        <f>_xlfn.XLOOKUP(I34,Dictonary!$J$2:$J$6,Dictonary!$K$2:$K$6)</f>
        <v>male : single</v>
      </c>
      <c r="Z34" s="1" t="str">
        <f>_xlfn.XLOOKUP(Q34,Dictonary!$M$2:$M$5,Dictonary!$N$2:$N$5)</f>
        <v>skilled employee / official</v>
      </c>
      <c r="AA34" s="1" t="str">
        <f>_xlfn.XLOOKUP(O34,Dictonary!$P$2:$P$4,Dictonary!$Q$2:$Q$4)</f>
        <v>own</v>
      </c>
    </row>
    <row r="35" spans="1:27" x14ac:dyDescent="0.3">
      <c r="A35" s="1" t="s">
        <v>42</v>
      </c>
      <c r="B35">
        <v>12</v>
      </c>
      <c r="C35" s="1" t="s">
        <v>22</v>
      </c>
      <c r="D35" s="1" t="s">
        <v>63</v>
      </c>
      <c r="E35">
        <v>1264</v>
      </c>
      <c r="F35" s="1" t="s">
        <v>24</v>
      </c>
      <c r="G35" s="1" t="s">
        <v>25</v>
      </c>
      <c r="H35">
        <v>4</v>
      </c>
      <c r="I35" s="1" t="s">
        <v>26</v>
      </c>
      <c r="J35" s="1" t="s">
        <v>27</v>
      </c>
      <c r="K35">
        <v>4</v>
      </c>
      <c r="L35" s="1" t="s">
        <v>52</v>
      </c>
      <c r="M35">
        <v>57</v>
      </c>
      <c r="N35" s="1" t="s">
        <v>29</v>
      </c>
      <c r="O35" s="1" t="s">
        <v>56</v>
      </c>
      <c r="P35">
        <v>1</v>
      </c>
      <c r="Q35" s="1" t="s">
        <v>45</v>
      </c>
      <c r="R35">
        <v>1</v>
      </c>
      <c r="S35" s="1" t="s">
        <v>40</v>
      </c>
      <c r="T35" s="1" t="s">
        <v>33</v>
      </c>
      <c r="U35" s="1" t="s">
        <v>34</v>
      </c>
      <c r="V35" s="1" t="str">
        <f>_xlfn.XLOOKUP(A35,Dictonary!$A$2:$A$5,Dictonary!$B$2:$B$5)</f>
        <v>No information</v>
      </c>
      <c r="W35" s="1" t="str">
        <f>_xlfn.XLOOKUP(D35,Dictonary!$D$2:$D$12,Dictonary!$E$2:$E$12)</f>
        <v>business</v>
      </c>
      <c r="X35" s="1" t="str">
        <f>_xlfn.XLOOKUP(F35,Dictonary!$G$2:$G$6,Dictonary!$H$2:$H$6)</f>
        <v>No information</v>
      </c>
      <c r="Y35" s="1" t="str">
        <f>_xlfn.XLOOKUP(I35,Dictonary!$J$2:$J$6,Dictonary!$K$2:$K$6)</f>
        <v>male : single</v>
      </c>
      <c r="Z35" s="1" t="str">
        <f>_xlfn.XLOOKUP(Q35,Dictonary!$M$2:$M$5,Dictonary!$N$2:$N$5)</f>
        <v>unskilled - resident</v>
      </c>
      <c r="AA35" s="1" t="str">
        <f>_xlfn.XLOOKUP(O35,Dictonary!$P$2:$P$4,Dictonary!$Q$2:$Q$4)</f>
        <v>rent</v>
      </c>
    </row>
    <row r="36" spans="1:27" x14ac:dyDescent="0.3">
      <c r="A36" s="1" t="s">
        <v>68</v>
      </c>
      <c r="B36">
        <v>12</v>
      </c>
      <c r="C36" s="1" t="s">
        <v>36</v>
      </c>
      <c r="D36" s="1" t="s">
        <v>46</v>
      </c>
      <c r="E36">
        <v>1474</v>
      </c>
      <c r="F36" s="1" t="s">
        <v>37</v>
      </c>
      <c r="G36" s="1" t="s">
        <v>62</v>
      </c>
      <c r="H36">
        <v>4</v>
      </c>
      <c r="I36" s="1" t="s">
        <v>39</v>
      </c>
      <c r="J36" s="1" t="s">
        <v>27</v>
      </c>
      <c r="K36">
        <v>1</v>
      </c>
      <c r="L36" s="1" t="s">
        <v>48</v>
      </c>
      <c r="M36">
        <v>33</v>
      </c>
      <c r="N36" s="1" t="s">
        <v>66</v>
      </c>
      <c r="O36" s="1" t="s">
        <v>30</v>
      </c>
      <c r="P36">
        <v>1</v>
      </c>
      <c r="Q36" s="1" t="s">
        <v>57</v>
      </c>
      <c r="R36">
        <v>1</v>
      </c>
      <c r="S36" s="1" t="s">
        <v>32</v>
      </c>
      <c r="T36" s="1" t="s">
        <v>33</v>
      </c>
      <c r="U36" s="1" t="s">
        <v>34</v>
      </c>
      <c r="V36" s="1" t="str">
        <f>_xlfn.XLOOKUP(A36,Dictonary!$A$2:$A$5,Dictonary!$B$2:$B$5)</f>
        <v>Normal balance</v>
      </c>
      <c r="W36" s="1" t="str">
        <f>_xlfn.XLOOKUP(D36,Dictonary!$D$2:$D$12,Dictonary!$E$2:$E$12)</f>
        <v>furniture/equipment</v>
      </c>
      <c r="X36" s="1" t="str">
        <f>_xlfn.XLOOKUP(F36,Dictonary!$G$2:$G$6,Dictonary!$H$2:$H$6)</f>
        <v>Less 100</v>
      </c>
      <c r="Y36" s="1" t="str">
        <f>_xlfn.XLOOKUP(I36,Dictonary!$J$2:$J$6,Dictonary!$K$2:$K$6)</f>
        <v>female : divorced/separated/married</v>
      </c>
      <c r="Z36" s="1" t="str">
        <f>_xlfn.XLOOKUP(Q36,Dictonary!$M$2:$M$5,Dictonary!$N$2:$N$5)</f>
        <v>management/ self-employed/ highly qualified employee/ officer</v>
      </c>
      <c r="AA36" s="1" t="str">
        <f>_xlfn.XLOOKUP(O36,Dictonary!$P$2:$P$4,Dictonary!$Q$2:$Q$4)</f>
        <v>own</v>
      </c>
    </row>
    <row r="37" spans="1:27" x14ac:dyDescent="0.3">
      <c r="A37" s="1" t="s">
        <v>35</v>
      </c>
      <c r="B37">
        <v>45</v>
      </c>
      <c r="C37" s="1" t="s">
        <v>22</v>
      </c>
      <c r="D37" s="1" t="s">
        <v>23</v>
      </c>
      <c r="E37">
        <v>4746</v>
      </c>
      <c r="F37" s="1" t="s">
        <v>37</v>
      </c>
      <c r="G37" s="1" t="s">
        <v>62</v>
      </c>
      <c r="H37">
        <v>4</v>
      </c>
      <c r="I37" s="1" t="s">
        <v>26</v>
      </c>
      <c r="J37" s="1" t="s">
        <v>27</v>
      </c>
      <c r="K37">
        <v>2</v>
      </c>
      <c r="L37" s="1" t="s">
        <v>48</v>
      </c>
      <c r="M37">
        <v>25</v>
      </c>
      <c r="N37" s="1" t="s">
        <v>29</v>
      </c>
      <c r="O37" s="1" t="s">
        <v>30</v>
      </c>
      <c r="P37">
        <v>2</v>
      </c>
      <c r="Q37" s="1" t="s">
        <v>45</v>
      </c>
      <c r="R37">
        <v>1</v>
      </c>
      <c r="S37" s="1" t="s">
        <v>40</v>
      </c>
      <c r="T37" s="1" t="s">
        <v>33</v>
      </c>
      <c r="U37" s="1" t="s">
        <v>41</v>
      </c>
      <c r="V37" s="1" t="str">
        <f>_xlfn.XLOOKUP(A37,Dictonary!$A$2:$A$5,Dictonary!$B$2:$B$5)</f>
        <v>Low balance</v>
      </c>
      <c r="W37" s="1" t="str">
        <f>_xlfn.XLOOKUP(D37,Dictonary!$D$2:$D$12,Dictonary!$E$2:$E$12)</f>
        <v>radio/television</v>
      </c>
      <c r="X37" s="1" t="str">
        <f>_xlfn.XLOOKUP(F37,Dictonary!$G$2:$G$6,Dictonary!$H$2:$H$6)</f>
        <v>Less 100</v>
      </c>
      <c r="Y37" s="1" t="str">
        <f>_xlfn.XLOOKUP(I37,Dictonary!$J$2:$J$6,Dictonary!$K$2:$K$6)</f>
        <v>male : single</v>
      </c>
      <c r="Z37" s="1" t="str">
        <f>_xlfn.XLOOKUP(Q37,Dictonary!$M$2:$M$5,Dictonary!$N$2:$N$5)</f>
        <v>unskilled - resident</v>
      </c>
      <c r="AA37" s="1" t="str">
        <f>_xlfn.XLOOKUP(O37,Dictonary!$P$2:$P$4,Dictonary!$Q$2:$Q$4)</f>
        <v>own</v>
      </c>
    </row>
    <row r="38" spans="1:27" x14ac:dyDescent="0.3">
      <c r="A38" s="1" t="s">
        <v>42</v>
      </c>
      <c r="B38">
        <v>48</v>
      </c>
      <c r="C38" s="1" t="s">
        <v>22</v>
      </c>
      <c r="D38" s="1" t="s">
        <v>43</v>
      </c>
      <c r="E38">
        <v>6110</v>
      </c>
      <c r="F38" s="1" t="s">
        <v>37</v>
      </c>
      <c r="G38" s="1" t="s">
        <v>38</v>
      </c>
      <c r="H38">
        <v>1</v>
      </c>
      <c r="I38" s="1" t="s">
        <v>26</v>
      </c>
      <c r="J38" s="1" t="s">
        <v>27</v>
      </c>
      <c r="K38">
        <v>3</v>
      </c>
      <c r="L38" s="1" t="s">
        <v>52</v>
      </c>
      <c r="M38">
        <v>31</v>
      </c>
      <c r="N38" s="1" t="s">
        <v>66</v>
      </c>
      <c r="O38" s="1" t="s">
        <v>49</v>
      </c>
      <c r="P38">
        <v>1</v>
      </c>
      <c r="Q38" s="1" t="s">
        <v>31</v>
      </c>
      <c r="R38">
        <v>1</v>
      </c>
      <c r="S38" s="1" t="s">
        <v>32</v>
      </c>
      <c r="T38" s="1" t="s">
        <v>33</v>
      </c>
      <c r="U38" s="1" t="s">
        <v>34</v>
      </c>
      <c r="V38" s="1" t="str">
        <f>_xlfn.XLOOKUP(A38,Dictonary!$A$2:$A$5,Dictonary!$B$2:$B$5)</f>
        <v>No information</v>
      </c>
      <c r="W38" s="1" t="str">
        <f>_xlfn.XLOOKUP(D38,Dictonary!$D$2:$D$12,Dictonary!$E$2:$E$12)</f>
        <v>education</v>
      </c>
      <c r="X38" s="1" t="str">
        <f>_xlfn.XLOOKUP(F38,Dictonary!$G$2:$G$6,Dictonary!$H$2:$H$6)</f>
        <v>Less 100</v>
      </c>
      <c r="Y38" s="1" t="str">
        <f>_xlfn.XLOOKUP(I38,Dictonary!$J$2:$J$6,Dictonary!$K$2:$K$6)</f>
        <v>male : single</v>
      </c>
      <c r="Z38" s="1" t="str">
        <f>_xlfn.XLOOKUP(Q38,Dictonary!$M$2:$M$5,Dictonary!$N$2:$N$5)</f>
        <v>skilled employee / official</v>
      </c>
      <c r="AA38" s="1" t="str">
        <f>_xlfn.XLOOKUP(O38,Dictonary!$P$2:$P$4,Dictonary!$Q$2:$Q$4)</f>
        <v>for free</v>
      </c>
    </row>
    <row r="39" spans="1:27" x14ac:dyDescent="0.3">
      <c r="A39" s="1" t="s">
        <v>68</v>
      </c>
      <c r="B39">
        <v>18</v>
      </c>
      <c r="C39" s="1" t="s">
        <v>36</v>
      </c>
      <c r="D39" s="1" t="s">
        <v>23</v>
      </c>
      <c r="E39">
        <v>2100</v>
      </c>
      <c r="F39" s="1" t="s">
        <v>37</v>
      </c>
      <c r="G39" s="1" t="s">
        <v>38</v>
      </c>
      <c r="H39">
        <v>4</v>
      </c>
      <c r="I39" s="1" t="s">
        <v>26</v>
      </c>
      <c r="J39" s="1" t="s">
        <v>71</v>
      </c>
      <c r="K39">
        <v>2</v>
      </c>
      <c r="L39" s="1" t="s">
        <v>28</v>
      </c>
      <c r="M39">
        <v>37</v>
      </c>
      <c r="N39" s="1" t="s">
        <v>70</v>
      </c>
      <c r="O39" s="1" t="s">
        <v>30</v>
      </c>
      <c r="P39">
        <v>1</v>
      </c>
      <c r="Q39" s="1" t="s">
        <v>31</v>
      </c>
      <c r="R39">
        <v>1</v>
      </c>
      <c r="S39" s="1" t="s">
        <v>40</v>
      </c>
      <c r="T39" s="1" t="s">
        <v>33</v>
      </c>
      <c r="U39" s="1" t="s">
        <v>41</v>
      </c>
      <c r="V39" s="1" t="str">
        <f>_xlfn.XLOOKUP(A39,Dictonary!$A$2:$A$5,Dictonary!$B$2:$B$5)</f>
        <v>Normal balance</v>
      </c>
      <c r="W39" s="1" t="str">
        <f>_xlfn.XLOOKUP(D39,Dictonary!$D$2:$D$12,Dictonary!$E$2:$E$12)</f>
        <v>radio/television</v>
      </c>
      <c r="X39" s="1" t="str">
        <f>_xlfn.XLOOKUP(F39,Dictonary!$G$2:$G$6,Dictonary!$H$2:$H$6)</f>
        <v>Less 100</v>
      </c>
      <c r="Y39" s="1" t="str">
        <f>_xlfn.XLOOKUP(I39,Dictonary!$J$2:$J$6,Dictonary!$K$2:$K$6)</f>
        <v>male : single</v>
      </c>
      <c r="Z39" s="1" t="str">
        <f>_xlfn.XLOOKUP(Q39,Dictonary!$M$2:$M$5,Dictonary!$N$2:$N$5)</f>
        <v>skilled employee / official</v>
      </c>
      <c r="AA39" s="1" t="str">
        <f>_xlfn.XLOOKUP(O39,Dictonary!$P$2:$P$4,Dictonary!$Q$2:$Q$4)</f>
        <v>own</v>
      </c>
    </row>
    <row r="40" spans="1:27" x14ac:dyDescent="0.3">
      <c r="A40" s="1" t="s">
        <v>68</v>
      </c>
      <c r="B40">
        <v>10</v>
      </c>
      <c r="C40" s="1" t="s">
        <v>36</v>
      </c>
      <c r="D40" s="1" t="s">
        <v>72</v>
      </c>
      <c r="E40">
        <v>1225</v>
      </c>
      <c r="F40" s="1" t="s">
        <v>37</v>
      </c>
      <c r="G40" s="1" t="s">
        <v>38</v>
      </c>
      <c r="H40">
        <v>2</v>
      </c>
      <c r="I40" s="1" t="s">
        <v>26</v>
      </c>
      <c r="J40" s="1" t="s">
        <v>27</v>
      </c>
      <c r="K40">
        <v>2</v>
      </c>
      <c r="L40" s="1" t="s">
        <v>55</v>
      </c>
      <c r="M40">
        <v>37</v>
      </c>
      <c r="N40" s="1" t="s">
        <v>29</v>
      </c>
      <c r="O40" s="1" t="s">
        <v>30</v>
      </c>
      <c r="P40">
        <v>1</v>
      </c>
      <c r="Q40" s="1" t="s">
        <v>31</v>
      </c>
      <c r="R40">
        <v>1</v>
      </c>
      <c r="S40" s="1" t="s">
        <v>32</v>
      </c>
      <c r="T40" s="1" t="s">
        <v>33</v>
      </c>
      <c r="U40" s="1" t="s">
        <v>34</v>
      </c>
      <c r="V40" s="1" t="str">
        <f>_xlfn.XLOOKUP(A40,Dictonary!$A$2:$A$5,Dictonary!$B$2:$B$5)</f>
        <v>Normal balance</v>
      </c>
      <c r="W40" s="1" t="str">
        <f>_xlfn.XLOOKUP(D40,Dictonary!$D$2:$D$12,Dictonary!$E$2:$E$12)</f>
        <v>domestic appliances</v>
      </c>
      <c r="X40" s="1" t="str">
        <f>_xlfn.XLOOKUP(F40,Dictonary!$G$2:$G$6,Dictonary!$H$2:$H$6)</f>
        <v>Less 100</v>
      </c>
      <c r="Y40" s="1" t="str">
        <f>_xlfn.XLOOKUP(I40,Dictonary!$J$2:$J$6,Dictonary!$K$2:$K$6)</f>
        <v>male : single</v>
      </c>
      <c r="Z40" s="1" t="str">
        <f>_xlfn.XLOOKUP(Q40,Dictonary!$M$2:$M$5,Dictonary!$N$2:$N$5)</f>
        <v>skilled employee / official</v>
      </c>
      <c r="AA40" s="1" t="str">
        <f>_xlfn.XLOOKUP(O40,Dictonary!$P$2:$P$4,Dictonary!$Q$2:$Q$4)</f>
        <v>own</v>
      </c>
    </row>
    <row r="41" spans="1:27" x14ac:dyDescent="0.3">
      <c r="A41" s="1" t="s">
        <v>35</v>
      </c>
      <c r="B41">
        <v>9</v>
      </c>
      <c r="C41" s="1" t="s">
        <v>36</v>
      </c>
      <c r="D41" s="1" t="s">
        <v>23</v>
      </c>
      <c r="E41">
        <v>458</v>
      </c>
      <c r="F41" s="1" t="s">
        <v>37</v>
      </c>
      <c r="G41" s="1" t="s">
        <v>38</v>
      </c>
      <c r="H41">
        <v>4</v>
      </c>
      <c r="I41" s="1" t="s">
        <v>26</v>
      </c>
      <c r="J41" s="1" t="s">
        <v>27</v>
      </c>
      <c r="K41">
        <v>3</v>
      </c>
      <c r="L41" s="1" t="s">
        <v>28</v>
      </c>
      <c r="M41">
        <v>24</v>
      </c>
      <c r="N41" s="1" t="s">
        <v>29</v>
      </c>
      <c r="O41" s="1" t="s">
        <v>30</v>
      </c>
      <c r="P41">
        <v>1</v>
      </c>
      <c r="Q41" s="1" t="s">
        <v>31</v>
      </c>
      <c r="R41">
        <v>1</v>
      </c>
      <c r="S41" s="1" t="s">
        <v>40</v>
      </c>
      <c r="T41" s="1" t="s">
        <v>33</v>
      </c>
      <c r="U41" s="1" t="s">
        <v>34</v>
      </c>
      <c r="V41" s="1" t="str">
        <f>_xlfn.XLOOKUP(A41,Dictonary!$A$2:$A$5,Dictonary!$B$2:$B$5)</f>
        <v>Low balance</v>
      </c>
      <c r="W41" s="1" t="str">
        <f>_xlfn.XLOOKUP(D41,Dictonary!$D$2:$D$12,Dictonary!$E$2:$E$12)</f>
        <v>radio/television</v>
      </c>
      <c r="X41" s="1" t="str">
        <f>_xlfn.XLOOKUP(F41,Dictonary!$G$2:$G$6,Dictonary!$H$2:$H$6)</f>
        <v>Less 100</v>
      </c>
      <c r="Y41" s="1" t="str">
        <f>_xlfn.XLOOKUP(I41,Dictonary!$J$2:$J$6,Dictonary!$K$2:$K$6)</f>
        <v>male : single</v>
      </c>
      <c r="Z41" s="1" t="str">
        <f>_xlfn.XLOOKUP(Q41,Dictonary!$M$2:$M$5,Dictonary!$N$2:$N$5)</f>
        <v>skilled employee / official</v>
      </c>
      <c r="AA41" s="1" t="str">
        <f>_xlfn.XLOOKUP(O41,Dictonary!$P$2:$P$4,Dictonary!$Q$2:$Q$4)</f>
        <v>own</v>
      </c>
    </row>
    <row r="42" spans="1:27" x14ac:dyDescent="0.3">
      <c r="A42" s="1" t="s">
        <v>42</v>
      </c>
      <c r="B42">
        <v>30</v>
      </c>
      <c r="C42" s="1" t="s">
        <v>36</v>
      </c>
      <c r="D42" s="1" t="s">
        <v>23</v>
      </c>
      <c r="E42">
        <v>2333</v>
      </c>
      <c r="F42" s="1" t="s">
        <v>53</v>
      </c>
      <c r="G42" s="1" t="s">
        <v>25</v>
      </c>
      <c r="H42">
        <v>4</v>
      </c>
      <c r="I42" s="1" t="s">
        <v>26</v>
      </c>
      <c r="J42" s="1" t="s">
        <v>27</v>
      </c>
      <c r="K42">
        <v>2</v>
      </c>
      <c r="L42" s="1" t="s">
        <v>55</v>
      </c>
      <c r="M42">
        <v>30</v>
      </c>
      <c r="N42" s="1" t="s">
        <v>66</v>
      </c>
      <c r="O42" s="1" t="s">
        <v>30</v>
      </c>
      <c r="P42">
        <v>1</v>
      </c>
      <c r="Q42" s="1" t="s">
        <v>57</v>
      </c>
      <c r="R42">
        <v>1</v>
      </c>
      <c r="S42" s="1" t="s">
        <v>40</v>
      </c>
      <c r="T42" s="1" t="s">
        <v>33</v>
      </c>
      <c r="U42" s="1" t="s">
        <v>34</v>
      </c>
      <c r="V42" s="1" t="str">
        <f>_xlfn.XLOOKUP(A42,Dictonary!$A$2:$A$5,Dictonary!$B$2:$B$5)</f>
        <v>No information</v>
      </c>
      <c r="W42" s="1" t="str">
        <f>_xlfn.XLOOKUP(D42,Dictonary!$D$2:$D$12,Dictonary!$E$2:$E$12)</f>
        <v>radio/television</v>
      </c>
      <c r="X42" s="1" t="str">
        <f>_xlfn.XLOOKUP(F42,Dictonary!$G$2:$G$6,Dictonary!$H$2:$H$6)</f>
        <v>Up to 1000</v>
      </c>
      <c r="Y42" s="1" t="str">
        <f>_xlfn.XLOOKUP(I42,Dictonary!$J$2:$J$6,Dictonary!$K$2:$K$6)</f>
        <v>male : single</v>
      </c>
      <c r="Z42" s="1" t="str">
        <f>_xlfn.XLOOKUP(Q42,Dictonary!$M$2:$M$5,Dictonary!$N$2:$N$5)</f>
        <v>management/ self-employed/ highly qualified employee/ officer</v>
      </c>
      <c r="AA42" s="1" t="str">
        <f>_xlfn.XLOOKUP(O42,Dictonary!$P$2:$P$4,Dictonary!$Q$2:$Q$4)</f>
        <v>own</v>
      </c>
    </row>
    <row r="43" spans="1:27" x14ac:dyDescent="0.3">
      <c r="A43" s="1" t="s">
        <v>35</v>
      </c>
      <c r="B43">
        <v>12</v>
      </c>
      <c r="C43" s="1" t="s">
        <v>36</v>
      </c>
      <c r="D43" s="1" t="s">
        <v>23</v>
      </c>
      <c r="E43">
        <v>1158</v>
      </c>
      <c r="F43" s="1" t="s">
        <v>53</v>
      </c>
      <c r="G43" s="1" t="s">
        <v>38</v>
      </c>
      <c r="H43">
        <v>3</v>
      </c>
      <c r="I43" s="1" t="s">
        <v>59</v>
      </c>
      <c r="J43" s="1" t="s">
        <v>27</v>
      </c>
      <c r="K43">
        <v>1</v>
      </c>
      <c r="L43" s="1" t="s">
        <v>55</v>
      </c>
      <c r="M43">
        <v>26</v>
      </c>
      <c r="N43" s="1" t="s">
        <v>29</v>
      </c>
      <c r="O43" s="1" t="s">
        <v>30</v>
      </c>
      <c r="P43">
        <v>1</v>
      </c>
      <c r="Q43" s="1" t="s">
        <v>31</v>
      </c>
      <c r="R43">
        <v>1</v>
      </c>
      <c r="S43" s="1" t="s">
        <v>32</v>
      </c>
      <c r="T43" s="1" t="s">
        <v>33</v>
      </c>
      <c r="U43" s="1" t="s">
        <v>34</v>
      </c>
      <c r="V43" s="1" t="str">
        <f>_xlfn.XLOOKUP(A43,Dictonary!$A$2:$A$5,Dictonary!$B$2:$B$5)</f>
        <v>Low balance</v>
      </c>
      <c r="W43" s="1" t="str">
        <f>_xlfn.XLOOKUP(D43,Dictonary!$D$2:$D$12,Dictonary!$E$2:$E$12)</f>
        <v>radio/television</v>
      </c>
      <c r="X43" s="1" t="str">
        <f>_xlfn.XLOOKUP(F43,Dictonary!$G$2:$G$6,Dictonary!$H$2:$H$6)</f>
        <v>Up to 1000</v>
      </c>
      <c r="Y43" s="1" t="str">
        <f>_xlfn.XLOOKUP(I43,Dictonary!$J$2:$J$6,Dictonary!$K$2:$K$6)</f>
        <v>male : divorced/separated</v>
      </c>
      <c r="Z43" s="1" t="str">
        <f>_xlfn.XLOOKUP(Q43,Dictonary!$M$2:$M$5,Dictonary!$N$2:$N$5)</f>
        <v>skilled employee / official</v>
      </c>
      <c r="AA43" s="1" t="str">
        <f>_xlfn.XLOOKUP(O43,Dictonary!$P$2:$P$4,Dictonary!$Q$2:$Q$4)</f>
        <v>own</v>
      </c>
    </row>
    <row r="44" spans="1:27" x14ac:dyDescent="0.3">
      <c r="A44" s="1" t="s">
        <v>35</v>
      </c>
      <c r="B44">
        <v>18</v>
      </c>
      <c r="C44" s="1" t="s">
        <v>50</v>
      </c>
      <c r="D44" s="1" t="s">
        <v>73</v>
      </c>
      <c r="E44">
        <v>6204</v>
      </c>
      <c r="F44" s="1" t="s">
        <v>37</v>
      </c>
      <c r="G44" s="1" t="s">
        <v>38</v>
      </c>
      <c r="H44">
        <v>2</v>
      </c>
      <c r="I44" s="1" t="s">
        <v>26</v>
      </c>
      <c r="J44" s="1" t="s">
        <v>27</v>
      </c>
      <c r="K44">
        <v>4</v>
      </c>
      <c r="L44" s="1" t="s">
        <v>28</v>
      </c>
      <c r="M44">
        <v>44</v>
      </c>
      <c r="N44" s="1" t="s">
        <v>29</v>
      </c>
      <c r="O44" s="1" t="s">
        <v>30</v>
      </c>
      <c r="P44">
        <v>1</v>
      </c>
      <c r="Q44" s="1" t="s">
        <v>45</v>
      </c>
      <c r="R44">
        <v>2</v>
      </c>
      <c r="S44" s="1" t="s">
        <v>32</v>
      </c>
      <c r="T44" s="1" t="s">
        <v>33</v>
      </c>
      <c r="U44" s="1" t="s">
        <v>34</v>
      </c>
      <c r="V44" s="1" t="str">
        <f>_xlfn.XLOOKUP(A44,Dictonary!$A$2:$A$5,Dictonary!$B$2:$B$5)</f>
        <v>Low balance</v>
      </c>
      <c r="W44" s="1" t="str">
        <f>_xlfn.XLOOKUP(D44,Dictonary!$D$2:$D$12,Dictonary!$E$2:$E$12)</f>
        <v>repairs</v>
      </c>
      <c r="X44" s="1" t="str">
        <f>_xlfn.XLOOKUP(F44,Dictonary!$G$2:$G$6,Dictonary!$H$2:$H$6)</f>
        <v>Less 100</v>
      </c>
      <c r="Y44" s="1" t="str">
        <f>_xlfn.XLOOKUP(I44,Dictonary!$J$2:$J$6,Dictonary!$K$2:$K$6)</f>
        <v>male : single</v>
      </c>
      <c r="Z44" s="1" t="str">
        <f>_xlfn.XLOOKUP(Q44,Dictonary!$M$2:$M$5,Dictonary!$N$2:$N$5)</f>
        <v>unskilled - resident</v>
      </c>
      <c r="AA44" s="1" t="str">
        <f>_xlfn.XLOOKUP(O44,Dictonary!$P$2:$P$4,Dictonary!$Q$2:$Q$4)</f>
        <v>own</v>
      </c>
    </row>
    <row r="45" spans="1:27" x14ac:dyDescent="0.3">
      <c r="A45" s="1" t="s">
        <v>21</v>
      </c>
      <c r="B45">
        <v>30</v>
      </c>
      <c r="C45" s="1" t="s">
        <v>22</v>
      </c>
      <c r="D45" s="1" t="s">
        <v>54</v>
      </c>
      <c r="E45">
        <v>6187</v>
      </c>
      <c r="F45" s="1" t="s">
        <v>64</v>
      </c>
      <c r="G45" s="1" t="s">
        <v>44</v>
      </c>
      <c r="H45">
        <v>1</v>
      </c>
      <c r="I45" s="1" t="s">
        <v>61</v>
      </c>
      <c r="J45" s="1" t="s">
        <v>27</v>
      </c>
      <c r="K45">
        <v>4</v>
      </c>
      <c r="L45" s="1" t="s">
        <v>55</v>
      </c>
      <c r="M45">
        <v>24</v>
      </c>
      <c r="N45" s="1" t="s">
        <v>29</v>
      </c>
      <c r="O45" s="1" t="s">
        <v>56</v>
      </c>
      <c r="P45">
        <v>2</v>
      </c>
      <c r="Q45" s="1" t="s">
        <v>31</v>
      </c>
      <c r="R45">
        <v>1</v>
      </c>
      <c r="S45" s="1" t="s">
        <v>40</v>
      </c>
      <c r="T45" s="1" t="s">
        <v>33</v>
      </c>
      <c r="U45" s="1" t="s">
        <v>34</v>
      </c>
      <c r="V45" s="1" t="str">
        <f>_xlfn.XLOOKUP(A45,Dictonary!$A$2:$A$5,Dictonary!$B$2:$B$5)</f>
        <v>Negative balance</v>
      </c>
      <c r="W45" s="1" t="str">
        <f>_xlfn.XLOOKUP(D45,Dictonary!$D$2:$D$12,Dictonary!$E$2:$E$12)</f>
        <v>car (used)</v>
      </c>
      <c r="X45" s="1" t="str">
        <f>_xlfn.XLOOKUP(F45,Dictonary!$G$2:$G$6,Dictonary!$H$2:$H$6)</f>
        <v>Up to 500</v>
      </c>
      <c r="Y45" s="1" t="str">
        <f>_xlfn.XLOOKUP(I45,Dictonary!$J$2:$J$6,Dictonary!$K$2:$K$6)</f>
        <v>male : married/widowed</v>
      </c>
      <c r="Z45" s="1" t="str">
        <f>_xlfn.XLOOKUP(Q45,Dictonary!$M$2:$M$5,Dictonary!$N$2:$N$5)</f>
        <v>skilled employee / official</v>
      </c>
      <c r="AA45" s="1" t="str">
        <f>_xlfn.XLOOKUP(O45,Dictonary!$P$2:$P$4,Dictonary!$Q$2:$Q$4)</f>
        <v>rent</v>
      </c>
    </row>
    <row r="46" spans="1:27" x14ac:dyDescent="0.3">
      <c r="A46" s="1" t="s">
        <v>21</v>
      </c>
      <c r="B46">
        <v>48</v>
      </c>
      <c r="C46" s="1" t="s">
        <v>22</v>
      </c>
      <c r="D46" s="1" t="s">
        <v>54</v>
      </c>
      <c r="E46">
        <v>6143</v>
      </c>
      <c r="F46" s="1" t="s">
        <v>37</v>
      </c>
      <c r="G46" s="1" t="s">
        <v>25</v>
      </c>
      <c r="H46">
        <v>4</v>
      </c>
      <c r="I46" s="1" t="s">
        <v>39</v>
      </c>
      <c r="J46" s="1" t="s">
        <v>27</v>
      </c>
      <c r="K46">
        <v>4</v>
      </c>
      <c r="L46" s="1" t="s">
        <v>52</v>
      </c>
      <c r="M46">
        <v>58</v>
      </c>
      <c r="N46" s="1" t="s">
        <v>70</v>
      </c>
      <c r="O46" s="1" t="s">
        <v>49</v>
      </c>
      <c r="P46">
        <v>2</v>
      </c>
      <c r="Q46" s="1" t="s">
        <v>45</v>
      </c>
      <c r="R46">
        <v>1</v>
      </c>
      <c r="S46" s="1" t="s">
        <v>40</v>
      </c>
      <c r="T46" s="1" t="s">
        <v>33</v>
      </c>
      <c r="U46" s="1" t="s">
        <v>41</v>
      </c>
      <c r="V46" s="1" t="str">
        <f>_xlfn.XLOOKUP(A46,Dictonary!$A$2:$A$5,Dictonary!$B$2:$B$5)</f>
        <v>Negative balance</v>
      </c>
      <c r="W46" s="1" t="str">
        <f>_xlfn.XLOOKUP(D46,Dictonary!$D$2:$D$12,Dictonary!$E$2:$E$12)</f>
        <v>car (used)</v>
      </c>
      <c r="X46" s="1" t="str">
        <f>_xlfn.XLOOKUP(F46,Dictonary!$G$2:$G$6,Dictonary!$H$2:$H$6)</f>
        <v>Less 100</v>
      </c>
      <c r="Y46" s="1" t="str">
        <f>_xlfn.XLOOKUP(I46,Dictonary!$J$2:$J$6,Dictonary!$K$2:$K$6)</f>
        <v>female : divorced/separated/married</v>
      </c>
      <c r="Z46" s="1" t="str">
        <f>_xlfn.XLOOKUP(Q46,Dictonary!$M$2:$M$5,Dictonary!$N$2:$N$5)</f>
        <v>unskilled - resident</v>
      </c>
      <c r="AA46" s="1" t="str">
        <f>_xlfn.XLOOKUP(O46,Dictonary!$P$2:$P$4,Dictonary!$Q$2:$Q$4)</f>
        <v>for free</v>
      </c>
    </row>
    <row r="47" spans="1:27" x14ac:dyDescent="0.3">
      <c r="A47" s="1" t="s">
        <v>42</v>
      </c>
      <c r="B47">
        <v>11</v>
      </c>
      <c r="C47" s="1" t="s">
        <v>22</v>
      </c>
      <c r="D47" s="1" t="s">
        <v>51</v>
      </c>
      <c r="E47">
        <v>1393</v>
      </c>
      <c r="F47" s="1" t="s">
        <v>37</v>
      </c>
      <c r="G47" s="1" t="s">
        <v>62</v>
      </c>
      <c r="H47">
        <v>4</v>
      </c>
      <c r="I47" s="1" t="s">
        <v>39</v>
      </c>
      <c r="J47" s="1" t="s">
        <v>27</v>
      </c>
      <c r="K47">
        <v>4</v>
      </c>
      <c r="L47" s="1" t="s">
        <v>55</v>
      </c>
      <c r="M47">
        <v>35</v>
      </c>
      <c r="N47" s="1" t="s">
        <v>29</v>
      </c>
      <c r="O47" s="1" t="s">
        <v>30</v>
      </c>
      <c r="P47">
        <v>2</v>
      </c>
      <c r="Q47" s="1" t="s">
        <v>57</v>
      </c>
      <c r="R47">
        <v>1</v>
      </c>
      <c r="S47" s="1" t="s">
        <v>40</v>
      </c>
      <c r="T47" s="1" t="s">
        <v>33</v>
      </c>
      <c r="U47" s="1" t="s">
        <v>34</v>
      </c>
      <c r="V47" s="1" t="str">
        <f>_xlfn.XLOOKUP(A47,Dictonary!$A$2:$A$5,Dictonary!$B$2:$B$5)</f>
        <v>No information</v>
      </c>
      <c r="W47" s="1" t="str">
        <f>_xlfn.XLOOKUP(D47,Dictonary!$D$2:$D$12,Dictonary!$E$2:$E$12)</f>
        <v>car (new)</v>
      </c>
      <c r="X47" s="1" t="str">
        <f>_xlfn.XLOOKUP(F47,Dictonary!$G$2:$G$6,Dictonary!$H$2:$H$6)</f>
        <v>Less 100</v>
      </c>
      <c r="Y47" s="1" t="str">
        <f>_xlfn.XLOOKUP(I47,Dictonary!$J$2:$J$6,Dictonary!$K$2:$K$6)</f>
        <v>female : divorced/separated/married</v>
      </c>
      <c r="Z47" s="1" t="str">
        <f>_xlfn.XLOOKUP(Q47,Dictonary!$M$2:$M$5,Dictonary!$N$2:$N$5)</f>
        <v>management/ self-employed/ highly qualified employee/ officer</v>
      </c>
      <c r="AA47" s="1" t="str">
        <f>_xlfn.XLOOKUP(O47,Dictonary!$P$2:$P$4,Dictonary!$Q$2:$Q$4)</f>
        <v>own</v>
      </c>
    </row>
    <row r="48" spans="1:27" x14ac:dyDescent="0.3">
      <c r="A48" s="1" t="s">
        <v>42</v>
      </c>
      <c r="B48">
        <v>36</v>
      </c>
      <c r="C48" s="1" t="s">
        <v>36</v>
      </c>
      <c r="D48" s="1" t="s">
        <v>23</v>
      </c>
      <c r="E48">
        <v>2299</v>
      </c>
      <c r="F48" s="1" t="s">
        <v>53</v>
      </c>
      <c r="G48" s="1" t="s">
        <v>25</v>
      </c>
      <c r="H48">
        <v>4</v>
      </c>
      <c r="I48" s="1" t="s">
        <v>26</v>
      </c>
      <c r="J48" s="1" t="s">
        <v>27</v>
      </c>
      <c r="K48">
        <v>4</v>
      </c>
      <c r="L48" s="1" t="s">
        <v>55</v>
      </c>
      <c r="M48">
        <v>39</v>
      </c>
      <c r="N48" s="1" t="s">
        <v>29</v>
      </c>
      <c r="O48" s="1" t="s">
        <v>30</v>
      </c>
      <c r="P48">
        <v>1</v>
      </c>
      <c r="Q48" s="1" t="s">
        <v>31</v>
      </c>
      <c r="R48">
        <v>1</v>
      </c>
      <c r="S48" s="1" t="s">
        <v>40</v>
      </c>
      <c r="T48" s="1" t="s">
        <v>33</v>
      </c>
      <c r="U48" s="1" t="s">
        <v>34</v>
      </c>
      <c r="V48" s="1" t="str">
        <f>_xlfn.XLOOKUP(A48,Dictonary!$A$2:$A$5,Dictonary!$B$2:$B$5)</f>
        <v>No information</v>
      </c>
      <c r="W48" s="1" t="str">
        <f>_xlfn.XLOOKUP(D48,Dictonary!$D$2:$D$12,Dictonary!$E$2:$E$12)</f>
        <v>radio/television</v>
      </c>
      <c r="X48" s="1" t="str">
        <f>_xlfn.XLOOKUP(F48,Dictonary!$G$2:$G$6,Dictonary!$H$2:$H$6)</f>
        <v>Up to 1000</v>
      </c>
      <c r="Y48" s="1" t="str">
        <f>_xlfn.XLOOKUP(I48,Dictonary!$J$2:$J$6,Dictonary!$K$2:$K$6)</f>
        <v>male : single</v>
      </c>
      <c r="Z48" s="1" t="str">
        <f>_xlfn.XLOOKUP(Q48,Dictonary!$M$2:$M$5,Dictonary!$N$2:$N$5)</f>
        <v>skilled employee / official</v>
      </c>
      <c r="AA48" s="1" t="str">
        <f>_xlfn.XLOOKUP(O48,Dictonary!$P$2:$P$4,Dictonary!$Q$2:$Q$4)</f>
        <v>own</v>
      </c>
    </row>
    <row r="49" spans="1:27" x14ac:dyDescent="0.3">
      <c r="A49" s="1" t="s">
        <v>21</v>
      </c>
      <c r="B49">
        <v>6</v>
      </c>
      <c r="C49" s="1" t="s">
        <v>36</v>
      </c>
      <c r="D49" s="1" t="s">
        <v>54</v>
      </c>
      <c r="E49">
        <v>1352</v>
      </c>
      <c r="F49" s="1" t="s">
        <v>53</v>
      </c>
      <c r="G49" s="1" t="s">
        <v>60</v>
      </c>
      <c r="H49">
        <v>1</v>
      </c>
      <c r="I49" s="1" t="s">
        <v>39</v>
      </c>
      <c r="J49" s="1" t="s">
        <v>27</v>
      </c>
      <c r="K49">
        <v>2</v>
      </c>
      <c r="L49" s="1" t="s">
        <v>48</v>
      </c>
      <c r="M49">
        <v>23</v>
      </c>
      <c r="N49" s="1" t="s">
        <v>29</v>
      </c>
      <c r="O49" s="1" t="s">
        <v>56</v>
      </c>
      <c r="P49">
        <v>1</v>
      </c>
      <c r="Q49" s="1" t="s">
        <v>74</v>
      </c>
      <c r="R49">
        <v>1</v>
      </c>
      <c r="S49" s="1" t="s">
        <v>32</v>
      </c>
      <c r="T49" s="1" t="s">
        <v>33</v>
      </c>
      <c r="U49" s="1" t="s">
        <v>34</v>
      </c>
      <c r="V49" s="1" t="str">
        <f>_xlfn.XLOOKUP(A49,Dictonary!$A$2:$A$5,Dictonary!$B$2:$B$5)</f>
        <v>Negative balance</v>
      </c>
      <c r="W49" s="1" t="str">
        <f>_xlfn.XLOOKUP(D49,Dictonary!$D$2:$D$12,Dictonary!$E$2:$E$12)</f>
        <v>car (used)</v>
      </c>
      <c r="X49" s="1" t="str">
        <f>_xlfn.XLOOKUP(F49,Dictonary!$G$2:$G$6,Dictonary!$H$2:$H$6)</f>
        <v>Up to 1000</v>
      </c>
      <c r="Y49" s="1" t="str">
        <f>_xlfn.XLOOKUP(I49,Dictonary!$J$2:$J$6,Dictonary!$K$2:$K$6)</f>
        <v>female : divorced/separated/married</v>
      </c>
      <c r="Z49" s="1" t="str">
        <f>_xlfn.XLOOKUP(Q49,Dictonary!$M$2:$M$5,Dictonary!$N$2:$N$5)</f>
        <v>unemployed/ unskilled  - non-resident</v>
      </c>
      <c r="AA49" s="1" t="str">
        <f>_xlfn.XLOOKUP(O49,Dictonary!$P$2:$P$4,Dictonary!$Q$2:$Q$4)</f>
        <v>rent</v>
      </c>
    </row>
    <row r="50" spans="1:27" x14ac:dyDescent="0.3">
      <c r="A50" s="1" t="s">
        <v>42</v>
      </c>
      <c r="B50">
        <v>11</v>
      </c>
      <c r="C50" s="1" t="s">
        <v>22</v>
      </c>
      <c r="D50" s="1" t="s">
        <v>51</v>
      </c>
      <c r="E50">
        <v>7228</v>
      </c>
      <c r="F50" s="1" t="s">
        <v>37</v>
      </c>
      <c r="G50" s="1" t="s">
        <v>38</v>
      </c>
      <c r="H50">
        <v>1</v>
      </c>
      <c r="I50" s="1" t="s">
        <v>26</v>
      </c>
      <c r="J50" s="1" t="s">
        <v>27</v>
      </c>
      <c r="K50">
        <v>4</v>
      </c>
      <c r="L50" s="1" t="s">
        <v>48</v>
      </c>
      <c r="M50">
        <v>39</v>
      </c>
      <c r="N50" s="1" t="s">
        <v>29</v>
      </c>
      <c r="O50" s="1" t="s">
        <v>30</v>
      </c>
      <c r="P50">
        <v>2</v>
      </c>
      <c r="Q50" s="1" t="s">
        <v>45</v>
      </c>
      <c r="R50">
        <v>1</v>
      </c>
      <c r="S50" s="1" t="s">
        <v>40</v>
      </c>
      <c r="T50" s="1" t="s">
        <v>33</v>
      </c>
      <c r="U50" s="1" t="s">
        <v>34</v>
      </c>
      <c r="V50" s="1" t="str">
        <f>_xlfn.XLOOKUP(A50,Dictonary!$A$2:$A$5,Dictonary!$B$2:$B$5)</f>
        <v>No information</v>
      </c>
      <c r="W50" s="1" t="str">
        <f>_xlfn.XLOOKUP(D50,Dictonary!$D$2:$D$12,Dictonary!$E$2:$E$12)</f>
        <v>car (new)</v>
      </c>
      <c r="X50" s="1" t="str">
        <f>_xlfn.XLOOKUP(F50,Dictonary!$G$2:$G$6,Dictonary!$H$2:$H$6)</f>
        <v>Less 100</v>
      </c>
      <c r="Y50" s="1" t="str">
        <f>_xlfn.XLOOKUP(I50,Dictonary!$J$2:$J$6,Dictonary!$K$2:$K$6)</f>
        <v>male : single</v>
      </c>
      <c r="Z50" s="1" t="str">
        <f>_xlfn.XLOOKUP(Q50,Dictonary!$M$2:$M$5,Dictonary!$N$2:$N$5)</f>
        <v>unskilled - resident</v>
      </c>
      <c r="AA50" s="1" t="str">
        <f>_xlfn.XLOOKUP(O50,Dictonary!$P$2:$P$4,Dictonary!$Q$2:$Q$4)</f>
        <v>own</v>
      </c>
    </row>
    <row r="51" spans="1:27" x14ac:dyDescent="0.3">
      <c r="A51" s="1" t="s">
        <v>42</v>
      </c>
      <c r="B51">
        <v>12</v>
      </c>
      <c r="C51" s="1" t="s">
        <v>36</v>
      </c>
      <c r="D51" s="1" t="s">
        <v>23</v>
      </c>
      <c r="E51">
        <v>2073</v>
      </c>
      <c r="F51" s="1" t="s">
        <v>64</v>
      </c>
      <c r="G51" s="1" t="s">
        <v>38</v>
      </c>
      <c r="H51">
        <v>4</v>
      </c>
      <c r="I51" s="1" t="s">
        <v>39</v>
      </c>
      <c r="J51" s="1" t="s">
        <v>71</v>
      </c>
      <c r="K51">
        <v>2</v>
      </c>
      <c r="L51" s="1" t="s">
        <v>28</v>
      </c>
      <c r="M51">
        <v>28</v>
      </c>
      <c r="N51" s="1" t="s">
        <v>29</v>
      </c>
      <c r="O51" s="1" t="s">
        <v>30</v>
      </c>
      <c r="P51">
        <v>1</v>
      </c>
      <c r="Q51" s="1" t="s">
        <v>31</v>
      </c>
      <c r="R51">
        <v>1</v>
      </c>
      <c r="S51" s="1" t="s">
        <v>40</v>
      </c>
      <c r="T51" s="1" t="s">
        <v>33</v>
      </c>
      <c r="U51" s="1" t="s">
        <v>34</v>
      </c>
      <c r="V51" s="1" t="str">
        <f>_xlfn.XLOOKUP(A51,Dictonary!$A$2:$A$5,Dictonary!$B$2:$B$5)</f>
        <v>No information</v>
      </c>
      <c r="W51" s="1" t="str">
        <f>_xlfn.XLOOKUP(D51,Dictonary!$D$2:$D$12,Dictonary!$E$2:$E$12)</f>
        <v>radio/television</v>
      </c>
      <c r="X51" s="1" t="str">
        <f>_xlfn.XLOOKUP(F51,Dictonary!$G$2:$G$6,Dictonary!$H$2:$H$6)</f>
        <v>Up to 500</v>
      </c>
      <c r="Y51" s="1" t="str">
        <f>_xlfn.XLOOKUP(I51,Dictonary!$J$2:$J$6,Dictonary!$K$2:$K$6)</f>
        <v>female : divorced/separated/married</v>
      </c>
      <c r="Z51" s="1" t="str">
        <f>_xlfn.XLOOKUP(Q51,Dictonary!$M$2:$M$5,Dictonary!$N$2:$N$5)</f>
        <v>skilled employee / official</v>
      </c>
      <c r="AA51" s="1" t="str">
        <f>_xlfn.XLOOKUP(O51,Dictonary!$P$2:$P$4,Dictonary!$Q$2:$Q$4)</f>
        <v>own</v>
      </c>
    </row>
    <row r="52" spans="1:27" x14ac:dyDescent="0.3">
      <c r="A52" s="1" t="s">
        <v>35</v>
      </c>
      <c r="B52">
        <v>24</v>
      </c>
      <c r="C52" s="1" t="s">
        <v>50</v>
      </c>
      <c r="D52" s="1" t="s">
        <v>46</v>
      </c>
      <c r="E52">
        <v>2333</v>
      </c>
      <c r="F52" s="1" t="s">
        <v>24</v>
      </c>
      <c r="G52" s="1" t="s">
        <v>62</v>
      </c>
      <c r="H52">
        <v>4</v>
      </c>
      <c r="I52" s="1" t="s">
        <v>26</v>
      </c>
      <c r="J52" s="1" t="s">
        <v>27</v>
      </c>
      <c r="K52">
        <v>2</v>
      </c>
      <c r="L52" s="1" t="s">
        <v>48</v>
      </c>
      <c r="M52">
        <v>29</v>
      </c>
      <c r="N52" s="1" t="s">
        <v>66</v>
      </c>
      <c r="O52" s="1" t="s">
        <v>30</v>
      </c>
      <c r="P52">
        <v>1</v>
      </c>
      <c r="Q52" s="1" t="s">
        <v>45</v>
      </c>
      <c r="R52">
        <v>1</v>
      </c>
      <c r="S52" s="1" t="s">
        <v>40</v>
      </c>
      <c r="T52" s="1" t="s">
        <v>33</v>
      </c>
      <c r="U52" s="1" t="s">
        <v>34</v>
      </c>
      <c r="V52" s="1" t="str">
        <f>_xlfn.XLOOKUP(A52,Dictonary!$A$2:$A$5,Dictonary!$B$2:$B$5)</f>
        <v>Low balance</v>
      </c>
      <c r="W52" s="1" t="str">
        <f>_xlfn.XLOOKUP(D52,Dictonary!$D$2:$D$12,Dictonary!$E$2:$E$12)</f>
        <v>furniture/equipment</v>
      </c>
      <c r="X52" s="1" t="str">
        <f>_xlfn.XLOOKUP(F52,Dictonary!$G$2:$G$6,Dictonary!$H$2:$H$6)</f>
        <v>No information</v>
      </c>
      <c r="Y52" s="1" t="str">
        <f>_xlfn.XLOOKUP(I52,Dictonary!$J$2:$J$6,Dictonary!$K$2:$K$6)</f>
        <v>male : single</v>
      </c>
      <c r="Z52" s="1" t="str">
        <f>_xlfn.XLOOKUP(Q52,Dictonary!$M$2:$M$5,Dictonary!$N$2:$N$5)</f>
        <v>unskilled - resident</v>
      </c>
      <c r="AA52" s="1" t="str">
        <f>_xlfn.XLOOKUP(O52,Dictonary!$P$2:$P$4,Dictonary!$Q$2:$Q$4)</f>
        <v>own</v>
      </c>
    </row>
    <row r="53" spans="1:27" x14ac:dyDescent="0.3">
      <c r="A53" s="1" t="s">
        <v>35</v>
      </c>
      <c r="B53">
        <v>27</v>
      </c>
      <c r="C53" s="1" t="s">
        <v>50</v>
      </c>
      <c r="D53" s="1" t="s">
        <v>54</v>
      </c>
      <c r="E53">
        <v>5965</v>
      </c>
      <c r="F53" s="1" t="s">
        <v>37</v>
      </c>
      <c r="G53" s="1" t="s">
        <v>25</v>
      </c>
      <c r="H53">
        <v>1</v>
      </c>
      <c r="I53" s="1" t="s">
        <v>26</v>
      </c>
      <c r="J53" s="1" t="s">
        <v>27</v>
      </c>
      <c r="K53">
        <v>2</v>
      </c>
      <c r="L53" s="1" t="s">
        <v>55</v>
      </c>
      <c r="M53">
        <v>30</v>
      </c>
      <c r="N53" s="1" t="s">
        <v>29</v>
      </c>
      <c r="O53" s="1" t="s">
        <v>30</v>
      </c>
      <c r="P53">
        <v>2</v>
      </c>
      <c r="Q53" s="1" t="s">
        <v>57</v>
      </c>
      <c r="R53">
        <v>1</v>
      </c>
      <c r="S53" s="1" t="s">
        <v>32</v>
      </c>
      <c r="T53" s="1" t="s">
        <v>33</v>
      </c>
      <c r="U53" s="1" t="s">
        <v>34</v>
      </c>
      <c r="V53" s="1" t="str">
        <f>_xlfn.XLOOKUP(A53,Dictonary!$A$2:$A$5,Dictonary!$B$2:$B$5)</f>
        <v>Low balance</v>
      </c>
      <c r="W53" s="1" t="str">
        <f>_xlfn.XLOOKUP(D53,Dictonary!$D$2:$D$12,Dictonary!$E$2:$E$12)</f>
        <v>car (used)</v>
      </c>
      <c r="X53" s="1" t="str">
        <f>_xlfn.XLOOKUP(F53,Dictonary!$G$2:$G$6,Dictonary!$H$2:$H$6)</f>
        <v>Less 100</v>
      </c>
      <c r="Y53" s="1" t="str">
        <f>_xlfn.XLOOKUP(I53,Dictonary!$J$2:$J$6,Dictonary!$K$2:$K$6)</f>
        <v>male : single</v>
      </c>
      <c r="Z53" s="1" t="str">
        <f>_xlfn.XLOOKUP(Q53,Dictonary!$M$2:$M$5,Dictonary!$N$2:$N$5)</f>
        <v>management/ self-employed/ highly qualified employee/ officer</v>
      </c>
      <c r="AA53" s="1" t="str">
        <f>_xlfn.XLOOKUP(O53,Dictonary!$P$2:$P$4,Dictonary!$Q$2:$Q$4)</f>
        <v>own</v>
      </c>
    </row>
    <row r="54" spans="1:27" x14ac:dyDescent="0.3">
      <c r="A54" s="1" t="s">
        <v>42</v>
      </c>
      <c r="B54">
        <v>12</v>
      </c>
      <c r="C54" s="1" t="s">
        <v>36</v>
      </c>
      <c r="D54" s="1" t="s">
        <v>23</v>
      </c>
      <c r="E54">
        <v>1262</v>
      </c>
      <c r="F54" s="1" t="s">
        <v>37</v>
      </c>
      <c r="G54" s="1" t="s">
        <v>38</v>
      </c>
      <c r="H54">
        <v>3</v>
      </c>
      <c r="I54" s="1" t="s">
        <v>26</v>
      </c>
      <c r="J54" s="1" t="s">
        <v>27</v>
      </c>
      <c r="K54">
        <v>2</v>
      </c>
      <c r="L54" s="1" t="s">
        <v>55</v>
      </c>
      <c r="M54">
        <v>25</v>
      </c>
      <c r="N54" s="1" t="s">
        <v>29</v>
      </c>
      <c r="O54" s="1" t="s">
        <v>30</v>
      </c>
      <c r="P54">
        <v>1</v>
      </c>
      <c r="Q54" s="1" t="s">
        <v>31</v>
      </c>
      <c r="R54">
        <v>1</v>
      </c>
      <c r="S54" s="1" t="s">
        <v>40</v>
      </c>
      <c r="T54" s="1" t="s">
        <v>33</v>
      </c>
      <c r="U54" s="1" t="s">
        <v>34</v>
      </c>
      <c r="V54" s="1" t="str">
        <f>_xlfn.XLOOKUP(A54,Dictonary!$A$2:$A$5,Dictonary!$B$2:$B$5)</f>
        <v>No information</v>
      </c>
      <c r="W54" s="1" t="str">
        <f>_xlfn.XLOOKUP(D54,Dictonary!$D$2:$D$12,Dictonary!$E$2:$E$12)</f>
        <v>radio/television</v>
      </c>
      <c r="X54" s="1" t="str">
        <f>_xlfn.XLOOKUP(F54,Dictonary!$G$2:$G$6,Dictonary!$H$2:$H$6)</f>
        <v>Less 100</v>
      </c>
      <c r="Y54" s="1" t="str">
        <f>_xlfn.XLOOKUP(I54,Dictonary!$J$2:$J$6,Dictonary!$K$2:$K$6)</f>
        <v>male : single</v>
      </c>
      <c r="Z54" s="1" t="str">
        <f>_xlfn.XLOOKUP(Q54,Dictonary!$M$2:$M$5,Dictonary!$N$2:$N$5)</f>
        <v>skilled employee / official</v>
      </c>
      <c r="AA54" s="1" t="str">
        <f>_xlfn.XLOOKUP(O54,Dictonary!$P$2:$P$4,Dictonary!$Q$2:$Q$4)</f>
        <v>own</v>
      </c>
    </row>
    <row r="55" spans="1:27" x14ac:dyDescent="0.3">
      <c r="A55" s="1" t="s">
        <v>42</v>
      </c>
      <c r="B55">
        <v>18</v>
      </c>
      <c r="C55" s="1" t="s">
        <v>36</v>
      </c>
      <c r="D55" s="1" t="s">
        <v>54</v>
      </c>
      <c r="E55">
        <v>3378</v>
      </c>
      <c r="F55" s="1" t="s">
        <v>24</v>
      </c>
      <c r="G55" s="1" t="s">
        <v>38</v>
      </c>
      <c r="H55">
        <v>2</v>
      </c>
      <c r="I55" s="1" t="s">
        <v>26</v>
      </c>
      <c r="J55" s="1" t="s">
        <v>27</v>
      </c>
      <c r="K55">
        <v>1</v>
      </c>
      <c r="L55" s="1" t="s">
        <v>48</v>
      </c>
      <c r="M55">
        <v>31</v>
      </c>
      <c r="N55" s="1" t="s">
        <v>29</v>
      </c>
      <c r="O55" s="1" t="s">
        <v>30</v>
      </c>
      <c r="P55">
        <v>1</v>
      </c>
      <c r="Q55" s="1" t="s">
        <v>31</v>
      </c>
      <c r="R55">
        <v>1</v>
      </c>
      <c r="S55" s="1" t="s">
        <v>32</v>
      </c>
      <c r="T55" s="1" t="s">
        <v>33</v>
      </c>
      <c r="U55" s="1" t="s">
        <v>34</v>
      </c>
      <c r="V55" s="1" t="str">
        <f>_xlfn.XLOOKUP(A55,Dictonary!$A$2:$A$5,Dictonary!$B$2:$B$5)</f>
        <v>No information</v>
      </c>
      <c r="W55" s="1" t="str">
        <f>_xlfn.XLOOKUP(D55,Dictonary!$D$2:$D$12,Dictonary!$E$2:$E$12)</f>
        <v>car (used)</v>
      </c>
      <c r="X55" s="1" t="str">
        <f>_xlfn.XLOOKUP(F55,Dictonary!$G$2:$G$6,Dictonary!$H$2:$H$6)</f>
        <v>No information</v>
      </c>
      <c r="Y55" s="1" t="str">
        <f>_xlfn.XLOOKUP(I55,Dictonary!$J$2:$J$6,Dictonary!$K$2:$K$6)</f>
        <v>male : single</v>
      </c>
      <c r="Z55" s="1" t="str">
        <f>_xlfn.XLOOKUP(Q55,Dictonary!$M$2:$M$5,Dictonary!$N$2:$N$5)</f>
        <v>skilled employee / official</v>
      </c>
      <c r="AA55" s="1" t="str">
        <f>_xlfn.XLOOKUP(O55,Dictonary!$P$2:$P$4,Dictonary!$Q$2:$Q$4)</f>
        <v>own</v>
      </c>
    </row>
    <row r="56" spans="1:27" x14ac:dyDescent="0.3">
      <c r="A56" s="1" t="s">
        <v>35</v>
      </c>
      <c r="B56">
        <v>36</v>
      </c>
      <c r="C56" s="1" t="s">
        <v>50</v>
      </c>
      <c r="D56" s="1" t="s">
        <v>51</v>
      </c>
      <c r="E56">
        <v>2225</v>
      </c>
      <c r="F56" s="1" t="s">
        <v>37</v>
      </c>
      <c r="G56" s="1" t="s">
        <v>25</v>
      </c>
      <c r="H56">
        <v>4</v>
      </c>
      <c r="I56" s="1" t="s">
        <v>26</v>
      </c>
      <c r="J56" s="1" t="s">
        <v>27</v>
      </c>
      <c r="K56">
        <v>4</v>
      </c>
      <c r="L56" s="1" t="s">
        <v>52</v>
      </c>
      <c r="M56">
        <v>57</v>
      </c>
      <c r="N56" s="1" t="s">
        <v>66</v>
      </c>
      <c r="O56" s="1" t="s">
        <v>49</v>
      </c>
      <c r="P56">
        <v>2</v>
      </c>
      <c r="Q56" s="1" t="s">
        <v>31</v>
      </c>
      <c r="R56">
        <v>1</v>
      </c>
      <c r="S56" s="1" t="s">
        <v>32</v>
      </c>
      <c r="T56" s="1" t="s">
        <v>33</v>
      </c>
      <c r="U56" s="1" t="s">
        <v>41</v>
      </c>
      <c r="V56" s="1" t="str">
        <f>_xlfn.XLOOKUP(A56,Dictonary!$A$2:$A$5,Dictonary!$B$2:$B$5)</f>
        <v>Low balance</v>
      </c>
      <c r="W56" s="1" t="str">
        <f>_xlfn.XLOOKUP(D56,Dictonary!$D$2:$D$12,Dictonary!$E$2:$E$12)</f>
        <v>car (new)</v>
      </c>
      <c r="X56" s="1" t="str">
        <f>_xlfn.XLOOKUP(F56,Dictonary!$G$2:$G$6,Dictonary!$H$2:$H$6)</f>
        <v>Less 100</v>
      </c>
      <c r="Y56" s="1" t="str">
        <f>_xlfn.XLOOKUP(I56,Dictonary!$J$2:$J$6,Dictonary!$K$2:$K$6)</f>
        <v>male : single</v>
      </c>
      <c r="Z56" s="1" t="str">
        <f>_xlfn.XLOOKUP(Q56,Dictonary!$M$2:$M$5,Dictonary!$N$2:$N$5)</f>
        <v>skilled employee / official</v>
      </c>
      <c r="AA56" s="1" t="str">
        <f>_xlfn.XLOOKUP(O56,Dictonary!$P$2:$P$4,Dictonary!$Q$2:$Q$4)</f>
        <v>for free</v>
      </c>
    </row>
    <row r="57" spans="1:27" x14ac:dyDescent="0.3">
      <c r="A57" s="1" t="s">
        <v>42</v>
      </c>
      <c r="B57">
        <v>6</v>
      </c>
      <c r="C57" s="1" t="s">
        <v>69</v>
      </c>
      <c r="D57" s="1" t="s">
        <v>51</v>
      </c>
      <c r="E57">
        <v>783</v>
      </c>
      <c r="F57" s="1" t="s">
        <v>24</v>
      </c>
      <c r="G57" s="1" t="s">
        <v>38</v>
      </c>
      <c r="H57">
        <v>1</v>
      </c>
      <c r="I57" s="1" t="s">
        <v>26</v>
      </c>
      <c r="J57" s="1" t="s">
        <v>47</v>
      </c>
      <c r="K57">
        <v>2</v>
      </c>
      <c r="L57" s="1" t="s">
        <v>28</v>
      </c>
      <c r="M57">
        <v>26</v>
      </c>
      <c r="N57" s="1" t="s">
        <v>70</v>
      </c>
      <c r="O57" s="1" t="s">
        <v>30</v>
      </c>
      <c r="P57">
        <v>1</v>
      </c>
      <c r="Q57" s="1" t="s">
        <v>45</v>
      </c>
      <c r="R57">
        <v>2</v>
      </c>
      <c r="S57" s="1" t="s">
        <v>40</v>
      </c>
      <c r="T57" s="1" t="s">
        <v>33</v>
      </c>
      <c r="U57" s="1" t="s">
        <v>34</v>
      </c>
      <c r="V57" s="1" t="str">
        <f>_xlfn.XLOOKUP(A57,Dictonary!$A$2:$A$5,Dictonary!$B$2:$B$5)</f>
        <v>No information</v>
      </c>
      <c r="W57" s="1" t="str">
        <f>_xlfn.XLOOKUP(D57,Dictonary!$D$2:$D$12,Dictonary!$E$2:$E$12)</f>
        <v>car (new)</v>
      </c>
      <c r="X57" s="1" t="str">
        <f>_xlfn.XLOOKUP(F57,Dictonary!$G$2:$G$6,Dictonary!$H$2:$H$6)</f>
        <v>No information</v>
      </c>
      <c r="Y57" s="1" t="str">
        <f>_xlfn.XLOOKUP(I57,Dictonary!$J$2:$J$6,Dictonary!$K$2:$K$6)</f>
        <v>male : single</v>
      </c>
      <c r="Z57" s="1" t="str">
        <f>_xlfn.XLOOKUP(Q57,Dictonary!$M$2:$M$5,Dictonary!$N$2:$N$5)</f>
        <v>unskilled - resident</v>
      </c>
      <c r="AA57" s="1" t="str">
        <f>_xlfn.XLOOKUP(O57,Dictonary!$P$2:$P$4,Dictonary!$Q$2:$Q$4)</f>
        <v>own</v>
      </c>
    </row>
    <row r="58" spans="1:27" x14ac:dyDescent="0.3">
      <c r="A58" s="1" t="s">
        <v>35</v>
      </c>
      <c r="B58">
        <v>12</v>
      </c>
      <c r="C58" s="1" t="s">
        <v>36</v>
      </c>
      <c r="D58" s="1" t="s">
        <v>23</v>
      </c>
      <c r="E58">
        <v>6468</v>
      </c>
      <c r="F58" s="1" t="s">
        <v>24</v>
      </c>
      <c r="G58" s="1" t="s">
        <v>60</v>
      </c>
      <c r="H58">
        <v>2</v>
      </c>
      <c r="I58" s="1" t="s">
        <v>26</v>
      </c>
      <c r="J58" s="1" t="s">
        <v>27</v>
      </c>
      <c r="K58">
        <v>1</v>
      </c>
      <c r="L58" s="1" t="s">
        <v>52</v>
      </c>
      <c r="M58">
        <v>52</v>
      </c>
      <c r="N58" s="1" t="s">
        <v>29</v>
      </c>
      <c r="O58" s="1" t="s">
        <v>30</v>
      </c>
      <c r="P58">
        <v>1</v>
      </c>
      <c r="Q58" s="1" t="s">
        <v>57</v>
      </c>
      <c r="R58">
        <v>1</v>
      </c>
      <c r="S58" s="1" t="s">
        <v>32</v>
      </c>
      <c r="T58" s="1" t="s">
        <v>33</v>
      </c>
      <c r="U58" s="1" t="s">
        <v>41</v>
      </c>
      <c r="V58" s="1" t="str">
        <f>_xlfn.XLOOKUP(A58,Dictonary!$A$2:$A$5,Dictonary!$B$2:$B$5)</f>
        <v>Low balance</v>
      </c>
      <c r="W58" s="1" t="str">
        <f>_xlfn.XLOOKUP(D58,Dictonary!$D$2:$D$12,Dictonary!$E$2:$E$12)</f>
        <v>radio/television</v>
      </c>
      <c r="X58" s="1" t="str">
        <f>_xlfn.XLOOKUP(F58,Dictonary!$G$2:$G$6,Dictonary!$H$2:$H$6)</f>
        <v>No information</v>
      </c>
      <c r="Y58" s="1" t="str">
        <f>_xlfn.XLOOKUP(I58,Dictonary!$J$2:$J$6,Dictonary!$K$2:$K$6)</f>
        <v>male : single</v>
      </c>
      <c r="Z58" s="1" t="str">
        <f>_xlfn.XLOOKUP(Q58,Dictonary!$M$2:$M$5,Dictonary!$N$2:$N$5)</f>
        <v>management/ self-employed/ highly qualified employee/ officer</v>
      </c>
      <c r="AA58" s="1" t="str">
        <f>_xlfn.XLOOKUP(O58,Dictonary!$P$2:$P$4,Dictonary!$Q$2:$Q$4)</f>
        <v>own</v>
      </c>
    </row>
    <row r="59" spans="1:27" x14ac:dyDescent="0.3">
      <c r="A59" s="1" t="s">
        <v>42</v>
      </c>
      <c r="B59">
        <v>36</v>
      </c>
      <c r="C59" s="1" t="s">
        <v>22</v>
      </c>
      <c r="D59" s="1" t="s">
        <v>23</v>
      </c>
      <c r="E59">
        <v>9566</v>
      </c>
      <c r="F59" s="1" t="s">
        <v>37</v>
      </c>
      <c r="G59" s="1" t="s">
        <v>38</v>
      </c>
      <c r="H59">
        <v>2</v>
      </c>
      <c r="I59" s="1" t="s">
        <v>39</v>
      </c>
      <c r="J59" s="1" t="s">
        <v>27</v>
      </c>
      <c r="K59">
        <v>2</v>
      </c>
      <c r="L59" s="1" t="s">
        <v>55</v>
      </c>
      <c r="M59">
        <v>31</v>
      </c>
      <c r="N59" s="1" t="s">
        <v>70</v>
      </c>
      <c r="O59" s="1" t="s">
        <v>30</v>
      </c>
      <c r="P59">
        <v>2</v>
      </c>
      <c r="Q59" s="1" t="s">
        <v>31</v>
      </c>
      <c r="R59">
        <v>1</v>
      </c>
      <c r="S59" s="1" t="s">
        <v>40</v>
      </c>
      <c r="T59" s="1" t="s">
        <v>33</v>
      </c>
      <c r="U59" s="1" t="s">
        <v>34</v>
      </c>
      <c r="V59" s="1" t="str">
        <f>_xlfn.XLOOKUP(A59,Dictonary!$A$2:$A$5,Dictonary!$B$2:$B$5)</f>
        <v>No information</v>
      </c>
      <c r="W59" s="1" t="str">
        <f>_xlfn.XLOOKUP(D59,Dictonary!$D$2:$D$12,Dictonary!$E$2:$E$12)</f>
        <v>radio/television</v>
      </c>
      <c r="X59" s="1" t="str">
        <f>_xlfn.XLOOKUP(F59,Dictonary!$G$2:$G$6,Dictonary!$H$2:$H$6)</f>
        <v>Less 100</v>
      </c>
      <c r="Y59" s="1" t="str">
        <f>_xlfn.XLOOKUP(I59,Dictonary!$J$2:$J$6,Dictonary!$K$2:$K$6)</f>
        <v>female : divorced/separated/married</v>
      </c>
      <c r="Z59" s="1" t="str">
        <f>_xlfn.XLOOKUP(Q59,Dictonary!$M$2:$M$5,Dictonary!$N$2:$N$5)</f>
        <v>skilled employee / official</v>
      </c>
      <c r="AA59" s="1" t="str">
        <f>_xlfn.XLOOKUP(O59,Dictonary!$P$2:$P$4,Dictonary!$Q$2:$Q$4)</f>
        <v>own</v>
      </c>
    </row>
    <row r="60" spans="1:27" x14ac:dyDescent="0.3">
      <c r="A60" s="1" t="s">
        <v>68</v>
      </c>
      <c r="B60">
        <v>18</v>
      </c>
      <c r="C60" s="1" t="s">
        <v>36</v>
      </c>
      <c r="D60" s="1" t="s">
        <v>51</v>
      </c>
      <c r="E60">
        <v>1961</v>
      </c>
      <c r="F60" s="1" t="s">
        <v>37</v>
      </c>
      <c r="G60" s="1" t="s">
        <v>25</v>
      </c>
      <c r="H60">
        <v>3</v>
      </c>
      <c r="I60" s="1" t="s">
        <v>39</v>
      </c>
      <c r="J60" s="1" t="s">
        <v>27</v>
      </c>
      <c r="K60">
        <v>2</v>
      </c>
      <c r="L60" s="1" t="s">
        <v>55</v>
      </c>
      <c r="M60">
        <v>23</v>
      </c>
      <c r="N60" s="1" t="s">
        <v>29</v>
      </c>
      <c r="O60" s="1" t="s">
        <v>30</v>
      </c>
      <c r="P60">
        <v>1</v>
      </c>
      <c r="Q60" s="1" t="s">
        <v>57</v>
      </c>
      <c r="R60">
        <v>1</v>
      </c>
      <c r="S60" s="1" t="s">
        <v>40</v>
      </c>
      <c r="T60" s="1" t="s">
        <v>33</v>
      </c>
      <c r="U60" s="1" t="s">
        <v>34</v>
      </c>
      <c r="V60" s="1" t="str">
        <f>_xlfn.XLOOKUP(A60,Dictonary!$A$2:$A$5,Dictonary!$B$2:$B$5)</f>
        <v>Normal balance</v>
      </c>
      <c r="W60" s="1" t="str">
        <f>_xlfn.XLOOKUP(D60,Dictonary!$D$2:$D$12,Dictonary!$E$2:$E$12)</f>
        <v>car (new)</v>
      </c>
      <c r="X60" s="1" t="str">
        <f>_xlfn.XLOOKUP(F60,Dictonary!$G$2:$G$6,Dictonary!$H$2:$H$6)</f>
        <v>Less 100</v>
      </c>
      <c r="Y60" s="1" t="str">
        <f>_xlfn.XLOOKUP(I60,Dictonary!$J$2:$J$6,Dictonary!$K$2:$K$6)</f>
        <v>female : divorced/separated/married</v>
      </c>
      <c r="Z60" s="1" t="str">
        <f>_xlfn.XLOOKUP(Q60,Dictonary!$M$2:$M$5,Dictonary!$N$2:$N$5)</f>
        <v>management/ self-employed/ highly qualified employee/ officer</v>
      </c>
      <c r="AA60" s="1" t="str">
        <f>_xlfn.XLOOKUP(O60,Dictonary!$P$2:$P$4,Dictonary!$Q$2:$Q$4)</f>
        <v>own</v>
      </c>
    </row>
    <row r="61" spans="1:27" x14ac:dyDescent="0.3">
      <c r="A61" s="1" t="s">
        <v>21</v>
      </c>
      <c r="B61">
        <v>36</v>
      </c>
      <c r="C61" s="1" t="s">
        <v>22</v>
      </c>
      <c r="D61" s="1" t="s">
        <v>46</v>
      </c>
      <c r="E61">
        <v>6229</v>
      </c>
      <c r="F61" s="1" t="s">
        <v>37</v>
      </c>
      <c r="G61" s="1" t="s">
        <v>62</v>
      </c>
      <c r="H61">
        <v>4</v>
      </c>
      <c r="I61" s="1" t="s">
        <v>39</v>
      </c>
      <c r="J61" s="1" t="s">
        <v>71</v>
      </c>
      <c r="K61">
        <v>4</v>
      </c>
      <c r="L61" s="1" t="s">
        <v>52</v>
      </c>
      <c r="M61">
        <v>23</v>
      </c>
      <c r="N61" s="1" t="s">
        <v>29</v>
      </c>
      <c r="O61" s="1" t="s">
        <v>56</v>
      </c>
      <c r="P61">
        <v>2</v>
      </c>
      <c r="Q61" s="1" t="s">
        <v>45</v>
      </c>
      <c r="R61">
        <v>1</v>
      </c>
      <c r="S61" s="1" t="s">
        <v>32</v>
      </c>
      <c r="T61" s="1" t="s">
        <v>33</v>
      </c>
      <c r="U61" s="1" t="s">
        <v>41</v>
      </c>
      <c r="V61" s="1" t="str">
        <f>_xlfn.XLOOKUP(A61,Dictonary!$A$2:$A$5,Dictonary!$B$2:$B$5)</f>
        <v>Negative balance</v>
      </c>
      <c r="W61" s="1" t="str">
        <f>_xlfn.XLOOKUP(D61,Dictonary!$D$2:$D$12,Dictonary!$E$2:$E$12)</f>
        <v>furniture/equipment</v>
      </c>
      <c r="X61" s="1" t="str">
        <f>_xlfn.XLOOKUP(F61,Dictonary!$G$2:$G$6,Dictonary!$H$2:$H$6)</f>
        <v>Less 100</v>
      </c>
      <c r="Y61" s="1" t="str">
        <f>_xlfn.XLOOKUP(I61,Dictonary!$J$2:$J$6,Dictonary!$K$2:$K$6)</f>
        <v>female : divorced/separated/married</v>
      </c>
      <c r="Z61" s="1" t="str">
        <f>_xlfn.XLOOKUP(Q61,Dictonary!$M$2:$M$5,Dictonary!$N$2:$N$5)</f>
        <v>unskilled - resident</v>
      </c>
      <c r="AA61" s="1" t="str">
        <f>_xlfn.XLOOKUP(O61,Dictonary!$P$2:$P$4,Dictonary!$Q$2:$Q$4)</f>
        <v>rent</v>
      </c>
    </row>
    <row r="62" spans="1:27" x14ac:dyDescent="0.3">
      <c r="A62" s="1" t="s">
        <v>35</v>
      </c>
      <c r="B62">
        <v>9</v>
      </c>
      <c r="C62" s="1" t="s">
        <v>36</v>
      </c>
      <c r="D62" s="1" t="s">
        <v>63</v>
      </c>
      <c r="E62">
        <v>1391</v>
      </c>
      <c r="F62" s="1" t="s">
        <v>37</v>
      </c>
      <c r="G62" s="1" t="s">
        <v>38</v>
      </c>
      <c r="H62">
        <v>2</v>
      </c>
      <c r="I62" s="1" t="s">
        <v>61</v>
      </c>
      <c r="J62" s="1" t="s">
        <v>27</v>
      </c>
      <c r="K62">
        <v>1</v>
      </c>
      <c r="L62" s="1" t="s">
        <v>28</v>
      </c>
      <c r="M62">
        <v>27</v>
      </c>
      <c r="N62" s="1" t="s">
        <v>66</v>
      </c>
      <c r="O62" s="1" t="s">
        <v>30</v>
      </c>
      <c r="P62">
        <v>1</v>
      </c>
      <c r="Q62" s="1" t="s">
        <v>31</v>
      </c>
      <c r="R62">
        <v>1</v>
      </c>
      <c r="S62" s="1" t="s">
        <v>32</v>
      </c>
      <c r="T62" s="1" t="s">
        <v>33</v>
      </c>
      <c r="U62" s="1" t="s">
        <v>34</v>
      </c>
      <c r="V62" s="1" t="str">
        <f>_xlfn.XLOOKUP(A62,Dictonary!$A$2:$A$5,Dictonary!$B$2:$B$5)</f>
        <v>Low balance</v>
      </c>
      <c r="W62" s="1" t="str">
        <f>_xlfn.XLOOKUP(D62,Dictonary!$D$2:$D$12,Dictonary!$E$2:$E$12)</f>
        <v>business</v>
      </c>
      <c r="X62" s="1" t="str">
        <f>_xlfn.XLOOKUP(F62,Dictonary!$G$2:$G$6,Dictonary!$H$2:$H$6)</f>
        <v>Less 100</v>
      </c>
      <c r="Y62" s="1" t="str">
        <f>_xlfn.XLOOKUP(I62,Dictonary!$J$2:$J$6,Dictonary!$K$2:$K$6)</f>
        <v>male : married/widowed</v>
      </c>
      <c r="Z62" s="1" t="str">
        <f>_xlfn.XLOOKUP(Q62,Dictonary!$M$2:$M$5,Dictonary!$N$2:$N$5)</f>
        <v>skilled employee / official</v>
      </c>
      <c r="AA62" s="1" t="str">
        <f>_xlfn.XLOOKUP(O62,Dictonary!$P$2:$P$4,Dictonary!$Q$2:$Q$4)</f>
        <v>own</v>
      </c>
    </row>
    <row r="63" spans="1:27" x14ac:dyDescent="0.3">
      <c r="A63" s="1" t="s">
        <v>35</v>
      </c>
      <c r="B63">
        <v>15</v>
      </c>
      <c r="C63" s="1" t="s">
        <v>22</v>
      </c>
      <c r="D63" s="1" t="s">
        <v>23</v>
      </c>
      <c r="E63">
        <v>1537</v>
      </c>
      <c r="F63" s="1" t="s">
        <v>24</v>
      </c>
      <c r="G63" s="1" t="s">
        <v>25</v>
      </c>
      <c r="H63">
        <v>4</v>
      </c>
      <c r="I63" s="1" t="s">
        <v>26</v>
      </c>
      <c r="J63" s="1" t="s">
        <v>47</v>
      </c>
      <c r="K63">
        <v>4</v>
      </c>
      <c r="L63" s="1" t="s">
        <v>28</v>
      </c>
      <c r="M63">
        <v>50</v>
      </c>
      <c r="N63" s="1" t="s">
        <v>29</v>
      </c>
      <c r="O63" s="1" t="s">
        <v>30</v>
      </c>
      <c r="P63">
        <v>2</v>
      </c>
      <c r="Q63" s="1" t="s">
        <v>31</v>
      </c>
      <c r="R63">
        <v>1</v>
      </c>
      <c r="S63" s="1" t="s">
        <v>32</v>
      </c>
      <c r="T63" s="1" t="s">
        <v>33</v>
      </c>
      <c r="U63" s="1" t="s">
        <v>34</v>
      </c>
      <c r="V63" s="1" t="str">
        <f>_xlfn.XLOOKUP(A63,Dictonary!$A$2:$A$5,Dictonary!$B$2:$B$5)</f>
        <v>Low balance</v>
      </c>
      <c r="W63" s="1" t="str">
        <f>_xlfn.XLOOKUP(D63,Dictonary!$D$2:$D$12,Dictonary!$E$2:$E$12)</f>
        <v>radio/television</v>
      </c>
      <c r="X63" s="1" t="str">
        <f>_xlfn.XLOOKUP(F63,Dictonary!$G$2:$G$6,Dictonary!$H$2:$H$6)</f>
        <v>No information</v>
      </c>
      <c r="Y63" s="1" t="str">
        <f>_xlfn.XLOOKUP(I63,Dictonary!$J$2:$J$6,Dictonary!$K$2:$K$6)</f>
        <v>male : single</v>
      </c>
      <c r="Z63" s="1" t="str">
        <f>_xlfn.XLOOKUP(Q63,Dictonary!$M$2:$M$5,Dictonary!$N$2:$N$5)</f>
        <v>skilled employee / official</v>
      </c>
      <c r="AA63" s="1" t="str">
        <f>_xlfn.XLOOKUP(O63,Dictonary!$P$2:$P$4,Dictonary!$Q$2:$Q$4)</f>
        <v>own</v>
      </c>
    </row>
    <row r="64" spans="1:27" x14ac:dyDescent="0.3">
      <c r="A64" s="1" t="s">
        <v>35</v>
      </c>
      <c r="B64">
        <v>36</v>
      </c>
      <c r="C64" s="1" t="s">
        <v>65</v>
      </c>
      <c r="D64" s="1" t="s">
        <v>63</v>
      </c>
      <c r="E64">
        <v>1953</v>
      </c>
      <c r="F64" s="1" t="s">
        <v>37</v>
      </c>
      <c r="G64" s="1" t="s">
        <v>25</v>
      </c>
      <c r="H64">
        <v>4</v>
      </c>
      <c r="I64" s="1" t="s">
        <v>26</v>
      </c>
      <c r="J64" s="1" t="s">
        <v>27</v>
      </c>
      <c r="K64">
        <v>4</v>
      </c>
      <c r="L64" s="1" t="s">
        <v>52</v>
      </c>
      <c r="M64">
        <v>61</v>
      </c>
      <c r="N64" s="1" t="s">
        <v>29</v>
      </c>
      <c r="O64" s="1" t="s">
        <v>49</v>
      </c>
      <c r="P64">
        <v>1</v>
      </c>
      <c r="Q64" s="1" t="s">
        <v>57</v>
      </c>
      <c r="R64">
        <v>1</v>
      </c>
      <c r="S64" s="1" t="s">
        <v>32</v>
      </c>
      <c r="T64" s="1" t="s">
        <v>33</v>
      </c>
      <c r="U64" s="1" t="s">
        <v>41</v>
      </c>
      <c r="V64" s="1" t="str">
        <f>_xlfn.XLOOKUP(A64,Dictonary!$A$2:$A$5,Dictonary!$B$2:$B$5)</f>
        <v>Low balance</v>
      </c>
      <c r="W64" s="1" t="str">
        <f>_xlfn.XLOOKUP(D64,Dictonary!$D$2:$D$12,Dictonary!$E$2:$E$12)</f>
        <v>business</v>
      </c>
      <c r="X64" s="1" t="str">
        <f>_xlfn.XLOOKUP(F64,Dictonary!$G$2:$G$6,Dictonary!$H$2:$H$6)</f>
        <v>Less 100</v>
      </c>
      <c r="Y64" s="1" t="str">
        <f>_xlfn.XLOOKUP(I64,Dictonary!$J$2:$J$6,Dictonary!$K$2:$K$6)</f>
        <v>male : single</v>
      </c>
      <c r="Z64" s="1" t="str">
        <f>_xlfn.XLOOKUP(Q64,Dictonary!$M$2:$M$5,Dictonary!$N$2:$N$5)</f>
        <v>management/ self-employed/ highly qualified employee/ officer</v>
      </c>
      <c r="AA64" s="1" t="str">
        <f>_xlfn.XLOOKUP(O64,Dictonary!$P$2:$P$4,Dictonary!$Q$2:$Q$4)</f>
        <v>for free</v>
      </c>
    </row>
    <row r="65" spans="1:27" x14ac:dyDescent="0.3">
      <c r="A65" s="1" t="s">
        <v>35</v>
      </c>
      <c r="B65">
        <v>48</v>
      </c>
      <c r="C65" s="1" t="s">
        <v>65</v>
      </c>
      <c r="D65" s="1" t="s">
        <v>63</v>
      </c>
      <c r="E65">
        <v>14421</v>
      </c>
      <c r="F65" s="1" t="s">
        <v>37</v>
      </c>
      <c r="G65" s="1" t="s">
        <v>38</v>
      </c>
      <c r="H65">
        <v>2</v>
      </c>
      <c r="I65" s="1" t="s">
        <v>26</v>
      </c>
      <c r="J65" s="1" t="s">
        <v>27</v>
      </c>
      <c r="K65">
        <v>2</v>
      </c>
      <c r="L65" s="1" t="s">
        <v>55</v>
      </c>
      <c r="M65">
        <v>25</v>
      </c>
      <c r="N65" s="1" t="s">
        <v>29</v>
      </c>
      <c r="O65" s="1" t="s">
        <v>30</v>
      </c>
      <c r="P65">
        <v>1</v>
      </c>
      <c r="Q65" s="1" t="s">
        <v>31</v>
      </c>
      <c r="R65">
        <v>1</v>
      </c>
      <c r="S65" s="1" t="s">
        <v>32</v>
      </c>
      <c r="T65" s="1" t="s">
        <v>33</v>
      </c>
      <c r="U65" s="1" t="s">
        <v>41</v>
      </c>
      <c r="V65" s="1" t="str">
        <f>_xlfn.XLOOKUP(A65,Dictonary!$A$2:$A$5,Dictonary!$B$2:$B$5)</f>
        <v>Low balance</v>
      </c>
      <c r="W65" s="1" t="str">
        <f>_xlfn.XLOOKUP(D65,Dictonary!$D$2:$D$12,Dictonary!$E$2:$E$12)</f>
        <v>business</v>
      </c>
      <c r="X65" s="1" t="str">
        <f>_xlfn.XLOOKUP(F65,Dictonary!$G$2:$G$6,Dictonary!$H$2:$H$6)</f>
        <v>Less 100</v>
      </c>
      <c r="Y65" s="1" t="str">
        <f>_xlfn.XLOOKUP(I65,Dictonary!$J$2:$J$6,Dictonary!$K$2:$K$6)</f>
        <v>male : single</v>
      </c>
      <c r="Z65" s="1" t="str">
        <f>_xlfn.XLOOKUP(Q65,Dictonary!$M$2:$M$5,Dictonary!$N$2:$N$5)</f>
        <v>skilled employee / official</v>
      </c>
      <c r="AA65" s="1" t="str">
        <f>_xlfn.XLOOKUP(O65,Dictonary!$P$2:$P$4,Dictonary!$Q$2:$Q$4)</f>
        <v>own</v>
      </c>
    </row>
    <row r="66" spans="1:27" x14ac:dyDescent="0.3">
      <c r="A66" s="1" t="s">
        <v>42</v>
      </c>
      <c r="B66">
        <v>24</v>
      </c>
      <c r="C66" s="1" t="s">
        <v>36</v>
      </c>
      <c r="D66" s="1" t="s">
        <v>23</v>
      </c>
      <c r="E66">
        <v>3181</v>
      </c>
      <c r="F66" s="1" t="s">
        <v>37</v>
      </c>
      <c r="G66" s="1" t="s">
        <v>62</v>
      </c>
      <c r="H66">
        <v>4</v>
      </c>
      <c r="I66" s="1" t="s">
        <v>39</v>
      </c>
      <c r="J66" s="1" t="s">
        <v>27</v>
      </c>
      <c r="K66">
        <v>4</v>
      </c>
      <c r="L66" s="1" t="s">
        <v>48</v>
      </c>
      <c r="M66">
        <v>26</v>
      </c>
      <c r="N66" s="1" t="s">
        <v>29</v>
      </c>
      <c r="O66" s="1" t="s">
        <v>30</v>
      </c>
      <c r="P66">
        <v>1</v>
      </c>
      <c r="Q66" s="1" t="s">
        <v>31</v>
      </c>
      <c r="R66">
        <v>1</v>
      </c>
      <c r="S66" s="1" t="s">
        <v>32</v>
      </c>
      <c r="T66" s="1" t="s">
        <v>33</v>
      </c>
      <c r="U66" s="1" t="s">
        <v>34</v>
      </c>
      <c r="V66" s="1" t="str">
        <f>_xlfn.XLOOKUP(A66,Dictonary!$A$2:$A$5,Dictonary!$B$2:$B$5)</f>
        <v>No information</v>
      </c>
      <c r="W66" s="1" t="str">
        <f>_xlfn.XLOOKUP(D66,Dictonary!$D$2:$D$12,Dictonary!$E$2:$E$12)</f>
        <v>radio/television</v>
      </c>
      <c r="X66" s="1" t="str">
        <f>_xlfn.XLOOKUP(F66,Dictonary!$G$2:$G$6,Dictonary!$H$2:$H$6)</f>
        <v>Less 100</v>
      </c>
      <c r="Y66" s="1" t="str">
        <f>_xlfn.XLOOKUP(I66,Dictonary!$J$2:$J$6,Dictonary!$K$2:$K$6)</f>
        <v>female : divorced/separated/married</v>
      </c>
      <c r="Z66" s="1" t="str">
        <f>_xlfn.XLOOKUP(Q66,Dictonary!$M$2:$M$5,Dictonary!$N$2:$N$5)</f>
        <v>skilled employee / official</v>
      </c>
      <c r="AA66" s="1" t="str">
        <f>_xlfn.XLOOKUP(O66,Dictonary!$P$2:$P$4,Dictonary!$Q$2:$Q$4)</f>
        <v>own</v>
      </c>
    </row>
    <row r="67" spans="1:27" x14ac:dyDescent="0.3">
      <c r="A67" s="1" t="s">
        <v>42</v>
      </c>
      <c r="B67">
        <v>27</v>
      </c>
      <c r="C67" s="1" t="s">
        <v>36</v>
      </c>
      <c r="D67" s="1" t="s">
        <v>73</v>
      </c>
      <c r="E67">
        <v>5190</v>
      </c>
      <c r="F67" s="1" t="s">
        <v>24</v>
      </c>
      <c r="G67" s="1" t="s">
        <v>25</v>
      </c>
      <c r="H67">
        <v>4</v>
      </c>
      <c r="I67" s="1" t="s">
        <v>26</v>
      </c>
      <c r="J67" s="1" t="s">
        <v>27</v>
      </c>
      <c r="K67">
        <v>4</v>
      </c>
      <c r="L67" s="1" t="s">
        <v>48</v>
      </c>
      <c r="M67">
        <v>48</v>
      </c>
      <c r="N67" s="1" t="s">
        <v>29</v>
      </c>
      <c r="O67" s="1" t="s">
        <v>30</v>
      </c>
      <c r="P67">
        <v>4</v>
      </c>
      <c r="Q67" s="1" t="s">
        <v>31</v>
      </c>
      <c r="R67">
        <v>2</v>
      </c>
      <c r="S67" s="1" t="s">
        <v>32</v>
      </c>
      <c r="T67" s="1" t="s">
        <v>33</v>
      </c>
      <c r="U67" s="1" t="s">
        <v>34</v>
      </c>
      <c r="V67" s="1" t="str">
        <f>_xlfn.XLOOKUP(A67,Dictonary!$A$2:$A$5,Dictonary!$B$2:$B$5)</f>
        <v>No information</v>
      </c>
      <c r="W67" s="1" t="str">
        <f>_xlfn.XLOOKUP(D67,Dictonary!$D$2:$D$12,Dictonary!$E$2:$E$12)</f>
        <v>repairs</v>
      </c>
      <c r="X67" s="1" t="str">
        <f>_xlfn.XLOOKUP(F67,Dictonary!$G$2:$G$6,Dictonary!$H$2:$H$6)</f>
        <v>No information</v>
      </c>
      <c r="Y67" s="1" t="str">
        <f>_xlfn.XLOOKUP(I67,Dictonary!$J$2:$J$6,Dictonary!$K$2:$K$6)</f>
        <v>male : single</v>
      </c>
      <c r="Z67" s="1" t="str">
        <f>_xlfn.XLOOKUP(Q67,Dictonary!$M$2:$M$5,Dictonary!$N$2:$N$5)</f>
        <v>skilled employee / official</v>
      </c>
      <c r="AA67" s="1" t="str">
        <f>_xlfn.XLOOKUP(O67,Dictonary!$P$2:$P$4,Dictonary!$Q$2:$Q$4)</f>
        <v>own</v>
      </c>
    </row>
    <row r="68" spans="1:27" x14ac:dyDescent="0.3">
      <c r="A68" s="1" t="s">
        <v>42</v>
      </c>
      <c r="B68">
        <v>12</v>
      </c>
      <c r="C68" s="1" t="s">
        <v>36</v>
      </c>
      <c r="D68" s="1" t="s">
        <v>23</v>
      </c>
      <c r="E68">
        <v>2171</v>
      </c>
      <c r="F68" s="1" t="s">
        <v>37</v>
      </c>
      <c r="G68" s="1" t="s">
        <v>62</v>
      </c>
      <c r="H68">
        <v>2</v>
      </c>
      <c r="I68" s="1" t="s">
        <v>39</v>
      </c>
      <c r="J68" s="1" t="s">
        <v>27</v>
      </c>
      <c r="K68">
        <v>2</v>
      </c>
      <c r="L68" s="1" t="s">
        <v>55</v>
      </c>
      <c r="M68">
        <v>29</v>
      </c>
      <c r="N68" s="1" t="s">
        <v>66</v>
      </c>
      <c r="O68" s="1" t="s">
        <v>30</v>
      </c>
      <c r="P68">
        <v>1</v>
      </c>
      <c r="Q68" s="1" t="s">
        <v>31</v>
      </c>
      <c r="R68">
        <v>1</v>
      </c>
      <c r="S68" s="1" t="s">
        <v>40</v>
      </c>
      <c r="T68" s="1" t="s">
        <v>33</v>
      </c>
      <c r="U68" s="1" t="s">
        <v>34</v>
      </c>
      <c r="V68" s="1" t="str">
        <f>_xlfn.XLOOKUP(A68,Dictonary!$A$2:$A$5,Dictonary!$B$2:$B$5)</f>
        <v>No information</v>
      </c>
      <c r="W68" s="1" t="str">
        <f>_xlfn.XLOOKUP(D68,Dictonary!$D$2:$D$12,Dictonary!$E$2:$E$12)</f>
        <v>radio/television</v>
      </c>
      <c r="X68" s="1" t="str">
        <f>_xlfn.XLOOKUP(F68,Dictonary!$G$2:$G$6,Dictonary!$H$2:$H$6)</f>
        <v>Less 100</v>
      </c>
      <c r="Y68" s="1" t="str">
        <f>_xlfn.XLOOKUP(I68,Dictonary!$J$2:$J$6,Dictonary!$K$2:$K$6)</f>
        <v>female : divorced/separated/married</v>
      </c>
      <c r="Z68" s="1" t="str">
        <f>_xlfn.XLOOKUP(Q68,Dictonary!$M$2:$M$5,Dictonary!$N$2:$N$5)</f>
        <v>skilled employee / official</v>
      </c>
      <c r="AA68" s="1" t="str">
        <f>_xlfn.XLOOKUP(O68,Dictonary!$P$2:$P$4,Dictonary!$Q$2:$Q$4)</f>
        <v>own</v>
      </c>
    </row>
    <row r="69" spans="1:27" x14ac:dyDescent="0.3">
      <c r="A69" s="1" t="s">
        <v>35</v>
      </c>
      <c r="B69">
        <v>12</v>
      </c>
      <c r="C69" s="1" t="s">
        <v>36</v>
      </c>
      <c r="D69" s="1" t="s">
        <v>51</v>
      </c>
      <c r="E69">
        <v>1007</v>
      </c>
      <c r="F69" s="1" t="s">
        <v>58</v>
      </c>
      <c r="G69" s="1" t="s">
        <v>38</v>
      </c>
      <c r="H69">
        <v>4</v>
      </c>
      <c r="I69" s="1" t="s">
        <v>61</v>
      </c>
      <c r="J69" s="1" t="s">
        <v>27</v>
      </c>
      <c r="K69">
        <v>1</v>
      </c>
      <c r="L69" s="1" t="s">
        <v>28</v>
      </c>
      <c r="M69">
        <v>22</v>
      </c>
      <c r="N69" s="1" t="s">
        <v>29</v>
      </c>
      <c r="O69" s="1" t="s">
        <v>30</v>
      </c>
      <c r="P69">
        <v>1</v>
      </c>
      <c r="Q69" s="1" t="s">
        <v>31</v>
      </c>
      <c r="R69">
        <v>1</v>
      </c>
      <c r="S69" s="1" t="s">
        <v>40</v>
      </c>
      <c r="T69" s="1" t="s">
        <v>33</v>
      </c>
      <c r="U69" s="1" t="s">
        <v>34</v>
      </c>
      <c r="V69" s="1" t="str">
        <f>_xlfn.XLOOKUP(A69,Dictonary!$A$2:$A$5,Dictonary!$B$2:$B$5)</f>
        <v>Low balance</v>
      </c>
      <c r="W69" s="1" t="str">
        <f>_xlfn.XLOOKUP(D69,Dictonary!$D$2:$D$12,Dictonary!$E$2:$E$12)</f>
        <v>car (new)</v>
      </c>
      <c r="X69" s="1" t="str">
        <f>_xlfn.XLOOKUP(F69,Dictonary!$G$2:$G$6,Dictonary!$H$2:$H$6)</f>
        <v>More 1000</v>
      </c>
      <c r="Y69" s="1" t="str">
        <f>_xlfn.XLOOKUP(I69,Dictonary!$J$2:$J$6,Dictonary!$K$2:$K$6)</f>
        <v>male : married/widowed</v>
      </c>
      <c r="Z69" s="1" t="str">
        <f>_xlfn.XLOOKUP(Q69,Dictonary!$M$2:$M$5,Dictonary!$N$2:$N$5)</f>
        <v>skilled employee / official</v>
      </c>
      <c r="AA69" s="1" t="str">
        <f>_xlfn.XLOOKUP(O69,Dictonary!$P$2:$P$4,Dictonary!$Q$2:$Q$4)</f>
        <v>own</v>
      </c>
    </row>
    <row r="70" spans="1:27" x14ac:dyDescent="0.3">
      <c r="A70" s="1" t="s">
        <v>42</v>
      </c>
      <c r="B70">
        <v>36</v>
      </c>
      <c r="C70" s="1" t="s">
        <v>36</v>
      </c>
      <c r="D70" s="1" t="s">
        <v>43</v>
      </c>
      <c r="E70">
        <v>1819</v>
      </c>
      <c r="F70" s="1" t="s">
        <v>37</v>
      </c>
      <c r="G70" s="1" t="s">
        <v>38</v>
      </c>
      <c r="H70">
        <v>4</v>
      </c>
      <c r="I70" s="1" t="s">
        <v>26</v>
      </c>
      <c r="J70" s="1" t="s">
        <v>27</v>
      </c>
      <c r="K70">
        <v>4</v>
      </c>
      <c r="L70" s="1" t="s">
        <v>52</v>
      </c>
      <c r="M70">
        <v>37</v>
      </c>
      <c r="N70" s="1" t="s">
        <v>70</v>
      </c>
      <c r="O70" s="1" t="s">
        <v>49</v>
      </c>
      <c r="P70">
        <v>1</v>
      </c>
      <c r="Q70" s="1" t="s">
        <v>31</v>
      </c>
      <c r="R70">
        <v>1</v>
      </c>
      <c r="S70" s="1" t="s">
        <v>32</v>
      </c>
      <c r="T70" s="1" t="s">
        <v>33</v>
      </c>
      <c r="U70" s="1" t="s">
        <v>41</v>
      </c>
      <c r="V70" s="1" t="str">
        <f>_xlfn.XLOOKUP(A70,Dictonary!$A$2:$A$5,Dictonary!$B$2:$B$5)</f>
        <v>No information</v>
      </c>
      <c r="W70" s="1" t="str">
        <f>_xlfn.XLOOKUP(D70,Dictonary!$D$2:$D$12,Dictonary!$E$2:$E$12)</f>
        <v>education</v>
      </c>
      <c r="X70" s="1" t="str">
        <f>_xlfn.XLOOKUP(F70,Dictonary!$G$2:$G$6,Dictonary!$H$2:$H$6)</f>
        <v>Less 100</v>
      </c>
      <c r="Y70" s="1" t="str">
        <f>_xlfn.XLOOKUP(I70,Dictonary!$J$2:$J$6,Dictonary!$K$2:$K$6)</f>
        <v>male : single</v>
      </c>
      <c r="Z70" s="1" t="str">
        <f>_xlfn.XLOOKUP(Q70,Dictonary!$M$2:$M$5,Dictonary!$N$2:$N$5)</f>
        <v>skilled employee / official</v>
      </c>
      <c r="AA70" s="1" t="str">
        <f>_xlfn.XLOOKUP(O70,Dictonary!$P$2:$P$4,Dictonary!$Q$2:$Q$4)</f>
        <v>for free</v>
      </c>
    </row>
    <row r="71" spans="1:27" x14ac:dyDescent="0.3">
      <c r="A71" s="1" t="s">
        <v>42</v>
      </c>
      <c r="B71">
        <v>36</v>
      </c>
      <c r="C71" s="1" t="s">
        <v>36</v>
      </c>
      <c r="D71" s="1" t="s">
        <v>23</v>
      </c>
      <c r="E71">
        <v>2394</v>
      </c>
      <c r="F71" s="1" t="s">
        <v>24</v>
      </c>
      <c r="G71" s="1" t="s">
        <v>38</v>
      </c>
      <c r="H71">
        <v>4</v>
      </c>
      <c r="I71" s="1" t="s">
        <v>39</v>
      </c>
      <c r="J71" s="1" t="s">
        <v>27</v>
      </c>
      <c r="K71">
        <v>4</v>
      </c>
      <c r="L71" s="1" t="s">
        <v>55</v>
      </c>
      <c r="M71">
        <v>25</v>
      </c>
      <c r="N71" s="1" t="s">
        <v>29</v>
      </c>
      <c r="O71" s="1" t="s">
        <v>30</v>
      </c>
      <c r="P71">
        <v>1</v>
      </c>
      <c r="Q71" s="1" t="s">
        <v>31</v>
      </c>
      <c r="R71">
        <v>1</v>
      </c>
      <c r="S71" s="1" t="s">
        <v>40</v>
      </c>
      <c r="T71" s="1" t="s">
        <v>33</v>
      </c>
      <c r="U71" s="1" t="s">
        <v>34</v>
      </c>
      <c r="V71" s="1" t="str">
        <f>_xlfn.XLOOKUP(A71,Dictonary!$A$2:$A$5,Dictonary!$B$2:$B$5)</f>
        <v>No information</v>
      </c>
      <c r="W71" s="1" t="str">
        <f>_xlfn.XLOOKUP(D71,Dictonary!$D$2:$D$12,Dictonary!$E$2:$E$12)</f>
        <v>radio/television</v>
      </c>
      <c r="X71" s="1" t="str">
        <f>_xlfn.XLOOKUP(F71,Dictonary!$G$2:$G$6,Dictonary!$H$2:$H$6)</f>
        <v>No information</v>
      </c>
      <c r="Y71" s="1" t="str">
        <f>_xlfn.XLOOKUP(I71,Dictonary!$J$2:$J$6,Dictonary!$K$2:$K$6)</f>
        <v>female : divorced/separated/married</v>
      </c>
      <c r="Z71" s="1" t="str">
        <f>_xlfn.XLOOKUP(Q71,Dictonary!$M$2:$M$5,Dictonary!$N$2:$N$5)</f>
        <v>skilled employee / official</v>
      </c>
      <c r="AA71" s="1" t="str">
        <f>_xlfn.XLOOKUP(O71,Dictonary!$P$2:$P$4,Dictonary!$Q$2:$Q$4)</f>
        <v>own</v>
      </c>
    </row>
    <row r="72" spans="1:27" x14ac:dyDescent="0.3">
      <c r="A72" s="1" t="s">
        <v>42</v>
      </c>
      <c r="B72">
        <v>36</v>
      </c>
      <c r="C72" s="1" t="s">
        <v>36</v>
      </c>
      <c r="D72" s="1" t="s">
        <v>54</v>
      </c>
      <c r="E72">
        <v>8133</v>
      </c>
      <c r="F72" s="1" t="s">
        <v>37</v>
      </c>
      <c r="G72" s="1" t="s">
        <v>38</v>
      </c>
      <c r="H72">
        <v>1</v>
      </c>
      <c r="I72" s="1" t="s">
        <v>39</v>
      </c>
      <c r="J72" s="1" t="s">
        <v>27</v>
      </c>
      <c r="K72">
        <v>2</v>
      </c>
      <c r="L72" s="1" t="s">
        <v>48</v>
      </c>
      <c r="M72">
        <v>30</v>
      </c>
      <c r="N72" s="1" t="s">
        <v>66</v>
      </c>
      <c r="O72" s="1" t="s">
        <v>30</v>
      </c>
      <c r="P72">
        <v>1</v>
      </c>
      <c r="Q72" s="1" t="s">
        <v>31</v>
      </c>
      <c r="R72">
        <v>1</v>
      </c>
      <c r="S72" s="1" t="s">
        <v>40</v>
      </c>
      <c r="T72" s="1" t="s">
        <v>33</v>
      </c>
      <c r="U72" s="1" t="s">
        <v>34</v>
      </c>
      <c r="V72" s="1" t="str">
        <f>_xlfn.XLOOKUP(A72,Dictonary!$A$2:$A$5,Dictonary!$B$2:$B$5)</f>
        <v>No information</v>
      </c>
      <c r="W72" s="1" t="str">
        <f>_xlfn.XLOOKUP(D72,Dictonary!$D$2:$D$12,Dictonary!$E$2:$E$12)</f>
        <v>car (used)</v>
      </c>
      <c r="X72" s="1" t="str">
        <f>_xlfn.XLOOKUP(F72,Dictonary!$G$2:$G$6,Dictonary!$H$2:$H$6)</f>
        <v>Less 100</v>
      </c>
      <c r="Y72" s="1" t="str">
        <f>_xlfn.XLOOKUP(I72,Dictonary!$J$2:$J$6,Dictonary!$K$2:$K$6)</f>
        <v>female : divorced/separated/married</v>
      </c>
      <c r="Z72" s="1" t="str">
        <f>_xlfn.XLOOKUP(Q72,Dictonary!$M$2:$M$5,Dictonary!$N$2:$N$5)</f>
        <v>skilled employee / official</v>
      </c>
      <c r="AA72" s="1" t="str">
        <f>_xlfn.XLOOKUP(O72,Dictonary!$P$2:$P$4,Dictonary!$Q$2:$Q$4)</f>
        <v>own</v>
      </c>
    </row>
    <row r="73" spans="1:27" x14ac:dyDescent="0.3">
      <c r="A73" s="1" t="s">
        <v>42</v>
      </c>
      <c r="B73">
        <v>7</v>
      </c>
      <c r="C73" s="1" t="s">
        <v>22</v>
      </c>
      <c r="D73" s="1" t="s">
        <v>23</v>
      </c>
      <c r="E73">
        <v>730</v>
      </c>
      <c r="F73" s="1" t="s">
        <v>24</v>
      </c>
      <c r="G73" s="1" t="s">
        <v>25</v>
      </c>
      <c r="H73">
        <v>4</v>
      </c>
      <c r="I73" s="1" t="s">
        <v>26</v>
      </c>
      <c r="J73" s="1" t="s">
        <v>27</v>
      </c>
      <c r="K73">
        <v>2</v>
      </c>
      <c r="L73" s="1" t="s">
        <v>48</v>
      </c>
      <c r="M73">
        <v>46</v>
      </c>
      <c r="N73" s="1" t="s">
        <v>29</v>
      </c>
      <c r="O73" s="1" t="s">
        <v>56</v>
      </c>
      <c r="P73">
        <v>2</v>
      </c>
      <c r="Q73" s="1" t="s">
        <v>45</v>
      </c>
      <c r="R73">
        <v>1</v>
      </c>
      <c r="S73" s="1" t="s">
        <v>32</v>
      </c>
      <c r="T73" s="1" t="s">
        <v>33</v>
      </c>
      <c r="U73" s="1" t="s">
        <v>34</v>
      </c>
      <c r="V73" s="1" t="str">
        <f>_xlfn.XLOOKUP(A73,Dictonary!$A$2:$A$5,Dictonary!$B$2:$B$5)</f>
        <v>No information</v>
      </c>
      <c r="W73" s="1" t="str">
        <f>_xlfn.XLOOKUP(D73,Dictonary!$D$2:$D$12,Dictonary!$E$2:$E$12)</f>
        <v>radio/television</v>
      </c>
      <c r="X73" s="1" t="str">
        <f>_xlfn.XLOOKUP(F73,Dictonary!$G$2:$G$6,Dictonary!$H$2:$H$6)</f>
        <v>No information</v>
      </c>
      <c r="Y73" s="1" t="str">
        <f>_xlfn.XLOOKUP(I73,Dictonary!$J$2:$J$6,Dictonary!$K$2:$K$6)</f>
        <v>male : single</v>
      </c>
      <c r="Z73" s="1" t="str">
        <f>_xlfn.XLOOKUP(Q73,Dictonary!$M$2:$M$5,Dictonary!$N$2:$N$5)</f>
        <v>unskilled - resident</v>
      </c>
      <c r="AA73" s="1" t="str">
        <f>_xlfn.XLOOKUP(O73,Dictonary!$P$2:$P$4,Dictonary!$Q$2:$Q$4)</f>
        <v>rent</v>
      </c>
    </row>
    <row r="74" spans="1:27" x14ac:dyDescent="0.3">
      <c r="A74" s="1" t="s">
        <v>21</v>
      </c>
      <c r="B74">
        <v>8</v>
      </c>
      <c r="C74" s="1" t="s">
        <v>22</v>
      </c>
      <c r="D74" s="1" t="s">
        <v>75</v>
      </c>
      <c r="E74">
        <v>1164</v>
      </c>
      <c r="F74" s="1" t="s">
        <v>37</v>
      </c>
      <c r="G74" s="1" t="s">
        <v>25</v>
      </c>
      <c r="H74">
        <v>3</v>
      </c>
      <c r="I74" s="1" t="s">
        <v>26</v>
      </c>
      <c r="J74" s="1" t="s">
        <v>27</v>
      </c>
      <c r="K74">
        <v>4</v>
      </c>
      <c r="L74" s="1" t="s">
        <v>52</v>
      </c>
      <c r="M74">
        <v>51</v>
      </c>
      <c r="N74" s="1" t="s">
        <v>66</v>
      </c>
      <c r="O74" s="1" t="s">
        <v>49</v>
      </c>
      <c r="P74">
        <v>2</v>
      </c>
      <c r="Q74" s="1" t="s">
        <v>57</v>
      </c>
      <c r="R74">
        <v>2</v>
      </c>
      <c r="S74" s="1" t="s">
        <v>32</v>
      </c>
      <c r="T74" s="1" t="s">
        <v>33</v>
      </c>
      <c r="U74" s="1" t="s">
        <v>34</v>
      </c>
      <c r="V74" s="1" t="str">
        <f>_xlfn.XLOOKUP(A74,Dictonary!$A$2:$A$5,Dictonary!$B$2:$B$5)</f>
        <v>Negative balance</v>
      </c>
      <c r="W74" s="1" t="str">
        <f>_xlfn.XLOOKUP(D74,Dictonary!$D$2:$D$12,Dictonary!$E$2:$E$12)</f>
        <v>others</v>
      </c>
      <c r="X74" s="1" t="str">
        <f>_xlfn.XLOOKUP(F74,Dictonary!$G$2:$G$6,Dictonary!$H$2:$H$6)</f>
        <v>Less 100</v>
      </c>
      <c r="Y74" s="1" t="str">
        <f>_xlfn.XLOOKUP(I74,Dictonary!$J$2:$J$6,Dictonary!$K$2:$K$6)</f>
        <v>male : single</v>
      </c>
      <c r="Z74" s="1" t="str">
        <f>_xlfn.XLOOKUP(Q74,Dictonary!$M$2:$M$5,Dictonary!$N$2:$N$5)</f>
        <v>management/ self-employed/ highly qualified employee/ officer</v>
      </c>
      <c r="AA74" s="1" t="str">
        <f>_xlfn.XLOOKUP(O74,Dictonary!$P$2:$P$4,Dictonary!$Q$2:$Q$4)</f>
        <v>for free</v>
      </c>
    </row>
    <row r="75" spans="1:27" x14ac:dyDescent="0.3">
      <c r="A75" s="1" t="s">
        <v>35</v>
      </c>
      <c r="B75">
        <v>42</v>
      </c>
      <c r="C75" s="1" t="s">
        <v>22</v>
      </c>
      <c r="D75" s="1" t="s">
        <v>63</v>
      </c>
      <c r="E75">
        <v>5954</v>
      </c>
      <c r="F75" s="1" t="s">
        <v>37</v>
      </c>
      <c r="G75" s="1" t="s">
        <v>44</v>
      </c>
      <c r="H75">
        <v>2</v>
      </c>
      <c r="I75" s="1" t="s">
        <v>39</v>
      </c>
      <c r="J75" s="1" t="s">
        <v>27</v>
      </c>
      <c r="K75">
        <v>1</v>
      </c>
      <c r="L75" s="1" t="s">
        <v>28</v>
      </c>
      <c r="M75">
        <v>41</v>
      </c>
      <c r="N75" s="1" t="s">
        <v>66</v>
      </c>
      <c r="O75" s="1" t="s">
        <v>30</v>
      </c>
      <c r="P75">
        <v>2</v>
      </c>
      <c r="Q75" s="1" t="s">
        <v>45</v>
      </c>
      <c r="R75">
        <v>1</v>
      </c>
      <c r="S75" s="1" t="s">
        <v>40</v>
      </c>
      <c r="T75" s="1" t="s">
        <v>33</v>
      </c>
      <c r="U75" s="1" t="s">
        <v>34</v>
      </c>
      <c r="V75" s="1" t="str">
        <f>_xlfn.XLOOKUP(A75,Dictonary!$A$2:$A$5,Dictonary!$B$2:$B$5)</f>
        <v>Low balance</v>
      </c>
      <c r="W75" s="1" t="str">
        <f>_xlfn.XLOOKUP(D75,Dictonary!$D$2:$D$12,Dictonary!$E$2:$E$12)</f>
        <v>business</v>
      </c>
      <c r="X75" s="1" t="str">
        <f>_xlfn.XLOOKUP(F75,Dictonary!$G$2:$G$6,Dictonary!$H$2:$H$6)</f>
        <v>Less 100</v>
      </c>
      <c r="Y75" s="1" t="str">
        <f>_xlfn.XLOOKUP(I75,Dictonary!$J$2:$J$6,Dictonary!$K$2:$K$6)</f>
        <v>female : divorced/separated/married</v>
      </c>
      <c r="Z75" s="1" t="str">
        <f>_xlfn.XLOOKUP(Q75,Dictonary!$M$2:$M$5,Dictonary!$N$2:$N$5)</f>
        <v>unskilled - resident</v>
      </c>
      <c r="AA75" s="1" t="str">
        <f>_xlfn.XLOOKUP(O75,Dictonary!$P$2:$P$4,Dictonary!$Q$2:$Q$4)</f>
        <v>own</v>
      </c>
    </row>
    <row r="76" spans="1:27" x14ac:dyDescent="0.3">
      <c r="A76" s="1" t="s">
        <v>21</v>
      </c>
      <c r="B76">
        <v>36</v>
      </c>
      <c r="C76" s="1" t="s">
        <v>36</v>
      </c>
      <c r="D76" s="1" t="s">
        <v>43</v>
      </c>
      <c r="E76">
        <v>1977</v>
      </c>
      <c r="F76" s="1" t="s">
        <v>24</v>
      </c>
      <c r="G76" s="1" t="s">
        <v>25</v>
      </c>
      <c r="H76">
        <v>4</v>
      </c>
      <c r="I76" s="1" t="s">
        <v>26</v>
      </c>
      <c r="J76" s="1" t="s">
        <v>27</v>
      </c>
      <c r="K76">
        <v>4</v>
      </c>
      <c r="L76" s="1" t="s">
        <v>52</v>
      </c>
      <c r="M76">
        <v>40</v>
      </c>
      <c r="N76" s="1" t="s">
        <v>29</v>
      </c>
      <c r="O76" s="1" t="s">
        <v>30</v>
      </c>
      <c r="P76">
        <v>1</v>
      </c>
      <c r="Q76" s="1" t="s">
        <v>57</v>
      </c>
      <c r="R76">
        <v>1</v>
      </c>
      <c r="S76" s="1" t="s">
        <v>32</v>
      </c>
      <c r="T76" s="1" t="s">
        <v>33</v>
      </c>
      <c r="U76" s="1" t="s">
        <v>41</v>
      </c>
      <c r="V76" s="1" t="str">
        <f>_xlfn.XLOOKUP(A76,Dictonary!$A$2:$A$5,Dictonary!$B$2:$B$5)</f>
        <v>Negative balance</v>
      </c>
      <c r="W76" s="1" t="str">
        <f>_xlfn.XLOOKUP(D76,Dictonary!$D$2:$D$12,Dictonary!$E$2:$E$12)</f>
        <v>education</v>
      </c>
      <c r="X76" s="1" t="str">
        <f>_xlfn.XLOOKUP(F76,Dictonary!$G$2:$G$6,Dictonary!$H$2:$H$6)</f>
        <v>No information</v>
      </c>
      <c r="Y76" s="1" t="str">
        <f>_xlfn.XLOOKUP(I76,Dictonary!$J$2:$J$6,Dictonary!$K$2:$K$6)</f>
        <v>male : single</v>
      </c>
      <c r="Z76" s="1" t="str">
        <f>_xlfn.XLOOKUP(Q76,Dictonary!$M$2:$M$5,Dictonary!$N$2:$N$5)</f>
        <v>management/ self-employed/ highly qualified employee/ officer</v>
      </c>
      <c r="AA76" s="1" t="str">
        <f>_xlfn.XLOOKUP(O76,Dictonary!$P$2:$P$4,Dictonary!$Q$2:$Q$4)</f>
        <v>own</v>
      </c>
    </row>
    <row r="77" spans="1:27" x14ac:dyDescent="0.3">
      <c r="A77" s="1" t="s">
        <v>21</v>
      </c>
      <c r="B77">
        <v>12</v>
      </c>
      <c r="C77" s="1" t="s">
        <v>22</v>
      </c>
      <c r="D77" s="1" t="s">
        <v>54</v>
      </c>
      <c r="E77">
        <v>1526</v>
      </c>
      <c r="F77" s="1" t="s">
        <v>37</v>
      </c>
      <c r="G77" s="1" t="s">
        <v>25</v>
      </c>
      <c r="H77">
        <v>4</v>
      </c>
      <c r="I77" s="1" t="s">
        <v>26</v>
      </c>
      <c r="J77" s="1" t="s">
        <v>27</v>
      </c>
      <c r="K77">
        <v>4</v>
      </c>
      <c r="L77" s="1" t="s">
        <v>52</v>
      </c>
      <c r="M77">
        <v>66</v>
      </c>
      <c r="N77" s="1" t="s">
        <v>29</v>
      </c>
      <c r="O77" s="1" t="s">
        <v>49</v>
      </c>
      <c r="P77">
        <v>2</v>
      </c>
      <c r="Q77" s="1" t="s">
        <v>57</v>
      </c>
      <c r="R77">
        <v>1</v>
      </c>
      <c r="S77" s="1" t="s">
        <v>40</v>
      </c>
      <c r="T77" s="1" t="s">
        <v>33</v>
      </c>
      <c r="U77" s="1" t="s">
        <v>34</v>
      </c>
      <c r="V77" s="1" t="str">
        <f>_xlfn.XLOOKUP(A77,Dictonary!$A$2:$A$5,Dictonary!$B$2:$B$5)</f>
        <v>Negative balance</v>
      </c>
      <c r="W77" s="1" t="str">
        <f>_xlfn.XLOOKUP(D77,Dictonary!$D$2:$D$12,Dictonary!$E$2:$E$12)</f>
        <v>car (used)</v>
      </c>
      <c r="X77" s="1" t="str">
        <f>_xlfn.XLOOKUP(F77,Dictonary!$G$2:$G$6,Dictonary!$H$2:$H$6)</f>
        <v>Less 100</v>
      </c>
      <c r="Y77" s="1" t="str">
        <f>_xlfn.XLOOKUP(I77,Dictonary!$J$2:$J$6,Dictonary!$K$2:$K$6)</f>
        <v>male : single</v>
      </c>
      <c r="Z77" s="1" t="str">
        <f>_xlfn.XLOOKUP(Q77,Dictonary!$M$2:$M$5,Dictonary!$N$2:$N$5)</f>
        <v>management/ self-employed/ highly qualified employee/ officer</v>
      </c>
      <c r="AA77" s="1" t="str">
        <f>_xlfn.XLOOKUP(O77,Dictonary!$P$2:$P$4,Dictonary!$Q$2:$Q$4)</f>
        <v>for free</v>
      </c>
    </row>
    <row r="78" spans="1:27" x14ac:dyDescent="0.3">
      <c r="A78" s="1" t="s">
        <v>21</v>
      </c>
      <c r="B78">
        <v>42</v>
      </c>
      <c r="C78" s="1" t="s">
        <v>36</v>
      </c>
      <c r="D78" s="1" t="s">
        <v>23</v>
      </c>
      <c r="E78">
        <v>3965</v>
      </c>
      <c r="F78" s="1" t="s">
        <v>37</v>
      </c>
      <c r="G78" s="1" t="s">
        <v>62</v>
      </c>
      <c r="H78">
        <v>4</v>
      </c>
      <c r="I78" s="1" t="s">
        <v>26</v>
      </c>
      <c r="J78" s="1" t="s">
        <v>27</v>
      </c>
      <c r="K78">
        <v>3</v>
      </c>
      <c r="L78" s="1" t="s">
        <v>55</v>
      </c>
      <c r="M78">
        <v>34</v>
      </c>
      <c r="N78" s="1" t="s">
        <v>29</v>
      </c>
      <c r="O78" s="1" t="s">
        <v>30</v>
      </c>
      <c r="P78">
        <v>1</v>
      </c>
      <c r="Q78" s="1" t="s">
        <v>31</v>
      </c>
      <c r="R78">
        <v>1</v>
      </c>
      <c r="S78" s="1" t="s">
        <v>40</v>
      </c>
      <c r="T78" s="1" t="s">
        <v>33</v>
      </c>
      <c r="U78" s="1" t="s">
        <v>41</v>
      </c>
      <c r="V78" s="1" t="str">
        <f>_xlfn.XLOOKUP(A78,Dictonary!$A$2:$A$5,Dictonary!$B$2:$B$5)</f>
        <v>Negative balance</v>
      </c>
      <c r="W78" s="1" t="str">
        <f>_xlfn.XLOOKUP(D78,Dictonary!$D$2:$D$12,Dictonary!$E$2:$E$12)</f>
        <v>radio/television</v>
      </c>
      <c r="X78" s="1" t="str">
        <f>_xlfn.XLOOKUP(F78,Dictonary!$G$2:$G$6,Dictonary!$H$2:$H$6)</f>
        <v>Less 100</v>
      </c>
      <c r="Y78" s="1" t="str">
        <f>_xlfn.XLOOKUP(I78,Dictonary!$J$2:$J$6,Dictonary!$K$2:$K$6)</f>
        <v>male : single</v>
      </c>
      <c r="Z78" s="1" t="str">
        <f>_xlfn.XLOOKUP(Q78,Dictonary!$M$2:$M$5,Dictonary!$N$2:$N$5)</f>
        <v>skilled employee / official</v>
      </c>
      <c r="AA78" s="1" t="str">
        <f>_xlfn.XLOOKUP(O78,Dictonary!$P$2:$P$4,Dictonary!$Q$2:$Q$4)</f>
        <v>own</v>
      </c>
    </row>
    <row r="79" spans="1:27" x14ac:dyDescent="0.3">
      <c r="A79" s="1" t="s">
        <v>35</v>
      </c>
      <c r="B79">
        <v>11</v>
      </c>
      <c r="C79" s="1" t="s">
        <v>50</v>
      </c>
      <c r="D79" s="1" t="s">
        <v>23</v>
      </c>
      <c r="E79">
        <v>4771</v>
      </c>
      <c r="F79" s="1" t="s">
        <v>37</v>
      </c>
      <c r="G79" s="1" t="s">
        <v>44</v>
      </c>
      <c r="H79">
        <v>2</v>
      </c>
      <c r="I79" s="1" t="s">
        <v>26</v>
      </c>
      <c r="J79" s="1" t="s">
        <v>27</v>
      </c>
      <c r="K79">
        <v>4</v>
      </c>
      <c r="L79" s="1" t="s">
        <v>48</v>
      </c>
      <c r="M79">
        <v>51</v>
      </c>
      <c r="N79" s="1" t="s">
        <v>29</v>
      </c>
      <c r="O79" s="1" t="s">
        <v>30</v>
      </c>
      <c r="P79">
        <v>1</v>
      </c>
      <c r="Q79" s="1" t="s">
        <v>31</v>
      </c>
      <c r="R79">
        <v>1</v>
      </c>
      <c r="S79" s="1" t="s">
        <v>40</v>
      </c>
      <c r="T79" s="1" t="s">
        <v>33</v>
      </c>
      <c r="U79" s="1" t="s">
        <v>34</v>
      </c>
      <c r="V79" s="1" t="str">
        <f>_xlfn.XLOOKUP(A79,Dictonary!$A$2:$A$5,Dictonary!$B$2:$B$5)</f>
        <v>Low balance</v>
      </c>
      <c r="W79" s="1" t="str">
        <f>_xlfn.XLOOKUP(D79,Dictonary!$D$2:$D$12,Dictonary!$E$2:$E$12)</f>
        <v>radio/television</v>
      </c>
      <c r="X79" s="1" t="str">
        <f>_xlfn.XLOOKUP(F79,Dictonary!$G$2:$G$6,Dictonary!$H$2:$H$6)</f>
        <v>Less 100</v>
      </c>
      <c r="Y79" s="1" t="str">
        <f>_xlfn.XLOOKUP(I79,Dictonary!$J$2:$J$6,Dictonary!$K$2:$K$6)</f>
        <v>male : single</v>
      </c>
      <c r="Z79" s="1" t="str">
        <f>_xlfn.XLOOKUP(Q79,Dictonary!$M$2:$M$5,Dictonary!$N$2:$N$5)</f>
        <v>skilled employee / official</v>
      </c>
      <c r="AA79" s="1" t="str">
        <f>_xlfn.XLOOKUP(O79,Dictonary!$P$2:$P$4,Dictonary!$Q$2:$Q$4)</f>
        <v>own</v>
      </c>
    </row>
    <row r="80" spans="1:27" x14ac:dyDescent="0.3">
      <c r="A80" s="1" t="s">
        <v>42</v>
      </c>
      <c r="B80">
        <v>54</v>
      </c>
      <c r="C80" s="1" t="s">
        <v>65</v>
      </c>
      <c r="D80" s="1" t="s">
        <v>54</v>
      </c>
      <c r="E80">
        <v>9436</v>
      </c>
      <c r="F80" s="1" t="s">
        <v>24</v>
      </c>
      <c r="G80" s="1" t="s">
        <v>38</v>
      </c>
      <c r="H80">
        <v>2</v>
      </c>
      <c r="I80" s="1" t="s">
        <v>26</v>
      </c>
      <c r="J80" s="1" t="s">
        <v>27</v>
      </c>
      <c r="K80">
        <v>2</v>
      </c>
      <c r="L80" s="1" t="s">
        <v>48</v>
      </c>
      <c r="M80">
        <v>39</v>
      </c>
      <c r="N80" s="1" t="s">
        <v>29</v>
      </c>
      <c r="O80" s="1" t="s">
        <v>30</v>
      </c>
      <c r="P80">
        <v>1</v>
      </c>
      <c r="Q80" s="1" t="s">
        <v>45</v>
      </c>
      <c r="R80">
        <v>2</v>
      </c>
      <c r="S80" s="1" t="s">
        <v>40</v>
      </c>
      <c r="T80" s="1" t="s">
        <v>33</v>
      </c>
      <c r="U80" s="1" t="s">
        <v>34</v>
      </c>
      <c r="V80" s="1" t="str">
        <f>_xlfn.XLOOKUP(A80,Dictonary!$A$2:$A$5,Dictonary!$B$2:$B$5)</f>
        <v>No information</v>
      </c>
      <c r="W80" s="1" t="str">
        <f>_xlfn.XLOOKUP(D80,Dictonary!$D$2:$D$12,Dictonary!$E$2:$E$12)</f>
        <v>car (used)</v>
      </c>
      <c r="X80" s="1" t="str">
        <f>_xlfn.XLOOKUP(F80,Dictonary!$G$2:$G$6,Dictonary!$H$2:$H$6)</f>
        <v>No information</v>
      </c>
      <c r="Y80" s="1" t="str">
        <f>_xlfn.XLOOKUP(I80,Dictonary!$J$2:$J$6,Dictonary!$K$2:$K$6)</f>
        <v>male : single</v>
      </c>
      <c r="Z80" s="1" t="str">
        <f>_xlfn.XLOOKUP(Q80,Dictonary!$M$2:$M$5,Dictonary!$N$2:$N$5)</f>
        <v>unskilled - resident</v>
      </c>
      <c r="AA80" s="1" t="str">
        <f>_xlfn.XLOOKUP(O80,Dictonary!$P$2:$P$4,Dictonary!$Q$2:$Q$4)</f>
        <v>own</v>
      </c>
    </row>
    <row r="81" spans="1:27" x14ac:dyDescent="0.3">
      <c r="A81" s="1" t="s">
        <v>35</v>
      </c>
      <c r="B81">
        <v>30</v>
      </c>
      <c r="C81" s="1" t="s">
        <v>36</v>
      </c>
      <c r="D81" s="1" t="s">
        <v>46</v>
      </c>
      <c r="E81">
        <v>3832</v>
      </c>
      <c r="F81" s="1" t="s">
        <v>37</v>
      </c>
      <c r="G81" s="1" t="s">
        <v>62</v>
      </c>
      <c r="H81">
        <v>2</v>
      </c>
      <c r="I81" s="1" t="s">
        <v>61</v>
      </c>
      <c r="J81" s="1" t="s">
        <v>27</v>
      </c>
      <c r="K81">
        <v>1</v>
      </c>
      <c r="L81" s="1" t="s">
        <v>48</v>
      </c>
      <c r="M81">
        <v>22</v>
      </c>
      <c r="N81" s="1" t="s">
        <v>29</v>
      </c>
      <c r="O81" s="1" t="s">
        <v>30</v>
      </c>
      <c r="P81">
        <v>1</v>
      </c>
      <c r="Q81" s="1" t="s">
        <v>31</v>
      </c>
      <c r="R81">
        <v>1</v>
      </c>
      <c r="S81" s="1" t="s">
        <v>40</v>
      </c>
      <c r="T81" s="1" t="s">
        <v>33</v>
      </c>
      <c r="U81" s="1" t="s">
        <v>34</v>
      </c>
      <c r="V81" s="1" t="str">
        <f>_xlfn.XLOOKUP(A81,Dictonary!$A$2:$A$5,Dictonary!$B$2:$B$5)</f>
        <v>Low balance</v>
      </c>
      <c r="W81" s="1" t="str">
        <f>_xlfn.XLOOKUP(D81,Dictonary!$D$2:$D$12,Dictonary!$E$2:$E$12)</f>
        <v>furniture/equipment</v>
      </c>
      <c r="X81" s="1" t="str">
        <f>_xlfn.XLOOKUP(F81,Dictonary!$G$2:$G$6,Dictonary!$H$2:$H$6)</f>
        <v>Less 100</v>
      </c>
      <c r="Y81" s="1" t="str">
        <f>_xlfn.XLOOKUP(I81,Dictonary!$J$2:$J$6,Dictonary!$K$2:$K$6)</f>
        <v>male : married/widowed</v>
      </c>
      <c r="Z81" s="1" t="str">
        <f>_xlfn.XLOOKUP(Q81,Dictonary!$M$2:$M$5,Dictonary!$N$2:$N$5)</f>
        <v>skilled employee / official</v>
      </c>
      <c r="AA81" s="1" t="str">
        <f>_xlfn.XLOOKUP(O81,Dictonary!$P$2:$P$4,Dictonary!$Q$2:$Q$4)</f>
        <v>own</v>
      </c>
    </row>
    <row r="82" spans="1:27" x14ac:dyDescent="0.3">
      <c r="A82" s="1" t="s">
        <v>42</v>
      </c>
      <c r="B82">
        <v>24</v>
      </c>
      <c r="C82" s="1" t="s">
        <v>36</v>
      </c>
      <c r="D82" s="1" t="s">
        <v>23</v>
      </c>
      <c r="E82">
        <v>5943</v>
      </c>
      <c r="F82" s="1" t="s">
        <v>24</v>
      </c>
      <c r="G82" s="1" t="s">
        <v>62</v>
      </c>
      <c r="H82">
        <v>1</v>
      </c>
      <c r="I82" s="1" t="s">
        <v>39</v>
      </c>
      <c r="J82" s="1" t="s">
        <v>27</v>
      </c>
      <c r="K82">
        <v>1</v>
      </c>
      <c r="L82" s="1" t="s">
        <v>55</v>
      </c>
      <c r="M82">
        <v>44</v>
      </c>
      <c r="N82" s="1" t="s">
        <v>29</v>
      </c>
      <c r="O82" s="1" t="s">
        <v>30</v>
      </c>
      <c r="P82">
        <v>2</v>
      </c>
      <c r="Q82" s="1" t="s">
        <v>31</v>
      </c>
      <c r="R82">
        <v>1</v>
      </c>
      <c r="S82" s="1" t="s">
        <v>32</v>
      </c>
      <c r="T82" s="1" t="s">
        <v>33</v>
      </c>
      <c r="U82" s="1" t="s">
        <v>41</v>
      </c>
      <c r="V82" s="1" t="str">
        <f>_xlfn.XLOOKUP(A82,Dictonary!$A$2:$A$5,Dictonary!$B$2:$B$5)</f>
        <v>No information</v>
      </c>
      <c r="W82" s="1" t="str">
        <f>_xlfn.XLOOKUP(D82,Dictonary!$D$2:$D$12,Dictonary!$E$2:$E$12)</f>
        <v>radio/television</v>
      </c>
      <c r="X82" s="1" t="str">
        <f>_xlfn.XLOOKUP(F82,Dictonary!$G$2:$G$6,Dictonary!$H$2:$H$6)</f>
        <v>No information</v>
      </c>
      <c r="Y82" s="1" t="str">
        <f>_xlfn.XLOOKUP(I82,Dictonary!$J$2:$J$6,Dictonary!$K$2:$K$6)</f>
        <v>female : divorced/separated/married</v>
      </c>
      <c r="Z82" s="1" t="str">
        <f>_xlfn.XLOOKUP(Q82,Dictonary!$M$2:$M$5,Dictonary!$N$2:$N$5)</f>
        <v>skilled employee / official</v>
      </c>
      <c r="AA82" s="1" t="str">
        <f>_xlfn.XLOOKUP(O82,Dictonary!$P$2:$P$4,Dictonary!$Q$2:$Q$4)</f>
        <v>own</v>
      </c>
    </row>
    <row r="83" spans="1:27" x14ac:dyDescent="0.3">
      <c r="A83" s="1" t="s">
        <v>42</v>
      </c>
      <c r="B83">
        <v>15</v>
      </c>
      <c r="C83" s="1" t="s">
        <v>36</v>
      </c>
      <c r="D83" s="1" t="s">
        <v>23</v>
      </c>
      <c r="E83">
        <v>1213</v>
      </c>
      <c r="F83" s="1" t="s">
        <v>53</v>
      </c>
      <c r="G83" s="1" t="s">
        <v>25</v>
      </c>
      <c r="H83">
        <v>4</v>
      </c>
      <c r="I83" s="1" t="s">
        <v>26</v>
      </c>
      <c r="J83" s="1" t="s">
        <v>27</v>
      </c>
      <c r="K83">
        <v>3</v>
      </c>
      <c r="L83" s="1" t="s">
        <v>48</v>
      </c>
      <c r="M83">
        <v>47</v>
      </c>
      <c r="N83" s="1" t="s">
        <v>70</v>
      </c>
      <c r="O83" s="1" t="s">
        <v>30</v>
      </c>
      <c r="P83">
        <v>1</v>
      </c>
      <c r="Q83" s="1" t="s">
        <v>31</v>
      </c>
      <c r="R83">
        <v>1</v>
      </c>
      <c r="S83" s="1" t="s">
        <v>32</v>
      </c>
      <c r="T83" s="1" t="s">
        <v>33</v>
      </c>
      <c r="U83" s="1" t="s">
        <v>34</v>
      </c>
      <c r="V83" s="1" t="str">
        <f>_xlfn.XLOOKUP(A83,Dictonary!$A$2:$A$5,Dictonary!$B$2:$B$5)</f>
        <v>No information</v>
      </c>
      <c r="W83" s="1" t="str">
        <f>_xlfn.XLOOKUP(D83,Dictonary!$D$2:$D$12,Dictonary!$E$2:$E$12)</f>
        <v>radio/television</v>
      </c>
      <c r="X83" s="1" t="str">
        <f>_xlfn.XLOOKUP(F83,Dictonary!$G$2:$G$6,Dictonary!$H$2:$H$6)</f>
        <v>Up to 1000</v>
      </c>
      <c r="Y83" s="1" t="str">
        <f>_xlfn.XLOOKUP(I83,Dictonary!$J$2:$J$6,Dictonary!$K$2:$K$6)</f>
        <v>male : single</v>
      </c>
      <c r="Z83" s="1" t="str">
        <f>_xlfn.XLOOKUP(Q83,Dictonary!$M$2:$M$5,Dictonary!$N$2:$N$5)</f>
        <v>skilled employee / official</v>
      </c>
      <c r="AA83" s="1" t="str">
        <f>_xlfn.XLOOKUP(O83,Dictonary!$P$2:$P$4,Dictonary!$Q$2:$Q$4)</f>
        <v>own</v>
      </c>
    </row>
    <row r="84" spans="1:27" x14ac:dyDescent="0.3">
      <c r="A84" s="1" t="s">
        <v>42</v>
      </c>
      <c r="B84">
        <v>18</v>
      </c>
      <c r="C84" s="1" t="s">
        <v>36</v>
      </c>
      <c r="D84" s="1" t="s">
        <v>63</v>
      </c>
      <c r="E84">
        <v>1568</v>
      </c>
      <c r="F84" s="1" t="s">
        <v>64</v>
      </c>
      <c r="G84" s="1" t="s">
        <v>38</v>
      </c>
      <c r="H84">
        <v>3</v>
      </c>
      <c r="I84" s="1" t="s">
        <v>39</v>
      </c>
      <c r="J84" s="1" t="s">
        <v>27</v>
      </c>
      <c r="K84">
        <v>4</v>
      </c>
      <c r="L84" s="1" t="s">
        <v>48</v>
      </c>
      <c r="M84">
        <v>24</v>
      </c>
      <c r="N84" s="1" t="s">
        <v>29</v>
      </c>
      <c r="O84" s="1" t="s">
        <v>56</v>
      </c>
      <c r="P84">
        <v>1</v>
      </c>
      <c r="Q84" s="1" t="s">
        <v>45</v>
      </c>
      <c r="R84">
        <v>1</v>
      </c>
      <c r="S84" s="1" t="s">
        <v>40</v>
      </c>
      <c r="T84" s="1" t="s">
        <v>33</v>
      </c>
      <c r="U84" s="1" t="s">
        <v>34</v>
      </c>
      <c r="V84" s="1" t="str">
        <f>_xlfn.XLOOKUP(A84,Dictonary!$A$2:$A$5,Dictonary!$B$2:$B$5)</f>
        <v>No information</v>
      </c>
      <c r="W84" s="1" t="str">
        <f>_xlfn.XLOOKUP(D84,Dictonary!$D$2:$D$12,Dictonary!$E$2:$E$12)</f>
        <v>business</v>
      </c>
      <c r="X84" s="1" t="str">
        <f>_xlfn.XLOOKUP(F84,Dictonary!$G$2:$G$6,Dictonary!$H$2:$H$6)</f>
        <v>Up to 500</v>
      </c>
      <c r="Y84" s="1" t="str">
        <f>_xlfn.XLOOKUP(I84,Dictonary!$J$2:$J$6,Dictonary!$K$2:$K$6)</f>
        <v>female : divorced/separated/married</v>
      </c>
      <c r="Z84" s="1" t="str">
        <f>_xlfn.XLOOKUP(Q84,Dictonary!$M$2:$M$5,Dictonary!$N$2:$N$5)</f>
        <v>unskilled - resident</v>
      </c>
      <c r="AA84" s="1" t="str">
        <f>_xlfn.XLOOKUP(O84,Dictonary!$P$2:$P$4,Dictonary!$Q$2:$Q$4)</f>
        <v>rent</v>
      </c>
    </row>
    <row r="85" spans="1:27" x14ac:dyDescent="0.3">
      <c r="A85" s="1" t="s">
        <v>21</v>
      </c>
      <c r="B85">
        <v>24</v>
      </c>
      <c r="C85" s="1" t="s">
        <v>36</v>
      </c>
      <c r="D85" s="1" t="s">
        <v>75</v>
      </c>
      <c r="E85">
        <v>1755</v>
      </c>
      <c r="F85" s="1" t="s">
        <v>37</v>
      </c>
      <c r="G85" s="1" t="s">
        <v>25</v>
      </c>
      <c r="H85">
        <v>4</v>
      </c>
      <c r="I85" s="1" t="s">
        <v>39</v>
      </c>
      <c r="J85" s="1" t="s">
        <v>47</v>
      </c>
      <c r="K85">
        <v>4</v>
      </c>
      <c r="L85" s="1" t="s">
        <v>28</v>
      </c>
      <c r="M85">
        <v>58</v>
      </c>
      <c r="N85" s="1" t="s">
        <v>29</v>
      </c>
      <c r="O85" s="1" t="s">
        <v>30</v>
      </c>
      <c r="P85">
        <v>1</v>
      </c>
      <c r="Q85" s="1" t="s">
        <v>45</v>
      </c>
      <c r="R85">
        <v>1</v>
      </c>
      <c r="S85" s="1" t="s">
        <v>32</v>
      </c>
      <c r="T85" s="1" t="s">
        <v>33</v>
      </c>
      <c r="U85" s="1" t="s">
        <v>34</v>
      </c>
      <c r="V85" s="1" t="str">
        <f>_xlfn.XLOOKUP(A85,Dictonary!$A$2:$A$5,Dictonary!$B$2:$B$5)</f>
        <v>Negative balance</v>
      </c>
      <c r="W85" s="1" t="str">
        <f>_xlfn.XLOOKUP(D85,Dictonary!$D$2:$D$12,Dictonary!$E$2:$E$12)</f>
        <v>others</v>
      </c>
      <c r="X85" s="1" t="str">
        <f>_xlfn.XLOOKUP(F85,Dictonary!$G$2:$G$6,Dictonary!$H$2:$H$6)</f>
        <v>Less 100</v>
      </c>
      <c r="Y85" s="1" t="str">
        <f>_xlfn.XLOOKUP(I85,Dictonary!$J$2:$J$6,Dictonary!$K$2:$K$6)</f>
        <v>female : divorced/separated/married</v>
      </c>
      <c r="Z85" s="1" t="str">
        <f>_xlfn.XLOOKUP(Q85,Dictonary!$M$2:$M$5,Dictonary!$N$2:$N$5)</f>
        <v>unskilled - resident</v>
      </c>
      <c r="AA85" s="1" t="str">
        <f>_xlfn.XLOOKUP(O85,Dictonary!$P$2:$P$4,Dictonary!$Q$2:$Q$4)</f>
        <v>own</v>
      </c>
    </row>
    <row r="86" spans="1:27" x14ac:dyDescent="0.3">
      <c r="A86" s="1" t="s">
        <v>21</v>
      </c>
      <c r="B86">
        <v>10</v>
      </c>
      <c r="C86" s="1" t="s">
        <v>36</v>
      </c>
      <c r="D86" s="1" t="s">
        <v>23</v>
      </c>
      <c r="E86">
        <v>2315</v>
      </c>
      <c r="F86" s="1" t="s">
        <v>37</v>
      </c>
      <c r="G86" s="1" t="s">
        <v>25</v>
      </c>
      <c r="H86">
        <v>3</v>
      </c>
      <c r="I86" s="1" t="s">
        <v>26</v>
      </c>
      <c r="J86" s="1" t="s">
        <v>27</v>
      </c>
      <c r="K86">
        <v>4</v>
      </c>
      <c r="L86" s="1" t="s">
        <v>28</v>
      </c>
      <c r="M86">
        <v>52</v>
      </c>
      <c r="N86" s="1" t="s">
        <v>29</v>
      </c>
      <c r="O86" s="1" t="s">
        <v>30</v>
      </c>
      <c r="P86">
        <v>1</v>
      </c>
      <c r="Q86" s="1" t="s">
        <v>45</v>
      </c>
      <c r="R86">
        <v>1</v>
      </c>
      <c r="S86" s="1" t="s">
        <v>40</v>
      </c>
      <c r="T86" s="1" t="s">
        <v>33</v>
      </c>
      <c r="U86" s="1" t="s">
        <v>34</v>
      </c>
      <c r="V86" s="1" t="str">
        <f>_xlfn.XLOOKUP(A86,Dictonary!$A$2:$A$5,Dictonary!$B$2:$B$5)</f>
        <v>Negative balance</v>
      </c>
      <c r="W86" s="1" t="str">
        <f>_xlfn.XLOOKUP(D86,Dictonary!$D$2:$D$12,Dictonary!$E$2:$E$12)</f>
        <v>radio/television</v>
      </c>
      <c r="X86" s="1" t="str">
        <f>_xlfn.XLOOKUP(F86,Dictonary!$G$2:$G$6,Dictonary!$H$2:$H$6)</f>
        <v>Less 100</v>
      </c>
      <c r="Y86" s="1" t="str">
        <f>_xlfn.XLOOKUP(I86,Dictonary!$J$2:$J$6,Dictonary!$K$2:$K$6)</f>
        <v>male : single</v>
      </c>
      <c r="Z86" s="1" t="str">
        <f>_xlfn.XLOOKUP(Q86,Dictonary!$M$2:$M$5,Dictonary!$N$2:$N$5)</f>
        <v>unskilled - resident</v>
      </c>
      <c r="AA86" s="1" t="str">
        <f>_xlfn.XLOOKUP(O86,Dictonary!$P$2:$P$4,Dictonary!$Q$2:$Q$4)</f>
        <v>own</v>
      </c>
    </row>
    <row r="87" spans="1:27" x14ac:dyDescent="0.3">
      <c r="A87" s="1" t="s">
        <v>42</v>
      </c>
      <c r="B87">
        <v>12</v>
      </c>
      <c r="C87" s="1" t="s">
        <v>22</v>
      </c>
      <c r="D87" s="1" t="s">
        <v>63</v>
      </c>
      <c r="E87">
        <v>1412</v>
      </c>
      <c r="F87" s="1" t="s">
        <v>37</v>
      </c>
      <c r="G87" s="1" t="s">
        <v>38</v>
      </c>
      <c r="H87">
        <v>4</v>
      </c>
      <c r="I87" s="1" t="s">
        <v>39</v>
      </c>
      <c r="J87" s="1" t="s">
        <v>47</v>
      </c>
      <c r="K87">
        <v>2</v>
      </c>
      <c r="L87" s="1" t="s">
        <v>28</v>
      </c>
      <c r="M87">
        <v>29</v>
      </c>
      <c r="N87" s="1" t="s">
        <v>29</v>
      </c>
      <c r="O87" s="1" t="s">
        <v>30</v>
      </c>
      <c r="P87">
        <v>2</v>
      </c>
      <c r="Q87" s="1" t="s">
        <v>57</v>
      </c>
      <c r="R87">
        <v>1</v>
      </c>
      <c r="S87" s="1" t="s">
        <v>32</v>
      </c>
      <c r="T87" s="1" t="s">
        <v>33</v>
      </c>
      <c r="U87" s="1" t="s">
        <v>34</v>
      </c>
      <c r="V87" s="1" t="str">
        <f>_xlfn.XLOOKUP(A87,Dictonary!$A$2:$A$5,Dictonary!$B$2:$B$5)</f>
        <v>No information</v>
      </c>
      <c r="W87" s="1" t="str">
        <f>_xlfn.XLOOKUP(D87,Dictonary!$D$2:$D$12,Dictonary!$E$2:$E$12)</f>
        <v>business</v>
      </c>
      <c r="X87" s="1" t="str">
        <f>_xlfn.XLOOKUP(F87,Dictonary!$G$2:$G$6,Dictonary!$H$2:$H$6)</f>
        <v>Less 100</v>
      </c>
      <c r="Y87" s="1" t="str">
        <f>_xlfn.XLOOKUP(I87,Dictonary!$J$2:$J$6,Dictonary!$K$2:$K$6)</f>
        <v>female : divorced/separated/married</v>
      </c>
      <c r="Z87" s="1" t="str">
        <f>_xlfn.XLOOKUP(Q87,Dictonary!$M$2:$M$5,Dictonary!$N$2:$N$5)</f>
        <v>management/ self-employed/ highly qualified employee/ officer</v>
      </c>
      <c r="AA87" s="1" t="str">
        <f>_xlfn.XLOOKUP(O87,Dictonary!$P$2:$P$4,Dictonary!$Q$2:$Q$4)</f>
        <v>own</v>
      </c>
    </row>
    <row r="88" spans="1:27" x14ac:dyDescent="0.3">
      <c r="A88" s="1" t="s">
        <v>35</v>
      </c>
      <c r="B88">
        <v>18</v>
      </c>
      <c r="C88" s="1" t="s">
        <v>22</v>
      </c>
      <c r="D88" s="1" t="s">
        <v>46</v>
      </c>
      <c r="E88">
        <v>1295</v>
      </c>
      <c r="F88" s="1" t="s">
        <v>37</v>
      </c>
      <c r="G88" s="1" t="s">
        <v>62</v>
      </c>
      <c r="H88">
        <v>4</v>
      </c>
      <c r="I88" s="1" t="s">
        <v>39</v>
      </c>
      <c r="J88" s="1" t="s">
        <v>27</v>
      </c>
      <c r="K88">
        <v>1</v>
      </c>
      <c r="L88" s="1" t="s">
        <v>48</v>
      </c>
      <c r="M88">
        <v>27</v>
      </c>
      <c r="N88" s="1" t="s">
        <v>29</v>
      </c>
      <c r="O88" s="1" t="s">
        <v>30</v>
      </c>
      <c r="P88">
        <v>2</v>
      </c>
      <c r="Q88" s="1" t="s">
        <v>31</v>
      </c>
      <c r="R88">
        <v>1</v>
      </c>
      <c r="S88" s="1" t="s">
        <v>40</v>
      </c>
      <c r="T88" s="1" t="s">
        <v>33</v>
      </c>
      <c r="U88" s="1" t="s">
        <v>34</v>
      </c>
      <c r="V88" s="1" t="str">
        <f>_xlfn.XLOOKUP(A88,Dictonary!$A$2:$A$5,Dictonary!$B$2:$B$5)</f>
        <v>Low balance</v>
      </c>
      <c r="W88" s="1" t="str">
        <f>_xlfn.XLOOKUP(D88,Dictonary!$D$2:$D$12,Dictonary!$E$2:$E$12)</f>
        <v>furniture/equipment</v>
      </c>
      <c r="X88" s="1" t="str">
        <f>_xlfn.XLOOKUP(F88,Dictonary!$G$2:$G$6,Dictonary!$H$2:$H$6)</f>
        <v>Less 100</v>
      </c>
      <c r="Y88" s="1" t="str">
        <f>_xlfn.XLOOKUP(I88,Dictonary!$J$2:$J$6,Dictonary!$K$2:$K$6)</f>
        <v>female : divorced/separated/married</v>
      </c>
      <c r="Z88" s="1" t="str">
        <f>_xlfn.XLOOKUP(Q88,Dictonary!$M$2:$M$5,Dictonary!$N$2:$N$5)</f>
        <v>skilled employee / official</v>
      </c>
      <c r="AA88" s="1" t="str">
        <f>_xlfn.XLOOKUP(O88,Dictonary!$P$2:$P$4,Dictonary!$Q$2:$Q$4)</f>
        <v>own</v>
      </c>
    </row>
    <row r="89" spans="1:27" x14ac:dyDescent="0.3">
      <c r="A89" s="1" t="s">
        <v>35</v>
      </c>
      <c r="B89">
        <v>36</v>
      </c>
      <c r="C89" s="1" t="s">
        <v>36</v>
      </c>
      <c r="D89" s="1" t="s">
        <v>43</v>
      </c>
      <c r="E89">
        <v>12612</v>
      </c>
      <c r="F89" s="1" t="s">
        <v>64</v>
      </c>
      <c r="G89" s="1" t="s">
        <v>38</v>
      </c>
      <c r="H89">
        <v>1</v>
      </c>
      <c r="I89" s="1" t="s">
        <v>26</v>
      </c>
      <c r="J89" s="1" t="s">
        <v>27</v>
      </c>
      <c r="K89">
        <v>4</v>
      </c>
      <c r="L89" s="1" t="s">
        <v>52</v>
      </c>
      <c r="M89">
        <v>47</v>
      </c>
      <c r="N89" s="1" t="s">
        <v>29</v>
      </c>
      <c r="O89" s="1" t="s">
        <v>49</v>
      </c>
      <c r="P89">
        <v>1</v>
      </c>
      <c r="Q89" s="1" t="s">
        <v>31</v>
      </c>
      <c r="R89">
        <v>2</v>
      </c>
      <c r="S89" s="1" t="s">
        <v>32</v>
      </c>
      <c r="T89" s="1" t="s">
        <v>33</v>
      </c>
      <c r="U89" s="1" t="s">
        <v>41</v>
      </c>
      <c r="V89" s="1" t="str">
        <f>_xlfn.XLOOKUP(A89,Dictonary!$A$2:$A$5,Dictonary!$B$2:$B$5)</f>
        <v>Low balance</v>
      </c>
      <c r="W89" s="1" t="str">
        <f>_xlfn.XLOOKUP(D89,Dictonary!$D$2:$D$12,Dictonary!$E$2:$E$12)</f>
        <v>education</v>
      </c>
      <c r="X89" s="1" t="str">
        <f>_xlfn.XLOOKUP(F89,Dictonary!$G$2:$G$6,Dictonary!$H$2:$H$6)</f>
        <v>Up to 500</v>
      </c>
      <c r="Y89" s="1" t="str">
        <f>_xlfn.XLOOKUP(I89,Dictonary!$J$2:$J$6,Dictonary!$K$2:$K$6)</f>
        <v>male : single</v>
      </c>
      <c r="Z89" s="1" t="str">
        <f>_xlfn.XLOOKUP(Q89,Dictonary!$M$2:$M$5,Dictonary!$N$2:$N$5)</f>
        <v>skilled employee / official</v>
      </c>
      <c r="AA89" s="1" t="str">
        <f>_xlfn.XLOOKUP(O89,Dictonary!$P$2:$P$4,Dictonary!$Q$2:$Q$4)</f>
        <v>for free</v>
      </c>
    </row>
    <row r="90" spans="1:27" x14ac:dyDescent="0.3">
      <c r="A90" s="1" t="s">
        <v>21</v>
      </c>
      <c r="B90">
        <v>18</v>
      </c>
      <c r="C90" s="1" t="s">
        <v>36</v>
      </c>
      <c r="D90" s="1" t="s">
        <v>51</v>
      </c>
      <c r="E90">
        <v>2249</v>
      </c>
      <c r="F90" s="1" t="s">
        <v>64</v>
      </c>
      <c r="G90" s="1" t="s">
        <v>44</v>
      </c>
      <c r="H90">
        <v>4</v>
      </c>
      <c r="I90" s="1" t="s">
        <v>26</v>
      </c>
      <c r="J90" s="1" t="s">
        <v>27</v>
      </c>
      <c r="K90">
        <v>3</v>
      </c>
      <c r="L90" s="1" t="s">
        <v>55</v>
      </c>
      <c r="M90">
        <v>30</v>
      </c>
      <c r="N90" s="1" t="s">
        <v>29</v>
      </c>
      <c r="O90" s="1" t="s">
        <v>30</v>
      </c>
      <c r="P90">
        <v>1</v>
      </c>
      <c r="Q90" s="1" t="s">
        <v>57</v>
      </c>
      <c r="R90">
        <v>2</v>
      </c>
      <c r="S90" s="1" t="s">
        <v>32</v>
      </c>
      <c r="T90" s="1" t="s">
        <v>33</v>
      </c>
      <c r="U90" s="1" t="s">
        <v>34</v>
      </c>
      <c r="V90" s="1" t="str">
        <f>_xlfn.XLOOKUP(A90,Dictonary!$A$2:$A$5,Dictonary!$B$2:$B$5)</f>
        <v>Negative balance</v>
      </c>
      <c r="W90" s="1" t="str">
        <f>_xlfn.XLOOKUP(D90,Dictonary!$D$2:$D$12,Dictonary!$E$2:$E$12)</f>
        <v>car (new)</v>
      </c>
      <c r="X90" s="1" t="str">
        <f>_xlfn.XLOOKUP(F90,Dictonary!$G$2:$G$6,Dictonary!$H$2:$H$6)</f>
        <v>Up to 500</v>
      </c>
      <c r="Y90" s="1" t="str">
        <f>_xlfn.XLOOKUP(I90,Dictonary!$J$2:$J$6,Dictonary!$K$2:$K$6)</f>
        <v>male : single</v>
      </c>
      <c r="Z90" s="1" t="str">
        <f>_xlfn.XLOOKUP(Q90,Dictonary!$M$2:$M$5,Dictonary!$N$2:$N$5)</f>
        <v>management/ self-employed/ highly qualified employee/ officer</v>
      </c>
      <c r="AA90" s="1" t="str">
        <f>_xlfn.XLOOKUP(O90,Dictonary!$P$2:$P$4,Dictonary!$Q$2:$Q$4)</f>
        <v>own</v>
      </c>
    </row>
    <row r="91" spans="1:27" x14ac:dyDescent="0.3">
      <c r="A91" s="1" t="s">
        <v>21</v>
      </c>
      <c r="B91">
        <v>12</v>
      </c>
      <c r="C91" s="1" t="s">
        <v>65</v>
      </c>
      <c r="D91" s="1" t="s">
        <v>73</v>
      </c>
      <c r="E91">
        <v>1108</v>
      </c>
      <c r="F91" s="1" t="s">
        <v>37</v>
      </c>
      <c r="G91" s="1" t="s">
        <v>44</v>
      </c>
      <c r="H91">
        <v>4</v>
      </c>
      <c r="I91" s="1" t="s">
        <v>26</v>
      </c>
      <c r="J91" s="1" t="s">
        <v>27</v>
      </c>
      <c r="K91">
        <v>3</v>
      </c>
      <c r="L91" s="1" t="s">
        <v>28</v>
      </c>
      <c r="M91">
        <v>28</v>
      </c>
      <c r="N91" s="1" t="s">
        <v>29</v>
      </c>
      <c r="O91" s="1" t="s">
        <v>30</v>
      </c>
      <c r="P91">
        <v>2</v>
      </c>
      <c r="Q91" s="1" t="s">
        <v>31</v>
      </c>
      <c r="R91">
        <v>1</v>
      </c>
      <c r="S91" s="1" t="s">
        <v>40</v>
      </c>
      <c r="T91" s="1" t="s">
        <v>33</v>
      </c>
      <c r="U91" s="1" t="s">
        <v>41</v>
      </c>
      <c r="V91" s="1" t="str">
        <f>_xlfn.XLOOKUP(A91,Dictonary!$A$2:$A$5,Dictonary!$B$2:$B$5)</f>
        <v>Negative balance</v>
      </c>
      <c r="W91" s="1" t="str">
        <f>_xlfn.XLOOKUP(D91,Dictonary!$D$2:$D$12,Dictonary!$E$2:$E$12)</f>
        <v>repairs</v>
      </c>
      <c r="X91" s="1" t="str">
        <f>_xlfn.XLOOKUP(F91,Dictonary!$G$2:$G$6,Dictonary!$H$2:$H$6)</f>
        <v>Less 100</v>
      </c>
      <c r="Y91" s="1" t="str">
        <f>_xlfn.XLOOKUP(I91,Dictonary!$J$2:$J$6,Dictonary!$K$2:$K$6)</f>
        <v>male : single</v>
      </c>
      <c r="Z91" s="1" t="str">
        <f>_xlfn.XLOOKUP(Q91,Dictonary!$M$2:$M$5,Dictonary!$N$2:$N$5)</f>
        <v>skilled employee / official</v>
      </c>
      <c r="AA91" s="1" t="str">
        <f>_xlfn.XLOOKUP(O91,Dictonary!$P$2:$P$4,Dictonary!$Q$2:$Q$4)</f>
        <v>own</v>
      </c>
    </row>
    <row r="92" spans="1:27" x14ac:dyDescent="0.3">
      <c r="A92" s="1" t="s">
        <v>42</v>
      </c>
      <c r="B92">
        <v>12</v>
      </c>
      <c r="C92" s="1" t="s">
        <v>22</v>
      </c>
      <c r="D92" s="1" t="s">
        <v>23</v>
      </c>
      <c r="E92">
        <v>618</v>
      </c>
      <c r="F92" s="1" t="s">
        <v>37</v>
      </c>
      <c r="G92" s="1" t="s">
        <v>25</v>
      </c>
      <c r="H92">
        <v>4</v>
      </c>
      <c r="I92" s="1" t="s">
        <v>26</v>
      </c>
      <c r="J92" s="1" t="s">
        <v>27</v>
      </c>
      <c r="K92">
        <v>4</v>
      </c>
      <c r="L92" s="1" t="s">
        <v>28</v>
      </c>
      <c r="M92">
        <v>56</v>
      </c>
      <c r="N92" s="1" t="s">
        <v>29</v>
      </c>
      <c r="O92" s="1" t="s">
        <v>30</v>
      </c>
      <c r="P92">
        <v>1</v>
      </c>
      <c r="Q92" s="1" t="s">
        <v>31</v>
      </c>
      <c r="R92">
        <v>1</v>
      </c>
      <c r="S92" s="1" t="s">
        <v>40</v>
      </c>
      <c r="T92" s="1" t="s">
        <v>33</v>
      </c>
      <c r="U92" s="1" t="s">
        <v>34</v>
      </c>
      <c r="V92" s="1" t="str">
        <f>_xlfn.XLOOKUP(A92,Dictonary!$A$2:$A$5,Dictonary!$B$2:$B$5)</f>
        <v>No information</v>
      </c>
      <c r="W92" s="1" t="str">
        <f>_xlfn.XLOOKUP(D92,Dictonary!$D$2:$D$12,Dictonary!$E$2:$E$12)</f>
        <v>radio/television</v>
      </c>
      <c r="X92" s="1" t="str">
        <f>_xlfn.XLOOKUP(F92,Dictonary!$G$2:$G$6,Dictonary!$H$2:$H$6)</f>
        <v>Less 100</v>
      </c>
      <c r="Y92" s="1" t="str">
        <f>_xlfn.XLOOKUP(I92,Dictonary!$J$2:$J$6,Dictonary!$K$2:$K$6)</f>
        <v>male : single</v>
      </c>
      <c r="Z92" s="1" t="str">
        <f>_xlfn.XLOOKUP(Q92,Dictonary!$M$2:$M$5,Dictonary!$N$2:$N$5)</f>
        <v>skilled employee / official</v>
      </c>
      <c r="AA92" s="1" t="str">
        <f>_xlfn.XLOOKUP(O92,Dictonary!$P$2:$P$4,Dictonary!$Q$2:$Q$4)</f>
        <v>own</v>
      </c>
    </row>
    <row r="93" spans="1:27" x14ac:dyDescent="0.3">
      <c r="A93" s="1" t="s">
        <v>21</v>
      </c>
      <c r="B93">
        <v>12</v>
      </c>
      <c r="C93" s="1" t="s">
        <v>22</v>
      </c>
      <c r="D93" s="1" t="s">
        <v>54</v>
      </c>
      <c r="E93">
        <v>1409</v>
      </c>
      <c r="F93" s="1" t="s">
        <v>37</v>
      </c>
      <c r="G93" s="1" t="s">
        <v>25</v>
      </c>
      <c r="H93">
        <v>4</v>
      </c>
      <c r="I93" s="1" t="s">
        <v>26</v>
      </c>
      <c r="J93" s="1" t="s">
        <v>27</v>
      </c>
      <c r="K93">
        <v>3</v>
      </c>
      <c r="L93" s="1" t="s">
        <v>28</v>
      </c>
      <c r="M93">
        <v>54</v>
      </c>
      <c r="N93" s="1" t="s">
        <v>29</v>
      </c>
      <c r="O93" s="1" t="s">
        <v>30</v>
      </c>
      <c r="P93">
        <v>1</v>
      </c>
      <c r="Q93" s="1" t="s">
        <v>31</v>
      </c>
      <c r="R93">
        <v>1</v>
      </c>
      <c r="S93" s="1" t="s">
        <v>40</v>
      </c>
      <c r="T93" s="1" t="s">
        <v>33</v>
      </c>
      <c r="U93" s="1" t="s">
        <v>34</v>
      </c>
      <c r="V93" s="1" t="str">
        <f>_xlfn.XLOOKUP(A93,Dictonary!$A$2:$A$5,Dictonary!$B$2:$B$5)</f>
        <v>Negative balance</v>
      </c>
      <c r="W93" s="1" t="str">
        <f>_xlfn.XLOOKUP(D93,Dictonary!$D$2:$D$12,Dictonary!$E$2:$E$12)</f>
        <v>car (used)</v>
      </c>
      <c r="X93" s="1" t="str">
        <f>_xlfn.XLOOKUP(F93,Dictonary!$G$2:$G$6,Dictonary!$H$2:$H$6)</f>
        <v>Less 100</v>
      </c>
      <c r="Y93" s="1" t="str">
        <f>_xlfn.XLOOKUP(I93,Dictonary!$J$2:$J$6,Dictonary!$K$2:$K$6)</f>
        <v>male : single</v>
      </c>
      <c r="Z93" s="1" t="str">
        <f>_xlfn.XLOOKUP(Q93,Dictonary!$M$2:$M$5,Dictonary!$N$2:$N$5)</f>
        <v>skilled employee / official</v>
      </c>
      <c r="AA93" s="1" t="str">
        <f>_xlfn.XLOOKUP(O93,Dictonary!$P$2:$P$4,Dictonary!$Q$2:$Q$4)</f>
        <v>own</v>
      </c>
    </row>
    <row r="94" spans="1:27" x14ac:dyDescent="0.3">
      <c r="A94" s="1" t="s">
        <v>42</v>
      </c>
      <c r="B94">
        <v>12</v>
      </c>
      <c r="C94" s="1" t="s">
        <v>22</v>
      </c>
      <c r="D94" s="1" t="s">
        <v>23</v>
      </c>
      <c r="E94">
        <v>797</v>
      </c>
      <c r="F94" s="1" t="s">
        <v>24</v>
      </c>
      <c r="G94" s="1" t="s">
        <v>25</v>
      </c>
      <c r="H94">
        <v>4</v>
      </c>
      <c r="I94" s="1" t="s">
        <v>39</v>
      </c>
      <c r="J94" s="1" t="s">
        <v>27</v>
      </c>
      <c r="K94">
        <v>3</v>
      </c>
      <c r="L94" s="1" t="s">
        <v>48</v>
      </c>
      <c r="M94">
        <v>33</v>
      </c>
      <c r="N94" s="1" t="s">
        <v>66</v>
      </c>
      <c r="O94" s="1" t="s">
        <v>30</v>
      </c>
      <c r="P94">
        <v>1</v>
      </c>
      <c r="Q94" s="1" t="s">
        <v>45</v>
      </c>
      <c r="R94">
        <v>2</v>
      </c>
      <c r="S94" s="1" t="s">
        <v>40</v>
      </c>
      <c r="T94" s="1" t="s">
        <v>33</v>
      </c>
      <c r="U94" s="1" t="s">
        <v>41</v>
      </c>
      <c r="V94" s="1" t="str">
        <f>_xlfn.XLOOKUP(A94,Dictonary!$A$2:$A$5,Dictonary!$B$2:$B$5)</f>
        <v>No information</v>
      </c>
      <c r="W94" s="1" t="str">
        <f>_xlfn.XLOOKUP(D94,Dictonary!$D$2:$D$12,Dictonary!$E$2:$E$12)</f>
        <v>radio/television</v>
      </c>
      <c r="X94" s="1" t="str">
        <f>_xlfn.XLOOKUP(F94,Dictonary!$G$2:$G$6,Dictonary!$H$2:$H$6)</f>
        <v>No information</v>
      </c>
      <c r="Y94" s="1" t="str">
        <f>_xlfn.XLOOKUP(I94,Dictonary!$J$2:$J$6,Dictonary!$K$2:$K$6)</f>
        <v>female : divorced/separated/married</v>
      </c>
      <c r="Z94" s="1" t="str">
        <f>_xlfn.XLOOKUP(Q94,Dictonary!$M$2:$M$5,Dictonary!$N$2:$N$5)</f>
        <v>unskilled - resident</v>
      </c>
      <c r="AA94" s="1" t="str">
        <f>_xlfn.XLOOKUP(O94,Dictonary!$P$2:$P$4,Dictonary!$Q$2:$Q$4)</f>
        <v>own</v>
      </c>
    </row>
    <row r="95" spans="1:27" x14ac:dyDescent="0.3">
      <c r="A95" s="1" t="s">
        <v>68</v>
      </c>
      <c r="B95">
        <v>24</v>
      </c>
      <c r="C95" s="1" t="s">
        <v>22</v>
      </c>
      <c r="D95" s="1" t="s">
        <v>46</v>
      </c>
      <c r="E95">
        <v>3617</v>
      </c>
      <c r="F95" s="1" t="s">
        <v>24</v>
      </c>
      <c r="G95" s="1" t="s">
        <v>25</v>
      </c>
      <c r="H95">
        <v>4</v>
      </c>
      <c r="I95" s="1" t="s">
        <v>26</v>
      </c>
      <c r="J95" s="1" t="s">
        <v>71</v>
      </c>
      <c r="K95">
        <v>4</v>
      </c>
      <c r="L95" s="1" t="s">
        <v>52</v>
      </c>
      <c r="M95">
        <v>20</v>
      </c>
      <c r="N95" s="1" t="s">
        <v>29</v>
      </c>
      <c r="O95" s="1" t="s">
        <v>56</v>
      </c>
      <c r="P95">
        <v>2</v>
      </c>
      <c r="Q95" s="1" t="s">
        <v>31</v>
      </c>
      <c r="R95">
        <v>1</v>
      </c>
      <c r="S95" s="1" t="s">
        <v>40</v>
      </c>
      <c r="T95" s="1" t="s">
        <v>33</v>
      </c>
      <c r="U95" s="1" t="s">
        <v>34</v>
      </c>
      <c r="V95" s="1" t="str">
        <f>_xlfn.XLOOKUP(A95,Dictonary!$A$2:$A$5,Dictonary!$B$2:$B$5)</f>
        <v>Normal balance</v>
      </c>
      <c r="W95" s="1" t="str">
        <f>_xlfn.XLOOKUP(D95,Dictonary!$D$2:$D$12,Dictonary!$E$2:$E$12)</f>
        <v>furniture/equipment</v>
      </c>
      <c r="X95" s="1" t="str">
        <f>_xlfn.XLOOKUP(F95,Dictonary!$G$2:$G$6,Dictonary!$H$2:$H$6)</f>
        <v>No information</v>
      </c>
      <c r="Y95" s="1" t="str">
        <f>_xlfn.XLOOKUP(I95,Dictonary!$J$2:$J$6,Dictonary!$K$2:$K$6)</f>
        <v>male : single</v>
      </c>
      <c r="Z95" s="1" t="str">
        <f>_xlfn.XLOOKUP(Q95,Dictonary!$M$2:$M$5,Dictonary!$N$2:$N$5)</f>
        <v>skilled employee / official</v>
      </c>
      <c r="AA95" s="1" t="str">
        <f>_xlfn.XLOOKUP(O95,Dictonary!$P$2:$P$4,Dictonary!$Q$2:$Q$4)</f>
        <v>rent</v>
      </c>
    </row>
    <row r="96" spans="1:27" x14ac:dyDescent="0.3">
      <c r="A96" s="1" t="s">
        <v>35</v>
      </c>
      <c r="B96">
        <v>12</v>
      </c>
      <c r="C96" s="1" t="s">
        <v>36</v>
      </c>
      <c r="D96" s="1" t="s">
        <v>51</v>
      </c>
      <c r="E96">
        <v>1318</v>
      </c>
      <c r="F96" s="1" t="s">
        <v>58</v>
      </c>
      <c r="G96" s="1" t="s">
        <v>25</v>
      </c>
      <c r="H96">
        <v>4</v>
      </c>
      <c r="I96" s="1" t="s">
        <v>26</v>
      </c>
      <c r="J96" s="1" t="s">
        <v>27</v>
      </c>
      <c r="K96">
        <v>4</v>
      </c>
      <c r="L96" s="1" t="s">
        <v>28</v>
      </c>
      <c r="M96">
        <v>54</v>
      </c>
      <c r="N96" s="1" t="s">
        <v>29</v>
      </c>
      <c r="O96" s="1" t="s">
        <v>30</v>
      </c>
      <c r="P96">
        <v>1</v>
      </c>
      <c r="Q96" s="1" t="s">
        <v>31</v>
      </c>
      <c r="R96">
        <v>1</v>
      </c>
      <c r="S96" s="1" t="s">
        <v>32</v>
      </c>
      <c r="T96" s="1" t="s">
        <v>33</v>
      </c>
      <c r="U96" s="1" t="s">
        <v>34</v>
      </c>
      <c r="V96" s="1" t="str">
        <f>_xlfn.XLOOKUP(A96,Dictonary!$A$2:$A$5,Dictonary!$B$2:$B$5)</f>
        <v>Low balance</v>
      </c>
      <c r="W96" s="1" t="str">
        <f>_xlfn.XLOOKUP(D96,Dictonary!$D$2:$D$12,Dictonary!$E$2:$E$12)</f>
        <v>car (new)</v>
      </c>
      <c r="X96" s="1" t="str">
        <f>_xlfn.XLOOKUP(F96,Dictonary!$G$2:$G$6,Dictonary!$H$2:$H$6)</f>
        <v>More 1000</v>
      </c>
      <c r="Y96" s="1" t="str">
        <f>_xlfn.XLOOKUP(I96,Dictonary!$J$2:$J$6,Dictonary!$K$2:$K$6)</f>
        <v>male : single</v>
      </c>
      <c r="Z96" s="1" t="str">
        <f>_xlfn.XLOOKUP(Q96,Dictonary!$M$2:$M$5,Dictonary!$N$2:$N$5)</f>
        <v>skilled employee / official</v>
      </c>
      <c r="AA96" s="1" t="str">
        <f>_xlfn.XLOOKUP(O96,Dictonary!$P$2:$P$4,Dictonary!$Q$2:$Q$4)</f>
        <v>own</v>
      </c>
    </row>
    <row r="97" spans="1:27" x14ac:dyDescent="0.3">
      <c r="A97" s="1" t="s">
        <v>35</v>
      </c>
      <c r="B97">
        <v>54</v>
      </c>
      <c r="C97" s="1" t="s">
        <v>65</v>
      </c>
      <c r="D97" s="1" t="s">
        <v>63</v>
      </c>
      <c r="E97">
        <v>15945</v>
      </c>
      <c r="F97" s="1" t="s">
        <v>37</v>
      </c>
      <c r="G97" s="1" t="s">
        <v>62</v>
      </c>
      <c r="H97">
        <v>3</v>
      </c>
      <c r="I97" s="1" t="s">
        <v>26</v>
      </c>
      <c r="J97" s="1" t="s">
        <v>27</v>
      </c>
      <c r="K97">
        <v>4</v>
      </c>
      <c r="L97" s="1" t="s">
        <v>52</v>
      </c>
      <c r="M97">
        <v>58</v>
      </c>
      <c r="N97" s="1" t="s">
        <v>29</v>
      </c>
      <c r="O97" s="1" t="s">
        <v>56</v>
      </c>
      <c r="P97">
        <v>1</v>
      </c>
      <c r="Q97" s="1" t="s">
        <v>31</v>
      </c>
      <c r="R97">
        <v>1</v>
      </c>
      <c r="S97" s="1" t="s">
        <v>32</v>
      </c>
      <c r="T97" s="1" t="s">
        <v>33</v>
      </c>
      <c r="U97" s="1" t="s">
        <v>41</v>
      </c>
      <c r="V97" s="1" t="str">
        <f>_xlfn.XLOOKUP(A97,Dictonary!$A$2:$A$5,Dictonary!$B$2:$B$5)</f>
        <v>Low balance</v>
      </c>
      <c r="W97" s="1" t="str">
        <f>_xlfn.XLOOKUP(D97,Dictonary!$D$2:$D$12,Dictonary!$E$2:$E$12)</f>
        <v>business</v>
      </c>
      <c r="X97" s="1" t="str">
        <f>_xlfn.XLOOKUP(F97,Dictonary!$G$2:$G$6,Dictonary!$H$2:$H$6)</f>
        <v>Less 100</v>
      </c>
      <c r="Y97" s="1" t="str">
        <f>_xlfn.XLOOKUP(I97,Dictonary!$J$2:$J$6,Dictonary!$K$2:$K$6)</f>
        <v>male : single</v>
      </c>
      <c r="Z97" s="1" t="str">
        <f>_xlfn.XLOOKUP(Q97,Dictonary!$M$2:$M$5,Dictonary!$N$2:$N$5)</f>
        <v>skilled employee / official</v>
      </c>
      <c r="AA97" s="1" t="str">
        <f>_xlfn.XLOOKUP(O97,Dictonary!$P$2:$P$4,Dictonary!$Q$2:$Q$4)</f>
        <v>rent</v>
      </c>
    </row>
    <row r="98" spans="1:27" x14ac:dyDescent="0.3">
      <c r="A98" s="1" t="s">
        <v>42</v>
      </c>
      <c r="B98">
        <v>12</v>
      </c>
      <c r="C98" s="1" t="s">
        <v>22</v>
      </c>
      <c r="D98" s="1" t="s">
        <v>43</v>
      </c>
      <c r="E98">
        <v>2012</v>
      </c>
      <c r="F98" s="1" t="s">
        <v>24</v>
      </c>
      <c r="G98" s="1" t="s">
        <v>44</v>
      </c>
      <c r="H98">
        <v>4</v>
      </c>
      <c r="I98" s="1" t="s">
        <v>39</v>
      </c>
      <c r="J98" s="1" t="s">
        <v>27</v>
      </c>
      <c r="K98">
        <v>2</v>
      </c>
      <c r="L98" s="1" t="s">
        <v>55</v>
      </c>
      <c r="M98">
        <v>61</v>
      </c>
      <c r="N98" s="1" t="s">
        <v>29</v>
      </c>
      <c r="O98" s="1" t="s">
        <v>30</v>
      </c>
      <c r="P98">
        <v>1</v>
      </c>
      <c r="Q98" s="1" t="s">
        <v>31</v>
      </c>
      <c r="R98">
        <v>1</v>
      </c>
      <c r="S98" s="1" t="s">
        <v>40</v>
      </c>
      <c r="T98" s="1" t="s">
        <v>33</v>
      </c>
      <c r="U98" s="1" t="s">
        <v>34</v>
      </c>
      <c r="V98" s="1" t="str">
        <f>_xlfn.XLOOKUP(A98,Dictonary!$A$2:$A$5,Dictonary!$B$2:$B$5)</f>
        <v>No information</v>
      </c>
      <c r="W98" s="1" t="str">
        <f>_xlfn.XLOOKUP(D98,Dictonary!$D$2:$D$12,Dictonary!$E$2:$E$12)</f>
        <v>education</v>
      </c>
      <c r="X98" s="1" t="str">
        <f>_xlfn.XLOOKUP(F98,Dictonary!$G$2:$G$6,Dictonary!$H$2:$H$6)</f>
        <v>No information</v>
      </c>
      <c r="Y98" s="1" t="str">
        <f>_xlfn.XLOOKUP(I98,Dictonary!$J$2:$J$6,Dictonary!$K$2:$K$6)</f>
        <v>female : divorced/separated/married</v>
      </c>
      <c r="Z98" s="1" t="str">
        <f>_xlfn.XLOOKUP(Q98,Dictonary!$M$2:$M$5,Dictonary!$N$2:$N$5)</f>
        <v>skilled employee / official</v>
      </c>
      <c r="AA98" s="1" t="str">
        <f>_xlfn.XLOOKUP(O98,Dictonary!$P$2:$P$4,Dictonary!$Q$2:$Q$4)</f>
        <v>own</v>
      </c>
    </row>
    <row r="99" spans="1:27" x14ac:dyDescent="0.3">
      <c r="A99" s="1" t="s">
        <v>35</v>
      </c>
      <c r="B99">
        <v>18</v>
      </c>
      <c r="C99" s="1" t="s">
        <v>36</v>
      </c>
      <c r="D99" s="1" t="s">
        <v>63</v>
      </c>
      <c r="E99">
        <v>2622</v>
      </c>
      <c r="F99" s="1" t="s">
        <v>64</v>
      </c>
      <c r="G99" s="1" t="s">
        <v>38</v>
      </c>
      <c r="H99">
        <v>4</v>
      </c>
      <c r="I99" s="1" t="s">
        <v>26</v>
      </c>
      <c r="J99" s="1" t="s">
        <v>27</v>
      </c>
      <c r="K99">
        <v>4</v>
      </c>
      <c r="L99" s="1" t="s">
        <v>55</v>
      </c>
      <c r="M99">
        <v>34</v>
      </c>
      <c r="N99" s="1" t="s">
        <v>29</v>
      </c>
      <c r="O99" s="1" t="s">
        <v>30</v>
      </c>
      <c r="P99">
        <v>1</v>
      </c>
      <c r="Q99" s="1" t="s">
        <v>31</v>
      </c>
      <c r="R99">
        <v>1</v>
      </c>
      <c r="S99" s="1" t="s">
        <v>40</v>
      </c>
      <c r="T99" s="1" t="s">
        <v>33</v>
      </c>
      <c r="U99" s="1" t="s">
        <v>34</v>
      </c>
      <c r="V99" s="1" t="str">
        <f>_xlfn.XLOOKUP(A99,Dictonary!$A$2:$A$5,Dictonary!$B$2:$B$5)</f>
        <v>Low balance</v>
      </c>
      <c r="W99" s="1" t="str">
        <f>_xlfn.XLOOKUP(D99,Dictonary!$D$2:$D$12,Dictonary!$E$2:$E$12)</f>
        <v>business</v>
      </c>
      <c r="X99" s="1" t="str">
        <f>_xlfn.XLOOKUP(F99,Dictonary!$G$2:$G$6,Dictonary!$H$2:$H$6)</f>
        <v>Up to 500</v>
      </c>
      <c r="Y99" s="1" t="str">
        <f>_xlfn.XLOOKUP(I99,Dictonary!$J$2:$J$6,Dictonary!$K$2:$K$6)</f>
        <v>male : single</v>
      </c>
      <c r="Z99" s="1" t="str">
        <f>_xlfn.XLOOKUP(Q99,Dictonary!$M$2:$M$5,Dictonary!$N$2:$N$5)</f>
        <v>skilled employee / official</v>
      </c>
      <c r="AA99" s="1" t="str">
        <f>_xlfn.XLOOKUP(O99,Dictonary!$P$2:$P$4,Dictonary!$Q$2:$Q$4)</f>
        <v>own</v>
      </c>
    </row>
    <row r="100" spans="1:27" x14ac:dyDescent="0.3">
      <c r="A100" s="1" t="s">
        <v>35</v>
      </c>
      <c r="B100">
        <v>36</v>
      </c>
      <c r="C100" s="1" t="s">
        <v>22</v>
      </c>
      <c r="D100" s="1" t="s">
        <v>23</v>
      </c>
      <c r="E100">
        <v>2337</v>
      </c>
      <c r="F100" s="1" t="s">
        <v>37</v>
      </c>
      <c r="G100" s="1" t="s">
        <v>25</v>
      </c>
      <c r="H100">
        <v>4</v>
      </c>
      <c r="I100" s="1" t="s">
        <v>26</v>
      </c>
      <c r="J100" s="1" t="s">
        <v>27</v>
      </c>
      <c r="K100">
        <v>4</v>
      </c>
      <c r="L100" s="1" t="s">
        <v>28</v>
      </c>
      <c r="M100">
        <v>36</v>
      </c>
      <c r="N100" s="1" t="s">
        <v>29</v>
      </c>
      <c r="O100" s="1" t="s">
        <v>30</v>
      </c>
      <c r="P100">
        <v>1</v>
      </c>
      <c r="Q100" s="1" t="s">
        <v>31</v>
      </c>
      <c r="R100">
        <v>1</v>
      </c>
      <c r="S100" s="1" t="s">
        <v>40</v>
      </c>
      <c r="T100" s="1" t="s">
        <v>33</v>
      </c>
      <c r="U100" s="1" t="s">
        <v>34</v>
      </c>
      <c r="V100" s="1" t="str">
        <f>_xlfn.XLOOKUP(A100,Dictonary!$A$2:$A$5,Dictonary!$B$2:$B$5)</f>
        <v>Low balance</v>
      </c>
      <c r="W100" s="1" t="str">
        <f>_xlfn.XLOOKUP(D100,Dictonary!$D$2:$D$12,Dictonary!$E$2:$E$12)</f>
        <v>radio/television</v>
      </c>
      <c r="X100" s="1" t="str">
        <f>_xlfn.XLOOKUP(F100,Dictonary!$G$2:$G$6,Dictonary!$H$2:$H$6)</f>
        <v>Less 100</v>
      </c>
      <c r="Y100" s="1" t="str">
        <f>_xlfn.XLOOKUP(I100,Dictonary!$J$2:$J$6,Dictonary!$K$2:$K$6)</f>
        <v>male : single</v>
      </c>
      <c r="Z100" s="1" t="str">
        <f>_xlfn.XLOOKUP(Q100,Dictonary!$M$2:$M$5,Dictonary!$N$2:$N$5)</f>
        <v>skilled employee / official</v>
      </c>
      <c r="AA100" s="1" t="str">
        <f>_xlfn.XLOOKUP(O100,Dictonary!$P$2:$P$4,Dictonary!$Q$2:$Q$4)</f>
        <v>own</v>
      </c>
    </row>
    <row r="101" spans="1:27" x14ac:dyDescent="0.3">
      <c r="A101" s="1" t="s">
        <v>35</v>
      </c>
      <c r="B101">
        <v>20</v>
      </c>
      <c r="C101" s="1" t="s">
        <v>50</v>
      </c>
      <c r="D101" s="1" t="s">
        <v>54</v>
      </c>
      <c r="E101">
        <v>7057</v>
      </c>
      <c r="F101" s="1" t="s">
        <v>24</v>
      </c>
      <c r="G101" s="1" t="s">
        <v>44</v>
      </c>
      <c r="H101">
        <v>3</v>
      </c>
      <c r="I101" s="1" t="s">
        <v>26</v>
      </c>
      <c r="J101" s="1" t="s">
        <v>27</v>
      </c>
      <c r="K101">
        <v>4</v>
      </c>
      <c r="L101" s="1" t="s">
        <v>48</v>
      </c>
      <c r="M101">
        <v>36</v>
      </c>
      <c r="N101" s="1" t="s">
        <v>66</v>
      </c>
      <c r="O101" s="1" t="s">
        <v>56</v>
      </c>
      <c r="P101">
        <v>2</v>
      </c>
      <c r="Q101" s="1" t="s">
        <v>57</v>
      </c>
      <c r="R101">
        <v>2</v>
      </c>
      <c r="S101" s="1" t="s">
        <v>32</v>
      </c>
      <c r="T101" s="1" t="s">
        <v>33</v>
      </c>
      <c r="U101" s="1" t="s">
        <v>34</v>
      </c>
      <c r="V101" s="1" t="str">
        <f>_xlfn.XLOOKUP(A101,Dictonary!$A$2:$A$5,Dictonary!$B$2:$B$5)</f>
        <v>Low balance</v>
      </c>
      <c r="W101" s="1" t="str">
        <f>_xlfn.XLOOKUP(D101,Dictonary!$D$2:$D$12,Dictonary!$E$2:$E$12)</f>
        <v>car (used)</v>
      </c>
      <c r="X101" s="1" t="str">
        <f>_xlfn.XLOOKUP(F101,Dictonary!$G$2:$G$6,Dictonary!$H$2:$H$6)</f>
        <v>No information</v>
      </c>
      <c r="Y101" s="1" t="str">
        <f>_xlfn.XLOOKUP(I101,Dictonary!$J$2:$J$6,Dictonary!$K$2:$K$6)</f>
        <v>male : single</v>
      </c>
      <c r="Z101" s="1" t="str">
        <f>_xlfn.XLOOKUP(Q101,Dictonary!$M$2:$M$5,Dictonary!$N$2:$N$5)</f>
        <v>management/ self-employed/ highly qualified employee/ officer</v>
      </c>
      <c r="AA101" s="1" t="str">
        <f>_xlfn.XLOOKUP(O101,Dictonary!$P$2:$P$4,Dictonary!$Q$2:$Q$4)</f>
        <v>rent</v>
      </c>
    </row>
    <row r="102" spans="1:27" x14ac:dyDescent="0.3">
      <c r="A102" s="1" t="s">
        <v>42</v>
      </c>
      <c r="B102">
        <v>24</v>
      </c>
      <c r="C102" s="1" t="s">
        <v>36</v>
      </c>
      <c r="D102" s="1" t="s">
        <v>51</v>
      </c>
      <c r="E102">
        <v>1469</v>
      </c>
      <c r="F102" s="1" t="s">
        <v>64</v>
      </c>
      <c r="G102" s="1" t="s">
        <v>25</v>
      </c>
      <c r="H102">
        <v>4</v>
      </c>
      <c r="I102" s="1" t="s">
        <v>61</v>
      </c>
      <c r="J102" s="1" t="s">
        <v>27</v>
      </c>
      <c r="K102">
        <v>4</v>
      </c>
      <c r="L102" s="1" t="s">
        <v>28</v>
      </c>
      <c r="M102">
        <v>41</v>
      </c>
      <c r="N102" s="1" t="s">
        <v>29</v>
      </c>
      <c r="O102" s="1" t="s">
        <v>56</v>
      </c>
      <c r="P102">
        <v>1</v>
      </c>
      <c r="Q102" s="1" t="s">
        <v>45</v>
      </c>
      <c r="R102">
        <v>1</v>
      </c>
      <c r="S102" s="1" t="s">
        <v>40</v>
      </c>
      <c r="T102" s="1" t="s">
        <v>33</v>
      </c>
      <c r="U102" s="1" t="s">
        <v>34</v>
      </c>
      <c r="V102" s="1" t="str">
        <f>_xlfn.XLOOKUP(A102,Dictonary!$A$2:$A$5,Dictonary!$B$2:$B$5)</f>
        <v>No information</v>
      </c>
      <c r="W102" s="1" t="str">
        <f>_xlfn.XLOOKUP(D102,Dictonary!$D$2:$D$12,Dictonary!$E$2:$E$12)</f>
        <v>car (new)</v>
      </c>
      <c r="X102" s="1" t="str">
        <f>_xlfn.XLOOKUP(F102,Dictonary!$G$2:$G$6,Dictonary!$H$2:$H$6)</f>
        <v>Up to 500</v>
      </c>
      <c r="Y102" s="1" t="str">
        <f>_xlfn.XLOOKUP(I102,Dictonary!$J$2:$J$6,Dictonary!$K$2:$K$6)</f>
        <v>male : married/widowed</v>
      </c>
      <c r="Z102" s="1" t="str">
        <f>_xlfn.XLOOKUP(Q102,Dictonary!$M$2:$M$5,Dictonary!$N$2:$N$5)</f>
        <v>unskilled - resident</v>
      </c>
      <c r="AA102" s="1" t="str">
        <f>_xlfn.XLOOKUP(O102,Dictonary!$P$2:$P$4,Dictonary!$Q$2:$Q$4)</f>
        <v>rent</v>
      </c>
    </row>
    <row r="103" spans="1:27" x14ac:dyDescent="0.3">
      <c r="A103" s="1" t="s">
        <v>35</v>
      </c>
      <c r="B103">
        <v>36</v>
      </c>
      <c r="C103" s="1" t="s">
        <v>36</v>
      </c>
      <c r="D103" s="1" t="s">
        <v>23</v>
      </c>
      <c r="E103">
        <v>2323</v>
      </c>
      <c r="F103" s="1" t="s">
        <v>37</v>
      </c>
      <c r="G103" s="1" t="s">
        <v>44</v>
      </c>
      <c r="H103">
        <v>4</v>
      </c>
      <c r="I103" s="1" t="s">
        <v>26</v>
      </c>
      <c r="J103" s="1" t="s">
        <v>27</v>
      </c>
      <c r="K103">
        <v>4</v>
      </c>
      <c r="L103" s="1" t="s">
        <v>55</v>
      </c>
      <c r="M103">
        <v>24</v>
      </c>
      <c r="N103" s="1" t="s">
        <v>29</v>
      </c>
      <c r="O103" s="1" t="s">
        <v>56</v>
      </c>
      <c r="P103">
        <v>1</v>
      </c>
      <c r="Q103" s="1" t="s">
        <v>31</v>
      </c>
      <c r="R103">
        <v>1</v>
      </c>
      <c r="S103" s="1" t="s">
        <v>40</v>
      </c>
      <c r="T103" s="1" t="s">
        <v>33</v>
      </c>
      <c r="U103" s="1" t="s">
        <v>34</v>
      </c>
      <c r="V103" s="1" t="str">
        <f>_xlfn.XLOOKUP(A103,Dictonary!$A$2:$A$5,Dictonary!$B$2:$B$5)</f>
        <v>Low balance</v>
      </c>
      <c r="W103" s="1" t="str">
        <f>_xlfn.XLOOKUP(D103,Dictonary!$D$2:$D$12,Dictonary!$E$2:$E$12)</f>
        <v>radio/television</v>
      </c>
      <c r="X103" s="1" t="str">
        <f>_xlfn.XLOOKUP(F103,Dictonary!$G$2:$G$6,Dictonary!$H$2:$H$6)</f>
        <v>Less 100</v>
      </c>
      <c r="Y103" s="1" t="str">
        <f>_xlfn.XLOOKUP(I103,Dictonary!$J$2:$J$6,Dictonary!$K$2:$K$6)</f>
        <v>male : single</v>
      </c>
      <c r="Z103" s="1" t="str">
        <f>_xlfn.XLOOKUP(Q103,Dictonary!$M$2:$M$5,Dictonary!$N$2:$N$5)</f>
        <v>skilled employee / official</v>
      </c>
      <c r="AA103" s="1" t="str">
        <f>_xlfn.XLOOKUP(O103,Dictonary!$P$2:$P$4,Dictonary!$Q$2:$Q$4)</f>
        <v>rent</v>
      </c>
    </row>
    <row r="104" spans="1:27" x14ac:dyDescent="0.3">
      <c r="A104" s="1" t="s">
        <v>42</v>
      </c>
      <c r="B104">
        <v>6</v>
      </c>
      <c r="C104" s="1" t="s">
        <v>50</v>
      </c>
      <c r="D104" s="1" t="s">
        <v>23</v>
      </c>
      <c r="E104">
        <v>932</v>
      </c>
      <c r="F104" s="1" t="s">
        <v>37</v>
      </c>
      <c r="G104" s="1" t="s">
        <v>38</v>
      </c>
      <c r="H104">
        <v>3</v>
      </c>
      <c r="I104" s="1" t="s">
        <v>39</v>
      </c>
      <c r="J104" s="1" t="s">
        <v>27</v>
      </c>
      <c r="K104">
        <v>2</v>
      </c>
      <c r="L104" s="1" t="s">
        <v>28</v>
      </c>
      <c r="M104">
        <v>24</v>
      </c>
      <c r="N104" s="1" t="s">
        <v>29</v>
      </c>
      <c r="O104" s="1" t="s">
        <v>30</v>
      </c>
      <c r="P104">
        <v>1</v>
      </c>
      <c r="Q104" s="1" t="s">
        <v>31</v>
      </c>
      <c r="R104">
        <v>1</v>
      </c>
      <c r="S104" s="1" t="s">
        <v>40</v>
      </c>
      <c r="T104" s="1" t="s">
        <v>33</v>
      </c>
      <c r="U104" s="1" t="s">
        <v>34</v>
      </c>
      <c r="V104" s="1" t="str">
        <f>_xlfn.XLOOKUP(A104,Dictonary!$A$2:$A$5,Dictonary!$B$2:$B$5)</f>
        <v>No information</v>
      </c>
      <c r="W104" s="1" t="str">
        <f>_xlfn.XLOOKUP(D104,Dictonary!$D$2:$D$12,Dictonary!$E$2:$E$12)</f>
        <v>radio/television</v>
      </c>
      <c r="X104" s="1" t="str">
        <f>_xlfn.XLOOKUP(F104,Dictonary!$G$2:$G$6,Dictonary!$H$2:$H$6)</f>
        <v>Less 100</v>
      </c>
      <c r="Y104" s="1" t="str">
        <f>_xlfn.XLOOKUP(I104,Dictonary!$J$2:$J$6,Dictonary!$K$2:$K$6)</f>
        <v>female : divorced/separated/married</v>
      </c>
      <c r="Z104" s="1" t="str">
        <f>_xlfn.XLOOKUP(Q104,Dictonary!$M$2:$M$5,Dictonary!$N$2:$N$5)</f>
        <v>skilled employee / official</v>
      </c>
      <c r="AA104" s="1" t="str">
        <f>_xlfn.XLOOKUP(O104,Dictonary!$P$2:$P$4,Dictonary!$Q$2:$Q$4)</f>
        <v>own</v>
      </c>
    </row>
    <row r="105" spans="1:27" x14ac:dyDescent="0.3">
      <c r="A105" s="1" t="s">
        <v>35</v>
      </c>
      <c r="B105">
        <v>9</v>
      </c>
      <c r="C105" s="1" t="s">
        <v>22</v>
      </c>
      <c r="D105" s="1" t="s">
        <v>46</v>
      </c>
      <c r="E105">
        <v>1919</v>
      </c>
      <c r="F105" s="1" t="s">
        <v>37</v>
      </c>
      <c r="G105" s="1" t="s">
        <v>44</v>
      </c>
      <c r="H105">
        <v>4</v>
      </c>
      <c r="I105" s="1" t="s">
        <v>26</v>
      </c>
      <c r="J105" s="1" t="s">
        <v>27</v>
      </c>
      <c r="K105">
        <v>3</v>
      </c>
      <c r="L105" s="1" t="s">
        <v>55</v>
      </c>
      <c r="M105">
        <v>35</v>
      </c>
      <c r="N105" s="1" t="s">
        <v>29</v>
      </c>
      <c r="O105" s="1" t="s">
        <v>56</v>
      </c>
      <c r="P105">
        <v>1</v>
      </c>
      <c r="Q105" s="1" t="s">
        <v>31</v>
      </c>
      <c r="R105">
        <v>1</v>
      </c>
      <c r="S105" s="1" t="s">
        <v>32</v>
      </c>
      <c r="T105" s="1" t="s">
        <v>33</v>
      </c>
      <c r="U105" s="1" t="s">
        <v>34</v>
      </c>
      <c r="V105" s="1" t="str">
        <f>_xlfn.XLOOKUP(A105,Dictonary!$A$2:$A$5,Dictonary!$B$2:$B$5)</f>
        <v>Low balance</v>
      </c>
      <c r="W105" s="1" t="str">
        <f>_xlfn.XLOOKUP(D105,Dictonary!$D$2:$D$12,Dictonary!$E$2:$E$12)</f>
        <v>furniture/equipment</v>
      </c>
      <c r="X105" s="1" t="str">
        <f>_xlfn.XLOOKUP(F105,Dictonary!$G$2:$G$6,Dictonary!$H$2:$H$6)</f>
        <v>Less 100</v>
      </c>
      <c r="Y105" s="1" t="str">
        <f>_xlfn.XLOOKUP(I105,Dictonary!$J$2:$J$6,Dictonary!$K$2:$K$6)</f>
        <v>male : single</v>
      </c>
      <c r="Z105" s="1" t="str">
        <f>_xlfn.XLOOKUP(Q105,Dictonary!$M$2:$M$5,Dictonary!$N$2:$N$5)</f>
        <v>skilled employee / official</v>
      </c>
      <c r="AA105" s="1" t="str">
        <f>_xlfn.XLOOKUP(O105,Dictonary!$P$2:$P$4,Dictonary!$Q$2:$Q$4)</f>
        <v>rent</v>
      </c>
    </row>
    <row r="106" spans="1:27" x14ac:dyDescent="0.3">
      <c r="A106" s="1" t="s">
        <v>42</v>
      </c>
      <c r="B106">
        <v>12</v>
      </c>
      <c r="C106" s="1" t="s">
        <v>36</v>
      </c>
      <c r="D106" s="1" t="s">
        <v>54</v>
      </c>
      <c r="E106">
        <v>2445</v>
      </c>
      <c r="F106" s="1" t="s">
        <v>24</v>
      </c>
      <c r="G106" s="1" t="s">
        <v>62</v>
      </c>
      <c r="H106">
        <v>2</v>
      </c>
      <c r="I106" s="1" t="s">
        <v>61</v>
      </c>
      <c r="J106" s="1" t="s">
        <v>27</v>
      </c>
      <c r="K106">
        <v>4</v>
      </c>
      <c r="L106" s="1" t="s">
        <v>55</v>
      </c>
      <c r="M106">
        <v>26</v>
      </c>
      <c r="N106" s="1" t="s">
        <v>29</v>
      </c>
      <c r="O106" s="1" t="s">
        <v>56</v>
      </c>
      <c r="P106">
        <v>1</v>
      </c>
      <c r="Q106" s="1" t="s">
        <v>31</v>
      </c>
      <c r="R106">
        <v>1</v>
      </c>
      <c r="S106" s="1" t="s">
        <v>32</v>
      </c>
      <c r="T106" s="1" t="s">
        <v>33</v>
      </c>
      <c r="U106" s="1" t="s">
        <v>34</v>
      </c>
      <c r="V106" s="1" t="str">
        <f>_xlfn.XLOOKUP(A106,Dictonary!$A$2:$A$5,Dictonary!$B$2:$B$5)</f>
        <v>No information</v>
      </c>
      <c r="W106" s="1" t="str">
        <f>_xlfn.XLOOKUP(D106,Dictonary!$D$2:$D$12,Dictonary!$E$2:$E$12)</f>
        <v>car (used)</v>
      </c>
      <c r="X106" s="1" t="str">
        <f>_xlfn.XLOOKUP(F106,Dictonary!$G$2:$G$6,Dictonary!$H$2:$H$6)</f>
        <v>No information</v>
      </c>
      <c r="Y106" s="1" t="str">
        <f>_xlfn.XLOOKUP(I106,Dictonary!$J$2:$J$6,Dictonary!$K$2:$K$6)</f>
        <v>male : married/widowed</v>
      </c>
      <c r="Z106" s="1" t="str">
        <f>_xlfn.XLOOKUP(Q106,Dictonary!$M$2:$M$5,Dictonary!$N$2:$N$5)</f>
        <v>skilled employee / official</v>
      </c>
      <c r="AA106" s="1" t="str">
        <f>_xlfn.XLOOKUP(O106,Dictonary!$P$2:$P$4,Dictonary!$Q$2:$Q$4)</f>
        <v>rent</v>
      </c>
    </row>
    <row r="107" spans="1:27" x14ac:dyDescent="0.3">
      <c r="A107" s="1" t="s">
        <v>35</v>
      </c>
      <c r="B107">
        <v>24</v>
      </c>
      <c r="C107" s="1" t="s">
        <v>22</v>
      </c>
      <c r="D107" s="1" t="s">
        <v>75</v>
      </c>
      <c r="E107">
        <v>11938</v>
      </c>
      <c r="F107" s="1" t="s">
        <v>37</v>
      </c>
      <c r="G107" s="1" t="s">
        <v>38</v>
      </c>
      <c r="H107">
        <v>2</v>
      </c>
      <c r="I107" s="1" t="s">
        <v>26</v>
      </c>
      <c r="J107" s="1" t="s">
        <v>71</v>
      </c>
      <c r="K107">
        <v>3</v>
      </c>
      <c r="L107" s="1" t="s">
        <v>55</v>
      </c>
      <c r="M107">
        <v>39</v>
      </c>
      <c r="N107" s="1" t="s">
        <v>29</v>
      </c>
      <c r="O107" s="1" t="s">
        <v>30</v>
      </c>
      <c r="P107">
        <v>2</v>
      </c>
      <c r="Q107" s="1" t="s">
        <v>57</v>
      </c>
      <c r="R107">
        <v>2</v>
      </c>
      <c r="S107" s="1" t="s">
        <v>32</v>
      </c>
      <c r="T107" s="1" t="s">
        <v>33</v>
      </c>
      <c r="U107" s="1" t="s">
        <v>41</v>
      </c>
      <c r="V107" s="1" t="str">
        <f>_xlfn.XLOOKUP(A107,Dictonary!$A$2:$A$5,Dictonary!$B$2:$B$5)</f>
        <v>Low balance</v>
      </c>
      <c r="W107" s="1" t="str">
        <f>_xlfn.XLOOKUP(D107,Dictonary!$D$2:$D$12,Dictonary!$E$2:$E$12)</f>
        <v>others</v>
      </c>
      <c r="X107" s="1" t="str">
        <f>_xlfn.XLOOKUP(F107,Dictonary!$G$2:$G$6,Dictonary!$H$2:$H$6)</f>
        <v>Less 100</v>
      </c>
      <c r="Y107" s="1" t="str">
        <f>_xlfn.XLOOKUP(I107,Dictonary!$J$2:$J$6,Dictonary!$K$2:$K$6)</f>
        <v>male : single</v>
      </c>
      <c r="Z107" s="1" t="str">
        <f>_xlfn.XLOOKUP(Q107,Dictonary!$M$2:$M$5,Dictonary!$N$2:$N$5)</f>
        <v>management/ self-employed/ highly qualified employee/ officer</v>
      </c>
      <c r="AA107" s="1" t="str">
        <f>_xlfn.XLOOKUP(O107,Dictonary!$P$2:$P$4,Dictonary!$Q$2:$Q$4)</f>
        <v>own</v>
      </c>
    </row>
    <row r="108" spans="1:27" x14ac:dyDescent="0.3">
      <c r="A108" s="1" t="s">
        <v>42</v>
      </c>
      <c r="B108">
        <v>18</v>
      </c>
      <c r="C108" s="1" t="s">
        <v>69</v>
      </c>
      <c r="D108" s="1" t="s">
        <v>51</v>
      </c>
      <c r="E108">
        <v>6458</v>
      </c>
      <c r="F108" s="1" t="s">
        <v>37</v>
      </c>
      <c r="G108" s="1" t="s">
        <v>25</v>
      </c>
      <c r="H108">
        <v>2</v>
      </c>
      <c r="I108" s="1" t="s">
        <v>26</v>
      </c>
      <c r="J108" s="1" t="s">
        <v>27</v>
      </c>
      <c r="K108">
        <v>4</v>
      </c>
      <c r="L108" s="1" t="s">
        <v>52</v>
      </c>
      <c r="M108">
        <v>39</v>
      </c>
      <c r="N108" s="1" t="s">
        <v>66</v>
      </c>
      <c r="O108" s="1" t="s">
        <v>30</v>
      </c>
      <c r="P108">
        <v>2</v>
      </c>
      <c r="Q108" s="1" t="s">
        <v>57</v>
      </c>
      <c r="R108">
        <v>2</v>
      </c>
      <c r="S108" s="1" t="s">
        <v>32</v>
      </c>
      <c r="T108" s="1" t="s">
        <v>33</v>
      </c>
      <c r="U108" s="1" t="s">
        <v>41</v>
      </c>
      <c r="V108" s="1" t="str">
        <f>_xlfn.XLOOKUP(A108,Dictonary!$A$2:$A$5,Dictonary!$B$2:$B$5)</f>
        <v>No information</v>
      </c>
      <c r="W108" s="1" t="str">
        <f>_xlfn.XLOOKUP(D108,Dictonary!$D$2:$D$12,Dictonary!$E$2:$E$12)</f>
        <v>car (new)</v>
      </c>
      <c r="X108" s="1" t="str">
        <f>_xlfn.XLOOKUP(F108,Dictonary!$G$2:$G$6,Dictonary!$H$2:$H$6)</f>
        <v>Less 100</v>
      </c>
      <c r="Y108" s="1" t="str">
        <f>_xlfn.XLOOKUP(I108,Dictonary!$J$2:$J$6,Dictonary!$K$2:$K$6)</f>
        <v>male : single</v>
      </c>
      <c r="Z108" s="1" t="str">
        <f>_xlfn.XLOOKUP(Q108,Dictonary!$M$2:$M$5,Dictonary!$N$2:$N$5)</f>
        <v>management/ self-employed/ highly qualified employee/ officer</v>
      </c>
      <c r="AA108" s="1" t="str">
        <f>_xlfn.XLOOKUP(O108,Dictonary!$P$2:$P$4,Dictonary!$Q$2:$Q$4)</f>
        <v>own</v>
      </c>
    </row>
    <row r="109" spans="1:27" x14ac:dyDescent="0.3">
      <c r="A109" s="1" t="s">
        <v>35</v>
      </c>
      <c r="B109">
        <v>12</v>
      </c>
      <c r="C109" s="1" t="s">
        <v>36</v>
      </c>
      <c r="D109" s="1" t="s">
        <v>51</v>
      </c>
      <c r="E109">
        <v>6078</v>
      </c>
      <c r="F109" s="1" t="s">
        <v>37</v>
      </c>
      <c r="G109" s="1" t="s">
        <v>44</v>
      </c>
      <c r="H109">
        <v>2</v>
      </c>
      <c r="I109" s="1" t="s">
        <v>26</v>
      </c>
      <c r="J109" s="1" t="s">
        <v>27</v>
      </c>
      <c r="K109">
        <v>2</v>
      </c>
      <c r="L109" s="1" t="s">
        <v>55</v>
      </c>
      <c r="M109">
        <v>32</v>
      </c>
      <c r="N109" s="1" t="s">
        <v>29</v>
      </c>
      <c r="O109" s="1" t="s">
        <v>30</v>
      </c>
      <c r="P109">
        <v>1</v>
      </c>
      <c r="Q109" s="1" t="s">
        <v>31</v>
      </c>
      <c r="R109">
        <v>1</v>
      </c>
      <c r="S109" s="1" t="s">
        <v>40</v>
      </c>
      <c r="T109" s="1" t="s">
        <v>33</v>
      </c>
      <c r="U109" s="1" t="s">
        <v>34</v>
      </c>
      <c r="V109" s="1" t="str">
        <f>_xlfn.XLOOKUP(A109,Dictonary!$A$2:$A$5,Dictonary!$B$2:$B$5)</f>
        <v>Low balance</v>
      </c>
      <c r="W109" s="1" t="str">
        <f>_xlfn.XLOOKUP(D109,Dictonary!$D$2:$D$12,Dictonary!$E$2:$E$12)</f>
        <v>car (new)</v>
      </c>
      <c r="X109" s="1" t="str">
        <f>_xlfn.XLOOKUP(F109,Dictonary!$G$2:$G$6,Dictonary!$H$2:$H$6)</f>
        <v>Less 100</v>
      </c>
      <c r="Y109" s="1" t="str">
        <f>_xlfn.XLOOKUP(I109,Dictonary!$J$2:$J$6,Dictonary!$K$2:$K$6)</f>
        <v>male : single</v>
      </c>
      <c r="Z109" s="1" t="str">
        <f>_xlfn.XLOOKUP(Q109,Dictonary!$M$2:$M$5,Dictonary!$N$2:$N$5)</f>
        <v>skilled employee / official</v>
      </c>
      <c r="AA109" s="1" t="str">
        <f>_xlfn.XLOOKUP(O109,Dictonary!$P$2:$P$4,Dictonary!$Q$2:$Q$4)</f>
        <v>own</v>
      </c>
    </row>
    <row r="110" spans="1:27" x14ac:dyDescent="0.3">
      <c r="A110" s="1" t="s">
        <v>21</v>
      </c>
      <c r="B110">
        <v>24</v>
      </c>
      <c r="C110" s="1" t="s">
        <v>36</v>
      </c>
      <c r="D110" s="1" t="s">
        <v>46</v>
      </c>
      <c r="E110">
        <v>7721</v>
      </c>
      <c r="F110" s="1" t="s">
        <v>24</v>
      </c>
      <c r="G110" s="1" t="s">
        <v>62</v>
      </c>
      <c r="H110">
        <v>1</v>
      </c>
      <c r="I110" s="1" t="s">
        <v>39</v>
      </c>
      <c r="J110" s="1" t="s">
        <v>27</v>
      </c>
      <c r="K110">
        <v>2</v>
      </c>
      <c r="L110" s="1" t="s">
        <v>48</v>
      </c>
      <c r="M110">
        <v>30</v>
      </c>
      <c r="N110" s="1" t="s">
        <v>29</v>
      </c>
      <c r="O110" s="1" t="s">
        <v>30</v>
      </c>
      <c r="P110">
        <v>1</v>
      </c>
      <c r="Q110" s="1" t="s">
        <v>31</v>
      </c>
      <c r="R110">
        <v>1</v>
      </c>
      <c r="S110" s="1" t="s">
        <v>32</v>
      </c>
      <c r="T110" s="1" t="s">
        <v>67</v>
      </c>
      <c r="U110" s="1" t="s">
        <v>34</v>
      </c>
      <c r="V110" s="1" t="str">
        <f>_xlfn.XLOOKUP(A110,Dictonary!$A$2:$A$5,Dictonary!$B$2:$B$5)</f>
        <v>Negative balance</v>
      </c>
      <c r="W110" s="1" t="str">
        <f>_xlfn.XLOOKUP(D110,Dictonary!$D$2:$D$12,Dictonary!$E$2:$E$12)</f>
        <v>furniture/equipment</v>
      </c>
      <c r="X110" s="1" t="str">
        <f>_xlfn.XLOOKUP(F110,Dictonary!$G$2:$G$6,Dictonary!$H$2:$H$6)</f>
        <v>No information</v>
      </c>
      <c r="Y110" s="1" t="str">
        <f>_xlfn.XLOOKUP(I110,Dictonary!$J$2:$J$6,Dictonary!$K$2:$K$6)</f>
        <v>female : divorced/separated/married</v>
      </c>
      <c r="Z110" s="1" t="str">
        <f>_xlfn.XLOOKUP(Q110,Dictonary!$M$2:$M$5,Dictonary!$N$2:$N$5)</f>
        <v>skilled employee / official</v>
      </c>
      <c r="AA110" s="1" t="str">
        <f>_xlfn.XLOOKUP(O110,Dictonary!$P$2:$P$4,Dictonary!$Q$2:$Q$4)</f>
        <v>own</v>
      </c>
    </row>
    <row r="111" spans="1:27" x14ac:dyDescent="0.3">
      <c r="A111" s="1" t="s">
        <v>35</v>
      </c>
      <c r="B111">
        <v>14</v>
      </c>
      <c r="C111" s="1" t="s">
        <v>36</v>
      </c>
      <c r="D111" s="1" t="s">
        <v>63</v>
      </c>
      <c r="E111">
        <v>1410</v>
      </c>
      <c r="F111" s="1" t="s">
        <v>53</v>
      </c>
      <c r="G111" s="1" t="s">
        <v>25</v>
      </c>
      <c r="H111">
        <v>1</v>
      </c>
      <c r="I111" s="1" t="s">
        <v>61</v>
      </c>
      <c r="J111" s="1" t="s">
        <v>27</v>
      </c>
      <c r="K111">
        <v>2</v>
      </c>
      <c r="L111" s="1" t="s">
        <v>28</v>
      </c>
      <c r="M111">
        <v>35</v>
      </c>
      <c r="N111" s="1" t="s">
        <v>29</v>
      </c>
      <c r="O111" s="1" t="s">
        <v>30</v>
      </c>
      <c r="P111">
        <v>1</v>
      </c>
      <c r="Q111" s="1" t="s">
        <v>31</v>
      </c>
      <c r="R111">
        <v>1</v>
      </c>
      <c r="S111" s="1" t="s">
        <v>32</v>
      </c>
      <c r="T111" s="1" t="s">
        <v>33</v>
      </c>
      <c r="U111" s="1" t="s">
        <v>34</v>
      </c>
      <c r="V111" s="1" t="str">
        <f>_xlfn.XLOOKUP(A111,Dictonary!$A$2:$A$5,Dictonary!$B$2:$B$5)</f>
        <v>Low balance</v>
      </c>
      <c r="W111" s="1" t="str">
        <f>_xlfn.XLOOKUP(D111,Dictonary!$D$2:$D$12,Dictonary!$E$2:$E$12)</f>
        <v>business</v>
      </c>
      <c r="X111" s="1" t="str">
        <f>_xlfn.XLOOKUP(F111,Dictonary!$G$2:$G$6,Dictonary!$H$2:$H$6)</f>
        <v>Up to 1000</v>
      </c>
      <c r="Y111" s="1" t="str">
        <f>_xlfn.XLOOKUP(I111,Dictonary!$J$2:$J$6,Dictonary!$K$2:$K$6)</f>
        <v>male : married/widowed</v>
      </c>
      <c r="Z111" s="1" t="str">
        <f>_xlfn.XLOOKUP(Q111,Dictonary!$M$2:$M$5,Dictonary!$N$2:$N$5)</f>
        <v>skilled employee / official</v>
      </c>
      <c r="AA111" s="1" t="str">
        <f>_xlfn.XLOOKUP(O111,Dictonary!$P$2:$P$4,Dictonary!$Q$2:$Q$4)</f>
        <v>own</v>
      </c>
    </row>
    <row r="112" spans="1:27" x14ac:dyDescent="0.3">
      <c r="A112" s="1" t="s">
        <v>35</v>
      </c>
      <c r="B112">
        <v>6</v>
      </c>
      <c r="C112" s="1" t="s">
        <v>50</v>
      </c>
      <c r="D112" s="1" t="s">
        <v>63</v>
      </c>
      <c r="E112">
        <v>1449</v>
      </c>
      <c r="F112" s="1" t="s">
        <v>64</v>
      </c>
      <c r="G112" s="1" t="s">
        <v>25</v>
      </c>
      <c r="H112">
        <v>1</v>
      </c>
      <c r="I112" s="1" t="s">
        <v>59</v>
      </c>
      <c r="J112" s="1" t="s">
        <v>27</v>
      </c>
      <c r="K112">
        <v>2</v>
      </c>
      <c r="L112" s="1" t="s">
        <v>55</v>
      </c>
      <c r="M112">
        <v>31</v>
      </c>
      <c r="N112" s="1" t="s">
        <v>66</v>
      </c>
      <c r="O112" s="1" t="s">
        <v>30</v>
      </c>
      <c r="P112">
        <v>2</v>
      </c>
      <c r="Q112" s="1" t="s">
        <v>31</v>
      </c>
      <c r="R112">
        <v>2</v>
      </c>
      <c r="S112" s="1" t="s">
        <v>40</v>
      </c>
      <c r="T112" s="1" t="s">
        <v>33</v>
      </c>
      <c r="U112" s="1" t="s">
        <v>34</v>
      </c>
      <c r="V112" s="1" t="str">
        <f>_xlfn.XLOOKUP(A112,Dictonary!$A$2:$A$5,Dictonary!$B$2:$B$5)</f>
        <v>Low balance</v>
      </c>
      <c r="W112" s="1" t="str">
        <f>_xlfn.XLOOKUP(D112,Dictonary!$D$2:$D$12,Dictonary!$E$2:$E$12)</f>
        <v>business</v>
      </c>
      <c r="X112" s="1" t="str">
        <f>_xlfn.XLOOKUP(F112,Dictonary!$G$2:$G$6,Dictonary!$H$2:$H$6)</f>
        <v>Up to 500</v>
      </c>
      <c r="Y112" s="1" t="str">
        <f>_xlfn.XLOOKUP(I112,Dictonary!$J$2:$J$6,Dictonary!$K$2:$K$6)</f>
        <v>male : divorced/separated</v>
      </c>
      <c r="Z112" s="1" t="str">
        <f>_xlfn.XLOOKUP(Q112,Dictonary!$M$2:$M$5,Dictonary!$N$2:$N$5)</f>
        <v>skilled employee / official</v>
      </c>
      <c r="AA112" s="1" t="str">
        <f>_xlfn.XLOOKUP(O112,Dictonary!$P$2:$P$4,Dictonary!$Q$2:$Q$4)</f>
        <v>own</v>
      </c>
    </row>
    <row r="113" spans="1:27" x14ac:dyDescent="0.3">
      <c r="A113" s="1" t="s">
        <v>68</v>
      </c>
      <c r="B113">
        <v>15</v>
      </c>
      <c r="C113" s="1" t="s">
        <v>36</v>
      </c>
      <c r="D113" s="1" t="s">
        <v>43</v>
      </c>
      <c r="E113">
        <v>392</v>
      </c>
      <c r="F113" s="1" t="s">
        <v>37</v>
      </c>
      <c r="G113" s="1" t="s">
        <v>62</v>
      </c>
      <c r="H113">
        <v>4</v>
      </c>
      <c r="I113" s="1" t="s">
        <v>39</v>
      </c>
      <c r="J113" s="1" t="s">
        <v>27</v>
      </c>
      <c r="K113">
        <v>4</v>
      </c>
      <c r="L113" s="1" t="s">
        <v>48</v>
      </c>
      <c r="M113">
        <v>23</v>
      </c>
      <c r="N113" s="1" t="s">
        <v>29</v>
      </c>
      <c r="O113" s="1" t="s">
        <v>56</v>
      </c>
      <c r="P113">
        <v>1</v>
      </c>
      <c r="Q113" s="1" t="s">
        <v>31</v>
      </c>
      <c r="R113">
        <v>1</v>
      </c>
      <c r="S113" s="1" t="s">
        <v>32</v>
      </c>
      <c r="T113" s="1" t="s">
        <v>33</v>
      </c>
      <c r="U113" s="1" t="s">
        <v>34</v>
      </c>
      <c r="V113" s="1" t="str">
        <f>_xlfn.XLOOKUP(A113,Dictonary!$A$2:$A$5,Dictonary!$B$2:$B$5)</f>
        <v>Normal balance</v>
      </c>
      <c r="W113" s="1" t="str">
        <f>_xlfn.XLOOKUP(D113,Dictonary!$D$2:$D$12,Dictonary!$E$2:$E$12)</f>
        <v>education</v>
      </c>
      <c r="X113" s="1" t="str">
        <f>_xlfn.XLOOKUP(F113,Dictonary!$G$2:$G$6,Dictonary!$H$2:$H$6)</f>
        <v>Less 100</v>
      </c>
      <c r="Y113" s="1" t="str">
        <f>_xlfn.XLOOKUP(I113,Dictonary!$J$2:$J$6,Dictonary!$K$2:$K$6)</f>
        <v>female : divorced/separated/married</v>
      </c>
      <c r="Z113" s="1" t="str">
        <f>_xlfn.XLOOKUP(Q113,Dictonary!$M$2:$M$5,Dictonary!$N$2:$N$5)</f>
        <v>skilled employee / official</v>
      </c>
      <c r="AA113" s="1" t="str">
        <f>_xlfn.XLOOKUP(O113,Dictonary!$P$2:$P$4,Dictonary!$Q$2:$Q$4)</f>
        <v>rent</v>
      </c>
    </row>
    <row r="114" spans="1:27" x14ac:dyDescent="0.3">
      <c r="A114" s="1" t="s">
        <v>35</v>
      </c>
      <c r="B114">
        <v>18</v>
      </c>
      <c r="C114" s="1" t="s">
        <v>36</v>
      </c>
      <c r="D114" s="1" t="s">
        <v>51</v>
      </c>
      <c r="E114">
        <v>6260</v>
      </c>
      <c r="F114" s="1" t="s">
        <v>37</v>
      </c>
      <c r="G114" s="1" t="s">
        <v>44</v>
      </c>
      <c r="H114">
        <v>3</v>
      </c>
      <c r="I114" s="1" t="s">
        <v>26</v>
      </c>
      <c r="J114" s="1" t="s">
        <v>27</v>
      </c>
      <c r="K114">
        <v>3</v>
      </c>
      <c r="L114" s="1" t="s">
        <v>28</v>
      </c>
      <c r="M114">
        <v>28</v>
      </c>
      <c r="N114" s="1" t="s">
        <v>29</v>
      </c>
      <c r="O114" s="1" t="s">
        <v>56</v>
      </c>
      <c r="P114">
        <v>1</v>
      </c>
      <c r="Q114" s="1" t="s">
        <v>45</v>
      </c>
      <c r="R114">
        <v>1</v>
      </c>
      <c r="S114" s="1" t="s">
        <v>40</v>
      </c>
      <c r="T114" s="1" t="s">
        <v>33</v>
      </c>
      <c r="U114" s="1" t="s">
        <v>34</v>
      </c>
      <c r="V114" s="1" t="str">
        <f>_xlfn.XLOOKUP(A114,Dictonary!$A$2:$A$5,Dictonary!$B$2:$B$5)</f>
        <v>Low balance</v>
      </c>
      <c r="W114" s="1" t="str">
        <f>_xlfn.XLOOKUP(D114,Dictonary!$D$2:$D$12,Dictonary!$E$2:$E$12)</f>
        <v>car (new)</v>
      </c>
      <c r="X114" s="1" t="str">
        <f>_xlfn.XLOOKUP(F114,Dictonary!$G$2:$G$6,Dictonary!$H$2:$H$6)</f>
        <v>Less 100</v>
      </c>
      <c r="Y114" s="1" t="str">
        <f>_xlfn.XLOOKUP(I114,Dictonary!$J$2:$J$6,Dictonary!$K$2:$K$6)</f>
        <v>male : single</v>
      </c>
      <c r="Z114" s="1" t="str">
        <f>_xlfn.XLOOKUP(Q114,Dictonary!$M$2:$M$5,Dictonary!$N$2:$N$5)</f>
        <v>unskilled - resident</v>
      </c>
      <c r="AA114" s="1" t="str">
        <f>_xlfn.XLOOKUP(O114,Dictonary!$P$2:$P$4,Dictonary!$Q$2:$Q$4)</f>
        <v>rent</v>
      </c>
    </row>
    <row r="115" spans="1:27" x14ac:dyDescent="0.3">
      <c r="A115" s="1" t="s">
        <v>42</v>
      </c>
      <c r="B115">
        <v>36</v>
      </c>
      <c r="C115" s="1" t="s">
        <v>22</v>
      </c>
      <c r="D115" s="1" t="s">
        <v>51</v>
      </c>
      <c r="E115">
        <v>7855</v>
      </c>
      <c r="F115" s="1" t="s">
        <v>37</v>
      </c>
      <c r="G115" s="1" t="s">
        <v>38</v>
      </c>
      <c r="H115">
        <v>4</v>
      </c>
      <c r="I115" s="1" t="s">
        <v>39</v>
      </c>
      <c r="J115" s="1" t="s">
        <v>27</v>
      </c>
      <c r="K115">
        <v>2</v>
      </c>
      <c r="L115" s="1" t="s">
        <v>28</v>
      </c>
      <c r="M115">
        <v>25</v>
      </c>
      <c r="N115" s="1" t="s">
        <v>70</v>
      </c>
      <c r="O115" s="1" t="s">
        <v>30</v>
      </c>
      <c r="P115">
        <v>2</v>
      </c>
      <c r="Q115" s="1" t="s">
        <v>31</v>
      </c>
      <c r="R115">
        <v>1</v>
      </c>
      <c r="S115" s="1" t="s">
        <v>32</v>
      </c>
      <c r="T115" s="1" t="s">
        <v>33</v>
      </c>
      <c r="U115" s="1" t="s">
        <v>41</v>
      </c>
      <c r="V115" s="1" t="str">
        <f>_xlfn.XLOOKUP(A115,Dictonary!$A$2:$A$5,Dictonary!$B$2:$B$5)</f>
        <v>No information</v>
      </c>
      <c r="W115" s="1" t="str">
        <f>_xlfn.XLOOKUP(D115,Dictonary!$D$2:$D$12,Dictonary!$E$2:$E$12)</f>
        <v>car (new)</v>
      </c>
      <c r="X115" s="1" t="str">
        <f>_xlfn.XLOOKUP(F115,Dictonary!$G$2:$G$6,Dictonary!$H$2:$H$6)</f>
        <v>Less 100</v>
      </c>
      <c r="Y115" s="1" t="str">
        <f>_xlfn.XLOOKUP(I115,Dictonary!$J$2:$J$6,Dictonary!$K$2:$K$6)</f>
        <v>female : divorced/separated/married</v>
      </c>
      <c r="Z115" s="1" t="str">
        <f>_xlfn.XLOOKUP(Q115,Dictonary!$M$2:$M$5,Dictonary!$N$2:$N$5)</f>
        <v>skilled employee / official</v>
      </c>
      <c r="AA115" s="1" t="str">
        <f>_xlfn.XLOOKUP(O115,Dictonary!$P$2:$P$4,Dictonary!$Q$2:$Q$4)</f>
        <v>own</v>
      </c>
    </row>
    <row r="116" spans="1:27" x14ac:dyDescent="0.3">
      <c r="A116" s="1" t="s">
        <v>21</v>
      </c>
      <c r="B116">
        <v>12</v>
      </c>
      <c r="C116" s="1" t="s">
        <v>36</v>
      </c>
      <c r="D116" s="1" t="s">
        <v>23</v>
      </c>
      <c r="E116">
        <v>1680</v>
      </c>
      <c r="F116" s="1" t="s">
        <v>53</v>
      </c>
      <c r="G116" s="1" t="s">
        <v>25</v>
      </c>
      <c r="H116">
        <v>3</v>
      </c>
      <c r="I116" s="1" t="s">
        <v>61</v>
      </c>
      <c r="J116" s="1" t="s">
        <v>27</v>
      </c>
      <c r="K116">
        <v>1</v>
      </c>
      <c r="L116" s="1" t="s">
        <v>28</v>
      </c>
      <c r="M116">
        <v>35</v>
      </c>
      <c r="N116" s="1" t="s">
        <v>29</v>
      </c>
      <c r="O116" s="1" t="s">
        <v>30</v>
      </c>
      <c r="P116">
        <v>1</v>
      </c>
      <c r="Q116" s="1" t="s">
        <v>31</v>
      </c>
      <c r="R116">
        <v>1</v>
      </c>
      <c r="S116" s="1" t="s">
        <v>40</v>
      </c>
      <c r="T116" s="1" t="s">
        <v>33</v>
      </c>
      <c r="U116" s="1" t="s">
        <v>34</v>
      </c>
      <c r="V116" s="1" t="str">
        <f>_xlfn.XLOOKUP(A116,Dictonary!$A$2:$A$5,Dictonary!$B$2:$B$5)</f>
        <v>Negative balance</v>
      </c>
      <c r="W116" s="1" t="str">
        <f>_xlfn.XLOOKUP(D116,Dictonary!$D$2:$D$12,Dictonary!$E$2:$E$12)</f>
        <v>radio/television</v>
      </c>
      <c r="X116" s="1" t="str">
        <f>_xlfn.XLOOKUP(F116,Dictonary!$G$2:$G$6,Dictonary!$H$2:$H$6)</f>
        <v>Up to 1000</v>
      </c>
      <c r="Y116" s="1" t="str">
        <f>_xlfn.XLOOKUP(I116,Dictonary!$J$2:$J$6,Dictonary!$K$2:$K$6)</f>
        <v>male : married/widowed</v>
      </c>
      <c r="Z116" s="1" t="str">
        <f>_xlfn.XLOOKUP(Q116,Dictonary!$M$2:$M$5,Dictonary!$N$2:$N$5)</f>
        <v>skilled employee / official</v>
      </c>
      <c r="AA116" s="1" t="str">
        <f>_xlfn.XLOOKUP(O116,Dictonary!$P$2:$P$4,Dictonary!$Q$2:$Q$4)</f>
        <v>own</v>
      </c>
    </row>
    <row r="117" spans="1:27" x14ac:dyDescent="0.3">
      <c r="A117" s="1" t="s">
        <v>42</v>
      </c>
      <c r="B117">
        <v>48</v>
      </c>
      <c r="C117" s="1" t="s">
        <v>22</v>
      </c>
      <c r="D117" s="1" t="s">
        <v>23</v>
      </c>
      <c r="E117">
        <v>3578</v>
      </c>
      <c r="F117" s="1" t="s">
        <v>24</v>
      </c>
      <c r="G117" s="1" t="s">
        <v>25</v>
      </c>
      <c r="H117">
        <v>4</v>
      </c>
      <c r="I117" s="1" t="s">
        <v>26</v>
      </c>
      <c r="J117" s="1" t="s">
        <v>27</v>
      </c>
      <c r="K117">
        <v>1</v>
      </c>
      <c r="L117" s="1" t="s">
        <v>28</v>
      </c>
      <c r="M117">
        <v>47</v>
      </c>
      <c r="N117" s="1" t="s">
        <v>29</v>
      </c>
      <c r="O117" s="1" t="s">
        <v>30</v>
      </c>
      <c r="P117">
        <v>1</v>
      </c>
      <c r="Q117" s="1" t="s">
        <v>31</v>
      </c>
      <c r="R117">
        <v>1</v>
      </c>
      <c r="S117" s="1" t="s">
        <v>32</v>
      </c>
      <c r="T117" s="1" t="s">
        <v>33</v>
      </c>
      <c r="U117" s="1" t="s">
        <v>34</v>
      </c>
      <c r="V117" s="1" t="str">
        <f>_xlfn.XLOOKUP(A117,Dictonary!$A$2:$A$5,Dictonary!$B$2:$B$5)</f>
        <v>No information</v>
      </c>
      <c r="W117" s="1" t="str">
        <f>_xlfn.XLOOKUP(D117,Dictonary!$D$2:$D$12,Dictonary!$E$2:$E$12)</f>
        <v>radio/television</v>
      </c>
      <c r="X117" s="1" t="str">
        <f>_xlfn.XLOOKUP(F117,Dictonary!$G$2:$G$6,Dictonary!$H$2:$H$6)</f>
        <v>No information</v>
      </c>
      <c r="Y117" s="1" t="str">
        <f>_xlfn.XLOOKUP(I117,Dictonary!$J$2:$J$6,Dictonary!$K$2:$K$6)</f>
        <v>male : single</v>
      </c>
      <c r="Z117" s="1" t="str">
        <f>_xlfn.XLOOKUP(Q117,Dictonary!$M$2:$M$5,Dictonary!$N$2:$N$5)</f>
        <v>skilled employee / official</v>
      </c>
      <c r="AA117" s="1" t="str">
        <f>_xlfn.XLOOKUP(O117,Dictonary!$P$2:$P$4,Dictonary!$Q$2:$Q$4)</f>
        <v>own</v>
      </c>
    </row>
    <row r="118" spans="1:27" x14ac:dyDescent="0.3">
      <c r="A118" s="1" t="s">
        <v>21</v>
      </c>
      <c r="B118">
        <v>42</v>
      </c>
      <c r="C118" s="1" t="s">
        <v>36</v>
      </c>
      <c r="D118" s="1" t="s">
        <v>23</v>
      </c>
      <c r="E118">
        <v>7174</v>
      </c>
      <c r="F118" s="1" t="s">
        <v>24</v>
      </c>
      <c r="G118" s="1" t="s">
        <v>44</v>
      </c>
      <c r="H118">
        <v>4</v>
      </c>
      <c r="I118" s="1" t="s">
        <v>39</v>
      </c>
      <c r="J118" s="1" t="s">
        <v>27</v>
      </c>
      <c r="K118">
        <v>3</v>
      </c>
      <c r="L118" s="1" t="s">
        <v>55</v>
      </c>
      <c r="M118">
        <v>30</v>
      </c>
      <c r="N118" s="1" t="s">
        <v>29</v>
      </c>
      <c r="O118" s="1" t="s">
        <v>30</v>
      </c>
      <c r="P118">
        <v>1</v>
      </c>
      <c r="Q118" s="1" t="s">
        <v>57</v>
      </c>
      <c r="R118">
        <v>1</v>
      </c>
      <c r="S118" s="1" t="s">
        <v>32</v>
      </c>
      <c r="T118" s="1" t="s">
        <v>33</v>
      </c>
      <c r="U118" s="1" t="s">
        <v>41</v>
      </c>
      <c r="V118" s="1" t="str">
        <f>_xlfn.XLOOKUP(A118,Dictonary!$A$2:$A$5,Dictonary!$B$2:$B$5)</f>
        <v>Negative balance</v>
      </c>
      <c r="W118" s="1" t="str">
        <f>_xlfn.XLOOKUP(D118,Dictonary!$D$2:$D$12,Dictonary!$E$2:$E$12)</f>
        <v>radio/television</v>
      </c>
      <c r="X118" s="1" t="str">
        <f>_xlfn.XLOOKUP(F118,Dictonary!$G$2:$G$6,Dictonary!$H$2:$H$6)</f>
        <v>No information</v>
      </c>
      <c r="Y118" s="1" t="str">
        <f>_xlfn.XLOOKUP(I118,Dictonary!$J$2:$J$6,Dictonary!$K$2:$K$6)</f>
        <v>female : divorced/separated/married</v>
      </c>
      <c r="Z118" s="1" t="str">
        <f>_xlfn.XLOOKUP(Q118,Dictonary!$M$2:$M$5,Dictonary!$N$2:$N$5)</f>
        <v>management/ self-employed/ highly qualified employee/ officer</v>
      </c>
      <c r="AA118" s="1" t="str">
        <f>_xlfn.XLOOKUP(O118,Dictonary!$P$2:$P$4,Dictonary!$Q$2:$Q$4)</f>
        <v>own</v>
      </c>
    </row>
    <row r="119" spans="1:27" x14ac:dyDescent="0.3">
      <c r="A119" s="1" t="s">
        <v>21</v>
      </c>
      <c r="B119">
        <v>10</v>
      </c>
      <c r="C119" s="1" t="s">
        <v>22</v>
      </c>
      <c r="D119" s="1" t="s">
        <v>46</v>
      </c>
      <c r="E119">
        <v>2132</v>
      </c>
      <c r="F119" s="1" t="s">
        <v>24</v>
      </c>
      <c r="G119" s="1" t="s">
        <v>62</v>
      </c>
      <c r="H119">
        <v>2</v>
      </c>
      <c r="I119" s="1" t="s">
        <v>39</v>
      </c>
      <c r="J119" s="1" t="s">
        <v>71</v>
      </c>
      <c r="K119">
        <v>3</v>
      </c>
      <c r="L119" s="1" t="s">
        <v>28</v>
      </c>
      <c r="M119">
        <v>27</v>
      </c>
      <c r="N119" s="1" t="s">
        <v>29</v>
      </c>
      <c r="O119" s="1" t="s">
        <v>56</v>
      </c>
      <c r="P119">
        <v>2</v>
      </c>
      <c r="Q119" s="1" t="s">
        <v>31</v>
      </c>
      <c r="R119">
        <v>1</v>
      </c>
      <c r="S119" s="1" t="s">
        <v>40</v>
      </c>
      <c r="T119" s="1" t="s">
        <v>67</v>
      </c>
      <c r="U119" s="1" t="s">
        <v>34</v>
      </c>
      <c r="V119" s="1" t="str">
        <f>_xlfn.XLOOKUP(A119,Dictonary!$A$2:$A$5,Dictonary!$B$2:$B$5)</f>
        <v>Negative balance</v>
      </c>
      <c r="W119" s="1" t="str">
        <f>_xlfn.XLOOKUP(D119,Dictonary!$D$2:$D$12,Dictonary!$E$2:$E$12)</f>
        <v>furniture/equipment</v>
      </c>
      <c r="X119" s="1" t="str">
        <f>_xlfn.XLOOKUP(F119,Dictonary!$G$2:$G$6,Dictonary!$H$2:$H$6)</f>
        <v>No information</v>
      </c>
      <c r="Y119" s="1" t="str">
        <f>_xlfn.XLOOKUP(I119,Dictonary!$J$2:$J$6,Dictonary!$K$2:$K$6)</f>
        <v>female : divorced/separated/married</v>
      </c>
      <c r="Z119" s="1" t="str">
        <f>_xlfn.XLOOKUP(Q119,Dictonary!$M$2:$M$5,Dictonary!$N$2:$N$5)</f>
        <v>skilled employee / official</v>
      </c>
      <c r="AA119" s="1" t="str">
        <f>_xlfn.XLOOKUP(O119,Dictonary!$P$2:$P$4,Dictonary!$Q$2:$Q$4)</f>
        <v>rent</v>
      </c>
    </row>
    <row r="120" spans="1:27" x14ac:dyDescent="0.3">
      <c r="A120" s="1" t="s">
        <v>21</v>
      </c>
      <c r="B120">
        <v>33</v>
      </c>
      <c r="C120" s="1" t="s">
        <v>22</v>
      </c>
      <c r="D120" s="1" t="s">
        <v>46</v>
      </c>
      <c r="E120">
        <v>4281</v>
      </c>
      <c r="F120" s="1" t="s">
        <v>53</v>
      </c>
      <c r="G120" s="1" t="s">
        <v>38</v>
      </c>
      <c r="H120">
        <v>1</v>
      </c>
      <c r="I120" s="1" t="s">
        <v>39</v>
      </c>
      <c r="J120" s="1" t="s">
        <v>27</v>
      </c>
      <c r="K120">
        <v>4</v>
      </c>
      <c r="L120" s="1" t="s">
        <v>55</v>
      </c>
      <c r="M120">
        <v>23</v>
      </c>
      <c r="N120" s="1" t="s">
        <v>29</v>
      </c>
      <c r="O120" s="1" t="s">
        <v>30</v>
      </c>
      <c r="P120">
        <v>2</v>
      </c>
      <c r="Q120" s="1" t="s">
        <v>31</v>
      </c>
      <c r="R120">
        <v>1</v>
      </c>
      <c r="S120" s="1" t="s">
        <v>40</v>
      </c>
      <c r="T120" s="1" t="s">
        <v>33</v>
      </c>
      <c r="U120" s="1" t="s">
        <v>41</v>
      </c>
      <c r="V120" s="1" t="str">
        <f>_xlfn.XLOOKUP(A120,Dictonary!$A$2:$A$5,Dictonary!$B$2:$B$5)</f>
        <v>Negative balance</v>
      </c>
      <c r="W120" s="1" t="str">
        <f>_xlfn.XLOOKUP(D120,Dictonary!$D$2:$D$12,Dictonary!$E$2:$E$12)</f>
        <v>furniture/equipment</v>
      </c>
      <c r="X120" s="1" t="str">
        <f>_xlfn.XLOOKUP(F120,Dictonary!$G$2:$G$6,Dictonary!$H$2:$H$6)</f>
        <v>Up to 1000</v>
      </c>
      <c r="Y120" s="1" t="str">
        <f>_xlfn.XLOOKUP(I120,Dictonary!$J$2:$J$6,Dictonary!$K$2:$K$6)</f>
        <v>female : divorced/separated/married</v>
      </c>
      <c r="Z120" s="1" t="str">
        <f>_xlfn.XLOOKUP(Q120,Dictonary!$M$2:$M$5,Dictonary!$N$2:$N$5)</f>
        <v>skilled employee / official</v>
      </c>
      <c r="AA120" s="1" t="str">
        <f>_xlfn.XLOOKUP(O120,Dictonary!$P$2:$P$4,Dictonary!$Q$2:$Q$4)</f>
        <v>own</v>
      </c>
    </row>
    <row r="121" spans="1:27" x14ac:dyDescent="0.3">
      <c r="A121" s="1" t="s">
        <v>35</v>
      </c>
      <c r="B121">
        <v>12</v>
      </c>
      <c r="C121" s="1" t="s">
        <v>22</v>
      </c>
      <c r="D121" s="1" t="s">
        <v>51</v>
      </c>
      <c r="E121">
        <v>2366</v>
      </c>
      <c r="F121" s="1" t="s">
        <v>53</v>
      </c>
      <c r="G121" s="1" t="s">
        <v>44</v>
      </c>
      <c r="H121">
        <v>3</v>
      </c>
      <c r="I121" s="1" t="s">
        <v>59</v>
      </c>
      <c r="J121" s="1" t="s">
        <v>27</v>
      </c>
      <c r="K121">
        <v>3</v>
      </c>
      <c r="L121" s="1" t="s">
        <v>55</v>
      </c>
      <c r="M121">
        <v>36</v>
      </c>
      <c r="N121" s="1" t="s">
        <v>29</v>
      </c>
      <c r="O121" s="1" t="s">
        <v>30</v>
      </c>
      <c r="P121">
        <v>1</v>
      </c>
      <c r="Q121" s="1" t="s">
        <v>57</v>
      </c>
      <c r="R121">
        <v>1</v>
      </c>
      <c r="S121" s="1" t="s">
        <v>32</v>
      </c>
      <c r="T121" s="1" t="s">
        <v>33</v>
      </c>
      <c r="U121" s="1" t="s">
        <v>34</v>
      </c>
      <c r="V121" s="1" t="str">
        <f>_xlfn.XLOOKUP(A121,Dictonary!$A$2:$A$5,Dictonary!$B$2:$B$5)</f>
        <v>Low balance</v>
      </c>
      <c r="W121" s="1" t="str">
        <f>_xlfn.XLOOKUP(D121,Dictonary!$D$2:$D$12,Dictonary!$E$2:$E$12)</f>
        <v>car (new)</v>
      </c>
      <c r="X121" s="1" t="str">
        <f>_xlfn.XLOOKUP(F121,Dictonary!$G$2:$G$6,Dictonary!$H$2:$H$6)</f>
        <v>Up to 1000</v>
      </c>
      <c r="Y121" s="1" t="str">
        <f>_xlfn.XLOOKUP(I121,Dictonary!$J$2:$J$6,Dictonary!$K$2:$K$6)</f>
        <v>male : divorced/separated</v>
      </c>
      <c r="Z121" s="1" t="str">
        <f>_xlfn.XLOOKUP(Q121,Dictonary!$M$2:$M$5,Dictonary!$N$2:$N$5)</f>
        <v>management/ self-employed/ highly qualified employee/ officer</v>
      </c>
      <c r="AA121" s="1" t="str">
        <f>_xlfn.XLOOKUP(O121,Dictonary!$P$2:$P$4,Dictonary!$Q$2:$Q$4)</f>
        <v>own</v>
      </c>
    </row>
    <row r="122" spans="1:27" x14ac:dyDescent="0.3">
      <c r="A122" s="1" t="s">
        <v>21</v>
      </c>
      <c r="B122">
        <v>21</v>
      </c>
      <c r="C122" s="1" t="s">
        <v>36</v>
      </c>
      <c r="D122" s="1" t="s">
        <v>23</v>
      </c>
      <c r="E122">
        <v>1835</v>
      </c>
      <c r="F122" s="1" t="s">
        <v>37</v>
      </c>
      <c r="G122" s="1" t="s">
        <v>38</v>
      </c>
      <c r="H122">
        <v>3</v>
      </c>
      <c r="I122" s="1" t="s">
        <v>39</v>
      </c>
      <c r="J122" s="1" t="s">
        <v>27</v>
      </c>
      <c r="K122">
        <v>2</v>
      </c>
      <c r="L122" s="1" t="s">
        <v>28</v>
      </c>
      <c r="M122">
        <v>25</v>
      </c>
      <c r="N122" s="1" t="s">
        <v>29</v>
      </c>
      <c r="O122" s="1" t="s">
        <v>30</v>
      </c>
      <c r="P122">
        <v>2</v>
      </c>
      <c r="Q122" s="1" t="s">
        <v>31</v>
      </c>
      <c r="R122">
        <v>1</v>
      </c>
      <c r="S122" s="1" t="s">
        <v>32</v>
      </c>
      <c r="T122" s="1" t="s">
        <v>33</v>
      </c>
      <c r="U122" s="1" t="s">
        <v>41</v>
      </c>
      <c r="V122" s="1" t="str">
        <f>_xlfn.XLOOKUP(A122,Dictonary!$A$2:$A$5,Dictonary!$B$2:$B$5)</f>
        <v>Negative balance</v>
      </c>
      <c r="W122" s="1" t="str">
        <f>_xlfn.XLOOKUP(D122,Dictonary!$D$2:$D$12,Dictonary!$E$2:$E$12)</f>
        <v>radio/television</v>
      </c>
      <c r="X122" s="1" t="str">
        <f>_xlfn.XLOOKUP(F122,Dictonary!$G$2:$G$6,Dictonary!$H$2:$H$6)</f>
        <v>Less 100</v>
      </c>
      <c r="Y122" s="1" t="str">
        <f>_xlfn.XLOOKUP(I122,Dictonary!$J$2:$J$6,Dictonary!$K$2:$K$6)</f>
        <v>female : divorced/separated/married</v>
      </c>
      <c r="Z122" s="1" t="str">
        <f>_xlfn.XLOOKUP(Q122,Dictonary!$M$2:$M$5,Dictonary!$N$2:$N$5)</f>
        <v>skilled employee / official</v>
      </c>
      <c r="AA122" s="1" t="str">
        <f>_xlfn.XLOOKUP(O122,Dictonary!$P$2:$P$4,Dictonary!$Q$2:$Q$4)</f>
        <v>own</v>
      </c>
    </row>
    <row r="123" spans="1:27" x14ac:dyDescent="0.3">
      <c r="A123" s="1" t="s">
        <v>42</v>
      </c>
      <c r="B123">
        <v>24</v>
      </c>
      <c r="C123" s="1" t="s">
        <v>22</v>
      </c>
      <c r="D123" s="1" t="s">
        <v>54</v>
      </c>
      <c r="E123">
        <v>3868</v>
      </c>
      <c r="F123" s="1" t="s">
        <v>37</v>
      </c>
      <c r="G123" s="1" t="s">
        <v>25</v>
      </c>
      <c r="H123">
        <v>4</v>
      </c>
      <c r="I123" s="1" t="s">
        <v>39</v>
      </c>
      <c r="J123" s="1" t="s">
        <v>27</v>
      </c>
      <c r="K123">
        <v>2</v>
      </c>
      <c r="L123" s="1" t="s">
        <v>55</v>
      </c>
      <c r="M123">
        <v>41</v>
      </c>
      <c r="N123" s="1" t="s">
        <v>29</v>
      </c>
      <c r="O123" s="1" t="s">
        <v>56</v>
      </c>
      <c r="P123">
        <v>2</v>
      </c>
      <c r="Q123" s="1" t="s">
        <v>57</v>
      </c>
      <c r="R123">
        <v>1</v>
      </c>
      <c r="S123" s="1" t="s">
        <v>32</v>
      </c>
      <c r="T123" s="1" t="s">
        <v>33</v>
      </c>
      <c r="U123" s="1" t="s">
        <v>34</v>
      </c>
      <c r="V123" s="1" t="str">
        <f>_xlfn.XLOOKUP(A123,Dictonary!$A$2:$A$5,Dictonary!$B$2:$B$5)</f>
        <v>No information</v>
      </c>
      <c r="W123" s="1" t="str">
        <f>_xlfn.XLOOKUP(D123,Dictonary!$D$2:$D$12,Dictonary!$E$2:$E$12)</f>
        <v>car (used)</v>
      </c>
      <c r="X123" s="1" t="str">
        <f>_xlfn.XLOOKUP(F123,Dictonary!$G$2:$G$6,Dictonary!$H$2:$H$6)</f>
        <v>Less 100</v>
      </c>
      <c r="Y123" s="1" t="str">
        <f>_xlfn.XLOOKUP(I123,Dictonary!$J$2:$J$6,Dictonary!$K$2:$K$6)</f>
        <v>female : divorced/separated/married</v>
      </c>
      <c r="Z123" s="1" t="str">
        <f>_xlfn.XLOOKUP(Q123,Dictonary!$M$2:$M$5,Dictonary!$N$2:$N$5)</f>
        <v>management/ self-employed/ highly qualified employee/ officer</v>
      </c>
      <c r="AA123" s="1" t="str">
        <f>_xlfn.XLOOKUP(O123,Dictonary!$P$2:$P$4,Dictonary!$Q$2:$Q$4)</f>
        <v>rent</v>
      </c>
    </row>
    <row r="124" spans="1:27" x14ac:dyDescent="0.3">
      <c r="A124" s="1" t="s">
        <v>42</v>
      </c>
      <c r="B124">
        <v>12</v>
      </c>
      <c r="C124" s="1" t="s">
        <v>36</v>
      </c>
      <c r="D124" s="1" t="s">
        <v>46</v>
      </c>
      <c r="E124">
        <v>1768</v>
      </c>
      <c r="F124" s="1" t="s">
        <v>37</v>
      </c>
      <c r="G124" s="1" t="s">
        <v>38</v>
      </c>
      <c r="H124">
        <v>3</v>
      </c>
      <c r="I124" s="1" t="s">
        <v>26</v>
      </c>
      <c r="J124" s="1" t="s">
        <v>27</v>
      </c>
      <c r="K124">
        <v>2</v>
      </c>
      <c r="L124" s="1" t="s">
        <v>28</v>
      </c>
      <c r="M124">
        <v>24</v>
      </c>
      <c r="N124" s="1" t="s">
        <v>29</v>
      </c>
      <c r="O124" s="1" t="s">
        <v>56</v>
      </c>
      <c r="P124">
        <v>1</v>
      </c>
      <c r="Q124" s="1" t="s">
        <v>45</v>
      </c>
      <c r="R124">
        <v>1</v>
      </c>
      <c r="S124" s="1" t="s">
        <v>40</v>
      </c>
      <c r="T124" s="1" t="s">
        <v>33</v>
      </c>
      <c r="U124" s="1" t="s">
        <v>34</v>
      </c>
      <c r="V124" s="1" t="str">
        <f>_xlfn.XLOOKUP(A124,Dictonary!$A$2:$A$5,Dictonary!$B$2:$B$5)</f>
        <v>No information</v>
      </c>
      <c r="W124" s="1" t="str">
        <f>_xlfn.XLOOKUP(D124,Dictonary!$D$2:$D$12,Dictonary!$E$2:$E$12)</f>
        <v>furniture/equipment</v>
      </c>
      <c r="X124" s="1" t="str">
        <f>_xlfn.XLOOKUP(F124,Dictonary!$G$2:$G$6,Dictonary!$H$2:$H$6)</f>
        <v>Less 100</v>
      </c>
      <c r="Y124" s="1" t="str">
        <f>_xlfn.XLOOKUP(I124,Dictonary!$J$2:$J$6,Dictonary!$K$2:$K$6)</f>
        <v>male : single</v>
      </c>
      <c r="Z124" s="1" t="str">
        <f>_xlfn.XLOOKUP(Q124,Dictonary!$M$2:$M$5,Dictonary!$N$2:$N$5)</f>
        <v>unskilled - resident</v>
      </c>
      <c r="AA124" s="1" t="str">
        <f>_xlfn.XLOOKUP(O124,Dictonary!$P$2:$P$4,Dictonary!$Q$2:$Q$4)</f>
        <v>rent</v>
      </c>
    </row>
    <row r="125" spans="1:27" x14ac:dyDescent="0.3">
      <c r="A125" s="1" t="s">
        <v>68</v>
      </c>
      <c r="B125">
        <v>10</v>
      </c>
      <c r="C125" s="1" t="s">
        <v>22</v>
      </c>
      <c r="D125" s="1" t="s">
        <v>51</v>
      </c>
      <c r="E125">
        <v>781</v>
      </c>
      <c r="F125" s="1" t="s">
        <v>37</v>
      </c>
      <c r="G125" s="1" t="s">
        <v>25</v>
      </c>
      <c r="H125">
        <v>4</v>
      </c>
      <c r="I125" s="1" t="s">
        <v>26</v>
      </c>
      <c r="J125" s="1" t="s">
        <v>27</v>
      </c>
      <c r="K125">
        <v>4</v>
      </c>
      <c r="L125" s="1" t="s">
        <v>52</v>
      </c>
      <c r="M125">
        <v>63</v>
      </c>
      <c r="N125" s="1" t="s">
        <v>29</v>
      </c>
      <c r="O125" s="1" t="s">
        <v>49</v>
      </c>
      <c r="P125">
        <v>2</v>
      </c>
      <c r="Q125" s="1" t="s">
        <v>31</v>
      </c>
      <c r="R125">
        <v>1</v>
      </c>
      <c r="S125" s="1" t="s">
        <v>32</v>
      </c>
      <c r="T125" s="1" t="s">
        <v>33</v>
      </c>
      <c r="U125" s="1" t="s">
        <v>34</v>
      </c>
      <c r="V125" s="1" t="str">
        <f>_xlfn.XLOOKUP(A125,Dictonary!$A$2:$A$5,Dictonary!$B$2:$B$5)</f>
        <v>Normal balance</v>
      </c>
      <c r="W125" s="1" t="str">
        <f>_xlfn.XLOOKUP(D125,Dictonary!$D$2:$D$12,Dictonary!$E$2:$E$12)</f>
        <v>car (new)</v>
      </c>
      <c r="X125" s="1" t="str">
        <f>_xlfn.XLOOKUP(F125,Dictonary!$G$2:$G$6,Dictonary!$H$2:$H$6)</f>
        <v>Less 100</v>
      </c>
      <c r="Y125" s="1" t="str">
        <f>_xlfn.XLOOKUP(I125,Dictonary!$J$2:$J$6,Dictonary!$K$2:$K$6)</f>
        <v>male : single</v>
      </c>
      <c r="Z125" s="1" t="str">
        <f>_xlfn.XLOOKUP(Q125,Dictonary!$M$2:$M$5,Dictonary!$N$2:$N$5)</f>
        <v>skilled employee / official</v>
      </c>
      <c r="AA125" s="1" t="str">
        <f>_xlfn.XLOOKUP(O125,Dictonary!$P$2:$P$4,Dictonary!$Q$2:$Q$4)</f>
        <v>for free</v>
      </c>
    </row>
    <row r="126" spans="1:27" x14ac:dyDescent="0.3">
      <c r="A126" s="1" t="s">
        <v>35</v>
      </c>
      <c r="B126">
        <v>18</v>
      </c>
      <c r="C126" s="1" t="s">
        <v>36</v>
      </c>
      <c r="D126" s="1" t="s">
        <v>46</v>
      </c>
      <c r="E126">
        <v>1924</v>
      </c>
      <c r="F126" s="1" t="s">
        <v>24</v>
      </c>
      <c r="G126" s="1" t="s">
        <v>62</v>
      </c>
      <c r="H126">
        <v>4</v>
      </c>
      <c r="I126" s="1" t="s">
        <v>39</v>
      </c>
      <c r="J126" s="1" t="s">
        <v>27</v>
      </c>
      <c r="K126">
        <v>3</v>
      </c>
      <c r="L126" s="1" t="s">
        <v>28</v>
      </c>
      <c r="M126">
        <v>27</v>
      </c>
      <c r="N126" s="1" t="s">
        <v>29</v>
      </c>
      <c r="O126" s="1" t="s">
        <v>56</v>
      </c>
      <c r="P126">
        <v>1</v>
      </c>
      <c r="Q126" s="1" t="s">
        <v>31</v>
      </c>
      <c r="R126">
        <v>1</v>
      </c>
      <c r="S126" s="1" t="s">
        <v>40</v>
      </c>
      <c r="T126" s="1" t="s">
        <v>33</v>
      </c>
      <c r="U126" s="1" t="s">
        <v>41</v>
      </c>
      <c r="V126" s="1" t="str">
        <f>_xlfn.XLOOKUP(A126,Dictonary!$A$2:$A$5,Dictonary!$B$2:$B$5)</f>
        <v>Low balance</v>
      </c>
      <c r="W126" s="1" t="str">
        <f>_xlfn.XLOOKUP(D126,Dictonary!$D$2:$D$12,Dictonary!$E$2:$E$12)</f>
        <v>furniture/equipment</v>
      </c>
      <c r="X126" s="1" t="str">
        <f>_xlfn.XLOOKUP(F126,Dictonary!$G$2:$G$6,Dictonary!$H$2:$H$6)</f>
        <v>No information</v>
      </c>
      <c r="Y126" s="1" t="str">
        <f>_xlfn.XLOOKUP(I126,Dictonary!$J$2:$J$6,Dictonary!$K$2:$K$6)</f>
        <v>female : divorced/separated/married</v>
      </c>
      <c r="Z126" s="1" t="str">
        <f>_xlfn.XLOOKUP(Q126,Dictonary!$M$2:$M$5,Dictonary!$N$2:$N$5)</f>
        <v>skilled employee / official</v>
      </c>
      <c r="AA126" s="1" t="str">
        <f>_xlfn.XLOOKUP(O126,Dictonary!$P$2:$P$4,Dictonary!$Q$2:$Q$4)</f>
        <v>rent</v>
      </c>
    </row>
    <row r="127" spans="1:27" x14ac:dyDescent="0.3">
      <c r="A127" s="1" t="s">
        <v>21</v>
      </c>
      <c r="B127">
        <v>12</v>
      </c>
      <c r="C127" s="1" t="s">
        <v>22</v>
      </c>
      <c r="D127" s="1" t="s">
        <v>51</v>
      </c>
      <c r="E127">
        <v>2121</v>
      </c>
      <c r="F127" s="1" t="s">
        <v>37</v>
      </c>
      <c r="G127" s="1" t="s">
        <v>38</v>
      </c>
      <c r="H127">
        <v>4</v>
      </c>
      <c r="I127" s="1" t="s">
        <v>26</v>
      </c>
      <c r="J127" s="1" t="s">
        <v>27</v>
      </c>
      <c r="K127">
        <v>2</v>
      </c>
      <c r="L127" s="1" t="s">
        <v>48</v>
      </c>
      <c r="M127">
        <v>30</v>
      </c>
      <c r="N127" s="1" t="s">
        <v>29</v>
      </c>
      <c r="O127" s="1" t="s">
        <v>30</v>
      </c>
      <c r="P127">
        <v>2</v>
      </c>
      <c r="Q127" s="1" t="s">
        <v>31</v>
      </c>
      <c r="R127">
        <v>1</v>
      </c>
      <c r="S127" s="1" t="s">
        <v>40</v>
      </c>
      <c r="T127" s="1" t="s">
        <v>33</v>
      </c>
      <c r="U127" s="1" t="s">
        <v>34</v>
      </c>
      <c r="V127" s="1" t="str">
        <f>_xlfn.XLOOKUP(A127,Dictonary!$A$2:$A$5,Dictonary!$B$2:$B$5)</f>
        <v>Negative balance</v>
      </c>
      <c r="W127" s="1" t="str">
        <f>_xlfn.XLOOKUP(D127,Dictonary!$D$2:$D$12,Dictonary!$E$2:$E$12)</f>
        <v>car (new)</v>
      </c>
      <c r="X127" s="1" t="str">
        <f>_xlfn.XLOOKUP(F127,Dictonary!$G$2:$G$6,Dictonary!$H$2:$H$6)</f>
        <v>Less 100</v>
      </c>
      <c r="Y127" s="1" t="str">
        <f>_xlfn.XLOOKUP(I127,Dictonary!$J$2:$J$6,Dictonary!$K$2:$K$6)</f>
        <v>male : single</v>
      </c>
      <c r="Z127" s="1" t="str">
        <f>_xlfn.XLOOKUP(Q127,Dictonary!$M$2:$M$5,Dictonary!$N$2:$N$5)</f>
        <v>skilled employee / official</v>
      </c>
      <c r="AA127" s="1" t="str">
        <f>_xlfn.XLOOKUP(O127,Dictonary!$P$2:$P$4,Dictonary!$Q$2:$Q$4)</f>
        <v>own</v>
      </c>
    </row>
    <row r="128" spans="1:27" x14ac:dyDescent="0.3">
      <c r="A128" s="1" t="s">
        <v>21</v>
      </c>
      <c r="B128">
        <v>12</v>
      </c>
      <c r="C128" s="1" t="s">
        <v>36</v>
      </c>
      <c r="D128" s="1" t="s">
        <v>23</v>
      </c>
      <c r="E128">
        <v>701</v>
      </c>
      <c r="F128" s="1" t="s">
        <v>37</v>
      </c>
      <c r="G128" s="1" t="s">
        <v>38</v>
      </c>
      <c r="H128">
        <v>4</v>
      </c>
      <c r="I128" s="1" t="s">
        <v>61</v>
      </c>
      <c r="J128" s="1" t="s">
        <v>27</v>
      </c>
      <c r="K128">
        <v>2</v>
      </c>
      <c r="L128" s="1" t="s">
        <v>28</v>
      </c>
      <c r="M128">
        <v>40</v>
      </c>
      <c r="N128" s="1" t="s">
        <v>29</v>
      </c>
      <c r="O128" s="1" t="s">
        <v>30</v>
      </c>
      <c r="P128">
        <v>1</v>
      </c>
      <c r="Q128" s="1" t="s">
        <v>45</v>
      </c>
      <c r="R128">
        <v>1</v>
      </c>
      <c r="S128" s="1" t="s">
        <v>40</v>
      </c>
      <c r="T128" s="1" t="s">
        <v>33</v>
      </c>
      <c r="U128" s="1" t="s">
        <v>34</v>
      </c>
      <c r="V128" s="1" t="str">
        <f>_xlfn.XLOOKUP(A128,Dictonary!$A$2:$A$5,Dictonary!$B$2:$B$5)</f>
        <v>Negative balance</v>
      </c>
      <c r="W128" s="1" t="str">
        <f>_xlfn.XLOOKUP(D128,Dictonary!$D$2:$D$12,Dictonary!$E$2:$E$12)</f>
        <v>radio/television</v>
      </c>
      <c r="X128" s="1" t="str">
        <f>_xlfn.XLOOKUP(F128,Dictonary!$G$2:$G$6,Dictonary!$H$2:$H$6)</f>
        <v>Less 100</v>
      </c>
      <c r="Y128" s="1" t="str">
        <f>_xlfn.XLOOKUP(I128,Dictonary!$J$2:$J$6,Dictonary!$K$2:$K$6)</f>
        <v>male : married/widowed</v>
      </c>
      <c r="Z128" s="1" t="str">
        <f>_xlfn.XLOOKUP(Q128,Dictonary!$M$2:$M$5,Dictonary!$N$2:$N$5)</f>
        <v>unskilled - resident</v>
      </c>
      <c r="AA128" s="1" t="str">
        <f>_xlfn.XLOOKUP(O128,Dictonary!$P$2:$P$4,Dictonary!$Q$2:$Q$4)</f>
        <v>own</v>
      </c>
    </row>
    <row r="129" spans="1:27" x14ac:dyDescent="0.3">
      <c r="A129" s="1" t="s">
        <v>35</v>
      </c>
      <c r="B129">
        <v>12</v>
      </c>
      <c r="C129" s="1" t="s">
        <v>36</v>
      </c>
      <c r="D129" s="1" t="s">
        <v>73</v>
      </c>
      <c r="E129">
        <v>639</v>
      </c>
      <c r="F129" s="1" t="s">
        <v>37</v>
      </c>
      <c r="G129" s="1" t="s">
        <v>38</v>
      </c>
      <c r="H129">
        <v>4</v>
      </c>
      <c r="I129" s="1" t="s">
        <v>26</v>
      </c>
      <c r="J129" s="1" t="s">
        <v>27</v>
      </c>
      <c r="K129">
        <v>2</v>
      </c>
      <c r="L129" s="1" t="s">
        <v>55</v>
      </c>
      <c r="M129">
        <v>30</v>
      </c>
      <c r="N129" s="1" t="s">
        <v>29</v>
      </c>
      <c r="O129" s="1" t="s">
        <v>30</v>
      </c>
      <c r="P129">
        <v>1</v>
      </c>
      <c r="Q129" s="1" t="s">
        <v>31</v>
      </c>
      <c r="R129">
        <v>1</v>
      </c>
      <c r="S129" s="1" t="s">
        <v>40</v>
      </c>
      <c r="T129" s="1" t="s">
        <v>33</v>
      </c>
      <c r="U129" s="1" t="s">
        <v>41</v>
      </c>
      <c r="V129" s="1" t="str">
        <f>_xlfn.XLOOKUP(A129,Dictonary!$A$2:$A$5,Dictonary!$B$2:$B$5)</f>
        <v>Low balance</v>
      </c>
      <c r="W129" s="1" t="str">
        <f>_xlfn.XLOOKUP(D129,Dictonary!$D$2:$D$12,Dictonary!$E$2:$E$12)</f>
        <v>repairs</v>
      </c>
      <c r="X129" s="1" t="str">
        <f>_xlfn.XLOOKUP(F129,Dictonary!$G$2:$G$6,Dictonary!$H$2:$H$6)</f>
        <v>Less 100</v>
      </c>
      <c r="Y129" s="1" t="str">
        <f>_xlfn.XLOOKUP(I129,Dictonary!$J$2:$J$6,Dictonary!$K$2:$K$6)</f>
        <v>male : single</v>
      </c>
      <c r="Z129" s="1" t="str">
        <f>_xlfn.XLOOKUP(Q129,Dictonary!$M$2:$M$5,Dictonary!$N$2:$N$5)</f>
        <v>skilled employee / official</v>
      </c>
      <c r="AA129" s="1" t="str">
        <f>_xlfn.XLOOKUP(O129,Dictonary!$P$2:$P$4,Dictonary!$Q$2:$Q$4)</f>
        <v>own</v>
      </c>
    </row>
    <row r="130" spans="1:27" x14ac:dyDescent="0.3">
      <c r="A130" s="1" t="s">
        <v>35</v>
      </c>
      <c r="B130">
        <v>12</v>
      </c>
      <c r="C130" s="1" t="s">
        <v>22</v>
      </c>
      <c r="D130" s="1" t="s">
        <v>54</v>
      </c>
      <c r="E130">
        <v>1860</v>
      </c>
      <c r="F130" s="1" t="s">
        <v>37</v>
      </c>
      <c r="G130" s="1" t="s">
        <v>60</v>
      </c>
      <c r="H130">
        <v>4</v>
      </c>
      <c r="I130" s="1" t="s">
        <v>26</v>
      </c>
      <c r="J130" s="1" t="s">
        <v>27</v>
      </c>
      <c r="K130">
        <v>2</v>
      </c>
      <c r="L130" s="1" t="s">
        <v>55</v>
      </c>
      <c r="M130">
        <v>34</v>
      </c>
      <c r="N130" s="1" t="s">
        <v>29</v>
      </c>
      <c r="O130" s="1" t="s">
        <v>30</v>
      </c>
      <c r="P130">
        <v>2</v>
      </c>
      <c r="Q130" s="1" t="s">
        <v>57</v>
      </c>
      <c r="R130">
        <v>1</v>
      </c>
      <c r="S130" s="1" t="s">
        <v>32</v>
      </c>
      <c r="T130" s="1" t="s">
        <v>33</v>
      </c>
      <c r="U130" s="1" t="s">
        <v>34</v>
      </c>
      <c r="V130" s="1" t="str">
        <f>_xlfn.XLOOKUP(A130,Dictonary!$A$2:$A$5,Dictonary!$B$2:$B$5)</f>
        <v>Low balance</v>
      </c>
      <c r="W130" s="1" t="str">
        <f>_xlfn.XLOOKUP(D130,Dictonary!$D$2:$D$12,Dictonary!$E$2:$E$12)</f>
        <v>car (used)</v>
      </c>
      <c r="X130" s="1" t="str">
        <f>_xlfn.XLOOKUP(F130,Dictonary!$G$2:$G$6,Dictonary!$H$2:$H$6)</f>
        <v>Less 100</v>
      </c>
      <c r="Y130" s="1" t="str">
        <f>_xlfn.XLOOKUP(I130,Dictonary!$J$2:$J$6,Dictonary!$K$2:$K$6)</f>
        <v>male : single</v>
      </c>
      <c r="Z130" s="1" t="str">
        <f>_xlfn.XLOOKUP(Q130,Dictonary!$M$2:$M$5,Dictonary!$N$2:$N$5)</f>
        <v>management/ self-employed/ highly qualified employee/ officer</v>
      </c>
      <c r="AA130" s="1" t="str">
        <f>_xlfn.XLOOKUP(O130,Dictonary!$P$2:$P$4,Dictonary!$Q$2:$Q$4)</f>
        <v>own</v>
      </c>
    </row>
    <row r="131" spans="1:27" x14ac:dyDescent="0.3">
      <c r="A131" s="1" t="s">
        <v>21</v>
      </c>
      <c r="B131">
        <v>12</v>
      </c>
      <c r="C131" s="1" t="s">
        <v>22</v>
      </c>
      <c r="D131" s="1" t="s">
        <v>51</v>
      </c>
      <c r="E131">
        <v>3499</v>
      </c>
      <c r="F131" s="1" t="s">
        <v>37</v>
      </c>
      <c r="G131" s="1" t="s">
        <v>38</v>
      </c>
      <c r="H131">
        <v>3</v>
      </c>
      <c r="I131" s="1" t="s">
        <v>39</v>
      </c>
      <c r="J131" s="1" t="s">
        <v>71</v>
      </c>
      <c r="K131">
        <v>2</v>
      </c>
      <c r="L131" s="1" t="s">
        <v>28</v>
      </c>
      <c r="M131">
        <v>29</v>
      </c>
      <c r="N131" s="1" t="s">
        <v>29</v>
      </c>
      <c r="O131" s="1" t="s">
        <v>30</v>
      </c>
      <c r="P131">
        <v>2</v>
      </c>
      <c r="Q131" s="1" t="s">
        <v>31</v>
      </c>
      <c r="R131">
        <v>1</v>
      </c>
      <c r="S131" s="1" t="s">
        <v>40</v>
      </c>
      <c r="T131" s="1" t="s">
        <v>33</v>
      </c>
      <c r="U131" s="1" t="s">
        <v>41</v>
      </c>
      <c r="V131" s="1" t="str">
        <f>_xlfn.XLOOKUP(A131,Dictonary!$A$2:$A$5,Dictonary!$B$2:$B$5)</f>
        <v>Negative balance</v>
      </c>
      <c r="W131" s="1" t="str">
        <f>_xlfn.XLOOKUP(D131,Dictonary!$D$2:$D$12,Dictonary!$E$2:$E$12)</f>
        <v>car (new)</v>
      </c>
      <c r="X131" s="1" t="str">
        <f>_xlfn.XLOOKUP(F131,Dictonary!$G$2:$G$6,Dictonary!$H$2:$H$6)</f>
        <v>Less 100</v>
      </c>
      <c r="Y131" s="1" t="str">
        <f>_xlfn.XLOOKUP(I131,Dictonary!$J$2:$J$6,Dictonary!$K$2:$K$6)</f>
        <v>female : divorced/separated/married</v>
      </c>
      <c r="Z131" s="1" t="str">
        <f>_xlfn.XLOOKUP(Q131,Dictonary!$M$2:$M$5,Dictonary!$N$2:$N$5)</f>
        <v>skilled employee / official</v>
      </c>
      <c r="AA131" s="1" t="str">
        <f>_xlfn.XLOOKUP(O131,Dictonary!$P$2:$P$4,Dictonary!$Q$2:$Q$4)</f>
        <v>own</v>
      </c>
    </row>
    <row r="132" spans="1:27" x14ac:dyDescent="0.3">
      <c r="A132" s="1" t="s">
        <v>35</v>
      </c>
      <c r="B132">
        <v>48</v>
      </c>
      <c r="C132" s="1" t="s">
        <v>36</v>
      </c>
      <c r="D132" s="1" t="s">
        <v>51</v>
      </c>
      <c r="E132">
        <v>8487</v>
      </c>
      <c r="F132" s="1" t="s">
        <v>24</v>
      </c>
      <c r="G132" s="1" t="s">
        <v>44</v>
      </c>
      <c r="H132">
        <v>1</v>
      </c>
      <c r="I132" s="1" t="s">
        <v>39</v>
      </c>
      <c r="J132" s="1" t="s">
        <v>27</v>
      </c>
      <c r="K132">
        <v>2</v>
      </c>
      <c r="L132" s="1" t="s">
        <v>55</v>
      </c>
      <c r="M132">
        <v>24</v>
      </c>
      <c r="N132" s="1" t="s">
        <v>29</v>
      </c>
      <c r="O132" s="1" t="s">
        <v>30</v>
      </c>
      <c r="P132">
        <v>1</v>
      </c>
      <c r="Q132" s="1" t="s">
        <v>31</v>
      </c>
      <c r="R132">
        <v>1</v>
      </c>
      <c r="S132" s="1" t="s">
        <v>40</v>
      </c>
      <c r="T132" s="1" t="s">
        <v>33</v>
      </c>
      <c r="U132" s="1" t="s">
        <v>34</v>
      </c>
      <c r="V132" s="1" t="str">
        <f>_xlfn.XLOOKUP(A132,Dictonary!$A$2:$A$5,Dictonary!$B$2:$B$5)</f>
        <v>Low balance</v>
      </c>
      <c r="W132" s="1" t="str">
        <f>_xlfn.XLOOKUP(D132,Dictonary!$D$2:$D$12,Dictonary!$E$2:$E$12)</f>
        <v>car (new)</v>
      </c>
      <c r="X132" s="1" t="str">
        <f>_xlfn.XLOOKUP(F132,Dictonary!$G$2:$G$6,Dictonary!$H$2:$H$6)</f>
        <v>No information</v>
      </c>
      <c r="Y132" s="1" t="str">
        <f>_xlfn.XLOOKUP(I132,Dictonary!$J$2:$J$6,Dictonary!$K$2:$K$6)</f>
        <v>female : divorced/separated/married</v>
      </c>
      <c r="Z132" s="1" t="str">
        <f>_xlfn.XLOOKUP(Q132,Dictonary!$M$2:$M$5,Dictonary!$N$2:$N$5)</f>
        <v>skilled employee / official</v>
      </c>
      <c r="AA132" s="1" t="str">
        <f>_xlfn.XLOOKUP(O132,Dictonary!$P$2:$P$4,Dictonary!$Q$2:$Q$4)</f>
        <v>own</v>
      </c>
    </row>
    <row r="133" spans="1:27" x14ac:dyDescent="0.3">
      <c r="A133" s="1" t="s">
        <v>21</v>
      </c>
      <c r="B133">
        <v>36</v>
      </c>
      <c r="C133" s="1" t="s">
        <v>50</v>
      </c>
      <c r="D133" s="1" t="s">
        <v>43</v>
      </c>
      <c r="E133">
        <v>6887</v>
      </c>
      <c r="F133" s="1" t="s">
        <v>37</v>
      </c>
      <c r="G133" s="1" t="s">
        <v>38</v>
      </c>
      <c r="H133">
        <v>4</v>
      </c>
      <c r="I133" s="1" t="s">
        <v>26</v>
      </c>
      <c r="J133" s="1" t="s">
        <v>27</v>
      </c>
      <c r="K133">
        <v>3</v>
      </c>
      <c r="L133" s="1" t="s">
        <v>48</v>
      </c>
      <c r="M133">
        <v>29</v>
      </c>
      <c r="N133" s="1" t="s">
        <v>70</v>
      </c>
      <c r="O133" s="1" t="s">
        <v>30</v>
      </c>
      <c r="P133">
        <v>1</v>
      </c>
      <c r="Q133" s="1" t="s">
        <v>31</v>
      </c>
      <c r="R133">
        <v>1</v>
      </c>
      <c r="S133" s="1" t="s">
        <v>32</v>
      </c>
      <c r="T133" s="1" t="s">
        <v>33</v>
      </c>
      <c r="U133" s="1" t="s">
        <v>41</v>
      </c>
      <c r="V133" s="1" t="str">
        <f>_xlfn.XLOOKUP(A133,Dictonary!$A$2:$A$5,Dictonary!$B$2:$B$5)</f>
        <v>Negative balance</v>
      </c>
      <c r="W133" s="1" t="str">
        <f>_xlfn.XLOOKUP(D133,Dictonary!$D$2:$D$12,Dictonary!$E$2:$E$12)</f>
        <v>education</v>
      </c>
      <c r="X133" s="1" t="str">
        <f>_xlfn.XLOOKUP(F133,Dictonary!$G$2:$G$6,Dictonary!$H$2:$H$6)</f>
        <v>Less 100</v>
      </c>
      <c r="Y133" s="1" t="str">
        <f>_xlfn.XLOOKUP(I133,Dictonary!$J$2:$J$6,Dictonary!$K$2:$K$6)</f>
        <v>male : single</v>
      </c>
      <c r="Z133" s="1" t="str">
        <f>_xlfn.XLOOKUP(Q133,Dictonary!$M$2:$M$5,Dictonary!$N$2:$N$5)</f>
        <v>skilled employee / official</v>
      </c>
      <c r="AA133" s="1" t="str">
        <f>_xlfn.XLOOKUP(O133,Dictonary!$P$2:$P$4,Dictonary!$Q$2:$Q$4)</f>
        <v>own</v>
      </c>
    </row>
    <row r="134" spans="1:27" x14ac:dyDescent="0.3">
      <c r="A134" s="1" t="s">
        <v>42</v>
      </c>
      <c r="B134">
        <v>15</v>
      </c>
      <c r="C134" s="1" t="s">
        <v>36</v>
      </c>
      <c r="D134" s="1" t="s">
        <v>46</v>
      </c>
      <c r="E134">
        <v>2708</v>
      </c>
      <c r="F134" s="1" t="s">
        <v>37</v>
      </c>
      <c r="G134" s="1" t="s">
        <v>62</v>
      </c>
      <c r="H134">
        <v>2</v>
      </c>
      <c r="I134" s="1" t="s">
        <v>26</v>
      </c>
      <c r="J134" s="1" t="s">
        <v>27</v>
      </c>
      <c r="K134">
        <v>3</v>
      </c>
      <c r="L134" s="1" t="s">
        <v>48</v>
      </c>
      <c r="M134">
        <v>27</v>
      </c>
      <c r="N134" s="1" t="s">
        <v>66</v>
      </c>
      <c r="O134" s="1" t="s">
        <v>30</v>
      </c>
      <c r="P134">
        <v>2</v>
      </c>
      <c r="Q134" s="1" t="s">
        <v>45</v>
      </c>
      <c r="R134">
        <v>1</v>
      </c>
      <c r="S134" s="1" t="s">
        <v>40</v>
      </c>
      <c r="T134" s="1" t="s">
        <v>33</v>
      </c>
      <c r="U134" s="1" t="s">
        <v>34</v>
      </c>
      <c r="V134" s="1" t="str">
        <f>_xlfn.XLOOKUP(A134,Dictonary!$A$2:$A$5,Dictonary!$B$2:$B$5)</f>
        <v>No information</v>
      </c>
      <c r="W134" s="1" t="str">
        <f>_xlfn.XLOOKUP(D134,Dictonary!$D$2:$D$12,Dictonary!$E$2:$E$12)</f>
        <v>furniture/equipment</v>
      </c>
      <c r="X134" s="1" t="str">
        <f>_xlfn.XLOOKUP(F134,Dictonary!$G$2:$G$6,Dictonary!$H$2:$H$6)</f>
        <v>Less 100</v>
      </c>
      <c r="Y134" s="1" t="str">
        <f>_xlfn.XLOOKUP(I134,Dictonary!$J$2:$J$6,Dictonary!$K$2:$K$6)</f>
        <v>male : single</v>
      </c>
      <c r="Z134" s="1" t="str">
        <f>_xlfn.XLOOKUP(Q134,Dictonary!$M$2:$M$5,Dictonary!$N$2:$N$5)</f>
        <v>unskilled - resident</v>
      </c>
      <c r="AA134" s="1" t="str">
        <f>_xlfn.XLOOKUP(O134,Dictonary!$P$2:$P$4,Dictonary!$Q$2:$Q$4)</f>
        <v>own</v>
      </c>
    </row>
    <row r="135" spans="1:27" x14ac:dyDescent="0.3">
      <c r="A135" s="1" t="s">
        <v>42</v>
      </c>
      <c r="B135">
        <v>18</v>
      </c>
      <c r="C135" s="1" t="s">
        <v>36</v>
      </c>
      <c r="D135" s="1" t="s">
        <v>46</v>
      </c>
      <c r="E135">
        <v>1984</v>
      </c>
      <c r="F135" s="1" t="s">
        <v>37</v>
      </c>
      <c r="G135" s="1" t="s">
        <v>38</v>
      </c>
      <c r="H135">
        <v>4</v>
      </c>
      <c r="I135" s="1" t="s">
        <v>26</v>
      </c>
      <c r="J135" s="1" t="s">
        <v>27</v>
      </c>
      <c r="K135">
        <v>4</v>
      </c>
      <c r="L135" s="1" t="s">
        <v>52</v>
      </c>
      <c r="M135">
        <v>47</v>
      </c>
      <c r="N135" s="1" t="s">
        <v>66</v>
      </c>
      <c r="O135" s="1" t="s">
        <v>49</v>
      </c>
      <c r="P135">
        <v>2</v>
      </c>
      <c r="Q135" s="1" t="s">
        <v>31</v>
      </c>
      <c r="R135">
        <v>1</v>
      </c>
      <c r="S135" s="1" t="s">
        <v>40</v>
      </c>
      <c r="T135" s="1" t="s">
        <v>33</v>
      </c>
      <c r="U135" s="1" t="s">
        <v>34</v>
      </c>
      <c r="V135" s="1" t="str">
        <f>_xlfn.XLOOKUP(A135,Dictonary!$A$2:$A$5,Dictonary!$B$2:$B$5)</f>
        <v>No information</v>
      </c>
      <c r="W135" s="1" t="str">
        <f>_xlfn.XLOOKUP(D135,Dictonary!$D$2:$D$12,Dictonary!$E$2:$E$12)</f>
        <v>furniture/equipment</v>
      </c>
      <c r="X135" s="1" t="str">
        <f>_xlfn.XLOOKUP(F135,Dictonary!$G$2:$G$6,Dictonary!$H$2:$H$6)</f>
        <v>Less 100</v>
      </c>
      <c r="Y135" s="1" t="str">
        <f>_xlfn.XLOOKUP(I135,Dictonary!$J$2:$J$6,Dictonary!$K$2:$K$6)</f>
        <v>male : single</v>
      </c>
      <c r="Z135" s="1" t="str">
        <f>_xlfn.XLOOKUP(Q135,Dictonary!$M$2:$M$5,Dictonary!$N$2:$N$5)</f>
        <v>skilled employee / official</v>
      </c>
      <c r="AA135" s="1" t="str">
        <f>_xlfn.XLOOKUP(O135,Dictonary!$P$2:$P$4,Dictonary!$Q$2:$Q$4)</f>
        <v>for free</v>
      </c>
    </row>
    <row r="136" spans="1:27" x14ac:dyDescent="0.3">
      <c r="A136" s="1" t="s">
        <v>42</v>
      </c>
      <c r="B136">
        <v>60</v>
      </c>
      <c r="C136" s="1" t="s">
        <v>36</v>
      </c>
      <c r="D136" s="1" t="s">
        <v>23</v>
      </c>
      <c r="E136">
        <v>10144</v>
      </c>
      <c r="F136" s="1" t="s">
        <v>64</v>
      </c>
      <c r="G136" s="1" t="s">
        <v>44</v>
      </c>
      <c r="H136">
        <v>2</v>
      </c>
      <c r="I136" s="1" t="s">
        <v>39</v>
      </c>
      <c r="J136" s="1" t="s">
        <v>27</v>
      </c>
      <c r="K136">
        <v>4</v>
      </c>
      <c r="L136" s="1" t="s">
        <v>28</v>
      </c>
      <c r="M136">
        <v>21</v>
      </c>
      <c r="N136" s="1" t="s">
        <v>29</v>
      </c>
      <c r="O136" s="1" t="s">
        <v>30</v>
      </c>
      <c r="P136">
        <v>1</v>
      </c>
      <c r="Q136" s="1" t="s">
        <v>31</v>
      </c>
      <c r="R136">
        <v>1</v>
      </c>
      <c r="S136" s="1" t="s">
        <v>32</v>
      </c>
      <c r="T136" s="1" t="s">
        <v>33</v>
      </c>
      <c r="U136" s="1" t="s">
        <v>34</v>
      </c>
      <c r="V136" s="1" t="str">
        <f>_xlfn.XLOOKUP(A136,Dictonary!$A$2:$A$5,Dictonary!$B$2:$B$5)</f>
        <v>No information</v>
      </c>
      <c r="W136" s="1" t="str">
        <f>_xlfn.XLOOKUP(D136,Dictonary!$D$2:$D$12,Dictonary!$E$2:$E$12)</f>
        <v>radio/television</v>
      </c>
      <c r="X136" s="1" t="str">
        <f>_xlfn.XLOOKUP(F136,Dictonary!$G$2:$G$6,Dictonary!$H$2:$H$6)</f>
        <v>Up to 500</v>
      </c>
      <c r="Y136" s="1" t="str">
        <f>_xlfn.XLOOKUP(I136,Dictonary!$J$2:$J$6,Dictonary!$K$2:$K$6)</f>
        <v>female : divorced/separated/married</v>
      </c>
      <c r="Z136" s="1" t="str">
        <f>_xlfn.XLOOKUP(Q136,Dictonary!$M$2:$M$5,Dictonary!$N$2:$N$5)</f>
        <v>skilled employee / official</v>
      </c>
      <c r="AA136" s="1" t="str">
        <f>_xlfn.XLOOKUP(O136,Dictonary!$P$2:$P$4,Dictonary!$Q$2:$Q$4)</f>
        <v>own</v>
      </c>
    </row>
    <row r="137" spans="1:27" x14ac:dyDescent="0.3">
      <c r="A137" s="1" t="s">
        <v>42</v>
      </c>
      <c r="B137">
        <v>12</v>
      </c>
      <c r="C137" s="1" t="s">
        <v>22</v>
      </c>
      <c r="D137" s="1" t="s">
        <v>23</v>
      </c>
      <c r="E137">
        <v>1240</v>
      </c>
      <c r="F137" s="1" t="s">
        <v>24</v>
      </c>
      <c r="G137" s="1" t="s">
        <v>25</v>
      </c>
      <c r="H137">
        <v>4</v>
      </c>
      <c r="I137" s="1" t="s">
        <v>39</v>
      </c>
      <c r="J137" s="1" t="s">
        <v>27</v>
      </c>
      <c r="K137">
        <v>2</v>
      </c>
      <c r="L137" s="1" t="s">
        <v>28</v>
      </c>
      <c r="M137">
        <v>38</v>
      </c>
      <c r="N137" s="1" t="s">
        <v>29</v>
      </c>
      <c r="O137" s="1" t="s">
        <v>30</v>
      </c>
      <c r="P137">
        <v>2</v>
      </c>
      <c r="Q137" s="1" t="s">
        <v>31</v>
      </c>
      <c r="R137">
        <v>1</v>
      </c>
      <c r="S137" s="1" t="s">
        <v>32</v>
      </c>
      <c r="T137" s="1" t="s">
        <v>33</v>
      </c>
      <c r="U137" s="1" t="s">
        <v>34</v>
      </c>
      <c r="V137" s="1" t="str">
        <f>_xlfn.XLOOKUP(A137,Dictonary!$A$2:$A$5,Dictonary!$B$2:$B$5)</f>
        <v>No information</v>
      </c>
      <c r="W137" s="1" t="str">
        <f>_xlfn.XLOOKUP(D137,Dictonary!$D$2:$D$12,Dictonary!$E$2:$E$12)</f>
        <v>radio/television</v>
      </c>
      <c r="X137" s="1" t="str">
        <f>_xlfn.XLOOKUP(F137,Dictonary!$G$2:$G$6,Dictonary!$H$2:$H$6)</f>
        <v>No information</v>
      </c>
      <c r="Y137" s="1" t="str">
        <f>_xlfn.XLOOKUP(I137,Dictonary!$J$2:$J$6,Dictonary!$K$2:$K$6)</f>
        <v>female : divorced/separated/married</v>
      </c>
      <c r="Z137" s="1" t="str">
        <f>_xlfn.XLOOKUP(Q137,Dictonary!$M$2:$M$5,Dictonary!$N$2:$N$5)</f>
        <v>skilled employee / official</v>
      </c>
      <c r="AA137" s="1" t="str">
        <f>_xlfn.XLOOKUP(O137,Dictonary!$P$2:$P$4,Dictonary!$Q$2:$Q$4)</f>
        <v>own</v>
      </c>
    </row>
    <row r="138" spans="1:27" x14ac:dyDescent="0.3">
      <c r="A138" s="1" t="s">
        <v>42</v>
      </c>
      <c r="B138">
        <v>27</v>
      </c>
      <c r="C138" s="1" t="s">
        <v>50</v>
      </c>
      <c r="D138" s="1" t="s">
        <v>54</v>
      </c>
      <c r="E138">
        <v>8613</v>
      </c>
      <c r="F138" s="1" t="s">
        <v>58</v>
      </c>
      <c r="G138" s="1" t="s">
        <v>38</v>
      </c>
      <c r="H138">
        <v>2</v>
      </c>
      <c r="I138" s="1" t="s">
        <v>26</v>
      </c>
      <c r="J138" s="1" t="s">
        <v>27</v>
      </c>
      <c r="K138">
        <v>2</v>
      </c>
      <c r="L138" s="1" t="s">
        <v>55</v>
      </c>
      <c r="M138">
        <v>27</v>
      </c>
      <c r="N138" s="1" t="s">
        <v>29</v>
      </c>
      <c r="O138" s="1" t="s">
        <v>30</v>
      </c>
      <c r="P138">
        <v>2</v>
      </c>
      <c r="Q138" s="1" t="s">
        <v>31</v>
      </c>
      <c r="R138">
        <v>1</v>
      </c>
      <c r="S138" s="1" t="s">
        <v>40</v>
      </c>
      <c r="T138" s="1" t="s">
        <v>33</v>
      </c>
      <c r="U138" s="1" t="s">
        <v>34</v>
      </c>
      <c r="V138" s="1" t="str">
        <f>_xlfn.XLOOKUP(A138,Dictonary!$A$2:$A$5,Dictonary!$B$2:$B$5)</f>
        <v>No information</v>
      </c>
      <c r="W138" s="1" t="str">
        <f>_xlfn.XLOOKUP(D138,Dictonary!$D$2:$D$12,Dictonary!$E$2:$E$12)</f>
        <v>car (used)</v>
      </c>
      <c r="X138" s="1" t="str">
        <f>_xlfn.XLOOKUP(F138,Dictonary!$G$2:$G$6,Dictonary!$H$2:$H$6)</f>
        <v>More 1000</v>
      </c>
      <c r="Y138" s="1" t="str">
        <f>_xlfn.XLOOKUP(I138,Dictonary!$J$2:$J$6,Dictonary!$K$2:$K$6)</f>
        <v>male : single</v>
      </c>
      <c r="Z138" s="1" t="str">
        <f>_xlfn.XLOOKUP(Q138,Dictonary!$M$2:$M$5,Dictonary!$N$2:$N$5)</f>
        <v>skilled employee / official</v>
      </c>
      <c r="AA138" s="1" t="str">
        <f>_xlfn.XLOOKUP(O138,Dictonary!$P$2:$P$4,Dictonary!$Q$2:$Q$4)</f>
        <v>own</v>
      </c>
    </row>
    <row r="139" spans="1:27" x14ac:dyDescent="0.3">
      <c r="A139" s="1" t="s">
        <v>35</v>
      </c>
      <c r="B139">
        <v>12</v>
      </c>
      <c r="C139" s="1" t="s">
        <v>36</v>
      </c>
      <c r="D139" s="1" t="s">
        <v>23</v>
      </c>
      <c r="E139">
        <v>766</v>
      </c>
      <c r="F139" s="1" t="s">
        <v>53</v>
      </c>
      <c r="G139" s="1" t="s">
        <v>38</v>
      </c>
      <c r="H139">
        <v>4</v>
      </c>
      <c r="I139" s="1" t="s">
        <v>26</v>
      </c>
      <c r="J139" s="1" t="s">
        <v>27</v>
      </c>
      <c r="K139">
        <v>3</v>
      </c>
      <c r="L139" s="1" t="s">
        <v>28</v>
      </c>
      <c r="M139">
        <v>66</v>
      </c>
      <c r="N139" s="1" t="s">
        <v>29</v>
      </c>
      <c r="O139" s="1" t="s">
        <v>30</v>
      </c>
      <c r="P139">
        <v>1</v>
      </c>
      <c r="Q139" s="1" t="s">
        <v>45</v>
      </c>
      <c r="R139">
        <v>1</v>
      </c>
      <c r="S139" s="1" t="s">
        <v>40</v>
      </c>
      <c r="T139" s="1" t="s">
        <v>33</v>
      </c>
      <c r="U139" s="1" t="s">
        <v>41</v>
      </c>
      <c r="V139" s="1" t="str">
        <f>_xlfn.XLOOKUP(A139,Dictonary!$A$2:$A$5,Dictonary!$B$2:$B$5)</f>
        <v>Low balance</v>
      </c>
      <c r="W139" s="1" t="str">
        <f>_xlfn.XLOOKUP(D139,Dictonary!$D$2:$D$12,Dictonary!$E$2:$E$12)</f>
        <v>radio/television</v>
      </c>
      <c r="X139" s="1" t="str">
        <f>_xlfn.XLOOKUP(F139,Dictonary!$G$2:$G$6,Dictonary!$H$2:$H$6)</f>
        <v>Up to 1000</v>
      </c>
      <c r="Y139" s="1" t="str">
        <f>_xlfn.XLOOKUP(I139,Dictonary!$J$2:$J$6,Dictonary!$K$2:$K$6)</f>
        <v>male : single</v>
      </c>
      <c r="Z139" s="1" t="str">
        <f>_xlfn.XLOOKUP(Q139,Dictonary!$M$2:$M$5,Dictonary!$N$2:$N$5)</f>
        <v>unskilled - resident</v>
      </c>
      <c r="AA139" s="1" t="str">
        <f>_xlfn.XLOOKUP(O139,Dictonary!$P$2:$P$4,Dictonary!$Q$2:$Q$4)</f>
        <v>own</v>
      </c>
    </row>
    <row r="140" spans="1:27" x14ac:dyDescent="0.3">
      <c r="A140" s="1" t="s">
        <v>35</v>
      </c>
      <c r="B140">
        <v>15</v>
      </c>
      <c r="C140" s="1" t="s">
        <v>22</v>
      </c>
      <c r="D140" s="1" t="s">
        <v>23</v>
      </c>
      <c r="E140">
        <v>2728</v>
      </c>
      <c r="F140" s="1" t="s">
        <v>24</v>
      </c>
      <c r="G140" s="1" t="s">
        <v>44</v>
      </c>
      <c r="H140">
        <v>4</v>
      </c>
      <c r="I140" s="1" t="s">
        <v>26</v>
      </c>
      <c r="J140" s="1" t="s">
        <v>47</v>
      </c>
      <c r="K140">
        <v>2</v>
      </c>
      <c r="L140" s="1" t="s">
        <v>28</v>
      </c>
      <c r="M140">
        <v>35</v>
      </c>
      <c r="N140" s="1" t="s">
        <v>66</v>
      </c>
      <c r="O140" s="1" t="s">
        <v>30</v>
      </c>
      <c r="P140">
        <v>3</v>
      </c>
      <c r="Q140" s="1" t="s">
        <v>31</v>
      </c>
      <c r="R140">
        <v>1</v>
      </c>
      <c r="S140" s="1" t="s">
        <v>32</v>
      </c>
      <c r="T140" s="1" t="s">
        <v>33</v>
      </c>
      <c r="U140" s="1" t="s">
        <v>34</v>
      </c>
      <c r="V140" s="1" t="str">
        <f>_xlfn.XLOOKUP(A140,Dictonary!$A$2:$A$5,Dictonary!$B$2:$B$5)</f>
        <v>Low balance</v>
      </c>
      <c r="W140" s="1" t="str">
        <f>_xlfn.XLOOKUP(D140,Dictonary!$D$2:$D$12,Dictonary!$E$2:$E$12)</f>
        <v>radio/television</v>
      </c>
      <c r="X140" s="1" t="str">
        <f>_xlfn.XLOOKUP(F140,Dictonary!$G$2:$G$6,Dictonary!$H$2:$H$6)</f>
        <v>No information</v>
      </c>
      <c r="Y140" s="1" t="str">
        <f>_xlfn.XLOOKUP(I140,Dictonary!$J$2:$J$6,Dictonary!$K$2:$K$6)</f>
        <v>male : single</v>
      </c>
      <c r="Z140" s="1" t="str">
        <f>_xlfn.XLOOKUP(Q140,Dictonary!$M$2:$M$5,Dictonary!$N$2:$N$5)</f>
        <v>skilled employee / official</v>
      </c>
      <c r="AA140" s="1" t="str">
        <f>_xlfn.XLOOKUP(O140,Dictonary!$P$2:$P$4,Dictonary!$Q$2:$Q$4)</f>
        <v>own</v>
      </c>
    </row>
    <row r="141" spans="1:27" x14ac:dyDescent="0.3">
      <c r="A141" s="1" t="s">
        <v>68</v>
      </c>
      <c r="B141">
        <v>12</v>
      </c>
      <c r="C141" s="1" t="s">
        <v>36</v>
      </c>
      <c r="D141" s="1" t="s">
        <v>23</v>
      </c>
      <c r="E141">
        <v>1881</v>
      </c>
      <c r="F141" s="1" t="s">
        <v>37</v>
      </c>
      <c r="G141" s="1" t="s">
        <v>38</v>
      </c>
      <c r="H141">
        <v>2</v>
      </c>
      <c r="I141" s="1" t="s">
        <v>39</v>
      </c>
      <c r="J141" s="1" t="s">
        <v>27</v>
      </c>
      <c r="K141">
        <v>2</v>
      </c>
      <c r="L141" s="1" t="s">
        <v>55</v>
      </c>
      <c r="M141">
        <v>44</v>
      </c>
      <c r="N141" s="1" t="s">
        <v>29</v>
      </c>
      <c r="O141" s="1" t="s">
        <v>56</v>
      </c>
      <c r="P141">
        <v>1</v>
      </c>
      <c r="Q141" s="1" t="s">
        <v>45</v>
      </c>
      <c r="R141">
        <v>1</v>
      </c>
      <c r="S141" s="1" t="s">
        <v>32</v>
      </c>
      <c r="T141" s="1" t="s">
        <v>33</v>
      </c>
      <c r="U141" s="1" t="s">
        <v>34</v>
      </c>
      <c r="V141" s="1" t="str">
        <f>_xlfn.XLOOKUP(A141,Dictonary!$A$2:$A$5,Dictonary!$B$2:$B$5)</f>
        <v>Normal balance</v>
      </c>
      <c r="W141" s="1" t="str">
        <f>_xlfn.XLOOKUP(D141,Dictonary!$D$2:$D$12,Dictonary!$E$2:$E$12)</f>
        <v>radio/television</v>
      </c>
      <c r="X141" s="1" t="str">
        <f>_xlfn.XLOOKUP(F141,Dictonary!$G$2:$G$6,Dictonary!$H$2:$H$6)</f>
        <v>Less 100</v>
      </c>
      <c r="Y141" s="1" t="str">
        <f>_xlfn.XLOOKUP(I141,Dictonary!$J$2:$J$6,Dictonary!$K$2:$K$6)</f>
        <v>female : divorced/separated/married</v>
      </c>
      <c r="Z141" s="1" t="str">
        <f>_xlfn.XLOOKUP(Q141,Dictonary!$M$2:$M$5,Dictonary!$N$2:$N$5)</f>
        <v>unskilled - resident</v>
      </c>
      <c r="AA141" s="1" t="str">
        <f>_xlfn.XLOOKUP(O141,Dictonary!$P$2:$P$4,Dictonary!$Q$2:$Q$4)</f>
        <v>rent</v>
      </c>
    </row>
    <row r="142" spans="1:27" x14ac:dyDescent="0.3">
      <c r="A142" s="1" t="s">
        <v>68</v>
      </c>
      <c r="B142">
        <v>6</v>
      </c>
      <c r="C142" s="1" t="s">
        <v>36</v>
      </c>
      <c r="D142" s="1" t="s">
        <v>51</v>
      </c>
      <c r="E142">
        <v>709</v>
      </c>
      <c r="F142" s="1" t="s">
        <v>58</v>
      </c>
      <c r="G142" s="1" t="s">
        <v>62</v>
      </c>
      <c r="H142">
        <v>2</v>
      </c>
      <c r="I142" s="1" t="s">
        <v>61</v>
      </c>
      <c r="J142" s="1" t="s">
        <v>27</v>
      </c>
      <c r="K142">
        <v>2</v>
      </c>
      <c r="L142" s="1" t="s">
        <v>28</v>
      </c>
      <c r="M142">
        <v>27</v>
      </c>
      <c r="N142" s="1" t="s">
        <v>29</v>
      </c>
      <c r="O142" s="1" t="s">
        <v>30</v>
      </c>
      <c r="P142">
        <v>1</v>
      </c>
      <c r="Q142" s="1" t="s">
        <v>74</v>
      </c>
      <c r="R142">
        <v>1</v>
      </c>
      <c r="S142" s="1" t="s">
        <v>40</v>
      </c>
      <c r="T142" s="1" t="s">
        <v>67</v>
      </c>
      <c r="U142" s="1" t="s">
        <v>34</v>
      </c>
      <c r="V142" s="1" t="str">
        <f>_xlfn.XLOOKUP(A142,Dictonary!$A$2:$A$5,Dictonary!$B$2:$B$5)</f>
        <v>Normal balance</v>
      </c>
      <c r="W142" s="1" t="str">
        <f>_xlfn.XLOOKUP(D142,Dictonary!$D$2:$D$12,Dictonary!$E$2:$E$12)</f>
        <v>car (new)</v>
      </c>
      <c r="X142" s="1" t="str">
        <f>_xlfn.XLOOKUP(F142,Dictonary!$G$2:$G$6,Dictonary!$H$2:$H$6)</f>
        <v>More 1000</v>
      </c>
      <c r="Y142" s="1" t="str">
        <f>_xlfn.XLOOKUP(I142,Dictonary!$J$2:$J$6,Dictonary!$K$2:$K$6)</f>
        <v>male : married/widowed</v>
      </c>
      <c r="Z142" s="1" t="str">
        <f>_xlfn.XLOOKUP(Q142,Dictonary!$M$2:$M$5,Dictonary!$N$2:$N$5)</f>
        <v>unemployed/ unskilled  - non-resident</v>
      </c>
      <c r="AA142" s="1" t="str">
        <f>_xlfn.XLOOKUP(O142,Dictonary!$P$2:$P$4,Dictonary!$Q$2:$Q$4)</f>
        <v>own</v>
      </c>
    </row>
    <row r="143" spans="1:27" x14ac:dyDescent="0.3">
      <c r="A143" s="1" t="s">
        <v>35</v>
      </c>
      <c r="B143">
        <v>36</v>
      </c>
      <c r="C143" s="1" t="s">
        <v>36</v>
      </c>
      <c r="D143" s="1" t="s">
        <v>23</v>
      </c>
      <c r="E143">
        <v>4795</v>
      </c>
      <c r="F143" s="1" t="s">
        <v>37</v>
      </c>
      <c r="G143" s="1" t="s">
        <v>62</v>
      </c>
      <c r="H143">
        <v>4</v>
      </c>
      <c r="I143" s="1" t="s">
        <v>39</v>
      </c>
      <c r="J143" s="1" t="s">
        <v>27</v>
      </c>
      <c r="K143">
        <v>1</v>
      </c>
      <c r="L143" s="1" t="s">
        <v>52</v>
      </c>
      <c r="M143">
        <v>30</v>
      </c>
      <c r="N143" s="1" t="s">
        <v>29</v>
      </c>
      <c r="O143" s="1" t="s">
        <v>30</v>
      </c>
      <c r="P143">
        <v>1</v>
      </c>
      <c r="Q143" s="1" t="s">
        <v>57</v>
      </c>
      <c r="R143">
        <v>1</v>
      </c>
      <c r="S143" s="1" t="s">
        <v>32</v>
      </c>
      <c r="T143" s="1" t="s">
        <v>33</v>
      </c>
      <c r="U143" s="1" t="s">
        <v>34</v>
      </c>
      <c r="V143" s="1" t="str">
        <f>_xlfn.XLOOKUP(A143,Dictonary!$A$2:$A$5,Dictonary!$B$2:$B$5)</f>
        <v>Low balance</v>
      </c>
      <c r="W143" s="1" t="str">
        <f>_xlfn.XLOOKUP(D143,Dictonary!$D$2:$D$12,Dictonary!$E$2:$E$12)</f>
        <v>radio/television</v>
      </c>
      <c r="X143" s="1" t="str">
        <f>_xlfn.XLOOKUP(F143,Dictonary!$G$2:$G$6,Dictonary!$H$2:$H$6)</f>
        <v>Less 100</v>
      </c>
      <c r="Y143" s="1" t="str">
        <f>_xlfn.XLOOKUP(I143,Dictonary!$J$2:$J$6,Dictonary!$K$2:$K$6)</f>
        <v>female : divorced/separated/married</v>
      </c>
      <c r="Z143" s="1" t="str">
        <f>_xlfn.XLOOKUP(Q143,Dictonary!$M$2:$M$5,Dictonary!$N$2:$N$5)</f>
        <v>management/ self-employed/ highly qualified employee/ officer</v>
      </c>
      <c r="AA143" s="1" t="str">
        <f>_xlfn.XLOOKUP(O143,Dictonary!$P$2:$P$4,Dictonary!$Q$2:$Q$4)</f>
        <v>own</v>
      </c>
    </row>
    <row r="144" spans="1:27" x14ac:dyDescent="0.3">
      <c r="A144" s="1" t="s">
        <v>21</v>
      </c>
      <c r="B144">
        <v>27</v>
      </c>
      <c r="C144" s="1" t="s">
        <v>36</v>
      </c>
      <c r="D144" s="1" t="s">
        <v>23</v>
      </c>
      <c r="E144">
        <v>3416</v>
      </c>
      <c r="F144" s="1" t="s">
        <v>37</v>
      </c>
      <c r="G144" s="1" t="s">
        <v>38</v>
      </c>
      <c r="H144">
        <v>3</v>
      </c>
      <c r="I144" s="1" t="s">
        <v>26</v>
      </c>
      <c r="J144" s="1" t="s">
        <v>27</v>
      </c>
      <c r="K144">
        <v>2</v>
      </c>
      <c r="L144" s="1" t="s">
        <v>55</v>
      </c>
      <c r="M144">
        <v>27</v>
      </c>
      <c r="N144" s="1" t="s">
        <v>29</v>
      </c>
      <c r="O144" s="1" t="s">
        <v>30</v>
      </c>
      <c r="P144">
        <v>1</v>
      </c>
      <c r="Q144" s="1" t="s">
        <v>57</v>
      </c>
      <c r="R144">
        <v>1</v>
      </c>
      <c r="S144" s="1" t="s">
        <v>40</v>
      </c>
      <c r="T144" s="1" t="s">
        <v>33</v>
      </c>
      <c r="U144" s="1" t="s">
        <v>34</v>
      </c>
      <c r="V144" s="1" t="str">
        <f>_xlfn.XLOOKUP(A144,Dictonary!$A$2:$A$5,Dictonary!$B$2:$B$5)</f>
        <v>Negative balance</v>
      </c>
      <c r="W144" s="1" t="str">
        <f>_xlfn.XLOOKUP(D144,Dictonary!$D$2:$D$12,Dictonary!$E$2:$E$12)</f>
        <v>radio/television</v>
      </c>
      <c r="X144" s="1" t="str">
        <f>_xlfn.XLOOKUP(F144,Dictonary!$G$2:$G$6,Dictonary!$H$2:$H$6)</f>
        <v>Less 100</v>
      </c>
      <c r="Y144" s="1" t="str">
        <f>_xlfn.XLOOKUP(I144,Dictonary!$J$2:$J$6,Dictonary!$K$2:$K$6)</f>
        <v>male : single</v>
      </c>
      <c r="Z144" s="1" t="str">
        <f>_xlfn.XLOOKUP(Q144,Dictonary!$M$2:$M$5,Dictonary!$N$2:$N$5)</f>
        <v>management/ self-employed/ highly qualified employee/ officer</v>
      </c>
      <c r="AA144" s="1" t="str">
        <f>_xlfn.XLOOKUP(O144,Dictonary!$P$2:$P$4,Dictonary!$Q$2:$Q$4)</f>
        <v>own</v>
      </c>
    </row>
    <row r="145" spans="1:27" x14ac:dyDescent="0.3">
      <c r="A145" s="1" t="s">
        <v>21</v>
      </c>
      <c r="B145">
        <v>18</v>
      </c>
      <c r="C145" s="1" t="s">
        <v>36</v>
      </c>
      <c r="D145" s="1" t="s">
        <v>46</v>
      </c>
      <c r="E145">
        <v>2462</v>
      </c>
      <c r="F145" s="1" t="s">
        <v>37</v>
      </c>
      <c r="G145" s="1" t="s">
        <v>38</v>
      </c>
      <c r="H145">
        <v>2</v>
      </c>
      <c r="I145" s="1" t="s">
        <v>26</v>
      </c>
      <c r="J145" s="1" t="s">
        <v>27</v>
      </c>
      <c r="K145">
        <v>2</v>
      </c>
      <c r="L145" s="1" t="s">
        <v>55</v>
      </c>
      <c r="M145">
        <v>22</v>
      </c>
      <c r="N145" s="1" t="s">
        <v>29</v>
      </c>
      <c r="O145" s="1" t="s">
        <v>30</v>
      </c>
      <c r="P145">
        <v>1</v>
      </c>
      <c r="Q145" s="1" t="s">
        <v>31</v>
      </c>
      <c r="R145">
        <v>1</v>
      </c>
      <c r="S145" s="1" t="s">
        <v>40</v>
      </c>
      <c r="T145" s="1" t="s">
        <v>33</v>
      </c>
      <c r="U145" s="1" t="s">
        <v>41</v>
      </c>
      <c r="V145" s="1" t="str">
        <f>_xlfn.XLOOKUP(A145,Dictonary!$A$2:$A$5,Dictonary!$B$2:$B$5)</f>
        <v>Negative balance</v>
      </c>
      <c r="W145" s="1" t="str">
        <f>_xlfn.XLOOKUP(D145,Dictonary!$D$2:$D$12,Dictonary!$E$2:$E$12)</f>
        <v>furniture/equipment</v>
      </c>
      <c r="X145" s="1" t="str">
        <f>_xlfn.XLOOKUP(F145,Dictonary!$G$2:$G$6,Dictonary!$H$2:$H$6)</f>
        <v>Less 100</v>
      </c>
      <c r="Y145" s="1" t="str">
        <f>_xlfn.XLOOKUP(I145,Dictonary!$J$2:$J$6,Dictonary!$K$2:$K$6)</f>
        <v>male : single</v>
      </c>
      <c r="Z145" s="1" t="str">
        <f>_xlfn.XLOOKUP(Q145,Dictonary!$M$2:$M$5,Dictonary!$N$2:$N$5)</f>
        <v>skilled employee / official</v>
      </c>
      <c r="AA145" s="1" t="str">
        <f>_xlfn.XLOOKUP(O145,Dictonary!$P$2:$P$4,Dictonary!$Q$2:$Q$4)</f>
        <v>own</v>
      </c>
    </row>
    <row r="146" spans="1:27" x14ac:dyDescent="0.3">
      <c r="A146" s="1" t="s">
        <v>42</v>
      </c>
      <c r="B146">
        <v>21</v>
      </c>
      <c r="C146" s="1" t="s">
        <v>22</v>
      </c>
      <c r="D146" s="1" t="s">
        <v>46</v>
      </c>
      <c r="E146">
        <v>2288</v>
      </c>
      <c r="F146" s="1" t="s">
        <v>37</v>
      </c>
      <c r="G146" s="1" t="s">
        <v>62</v>
      </c>
      <c r="H146">
        <v>4</v>
      </c>
      <c r="I146" s="1" t="s">
        <v>39</v>
      </c>
      <c r="J146" s="1" t="s">
        <v>27</v>
      </c>
      <c r="K146">
        <v>4</v>
      </c>
      <c r="L146" s="1" t="s">
        <v>48</v>
      </c>
      <c r="M146">
        <v>23</v>
      </c>
      <c r="N146" s="1" t="s">
        <v>29</v>
      </c>
      <c r="O146" s="1" t="s">
        <v>30</v>
      </c>
      <c r="P146">
        <v>1</v>
      </c>
      <c r="Q146" s="1" t="s">
        <v>31</v>
      </c>
      <c r="R146">
        <v>1</v>
      </c>
      <c r="S146" s="1" t="s">
        <v>32</v>
      </c>
      <c r="T146" s="1" t="s">
        <v>33</v>
      </c>
      <c r="U146" s="1" t="s">
        <v>34</v>
      </c>
      <c r="V146" s="1" t="str">
        <f>_xlfn.XLOOKUP(A146,Dictonary!$A$2:$A$5,Dictonary!$B$2:$B$5)</f>
        <v>No information</v>
      </c>
      <c r="W146" s="1" t="str">
        <f>_xlfn.XLOOKUP(D146,Dictonary!$D$2:$D$12,Dictonary!$E$2:$E$12)</f>
        <v>furniture/equipment</v>
      </c>
      <c r="X146" s="1" t="str">
        <f>_xlfn.XLOOKUP(F146,Dictonary!$G$2:$G$6,Dictonary!$H$2:$H$6)</f>
        <v>Less 100</v>
      </c>
      <c r="Y146" s="1" t="str">
        <f>_xlfn.XLOOKUP(I146,Dictonary!$J$2:$J$6,Dictonary!$K$2:$K$6)</f>
        <v>female : divorced/separated/married</v>
      </c>
      <c r="Z146" s="1" t="str">
        <f>_xlfn.XLOOKUP(Q146,Dictonary!$M$2:$M$5,Dictonary!$N$2:$N$5)</f>
        <v>skilled employee / official</v>
      </c>
      <c r="AA146" s="1" t="str">
        <f>_xlfn.XLOOKUP(O146,Dictonary!$P$2:$P$4,Dictonary!$Q$2:$Q$4)</f>
        <v>own</v>
      </c>
    </row>
    <row r="147" spans="1:27" x14ac:dyDescent="0.3">
      <c r="A147" s="1" t="s">
        <v>35</v>
      </c>
      <c r="B147">
        <v>48</v>
      </c>
      <c r="C147" s="1" t="s">
        <v>69</v>
      </c>
      <c r="D147" s="1" t="s">
        <v>63</v>
      </c>
      <c r="E147">
        <v>3566</v>
      </c>
      <c r="F147" s="1" t="s">
        <v>64</v>
      </c>
      <c r="G147" s="1" t="s">
        <v>44</v>
      </c>
      <c r="H147">
        <v>4</v>
      </c>
      <c r="I147" s="1" t="s">
        <v>26</v>
      </c>
      <c r="J147" s="1" t="s">
        <v>27</v>
      </c>
      <c r="K147">
        <v>2</v>
      </c>
      <c r="L147" s="1" t="s">
        <v>55</v>
      </c>
      <c r="M147">
        <v>30</v>
      </c>
      <c r="N147" s="1" t="s">
        <v>29</v>
      </c>
      <c r="O147" s="1" t="s">
        <v>30</v>
      </c>
      <c r="P147">
        <v>1</v>
      </c>
      <c r="Q147" s="1" t="s">
        <v>31</v>
      </c>
      <c r="R147">
        <v>1</v>
      </c>
      <c r="S147" s="1" t="s">
        <v>40</v>
      </c>
      <c r="T147" s="1" t="s">
        <v>33</v>
      </c>
      <c r="U147" s="1" t="s">
        <v>34</v>
      </c>
      <c r="V147" s="1" t="str">
        <f>_xlfn.XLOOKUP(A147,Dictonary!$A$2:$A$5,Dictonary!$B$2:$B$5)</f>
        <v>Low balance</v>
      </c>
      <c r="W147" s="1" t="str">
        <f>_xlfn.XLOOKUP(D147,Dictonary!$D$2:$D$12,Dictonary!$E$2:$E$12)</f>
        <v>business</v>
      </c>
      <c r="X147" s="1" t="str">
        <f>_xlfn.XLOOKUP(F147,Dictonary!$G$2:$G$6,Dictonary!$H$2:$H$6)</f>
        <v>Up to 500</v>
      </c>
      <c r="Y147" s="1" t="str">
        <f>_xlfn.XLOOKUP(I147,Dictonary!$J$2:$J$6,Dictonary!$K$2:$K$6)</f>
        <v>male : single</v>
      </c>
      <c r="Z147" s="1" t="str">
        <f>_xlfn.XLOOKUP(Q147,Dictonary!$M$2:$M$5,Dictonary!$N$2:$N$5)</f>
        <v>skilled employee / official</v>
      </c>
      <c r="AA147" s="1" t="str">
        <f>_xlfn.XLOOKUP(O147,Dictonary!$P$2:$P$4,Dictonary!$Q$2:$Q$4)</f>
        <v>own</v>
      </c>
    </row>
    <row r="148" spans="1:27" x14ac:dyDescent="0.3">
      <c r="A148" s="1" t="s">
        <v>21</v>
      </c>
      <c r="B148">
        <v>6</v>
      </c>
      <c r="C148" s="1" t="s">
        <v>22</v>
      </c>
      <c r="D148" s="1" t="s">
        <v>51</v>
      </c>
      <c r="E148">
        <v>860</v>
      </c>
      <c r="F148" s="1" t="s">
        <v>37</v>
      </c>
      <c r="G148" s="1" t="s">
        <v>25</v>
      </c>
      <c r="H148">
        <v>1</v>
      </c>
      <c r="I148" s="1" t="s">
        <v>39</v>
      </c>
      <c r="J148" s="1" t="s">
        <v>27</v>
      </c>
      <c r="K148">
        <v>4</v>
      </c>
      <c r="L148" s="1" t="s">
        <v>52</v>
      </c>
      <c r="M148">
        <v>39</v>
      </c>
      <c r="N148" s="1" t="s">
        <v>29</v>
      </c>
      <c r="O148" s="1" t="s">
        <v>30</v>
      </c>
      <c r="P148">
        <v>2</v>
      </c>
      <c r="Q148" s="1" t="s">
        <v>31</v>
      </c>
      <c r="R148">
        <v>1</v>
      </c>
      <c r="S148" s="1" t="s">
        <v>32</v>
      </c>
      <c r="T148" s="1" t="s">
        <v>33</v>
      </c>
      <c r="U148" s="1" t="s">
        <v>34</v>
      </c>
      <c r="V148" s="1" t="str">
        <f>_xlfn.XLOOKUP(A148,Dictonary!$A$2:$A$5,Dictonary!$B$2:$B$5)</f>
        <v>Negative balance</v>
      </c>
      <c r="W148" s="1" t="str">
        <f>_xlfn.XLOOKUP(D148,Dictonary!$D$2:$D$12,Dictonary!$E$2:$E$12)</f>
        <v>car (new)</v>
      </c>
      <c r="X148" s="1" t="str">
        <f>_xlfn.XLOOKUP(F148,Dictonary!$G$2:$G$6,Dictonary!$H$2:$H$6)</f>
        <v>Less 100</v>
      </c>
      <c r="Y148" s="1" t="str">
        <f>_xlfn.XLOOKUP(I148,Dictonary!$J$2:$J$6,Dictonary!$K$2:$K$6)</f>
        <v>female : divorced/separated/married</v>
      </c>
      <c r="Z148" s="1" t="str">
        <f>_xlfn.XLOOKUP(Q148,Dictonary!$M$2:$M$5,Dictonary!$N$2:$N$5)</f>
        <v>skilled employee / official</v>
      </c>
      <c r="AA148" s="1" t="str">
        <f>_xlfn.XLOOKUP(O148,Dictonary!$P$2:$P$4,Dictonary!$Q$2:$Q$4)</f>
        <v>own</v>
      </c>
    </row>
    <row r="149" spans="1:27" x14ac:dyDescent="0.3">
      <c r="A149" s="1" t="s">
        <v>42</v>
      </c>
      <c r="B149">
        <v>12</v>
      </c>
      <c r="C149" s="1" t="s">
        <v>22</v>
      </c>
      <c r="D149" s="1" t="s">
        <v>51</v>
      </c>
      <c r="E149">
        <v>682</v>
      </c>
      <c r="F149" s="1" t="s">
        <v>64</v>
      </c>
      <c r="G149" s="1" t="s">
        <v>44</v>
      </c>
      <c r="H149">
        <v>4</v>
      </c>
      <c r="I149" s="1" t="s">
        <v>39</v>
      </c>
      <c r="J149" s="1" t="s">
        <v>27</v>
      </c>
      <c r="K149">
        <v>3</v>
      </c>
      <c r="L149" s="1" t="s">
        <v>55</v>
      </c>
      <c r="M149">
        <v>51</v>
      </c>
      <c r="N149" s="1" t="s">
        <v>29</v>
      </c>
      <c r="O149" s="1" t="s">
        <v>30</v>
      </c>
      <c r="P149">
        <v>2</v>
      </c>
      <c r="Q149" s="1" t="s">
        <v>31</v>
      </c>
      <c r="R149">
        <v>1</v>
      </c>
      <c r="S149" s="1" t="s">
        <v>32</v>
      </c>
      <c r="T149" s="1" t="s">
        <v>33</v>
      </c>
      <c r="U149" s="1" t="s">
        <v>34</v>
      </c>
      <c r="V149" s="1" t="str">
        <f>_xlfn.XLOOKUP(A149,Dictonary!$A$2:$A$5,Dictonary!$B$2:$B$5)</f>
        <v>No information</v>
      </c>
      <c r="W149" s="1" t="str">
        <f>_xlfn.XLOOKUP(D149,Dictonary!$D$2:$D$12,Dictonary!$E$2:$E$12)</f>
        <v>car (new)</v>
      </c>
      <c r="X149" s="1" t="str">
        <f>_xlfn.XLOOKUP(F149,Dictonary!$G$2:$G$6,Dictonary!$H$2:$H$6)</f>
        <v>Up to 500</v>
      </c>
      <c r="Y149" s="1" t="str">
        <f>_xlfn.XLOOKUP(I149,Dictonary!$J$2:$J$6,Dictonary!$K$2:$K$6)</f>
        <v>female : divorced/separated/married</v>
      </c>
      <c r="Z149" s="1" t="str">
        <f>_xlfn.XLOOKUP(Q149,Dictonary!$M$2:$M$5,Dictonary!$N$2:$N$5)</f>
        <v>skilled employee / official</v>
      </c>
      <c r="AA149" s="1" t="str">
        <f>_xlfn.XLOOKUP(O149,Dictonary!$P$2:$P$4,Dictonary!$Q$2:$Q$4)</f>
        <v>own</v>
      </c>
    </row>
    <row r="150" spans="1:27" x14ac:dyDescent="0.3">
      <c r="A150" s="1" t="s">
        <v>21</v>
      </c>
      <c r="B150">
        <v>36</v>
      </c>
      <c r="C150" s="1" t="s">
        <v>22</v>
      </c>
      <c r="D150" s="1" t="s">
        <v>46</v>
      </c>
      <c r="E150">
        <v>5371</v>
      </c>
      <c r="F150" s="1" t="s">
        <v>37</v>
      </c>
      <c r="G150" s="1" t="s">
        <v>38</v>
      </c>
      <c r="H150">
        <v>3</v>
      </c>
      <c r="I150" s="1" t="s">
        <v>26</v>
      </c>
      <c r="J150" s="1" t="s">
        <v>47</v>
      </c>
      <c r="K150">
        <v>2</v>
      </c>
      <c r="L150" s="1" t="s">
        <v>48</v>
      </c>
      <c r="M150">
        <v>28</v>
      </c>
      <c r="N150" s="1" t="s">
        <v>29</v>
      </c>
      <c r="O150" s="1" t="s">
        <v>30</v>
      </c>
      <c r="P150">
        <v>2</v>
      </c>
      <c r="Q150" s="1" t="s">
        <v>31</v>
      </c>
      <c r="R150">
        <v>1</v>
      </c>
      <c r="S150" s="1" t="s">
        <v>40</v>
      </c>
      <c r="T150" s="1" t="s">
        <v>33</v>
      </c>
      <c r="U150" s="1" t="s">
        <v>34</v>
      </c>
      <c r="V150" s="1" t="str">
        <f>_xlfn.XLOOKUP(A150,Dictonary!$A$2:$A$5,Dictonary!$B$2:$B$5)</f>
        <v>Negative balance</v>
      </c>
      <c r="W150" s="1" t="str">
        <f>_xlfn.XLOOKUP(D150,Dictonary!$D$2:$D$12,Dictonary!$E$2:$E$12)</f>
        <v>furniture/equipment</v>
      </c>
      <c r="X150" s="1" t="str">
        <f>_xlfn.XLOOKUP(F150,Dictonary!$G$2:$G$6,Dictonary!$H$2:$H$6)</f>
        <v>Less 100</v>
      </c>
      <c r="Y150" s="1" t="str">
        <f>_xlfn.XLOOKUP(I150,Dictonary!$J$2:$J$6,Dictonary!$K$2:$K$6)</f>
        <v>male : single</v>
      </c>
      <c r="Z150" s="1" t="str">
        <f>_xlfn.XLOOKUP(Q150,Dictonary!$M$2:$M$5,Dictonary!$N$2:$N$5)</f>
        <v>skilled employee / official</v>
      </c>
      <c r="AA150" s="1" t="str">
        <f>_xlfn.XLOOKUP(O150,Dictonary!$P$2:$P$4,Dictonary!$Q$2:$Q$4)</f>
        <v>own</v>
      </c>
    </row>
    <row r="151" spans="1:27" x14ac:dyDescent="0.3">
      <c r="A151" s="1" t="s">
        <v>42</v>
      </c>
      <c r="B151">
        <v>18</v>
      </c>
      <c r="C151" s="1" t="s">
        <v>22</v>
      </c>
      <c r="D151" s="1" t="s">
        <v>23</v>
      </c>
      <c r="E151">
        <v>1582</v>
      </c>
      <c r="F151" s="1" t="s">
        <v>58</v>
      </c>
      <c r="G151" s="1" t="s">
        <v>25</v>
      </c>
      <c r="H151">
        <v>4</v>
      </c>
      <c r="I151" s="1" t="s">
        <v>26</v>
      </c>
      <c r="J151" s="1" t="s">
        <v>27</v>
      </c>
      <c r="K151">
        <v>4</v>
      </c>
      <c r="L151" s="1" t="s">
        <v>55</v>
      </c>
      <c r="M151">
        <v>46</v>
      </c>
      <c r="N151" s="1" t="s">
        <v>29</v>
      </c>
      <c r="O151" s="1" t="s">
        <v>30</v>
      </c>
      <c r="P151">
        <v>2</v>
      </c>
      <c r="Q151" s="1" t="s">
        <v>31</v>
      </c>
      <c r="R151">
        <v>1</v>
      </c>
      <c r="S151" s="1" t="s">
        <v>40</v>
      </c>
      <c r="T151" s="1" t="s">
        <v>33</v>
      </c>
      <c r="U151" s="1" t="s">
        <v>34</v>
      </c>
      <c r="V151" s="1" t="str">
        <f>_xlfn.XLOOKUP(A151,Dictonary!$A$2:$A$5,Dictonary!$B$2:$B$5)</f>
        <v>No information</v>
      </c>
      <c r="W151" s="1" t="str">
        <f>_xlfn.XLOOKUP(D151,Dictonary!$D$2:$D$12,Dictonary!$E$2:$E$12)</f>
        <v>radio/television</v>
      </c>
      <c r="X151" s="1" t="str">
        <f>_xlfn.XLOOKUP(F151,Dictonary!$G$2:$G$6,Dictonary!$H$2:$H$6)</f>
        <v>More 1000</v>
      </c>
      <c r="Y151" s="1" t="str">
        <f>_xlfn.XLOOKUP(I151,Dictonary!$J$2:$J$6,Dictonary!$K$2:$K$6)</f>
        <v>male : single</v>
      </c>
      <c r="Z151" s="1" t="str">
        <f>_xlfn.XLOOKUP(Q151,Dictonary!$M$2:$M$5,Dictonary!$N$2:$N$5)</f>
        <v>skilled employee / official</v>
      </c>
      <c r="AA151" s="1" t="str">
        <f>_xlfn.XLOOKUP(O151,Dictonary!$P$2:$P$4,Dictonary!$Q$2:$Q$4)</f>
        <v>own</v>
      </c>
    </row>
    <row r="152" spans="1:27" x14ac:dyDescent="0.3">
      <c r="A152" s="1" t="s">
        <v>42</v>
      </c>
      <c r="B152">
        <v>6</v>
      </c>
      <c r="C152" s="1" t="s">
        <v>36</v>
      </c>
      <c r="D152" s="1" t="s">
        <v>23</v>
      </c>
      <c r="E152">
        <v>1346</v>
      </c>
      <c r="F152" s="1" t="s">
        <v>64</v>
      </c>
      <c r="G152" s="1" t="s">
        <v>25</v>
      </c>
      <c r="H152">
        <v>2</v>
      </c>
      <c r="I152" s="1" t="s">
        <v>26</v>
      </c>
      <c r="J152" s="1" t="s">
        <v>27</v>
      </c>
      <c r="K152">
        <v>4</v>
      </c>
      <c r="L152" s="1" t="s">
        <v>52</v>
      </c>
      <c r="M152">
        <v>42</v>
      </c>
      <c r="N152" s="1" t="s">
        <v>66</v>
      </c>
      <c r="O152" s="1" t="s">
        <v>49</v>
      </c>
      <c r="P152">
        <v>1</v>
      </c>
      <c r="Q152" s="1" t="s">
        <v>31</v>
      </c>
      <c r="R152">
        <v>2</v>
      </c>
      <c r="S152" s="1" t="s">
        <v>32</v>
      </c>
      <c r="T152" s="1" t="s">
        <v>33</v>
      </c>
      <c r="U152" s="1" t="s">
        <v>34</v>
      </c>
      <c r="V152" s="1" t="str">
        <f>_xlfn.XLOOKUP(A152,Dictonary!$A$2:$A$5,Dictonary!$B$2:$B$5)</f>
        <v>No information</v>
      </c>
      <c r="W152" s="1" t="str">
        <f>_xlfn.XLOOKUP(D152,Dictonary!$D$2:$D$12,Dictonary!$E$2:$E$12)</f>
        <v>radio/television</v>
      </c>
      <c r="X152" s="1" t="str">
        <f>_xlfn.XLOOKUP(F152,Dictonary!$G$2:$G$6,Dictonary!$H$2:$H$6)</f>
        <v>Up to 500</v>
      </c>
      <c r="Y152" s="1" t="str">
        <f>_xlfn.XLOOKUP(I152,Dictonary!$J$2:$J$6,Dictonary!$K$2:$K$6)</f>
        <v>male : single</v>
      </c>
      <c r="Z152" s="1" t="str">
        <f>_xlfn.XLOOKUP(Q152,Dictonary!$M$2:$M$5,Dictonary!$N$2:$N$5)</f>
        <v>skilled employee / official</v>
      </c>
      <c r="AA152" s="1" t="str">
        <f>_xlfn.XLOOKUP(O152,Dictonary!$P$2:$P$4,Dictonary!$Q$2:$Q$4)</f>
        <v>for free</v>
      </c>
    </row>
    <row r="153" spans="1:27" x14ac:dyDescent="0.3">
      <c r="A153" s="1" t="s">
        <v>42</v>
      </c>
      <c r="B153">
        <v>10</v>
      </c>
      <c r="C153" s="1" t="s">
        <v>36</v>
      </c>
      <c r="D153" s="1" t="s">
        <v>23</v>
      </c>
      <c r="E153">
        <v>1924</v>
      </c>
      <c r="F153" s="1" t="s">
        <v>37</v>
      </c>
      <c r="G153" s="1" t="s">
        <v>38</v>
      </c>
      <c r="H153">
        <v>1</v>
      </c>
      <c r="I153" s="1" t="s">
        <v>26</v>
      </c>
      <c r="J153" s="1" t="s">
        <v>27</v>
      </c>
      <c r="K153">
        <v>4</v>
      </c>
      <c r="L153" s="1" t="s">
        <v>48</v>
      </c>
      <c r="M153">
        <v>38</v>
      </c>
      <c r="N153" s="1" t="s">
        <v>29</v>
      </c>
      <c r="O153" s="1" t="s">
        <v>30</v>
      </c>
      <c r="P153">
        <v>1</v>
      </c>
      <c r="Q153" s="1" t="s">
        <v>31</v>
      </c>
      <c r="R153">
        <v>1</v>
      </c>
      <c r="S153" s="1" t="s">
        <v>32</v>
      </c>
      <c r="T153" s="1" t="s">
        <v>67</v>
      </c>
      <c r="U153" s="1" t="s">
        <v>34</v>
      </c>
      <c r="V153" s="1" t="str">
        <f>_xlfn.XLOOKUP(A153,Dictonary!$A$2:$A$5,Dictonary!$B$2:$B$5)</f>
        <v>No information</v>
      </c>
      <c r="W153" s="1" t="str">
        <f>_xlfn.XLOOKUP(D153,Dictonary!$D$2:$D$12,Dictonary!$E$2:$E$12)</f>
        <v>radio/television</v>
      </c>
      <c r="X153" s="1" t="str">
        <f>_xlfn.XLOOKUP(F153,Dictonary!$G$2:$G$6,Dictonary!$H$2:$H$6)</f>
        <v>Less 100</v>
      </c>
      <c r="Y153" s="1" t="str">
        <f>_xlfn.XLOOKUP(I153,Dictonary!$J$2:$J$6,Dictonary!$K$2:$K$6)</f>
        <v>male : single</v>
      </c>
      <c r="Z153" s="1" t="str">
        <f>_xlfn.XLOOKUP(Q153,Dictonary!$M$2:$M$5,Dictonary!$N$2:$N$5)</f>
        <v>skilled employee / official</v>
      </c>
      <c r="AA153" s="1" t="str">
        <f>_xlfn.XLOOKUP(O153,Dictonary!$P$2:$P$4,Dictonary!$Q$2:$Q$4)</f>
        <v>own</v>
      </c>
    </row>
    <row r="154" spans="1:27" x14ac:dyDescent="0.3">
      <c r="A154" s="1" t="s">
        <v>68</v>
      </c>
      <c r="B154">
        <v>36</v>
      </c>
      <c r="C154" s="1" t="s">
        <v>36</v>
      </c>
      <c r="D154" s="1" t="s">
        <v>23</v>
      </c>
      <c r="E154">
        <v>5848</v>
      </c>
      <c r="F154" s="1" t="s">
        <v>37</v>
      </c>
      <c r="G154" s="1" t="s">
        <v>38</v>
      </c>
      <c r="H154">
        <v>4</v>
      </c>
      <c r="I154" s="1" t="s">
        <v>26</v>
      </c>
      <c r="J154" s="1" t="s">
        <v>27</v>
      </c>
      <c r="K154">
        <v>1</v>
      </c>
      <c r="L154" s="1" t="s">
        <v>55</v>
      </c>
      <c r="M154">
        <v>24</v>
      </c>
      <c r="N154" s="1" t="s">
        <v>29</v>
      </c>
      <c r="O154" s="1" t="s">
        <v>30</v>
      </c>
      <c r="P154">
        <v>1</v>
      </c>
      <c r="Q154" s="1" t="s">
        <v>31</v>
      </c>
      <c r="R154">
        <v>1</v>
      </c>
      <c r="S154" s="1" t="s">
        <v>40</v>
      </c>
      <c r="T154" s="1" t="s">
        <v>33</v>
      </c>
      <c r="U154" s="1" t="s">
        <v>34</v>
      </c>
      <c r="V154" s="1" t="str">
        <f>_xlfn.XLOOKUP(A154,Dictonary!$A$2:$A$5,Dictonary!$B$2:$B$5)</f>
        <v>Normal balance</v>
      </c>
      <c r="W154" s="1" t="str">
        <f>_xlfn.XLOOKUP(D154,Dictonary!$D$2:$D$12,Dictonary!$E$2:$E$12)</f>
        <v>radio/television</v>
      </c>
      <c r="X154" s="1" t="str">
        <f>_xlfn.XLOOKUP(F154,Dictonary!$G$2:$G$6,Dictonary!$H$2:$H$6)</f>
        <v>Less 100</v>
      </c>
      <c r="Y154" s="1" t="str">
        <f>_xlfn.XLOOKUP(I154,Dictonary!$J$2:$J$6,Dictonary!$K$2:$K$6)</f>
        <v>male : single</v>
      </c>
      <c r="Z154" s="1" t="str">
        <f>_xlfn.XLOOKUP(Q154,Dictonary!$M$2:$M$5,Dictonary!$N$2:$N$5)</f>
        <v>skilled employee / official</v>
      </c>
      <c r="AA154" s="1" t="str">
        <f>_xlfn.XLOOKUP(O154,Dictonary!$P$2:$P$4,Dictonary!$Q$2:$Q$4)</f>
        <v>own</v>
      </c>
    </row>
    <row r="155" spans="1:27" x14ac:dyDescent="0.3">
      <c r="A155" s="1" t="s">
        <v>35</v>
      </c>
      <c r="B155">
        <v>24</v>
      </c>
      <c r="C155" s="1" t="s">
        <v>22</v>
      </c>
      <c r="D155" s="1" t="s">
        <v>54</v>
      </c>
      <c r="E155">
        <v>7758</v>
      </c>
      <c r="F155" s="1" t="s">
        <v>58</v>
      </c>
      <c r="G155" s="1" t="s">
        <v>25</v>
      </c>
      <c r="H155">
        <v>2</v>
      </c>
      <c r="I155" s="1" t="s">
        <v>39</v>
      </c>
      <c r="J155" s="1" t="s">
        <v>27</v>
      </c>
      <c r="K155">
        <v>4</v>
      </c>
      <c r="L155" s="1" t="s">
        <v>52</v>
      </c>
      <c r="M155">
        <v>29</v>
      </c>
      <c r="N155" s="1" t="s">
        <v>29</v>
      </c>
      <c r="O155" s="1" t="s">
        <v>56</v>
      </c>
      <c r="P155">
        <v>1</v>
      </c>
      <c r="Q155" s="1" t="s">
        <v>31</v>
      </c>
      <c r="R155">
        <v>1</v>
      </c>
      <c r="S155" s="1" t="s">
        <v>40</v>
      </c>
      <c r="T155" s="1" t="s">
        <v>33</v>
      </c>
      <c r="U155" s="1" t="s">
        <v>34</v>
      </c>
      <c r="V155" s="1" t="str">
        <f>_xlfn.XLOOKUP(A155,Dictonary!$A$2:$A$5,Dictonary!$B$2:$B$5)</f>
        <v>Low balance</v>
      </c>
      <c r="W155" s="1" t="str">
        <f>_xlfn.XLOOKUP(D155,Dictonary!$D$2:$D$12,Dictonary!$E$2:$E$12)</f>
        <v>car (used)</v>
      </c>
      <c r="X155" s="1" t="str">
        <f>_xlfn.XLOOKUP(F155,Dictonary!$G$2:$G$6,Dictonary!$H$2:$H$6)</f>
        <v>More 1000</v>
      </c>
      <c r="Y155" s="1" t="str">
        <f>_xlfn.XLOOKUP(I155,Dictonary!$J$2:$J$6,Dictonary!$K$2:$K$6)</f>
        <v>female : divorced/separated/married</v>
      </c>
      <c r="Z155" s="1" t="str">
        <f>_xlfn.XLOOKUP(Q155,Dictonary!$M$2:$M$5,Dictonary!$N$2:$N$5)</f>
        <v>skilled employee / official</v>
      </c>
      <c r="AA155" s="1" t="str">
        <f>_xlfn.XLOOKUP(O155,Dictonary!$P$2:$P$4,Dictonary!$Q$2:$Q$4)</f>
        <v>rent</v>
      </c>
    </row>
    <row r="156" spans="1:27" x14ac:dyDescent="0.3">
      <c r="A156" s="1" t="s">
        <v>35</v>
      </c>
      <c r="B156">
        <v>24</v>
      </c>
      <c r="C156" s="1" t="s">
        <v>50</v>
      </c>
      <c r="D156" s="1" t="s">
        <v>63</v>
      </c>
      <c r="E156">
        <v>6967</v>
      </c>
      <c r="F156" s="1" t="s">
        <v>64</v>
      </c>
      <c r="G156" s="1" t="s">
        <v>44</v>
      </c>
      <c r="H156">
        <v>4</v>
      </c>
      <c r="I156" s="1" t="s">
        <v>26</v>
      </c>
      <c r="J156" s="1" t="s">
        <v>27</v>
      </c>
      <c r="K156">
        <v>4</v>
      </c>
      <c r="L156" s="1" t="s">
        <v>55</v>
      </c>
      <c r="M156">
        <v>36</v>
      </c>
      <c r="N156" s="1" t="s">
        <v>29</v>
      </c>
      <c r="O156" s="1" t="s">
        <v>56</v>
      </c>
      <c r="P156">
        <v>1</v>
      </c>
      <c r="Q156" s="1" t="s">
        <v>57</v>
      </c>
      <c r="R156">
        <v>1</v>
      </c>
      <c r="S156" s="1" t="s">
        <v>32</v>
      </c>
      <c r="T156" s="1" t="s">
        <v>33</v>
      </c>
      <c r="U156" s="1" t="s">
        <v>34</v>
      </c>
      <c r="V156" s="1" t="str">
        <f>_xlfn.XLOOKUP(A156,Dictonary!$A$2:$A$5,Dictonary!$B$2:$B$5)</f>
        <v>Low balance</v>
      </c>
      <c r="W156" s="1" t="str">
        <f>_xlfn.XLOOKUP(D156,Dictonary!$D$2:$D$12,Dictonary!$E$2:$E$12)</f>
        <v>business</v>
      </c>
      <c r="X156" s="1" t="str">
        <f>_xlfn.XLOOKUP(F156,Dictonary!$G$2:$G$6,Dictonary!$H$2:$H$6)</f>
        <v>Up to 500</v>
      </c>
      <c r="Y156" s="1" t="str">
        <f>_xlfn.XLOOKUP(I156,Dictonary!$J$2:$J$6,Dictonary!$K$2:$K$6)</f>
        <v>male : single</v>
      </c>
      <c r="Z156" s="1" t="str">
        <f>_xlfn.XLOOKUP(Q156,Dictonary!$M$2:$M$5,Dictonary!$N$2:$N$5)</f>
        <v>management/ self-employed/ highly qualified employee/ officer</v>
      </c>
      <c r="AA156" s="1" t="str">
        <f>_xlfn.XLOOKUP(O156,Dictonary!$P$2:$P$4,Dictonary!$Q$2:$Q$4)</f>
        <v>rent</v>
      </c>
    </row>
    <row r="157" spans="1:27" x14ac:dyDescent="0.3">
      <c r="A157" s="1" t="s">
        <v>21</v>
      </c>
      <c r="B157">
        <v>12</v>
      </c>
      <c r="C157" s="1" t="s">
        <v>36</v>
      </c>
      <c r="D157" s="1" t="s">
        <v>46</v>
      </c>
      <c r="E157">
        <v>1282</v>
      </c>
      <c r="F157" s="1" t="s">
        <v>37</v>
      </c>
      <c r="G157" s="1" t="s">
        <v>38</v>
      </c>
      <c r="H157">
        <v>2</v>
      </c>
      <c r="I157" s="1" t="s">
        <v>39</v>
      </c>
      <c r="J157" s="1" t="s">
        <v>27</v>
      </c>
      <c r="K157">
        <v>4</v>
      </c>
      <c r="L157" s="1" t="s">
        <v>55</v>
      </c>
      <c r="M157">
        <v>20</v>
      </c>
      <c r="N157" s="1" t="s">
        <v>29</v>
      </c>
      <c r="O157" s="1" t="s">
        <v>56</v>
      </c>
      <c r="P157">
        <v>1</v>
      </c>
      <c r="Q157" s="1" t="s">
        <v>31</v>
      </c>
      <c r="R157">
        <v>1</v>
      </c>
      <c r="S157" s="1" t="s">
        <v>40</v>
      </c>
      <c r="T157" s="1" t="s">
        <v>33</v>
      </c>
      <c r="U157" s="1" t="s">
        <v>41</v>
      </c>
      <c r="V157" s="1" t="str">
        <f>_xlfn.XLOOKUP(A157,Dictonary!$A$2:$A$5,Dictonary!$B$2:$B$5)</f>
        <v>Negative balance</v>
      </c>
      <c r="W157" s="1" t="str">
        <f>_xlfn.XLOOKUP(D157,Dictonary!$D$2:$D$12,Dictonary!$E$2:$E$12)</f>
        <v>furniture/equipment</v>
      </c>
      <c r="X157" s="1" t="str">
        <f>_xlfn.XLOOKUP(F157,Dictonary!$G$2:$G$6,Dictonary!$H$2:$H$6)</f>
        <v>Less 100</v>
      </c>
      <c r="Y157" s="1" t="str">
        <f>_xlfn.XLOOKUP(I157,Dictonary!$J$2:$J$6,Dictonary!$K$2:$K$6)</f>
        <v>female : divorced/separated/married</v>
      </c>
      <c r="Z157" s="1" t="str">
        <f>_xlfn.XLOOKUP(Q157,Dictonary!$M$2:$M$5,Dictonary!$N$2:$N$5)</f>
        <v>skilled employee / official</v>
      </c>
      <c r="AA157" s="1" t="str">
        <f>_xlfn.XLOOKUP(O157,Dictonary!$P$2:$P$4,Dictonary!$Q$2:$Q$4)</f>
        <v>rent</v>
      </c>
    </row>
    <row r="158" spans="1:27" x14ac:dyDescent="0.3">
      <c r="A158" s="1" t="s">
        <v>21</v>
      </c>
      <c r="B158">
        <v>9</v>
      </c>
      <c r="C158" s="1" t="s">
        <v>22</v>
      </c>
      <c r="D158" s="1" t="s">
        <v>73</v>
      </c>
      <c r="E158">
        <v>1288</v>
      </c>
      <c r="F158" s="1" t="s">
        <v>64</v>
      </c>
      <c r="G158" s="1" t="s">
        <v>25</v>
      </c>
      <c r="H158">
        <v>3</v>
      </c>
      <c r="I158" s="1" t="s">
        <v>26</v>
      </c>
      <c r="J158" s="1" t="s">
        <v>47</v>
      </c>
      <c r="K158">
        <v>4</v>
      </c>
      <c r="L158" s="1" t="s">
        <v>28</v>
      </c>
      <c r="M158">
        <v>48</v>
      </c>
      <c r="N158" s="1" t="s">
        <v>29</v>
      </c>
      <c r="O158" s="1" t="s">
        <v>30</v>
      </c>
      <c r="P158">
        <v>2</v>
      </c>
      <c r="Q158" s="1" t="s">
        <v>31</v>
      </c>
      <c r="R158">
        <v>2</v>
      </c>
      <c r="S158" s="1" t="s">
        <v>40</v>
      </c>
      <c r="T158" s="1" t="s">
        <v>67</v>
      </c>
      <c r="U158" s="1" t="s">
        <v>34</v>
      </c>
      <c r="V158" s="1" t="str">
        <f>_xlfn.XLOOKUP(A158,Dictonary!$A$2:$A$5,Dictonary!$B$2:$B$5)</f>
        <v>Negative balance</v>
      </c>
      <c r="W158" s="1" t="str">
        <f>_xlfn.XLOOKUP(D158,Dictonary!$D$2:$D$12,Dictonary!$E$2:$E$12)</f>
        <v>repairs</v>
      </c>
      <c r="X158" s="1" t="str">
        <f>_xlfn.XLOOKUP(F158,Dictonary!$G$2:$G$6,Dictonary!$H$2:$H$6)</f>
        <v>Up to 500</v>
      </c>
      <c r="Y158" s="1" t="str">
        <f>_xlfn.XLOOKUP(I158,Dictonary!$J$2:$J$6,Dictonary!$K$2:$K$6)</f>
        <v>male : single</v>
      </c>
      <c r="Z158" s="1" t="str">
        <f>_xlfn.XLOOKUP(Q158,Dictonary!$M$2:$M$5,Dictonary!$N$2:$N$5)</f>
        <v>skilled employee / official</v>
      </c>
      <c r="AA158" s="1" t="str">
        <f>_xlfn.XLOOKUP(O158,Dictonary!$P$2:$P$4,Dictonary!$Q$2:$Q$4)</f>
        <v>own</v>
      </c>
    </row>
    <row r="159" spans="1:27" x14ac:dyDescent="0.3">
      <c r="A159" s="1" t="s">
        <v>21</v>
      </c>
      <c r="B159">
        <v>12</v>
      </c>
      <c r="C159" s="1" t="s">
        <v>69</v>
      </c>
      <c r="D159" s="1" t="s">
        <v>76</v>
      </c>
      <c r="E159">
        <v>339</v>
      </c>
      <c r="F159" s="1" t="s">
        <v>37</v>
      </c>
      <c r="G159" s="1" t="s">
        <v>25</v>
      </c>
      <c r="H159">
        <v>4</v>
      </c>
      <c r="I159" s="1" t="s">
        <v>61</v>
      </c>
      <c r="J159" s="1" t="s">
        <v>27</v>
      </c>
      <c r="K159">
        <v>1</v>
      </c>
      <c r="L159" s="1" t="s">
        <v>55</v>
      </c>
      <c r="M159">
        <v>45</v>
      </c>
      <c r="N159" s="1" t="s">
        <v>66</v>
      </c>
      <c r="O159" s="1" t="s">
        <v>30</v>
      </c>
      <c r="P159">
        <v>1</v>
      </c>
      <c r="Q159" s="1" t="s">
        <v>45</v>
      </c>
      <c r="R159">
        <v>1</v>
      </c>
      <c r="S159" s="1" t="s">
        <v>40</v>
      </c>
      <c r="T159" s="1" t="s">
        <v>33</v>
      </c>
      <c r="U159" s="1" t="s">
        <v>34</v>
      </c>
      <c r="V159" s="1" t="str">
        <f>_xlfn.XLOOKUP(A159,Dictonary!$A$2:$A$5,Dictonary!$B$2:$B$5)</f>
        <v>Negative balance</v>
      </c>
      <c r="W159" s="1" t="str">
        <f>_xlfn.XLOOKUP(D159,Dictonary!$D$2:$D$12,Dictonary!$E$2:$E$12)</f>
        <v>retraining</v>
      </c>
      <c r="X159" s="1" t="str">
        <f>_xlfn.XLOOKUP(F159,Dictonary!$G$2:$G$6,Dictonary!$H$2:$H$6)</f>
        <v>Less 100</v>
      </c>
      <c r="Y159" s="1" t="str">
        <f>_xlfn.XLOOKUP(I159,Dictonary!$J$2:$J$6,Dictonary!$K$2:$K$6)</f>
        <v>male : married/widowed</v>
      </c>
      <c r="Z159" s="1" t="str">
        <f>_xlfn.XLOOKUP(Q159,Dictonary!$M$2:$M$5,Dictonary!$N$2:$N$5)</f>
        <v>unskilled - resident</v>
      </c>
      <c r="AA159" s="1" t="str">
        <f>_xlfn.XLOOKUP(O159,Dictonary!$P$2:$P$4,Dictonary!$Q$2:$Q$4)</f>
        <v>own</v>
      </c>
    </row>
    <row r="160" spans="1:27" x14ac:dyDescent="0.3">
      <c r="A160" s="1" t="s">
        <v>35</v>
      </c>
      <c r="B160">
        <v>24</v>
      </c>
      <c r="C160" s="1" t="s">
        <v>36</v>
      </c>
      <c r="D160" s="1" t="s">
        <v>51</v>
      </c>
      <c r="E160">
        <v>3512</v>
      </c>
      <c r="F160" s="1" t="s">
        <v>64</v>
      </c>
      <c r="G160" s="1" t="s">
        <v>44</v>
      </c>
      <c r="H160">
        <v>2</v>
      </c>
      <c r="I160" s="1" t="s">
        <v>26</v>
      </c>
      <c r="J160" s="1" t="s">
        <v>27</v>
      </c>
      <c r="K160">
        <v>3</v>
      </c>
      <c r="L160" s="1" t="s">
        <v>55</v>
      </c>
      <c r="M160">
        <v>38</v>
      </c>
      <c r="N160" s="1" t="s">
        <v>66</v>
      </c>
      <c r="O160" s="1" t="s">
        <v>30</v>
      </c>
      <c r="P160">
        <v>2</v>
      </c>
      <c r="Q160" s="1" t="s">
        <v>31</v>
      </c>
      <c r="R160">
        <v>1</v>
      </c>
      <c r="S160" s="1" t="s">
        <v>32</v>
      </c>
      <c r="T160" s="1" t="s">
        <v>33</v>
      </c>
      <c r="U160" s="1" t="s">
        <v>34</v>
      </c>
      <c r="V160" s="1" t="str">
        <f>_xlfn.XLOOKUP(A160,Dictonary!$A$2:$A$5,Dictonary!$B$2:$B$5)</f>
        <v>Low balance</v>
      </c>
      <c r="W160" s="1" t="str">
        <f>_xlfn.XLOOKUP(D160,Dictonary!$D$2:$D$12,Dictonary!$E$2:$E$12)</f>
        <v>car (new)</v>
      </c>
      <c r="X160" s="1" t="str">
        <f>_xlfn.XLOOKUP(F160,Dictonary!$G$2:$G$6,Dictonary!$H$2:$H$6)</f>
        <v>Up to 500</v>
      </c>
      <c r="Y160" s="1" t="str">
        <f>_xlfn.XLOOKUP(I160,Dictonary!$J$2:$J$6,Dictonary!$K$2:$K$6)</f>
        <v>male : single</v>
      </c>
      <c r="Z160" s="1" t="str">
        <f>_xlfn.XLOOKUP(Q160,Dictonary!$M$2:$M$5,Dictonary!$N$2:$N$5)</f>
        <v>skilled employee / official</v>
      </c>
      <c r="AA160" s="1" t="str">
        <f>_xlfn.XLOOKUP(O160,Dictonary!$P$2:$P$4,Dictonary!$Q$2:$Q$4)</f>
        <v>own</v>
      </c>
    </row>
    <row r="161" spans="1:27" x14ac:dyDescent="0.3">
      <c r="A161" s="1" t="s">
        <v>42</v>
      </c>
      <c r="B161">
        <v>6</v>
      </c>
      <c r="C161" s="1" t="s">
        <v>22</v>
      </c>
      <c r="D161" s="1" t="s">
        <v>23</v>
      </c>
      <c r="E161">
        <v>1898</v>
      </c>
      <c r="F161" s="1" t="s">
        <v>24</v>
      </c>
      <c r="G161" s="1" t="s">
        <v>38</v>
      </c>
      <c r="H161">
        <v>1</v>
      </c>
      <c r="I161" s="1" t="s">
        <v>26</v>
      </c>
      <c r="J161" s="1" t="s">
        <v>27</v>
      </c>
      <c r="K161">
        <v>2</v>
      </c>
      <c r="L161" s="1" t="s">
        <v>28</v>
      </c>
      <c r="M161">
        <v>34</v>
      </c>
      <c r="N161" s="1" t="s">
        <v>29</v>
      </c>
      <c r="O161" s="1" t="s">
        <v>30</v>
      </c>
      <c r="P161">
        <v>2</v>
      </c>
      <c r="Q161" s="1" t="s">
        <v>45</v>
      </c>
      <c r="R161">
        <v>2</v>
      </c>
      <c r="S161" s="1" t="s">
        <v>40</v>
      </c>
      <c r="T161" s="1" t="s">
        <v>33</v>
      </c>
      <c r="U161" s="1" t="s">
        <v>34</v>
      </c>
      <c r="V161" s="1" t="str">
        <f>_xlfn.XLOOKUP(A161,Dictonary!$A$2:$A$5,Dictonary!$B$2:$B$5)</f>
        <v>No information</v>
      </c>
      <c r="W161" s="1" t="str">
        <f>_xlfn.XLOOKUP(D161,Dictonary!$D$2:$D$12,Dictonary!$E$2:$E$12)</f>
        <v>radio/television</v>
      </c>
      <c r="X161" s="1" t="str">
        <f>_xlfn.XLOOKUP(F161,Dictonary!$G$2:$G$6,Dictonary!$H$2:$H$6)</f>
        <v>No information</v>
      </c>
      <c r="Y161" s="1" t="str">
        <f>_xlfn.XLOOKUP(I161,Dictonary!$J$2:$J$6,Dictonary!$K$2:$K$6)</f>
        <v>male : single</v>
      </c>
      <c r="Z161" s="1" t="str">
        <f>_xlfn.XLOOKUP(Q161,Dictonary!$M$2:$M$5,Dictonary!$N$2:$N$5)</f>
        <v>unskilled - resident</v>
      </c>
      <c r="AA161" s="1" t="str">
        <f>_xlfn.XLOOKUP(O161,Dictonary!$P$2:$P$4,Dictonary!$Q$2:$Q$4)</f>
        <v>own</v>
      </c>
    </row>
    <row r="162" spans="1:27" x14ac:dyDescent="0.3">
      <c r="A162" s="1" t="s">
        <v>42</v>
      </c>
      <c r="B162">
        <v>24</v>
      </c>
      <c r="C162" s="1" t="s">
        <v>22</v>
      </c>
      <c r="D162" s="1" t="s">
        <v>23</v>
      </c>
      <c r="E162">
        <v>2872</v>
      </c>
      <c r="F162" s="1" t="s">
        <v>64</v>
      </c>
      <c r="G162" s="1" t="s">
        <v>25</v>
      </c>
      <c r="H162">
        <v>3</v>
      </c>
      <c r="I162" s="1" t="s">
        <v>26</v>
      </c>
      <c r="J162" s="1" t="s">
        <v>27</v>
      </c>
      <c r="K162">
        <v>4</v>
      </c>
      <c r="L162" s="1" t="s">
        <v>28</v>
      </c>
      <c r="M162">
        <v>36</v>
      </c>
      <c r="N162" s="1" t="s">
        <v>29</v>
      </c>
      <c r="O162" s="1" t="s">
        <v>30</v>
      </c>
      <c r="P162">
        <v>1</v>
      </c>
      <c r="Q162" s="1" t="s">
        <v>31</v>
      </c>
      <c r="R162">
        <v>2</v>
      </c>
      <c r="S162" s="1" t="s">
        <v>32</v>
      </c>
      <c r="T162" s="1" t="s">
        <v>33</v>
      </c>
      <c r="U162" s="1" t="s">
        <v>34</v>
      </c>
      <c r="V162" s="1" t="str">
        <f>_xlfn.XLOOKUP(A162,Dictonary!$A$2:$A$5,Dictonary!$B$2:$B$5)</f>
        <v>No information</v>
      </c>
      <c r="W162" s="1" t="str">
        <f>_xlfn.XLOOKUP(D162,Dictonary!$D$2:$D$12,Dictonary!$E$2:$E$12)</f>
        <v>radio/television</v>
      </c>
      <c r="X162" s="1" t="str">
        <f>_xlfn.XLOOKUP(F162,Dictonary!$G$2:$G$6,Dictonary!$H$2:$H$6)</f>
        <v>Up to 500</v>
      </c>
      <c r="Y162" s="1" t="str">
        <f>_xlfn.XLOOKUP(I162,Dictonary!$J$2:$J$6,Dictonary!$K$2:$K$6)</f>
        <v>male : single</v>
      </c>
      <c r="Z162" s="1" t="str">
        <f>_xlfn.XLOOKUP(Q162,Dictonary!$M$2:$M$5,Dictonary!$N$2:$N$5)</f>
        <v>skilled employee / official</v>
      </c>
      <c r="AA162" s="1" t="str">
        <f>_xlfn.XLOOKUP(O162,Dictonary!$P$2:$P$4,Dictonary!$Q$2:$Q$4)</f>
        <v>own</v>
      </c>
    </row>
    <row r="163" spans="1:27" x14ac:dyDescent="0.3">
      <c r="A163" s="1" t="s">
        <v>42</v>
      </c>
      <c r="B163">
        <v>18</v>
      </c>
      <c r="C163" s="1" t="s">
        <v>22</v>
      </c>
      <c r="D163" s="1" t="s">
        <v>51</v>
      </c>
      <c r="E163">
        <v>1055</v>
      </c>
      <c r="F163" s="1" t="s">
        <v>37</v>
      </c>
      <c r="G163" s="1" t="s">
        <v>62</v>
      </c>
      <c r="H163">
        <v>4</v>
      </c>
      <c r="I163" s="1" t="s">
        <v>39</v>
      </c>
      <c r="J163" s="1" t="s">
        <v>27</v>
      </c>
      <c r="K163">
        <v>1</v>
      </c>
      <c r="L163" s="1" t="s">
        <v>48</v>
      </c>
      <c r="M163">
        <v>30</v>
      </c>
      <c r="N163" s="1" t="s">
        <v>29</v>
      </c>
      <c r="O163" s="1" t="s">
        <v>30</v>
      </c>
      <c r="P163">
        <v>2</v>
      </c>
      <c r="Q163" s="1" t="s">
        <v>31</v>
      </c>
      <c r="R163">
        <v>1</v>
      </c>
      <c r="S163" s="1" t="s">
        <v>40</v>
      </c>
      <c r="T163" s="1" t="s">
        <v>33</v>
      </c>
      <c r="U163" s="1" t="s">
        <v>34</v>
      </c>
      <c r="V163" s="1" t="str">
        <f>_xlfn.XLOOKUP(A163,Dictonary!$A$2:$A$5,Dictonary!$B$2:$B$5)</f>
        <v>No information</v>
      </c>
      <c r="W163" s="1" t="str">
        <f>_xlfn.XLOOKUP(D163,Dictonary!$D$2:$D$12,Dictonary!$E$2:$E$12)</f>
        <v>car (new)</v>
      </c>
      <c r="X163" s="1" t="str">
        <f>_xlfn.XLOOKUP(F163,Dictonary!$G$2:$G$6,Dictonary!$H$2:$H$6)</f>
        <v>Less 100</v>
      </c>
      <c r="Y163" s="1" t="str">
        <f>_xlfn.XLOOKUP(I163,Dictonary!$J$2:$J$6,Dictonary!$K$2:$K$6)</f>
        <v>female : divorced/separated/married</v>
      </c>
      <c r="Z163" s="1" t="str">
        <f>_xlfn.XLOOKUP(Q163,Dictonary!$M$2:$M$5,Dictonary!$N$2:$N$5)</f>
        <v>skilled employee / official</v>
      </c>
      <c r="AA163" s="1" t="str">
        <f>_xlfn.XLOOKUP(O163,Dictonary!$P$2:$P$4,Dictonary!$Q$2:$Q$4)</f>
        <v>own</v>
      </c>
    </row>
    <row r="164" spans="1:27" x14ac:dyDescent="0.3">
      <c r="A164" s="1" t="s">
        <v>42</v>
      </c>
      <c r="B164">
        <v>15</v>
      </c>
      <c r="C164" s="1" t="s">
        <v>36</v>
      </c>
      <c r="D164" s="1" t="s">
        <v>72</v>
      </c>
      <c r="E164">
        <v>1262</v>
      </c>
      <c r="F164" s="1" t="s">
        <v>53</v>
      </c>
      <c r="G164" s="1" t="s">
        <v>44</v>
      </c>
      <c r="H164">
        <v>4</v>
      </c>
      <c r="I164" s="1" t="s">
        <v>26</v>
      </c>
      <c r="J164" s="1" t="s">
        <v>27</v>
      </c>
      <c r="K164">
        <v>3</v>
      </c>
      <c r="L164" s="1" t="s">
        <v>48</v>
      </c>
      <c r="M164">
        <v>36</v>
      </c>
      <c r="N164" s="1" t="s">
        <v>29</v>
      </c>
      <c r="O164" s="1" t="s">
        <v>30</v>
      </c>
      <c r="P164">
        <v>2</v>
      </c>
      <c r="Q164" s="1" t="s">
        <v>31</v>
      </c>
      <c r="R164">
        <v>1</v>
      </c>
      <c r="S164" s="1" t="s">
        <v>32</v>
      </c>
      <c r="T164" s="1" t="s">
        <v>33</v>
      </c>
      <c r="U164" s="1" t="s">
        <v>34</v>
      </c>
      <c r="V164" s="1" t="str">
        <f>_xlfn.XLOOKUP(A164,Dictonary!$A$2:$A$5,Dictonary!$B$2:$B$5)</f>
        <v>No information</v>
      </c>
      <c r="W164" s="1" t="str">
        <f>_xlfn.XLOOKUP(D164,Dictonary!$D$2:$D$12,Dictonary!$E$2:$E$12)</f>
        <v>domestic appliances</v>
      </c>
      <c r="X164" s="1" t="str">
        <f>_xlfn.XLOOKUP(F164,Dictonary!$G$2:$G$6,Dictonary!$H$2:$H$6)</f>
        <v>Up to 1000</v>
      </c>
      <c r="Y164" s="1" t="str">
        <f>_xlfn.XLOOKUP(I164,Dictonary!$J$2:$J$6,Dictonary!$K$2:$K$6)</f>
        <v>male : single</v>
      </c>
      <c r="Z164" s="1" t="str">
        <f>_xlfn.XLOOKUP(Q164,Dictonary!$M$2:$M$5,Dictonary!$N$2:$N$5)</f>
        <v>skilled employee / official</v>
      </c>
      <c r="AA164" s="1" t="str">
        <f>_xlfn.XLOOKUP(O164,Dictonary!$P$2:$P$4,Dictonary!$Q$2:$Q$4)</f>
        <v>own</v>
      </c>
    </row>
    <row r="165" spans="1:27" x14ac:dyDescent="0.3">
      <c r="A165" s="1" t="s">
        <v>35</v>
      </c>
      <c r="B165">
        <v>10</v>
      </c>
      <c r="C165" s="1" t="s">
        <v>36</v>
      </c>
      <c r="D165" s="1" t="s">
        <v>51</v>
      </c>
      <c r="E165">
        <v>7308</v>
      </c>
      <c r="F165" s="1" t="s">
        <v>37</v>
      </c>
      <c r="G165" s="1" t="s">
        <v>60</v>
      </c>
      <c r="H165">
        <v>2</v>
      </c>
      <c r="I165" s="1" t="s">
        <v>26</v>
      </c>
      <c r="J165" s="1" t="s">
        <v>27</v>
      </c>
      <c r="K165">
        <v>4</v>
      </c>
      <c r="L165" s="1" t="s">
        <v>52</v>
      </c>
      <c r="M165">
        <v>70</v>
      </c>
      <c r="N165" s="1" t="s">
        <v>66</v>
      </c>
      <c r="O165" s="1" t="s">
        <v>49</v>
      </c>
      <c r="P165">
        <v>1</v>
      </c>
      <c r="Q165" s="1" t="s">
        <v>57</v>
      </c>
      <c r="R165">
        <v>1</v>
      </c>
      <c r="S165" s="1" t="s">
        <v>32</v>
      </c>
      <c r="T165" s="1" t="s">
        <v>33</v>
      </c>
      <c r="U165" s="1" t="s">
        <v>34</v>
      </c>
      <c r="V165" s="1" t="str">
        <f>_xlfn.XLOOKUP(A165,Dictonary!$A$2:$A$5,Dictonary!$B$2:$B$5)</f>
        <v>Low balance</v>
      </c>
      <c r="W165" s="1" t="str">
        <f>_xlfn.XLOOKUP(D165,Dictonary!$D$2:$D$12,Dictonary!$E$2:$E$12)</f>
        <v>car (new)</v>
      </c>
      <c r="X165" s="1" t="str">
        <f>_xlfn.XLOOKUP(F165,Dictonary!$G$2:$G$6,Dictonary!$H$2:$H$6)</f>
        <v>Less 100</v>
      </c>
      <c r="Y165" s="1" t="str">
        <f>_xlfn.XLOOKUP(I165,Dictonary!$J$2:$J$6,Dictonary!$K$2:$K$6)</f>
        <v>male : single</v>
      </c>
      <c r="Z165" s="1" t="str">
        <f>_xlfn.XLOOKUP(Q165,Dictonary!$M$2:$M$5,Dictonary!$N$2:$N$5)</f>
        <v>management/ self-employed/ highly qualified employee/ officer</v>
      </c>
      <c r="AA165" s="1" t="str">
        <f>_xlfn.XLOOKUP(O165,Dictonary!$P$2:$P$4,Dictonary!$Q$2:$Q$4)</f>
        <v>for free</v>
      </c>
    </row>
    <row r="166" spans="1:27" x14ac:dyDescent="0.3">
      <c r="A166" s="1" t="s">
        <v>42</v>
      </c>
      <c r="B166">
        <v>36</v>
      </c>
      <c r="C166" s="1" t="s">
        <v>36</v>
      </c>
      <c r="D166" s="1" t="s">
        <v>51</v>
      </c>
      <c r="E166">
        <v>909</v>
      </c>
      <c r="F166" s="1" t="s">
        <v>53</v>
      </c>
      <c r="G166" s="1" t="s">
        <v>25</v>
      </c>
      <c r="H166">
        <v>4</v>
      </c>
      <c r="I166" s="1" t="s">
        <v>26</v>
      </c>
      <c r="J166" s="1" t="s">
        <v>27</v>
      </c>
      <c r="K166">
        <v>4</v>
      </c>
      <c r="L166" s="1" t="s">
        <v>48</v>
      </c>
      <c r="M166">
        <v>36</v>
      </c>
      <c r="N166" s="1" t="s">
        <v>29</v>
      </c>
      <c r="O166" s="1" t="s">
        <v>30</v>
      </c>
      <c r="P166">
        <v>1</v>
      </c>
      <c r="Q166" s="1" t="s">
        <v>31</v>
      </c>
      <c r="R166">
        <v>1</v>
      </c>
      <c r="S166" s="1" t="s">
        <v>40</v>
      </c>
      <c r="T166" s="1" t="s">
        <v>33</v>
      </c>
      <c r="U166" s="1" t="s">
        <v>34</v>
      </c>
      <c r="V166" s="1" t="str">
        <f>_xlfn.XLOOKUP(A166,Dictonary!$A$2:$A$5,Dictonary!$B$2:$B$5)</f>
        <v>No information</v>
      </c>
      <c r="W166" s="1" t="str">
        <f>_xlfn.XLOOKUP(D166,Dictonary!$D$2:$D$12,Dictonary!$E$2:$E$12)</f>
        <v>car (new)</v>
      </c>
      <c r="X166" s="1" t="str">
        <f>_xlfn.XLOOKUP(F166,Dictonary!$G$2:$G$6,Dictonary!$H$2:$H$6)</f>
        <v>Up to 1000</v>
      </c>
      <c r="Y166" s="1" t="str">
        <f>_xlfn.XLOOKUP(I166,Dictonary!$J$2:$J$6,Dictonary!$K$2:$K$6)</f>
        <v>male : single</v>
      </c>
      <c r="Z166" s="1" t="str">
        <f>_xlfn.XLOOKUP(Q166,Dictonary!$M$2:$M$5,Dictonary!$N$2:$N$5)</f>
        <v>skilled employee / official</v>
      </c>
      <c r="AA166" s="1" t="str">
        <f>_xlfn.XLOOKUP(O166,Dictonary!$P$2:$P$4,Dictonary!$Q$2:$Q$4)</f>
        <v>own</v>
      </c>
    </row>
    <row r="167" spans="1:27" x14ac:dyDescent="0.3">
      <c r="A167" s="1" t="s">
        <v>42</v>
      </c>
      <c r="B167">
        <v>6</v>
      </c>
      <c r="C167" s="1" t="s">
        <v>36</v>
      </c>
      <c r="D167" s="1" t="s">
        <v>46</v>
      </c>
      <c r="E167">
        <v>2978</v>
      </c>
      <c r="F167" s="1" t="s">
        <v>53</v>
      </c>
      <c r="G167" s="1" t="s">
        <v>38</v>
      </c>
      <c r="H167">
        <v>1</v>
      </c>
      <c r="I167" s="1" t="s">
        <v>26</v>
      </c>
      <c r="J167" s="1" t="s">
        <v>27</v>
      </c>
      <c r="K167">
        <v>2</v>
      </c>
      <c r="L167" s="1" t="s">
        <v>55</v>
      </c>
      <c r="M167">
        <v>32</v>
      </c>
      <c r="N167" s="1" t="s">
        <v>29</v>
      </c>
      <c r="O167" s="1" t="s">
        <v>30</v>
      </c>
      <c r="P167">
        <v>1</v>
      </c>
      <c r="Q167" s="1" t="s">
        <v>31</v>
      </c>
      <c r="R167">
        <v>1</v>
      </c>
      <c r="S167" s="1" t="s">
        <v>32</v>
      </c>
      <c r="T167" s="1" t="s">
        <v>33</v>
      </c>
      <c r="U167" s="1" t="s">
        <v>34</v>
      </c>
      <c r="V167" s="1" t="str">
        <f>_xlfn.XLOOKUP(A167,Dictonary!$A$2:$A$5,Dictonary!$B$2:$B$5)</f>
        <v>No information</v>
      </c>
      <c r="W167" s="1" t="str">
        <f>_xlfn.XLOOKUP(D167,Dictonary!$D$2:$D$12,Dictonary!$E$2:$E$12)</f>
        <v>furniture/equipment</v>
      </c>
      <c r="X167" s="1" t="str">
        <f>_xlfn.XLOOKUP(F167,Dictonary!$G$2:$G$6,Dictonary!$H$2:$H$6)</f>
        <v>Up to 1000</v>
      </c>
      <c r="Y167" s="1" t="str">
        <f>_xlfn.XLOOKUP(I167,Dictonary!$J$2:$J$6,Dictonary!$K$2:$K$6)</f>
        <v>male : single</v>
      </c>
      <c r="Z167" s="1" t="str">
        <f>_xlfn.XLOOKUP(Q167,Dictonary!$M$2:$M$5,Dictonary!$N$2:$N$5)</f>
        <v>skilled employee / official</v>
      </c>
      <c r="AA167" s="1" t="str">
        <f>_xlfn.XLOOKUP(O167,Dictonary!$P$2:$P$4,Dictonary!$Q$2:$Q$4)</f>
        <v>own</v>
      </c>
    </row>
    <row r="168" spans="1:27" x14ac:dyDescent="0.3">
      <c r="A168" s="1" t="s">
        <v>21</v>
      </c>
      <c r="B168">
        <v>18</v>
      </c>
      <c r="C168" s="1" t="s">
        <v>36</v>
      </c>
      <c r="D168" s="1" t="s">
        <v>46</v>
      </c>
      <c r="E168">
        <v>1131</v>
      </c>
      <c r="F168" s="1" t="s">
        <v>37</v>
      </c>
      <c r="G168" s="1" t="s">
        <v>60</v>
      </c>
      <c r="H168">
        <v>4</v>
      </c>
      <c r="I168" s="1" t="s">
        <v>39</v>
      </c>
      <c r="J168" s="1" t="s">
        <v>27</v>
      </c>
      <c r="K168">
        <v>2</v>
      </c>
      <c r="L168" s="1" t="s">
        <v>55</v>
      </c>
      <c r="M168">
        <v>33</v>
      </c>
      <c r="N168" s="1" t="s">
        <v>29</v>
      </c>
      <c r="O168" s="1" t="s">
        <v>30</v>
      </c>
      <c r="P168">
        <v>1</v>
      </c>
      <c r="Q168" s="1" t="s">
        <v>31</v>
      </c>
      <c r="R168">
        <v>1</v>
      </c>
      <c r="S168" s="1" t="s">
        <v>40</v>
      </c>
      <c r="T168" s="1" t="s">
        <v>33</v>
      </c>
      <c r="U168" s="1" t="s">
        <v>41</v>
      </c>
      <c r="V168" s="1" t="str">
        <f>_xlfn.XLOOKUP(A168,Dictonary!$A$2:$A$5,Dictonary!$B$2:$B$5)</f>
        <v>Negative balance</v>
      </c>
      <c r="W168" s="1" t="str">
        <f>_xlfn.XLOOKUP(D168,Dictonary!$D$2:$D$12,Dictonary!$E$2:$E$12)</f>
        <v>furniture/equipment</v>
      </c>
      <c r="X168" s="1" t="str">
        <f>_xlfn.XLOOKUP(F168,Dictonary!$G$2:$G$6,Dictonary!$H$2:$H$6)</f>
        <v>Less 100</v>
      </c>
      <c r="Y168" s="1" t="str">
        <f>_xlfn.XLOOKUP(I168,Dictonary!$J$2:$J$6,Dictonary!$K$2:$K$6)</f>
        <v>female : divorced/separated/married</v>
      </c>
      <c r="Z168" s="1" t="str">
        <f>_xlfn.XLOOKUP(Q168,Dictonary!$M$2:$M$5,Dictonary!$N$2:$N$5)</f>
        <v>skilled employee / official</v>
      </c>
      <c r="AA168" s="1" t="str">
        <f>_xlfn.XLOOKUP(O168,Dictonary!$P$2:$P$4,Dictonary!$Q$2:$Q$4)</f>
        <v>own</v>
      </c>
    </row>
    <row r="169" spans="1:27" x14ac:dyDescent="0.3">
      <c r="A169" s="1" t="s">
        <v>35</v>
      </c>
      <c r="B169">
        <v>11</v>
      </c>
      <c r="C169" s="1" t="s">
        <v>36</v>
      </c>
      <c r="D169" s="1" t="s">
        <v>46</v>
      </c>
      <c r="E169">
        <v>1577</v>
      </c>
      <c r="F169" s="1" t="s">
        <v>58</v>
      </c>
      <c r="G169" s="1" t="s">
        <v>62</v>
      </c>
      <c r="H169">
        <v>4</v>
      </c>
      <c r="I169" s="1" t="s">
        <v>39</v>
      </c>
      <c r="J169" s="1" t="s">
        <v>27</v>
      </c>
      <c r="K169">
        <v>1</v>
      </c>
      <c r="L169" s="1" t="s">
        <v>28</v>
      </c>
      <c r="M169">
        <v>20</v>
      </c>
      <c r="N169" s="1" t="s">
        <v>29</v>
      </c>
      <c r="O169" s="1" t="s">
        <v>30</v>
      </c>
      <c r="P169">
        <v>1</v>
      </c>
      <c r="Q169" s="1" t="s">
        <v>31</v>
      </c>
      <c r="R169">
        <v>1</v>
      </c>
      <c r="S169" s="1" t="s">
        <v>40</v>
      </c>
      <c r="T169" s="1" t="s">
        <v>33</v>
      </c>
      <c r="U169" s="1" t="s">
        <v>34</v>
      </c>
      <c r="V169" s="1" t="str">
        <f>_xlfn.XLOOKUP(A169,Dictonary!$A$2:$A$5,Dictonary!$B$2:$B$5)</f>
        <v>Low balance</v>
      </c>
      <c r="W169" s="1" t="str">
        <f>_xlfn.XLOOKUP(D169,Dictonary!$D$2:$D$12,Dictonary!$E$2:$E$12)</f>
        <v>furniture/equipment</v>
      </c>
      <c r="X169" s="1" t="str">
        <f>_xlfn.XLOOKUP(F169,Dictonary!$G$2:$G$6,Dictonary!$H$2:$H$6)</f>
        <v>More 1000</v>
      </c>
      <c r="Y169" s="1" t="str">
        <f>_xlfn.XLOOKUP(I169,Dictonary!$J$2:$J$6,Dictonary!$K$2:$K$6)</f>
        <v>female : divorced/separated/married</v>
      </c>
      <c r="Z169" s="1" t="str">
        <f>_xlfn.XLOOKUP(Q169,Dictonary!$M$2:$M$5,Dictonary!$N$2:$N$5)</f>
        <v>skilled employee / official</v>
      </c>
      <c r="AA169" s="1" t="str">
        <f>_xlfn.XLOOKUP(O169,Dictonary!$P$2:$P$4,Dictonary!$Q$2:$Q$4)</f>
        <v>own</v>
      </c>
    </row>
    <row r="170" spans="1:27" x14ac:dyDescent="0.3">
      <c r="A170" s="1" t="s">
        <v>42</v>
      </c>
      <c r="B170">
        <v>24</v>
      </c>
      <c r="C170" s="1" t="s">
        <v>36</v>
      </c>
      <c r="D170" s="1" t="s">
        <v>46</v>
      </c>
      <c r="E170">
        <v>3972</v>
      </c>
      <c r="F170" s="1" t="s">
        <v>37</v>
      </c>
      <c r="G170" s="1" t="s">
        <v>44</v>
      </c>
      <c r="H170">
        <v>2</v>
      </c>
      <c r="I170" s="1" t="s">
        <v>39</v>
      </c>
      <c r="J170" s="1" t="s">
        <v>27</v>
      </c>
      <c r="K170">
        <v>4</v>
      </c>
      <c r="L170" s="1" t="s">
        <v>48</v>
      </c>
      <c r="M170">
        <v>25</v>
      </c>
      <c r="N170" s="1" t="s">
        <v>29</v>
      </c>
      <c r="O170" s="1" t="s">
        <v>56</v>
      </c>
      <c r="P170">
        <v>1</v>
      </c>
      <c r="Q170" s="1" t="s">
        <v>31</v>
      </c>
      <c r="R170">
        <v>1</v>
      </c>
      <c r="S170" s="1" t="s">
        <v>32</v>
      </c>
      <c r="T170" s="1" t="s">
        <v>33</v>
      </c>
      <c r="U170" s="1" t="s">
        <v>34</v>
      </c>
      <c r="V170" s="1" t="str">
        <f>_xlfn.XLOOKUP(A170,Dictonary!$A$2:$A$5,Dictonary!$B$2:$B$5)</f>
        <v>No information</v>
      </c>
      <c r="W170" s="1" t="str">
        <f>_xlfn.XLOOKUP(D170,Dictonary!$D$2:$D$12,Dictonary!$E$2:$E$12)</f>
        <v>furniture/equipment</v>
      </c>
      <c r="X170" s="1" t="str">
        <f>_xlfn.XLOOKUP(F170,Dictonary!$G$2:$G$6,Dictonary!$H$2:$H$6)</f>
        <v>Less 100</v>
      </c>
      <c r="Y170" s="1" t="str">
        <f>_xlfn.XLOOKUP(I170,Dictonary!$J$2:$J$6,Dictonary!$K$2:$K$6)</f>
        <v>female : divorced/separated/married</v>
      </c>
      <c r="Z170" s="1" t="str">
        <f>_xlfn.XLOOKUP(Q170,Dictonary!$M$2:$M$5,Dictonary!$N$2:$N$5)</f>
        <v>skilled employee / official</v>
      </c>
      <c r="AA170" s="1" t="str">
        <f>_xlfn.XLOOKUP(O170,Dictonary!$P$2:$P$4,Dictonary!$Q$2:$Q$4)</f>
        <v>rent</v>
      </c>
    </row>
    <row r="171" spans="1:27" x14ac:dyDescent="0.3">
      <c r="A171" s="1" t="s">
        <v>35</v>
      </c>
      <c r="B171">
        <v>24</v>
      </c>
      <c r="C171" s="1" t="s">
        <v>22</v>
      </c>
      <c r="D171" s="1" t="s">
        <v>63</v>
      </c>
      <c r="E171">
        <v>1935</v>
      </c>
      <c r="F171" s="1" t="s">
        <v>37</v>
      </c>
      <c r="G171" s="1" t="s">
        <v>25</v>
      </c>
      <c r="H171">
        <v>4</v>
      </c>
      <c r="I171" s="1" t="s">
        <v>59</v>
      </c>
      <c r="J171" s="1" t="s">
        <v>27</v>
      </c>
      <c r="K171">
        <v>4</v>
      </c>
      <c r="L171" s="1" t="s">
        <v>28</v>
      </c>
      <c r="M171">
        <v>31</v>
      </c>
      <c r="N171" s="1" t="s">
        <v>29</v>
      </c>
      <c r="O171" s="1" t="s">
        <v>30</v>
      </c>
      <c r="P171">
        <v>2</v>
      </c>
      <c r="Q171" s="1" t="s">
        <v>31</v>
      </c>
      <c r="R171">
        <v>1</v>
      </c>
      <c r="S171" s="1" t="s">
        <v>32</v>
      </c>
      <c r="T171" s="1" t="s">
        <v>33</v>
      </c>
      <c r="U171" s="1" t="s">
        <v>41</v>
      </c>
      <c r="V171" s="1" t="str">
        <f>_xlfn.XLOOKUP(A171,Dictonary!$A$2:$A$5,Dictonary!$B$2:$B$5)</f>
        <v>Low balance</v>
      </c>
      <c r="W171" s="1" t="str">
        <f>_xlfn.XLOOKUP(D171,Dictonary!$D$2:$D$12,Dictonary!$E$2:$E$12)</f>
        <v>business</v>
      </c>
      <c r="X171" s="1" t="str">
        <f>_xlfn.XLOOKUP(F171,Dictonary!$G$2:$G$6,Dictonary!$H$2:$H$6)</f>
        <v>Less 100</v>
      </c>
      <c r="Y171" s="1" t="str">
        <f>_xlfn.XLOOKUP(I171,Dictonary!$J$2:$J$6,Dictonary!$K$2:$K$6)</f>
        <v>male : divorced/separated</v>
      </c>
      <c r="Z171" s="1" t="str">
        <f>_xlfn.XLOOKUP(Q171,Dictonary!$M$2:$M$5,Dictonary!$N$2:$N$5)</f>
        <v>skilled employee / official</v>
      </c>
      <c r="AA171" s="1" t="str">
        <f>_xlfn.XLOOKUP(O171,Dictonary!$P$2:$P$4,Dictonary!$Q$2:$Q$4)</f>
        <v>own</v>
      </c>
    </row>
    <row r="172" spans="1:27" x14ac:dyDescent="0.3">
      <c r="A172" s="1" t="s">
        <v>21</v>
      </c>
      <c r="B172">
        <v>15</v>
      </c>
      <c r="C172" s="1" t="s">
        <v>65</v>
      </c>
      <c r="D172" s="1" t="s">
        <v>51</v>
      </c>
      <c r="E172">
        <v>950</v>
      </c>
      <c r="F172" s="1" t="s">
        <v>37</v>
      </c>
      <c r="G172" s="1" t="s">
        <v>25</v>
      </c>
      <c r="H172">
        <v>4</v>
      </c>
      <c r="I172" s="1" t="s">
        <v>26</v>
      </c>
      <c r="J172" s="1" t="s">
        <v>27</v>
      </c>
      <c r="K172">
        <v>3</v>
      </c>
      <c r="L172" s="1" t="s">
        <v>55</v>
      </c>
      <c r="M172">
        <v>33</v>
      </c>
      <c r="N172" s="1" t="s">
        <v>29</v>
      </c>
      <c r="O172" s="1" t="s">
        <v>56</v>
      </c>
      <c r="P172">
        <v>2</v>
      </c>
      <c r="Q172" s="1" t="s">
        <v>31</v>
      </c>
      <c r="R172">
        <v>2</v>
      </c>
      <c r="S172" s="1" t="s">
        <v>40</v>
      </c>
      <c r="T172" s="1" t="s">
        <v>33</v>
      </c>
      <c r="U172" s="1" t="s">
        <v>41</v>
      </c>
      <c r="V172" s="1" t="str">
        <f>_xlfn.XLOOKUP(A172,Dictonary!$A$2:$A$5,Dictonary!$B$2:$B$5)</f>
        <v>Negative balance</v>
      </c>
      <c r="W172" s="1" t="str">
        <f>_xlfn.XLOOKUP(D172,Dictonary!$D$2:$D$12,Dictonary!$E$2:$E$12)</f>
        <v>car (new)</v>
      </c>
      <c r="X172" s="1" t="str">
        <f>_xlfn.XLOOKUP(F172,Dictonary!$G$2:$G$6,Dictonary!$H$2:$H$6)</f>
        <v>Less 100</v>
      </c>
      <c r="Y172" s="1" t="str">
        <f>_xlfn.XLOOKUP(I172,Dictonary!$J$2:$J$6,Dictonary!$K$2:$K$6)</f>
        <v>male : single</v>
      </c>
      <c r="Z172" s="1" t="str">
        <f>_xlfn.XLOOKUP(Q172,Dictonary!$M$2:$M$5,Dictonary!$N$2:$N$5)</f>
        <v>skilled employee / official</v>
      </c>
      <c r="AA172" s="1" t="str">
        <f>_xlfn.XLOOKUP(O172,Dictonary!$P$2:$P$4,Dictonary!$Q$2:$Q$4)</f>
        <v>rent</v>
      </c>
    </row>
    <row r="173" spans="1:27" x14ac:dyDescent="0.3">
      <c r="A173" s="1" t="s">
        <v>42</v>
      </c>
      <c r="B173">
        <v>12</v>
      </c>
      <c r="C173" s="1" t="s">
        <v>36</v>
      </c>
      <c r="D173" s="1" t="s">
        <v>46</v>
      </c>
      <c r="E173">
        <v>763</v>
      </c>
      <c r="F173" s="1" t="s">
        <v>37</v>
      </c>
      <c r="G173" s="1" t="s">
        <v>38</v>
      </c>
      <c r="H173">
        <v>4</v>
      </c>
      <c r="I173" s="1" t="s">
        <v>39</v>
      </c>
      <c r="J173" s="1" t="s">
        <v>27</v>
      </c>
      <c r="K173">
        <v>1</v>
      </c>
      <c r="L173" s="1" t="s">
        <v>28</v>
      </c>
      <c r="M173">
        <v>26</v>
      </c>
      <c r="N173" s="1" t="s">
        <v>29</v>
      </c>
      <c r="O173" s="1" t="s">
        <v>30</v>
      </c>
      <c r="P173">
        <v>1</v>
      </c>
      <c r="Q173" s="1" t="s">
        <v>31</v>
      </c>
      <c r="R173">
        <v>1</v>
      </c>
      <c r="S173" s="1" t="s">
        <v>32</v>
      </c>
      <c r="T173" s="1" t="s">
        <v>33</v>
      </c>
      <c r="U173" s="1" t="s">
        <v>34</v>
      </c>
      <c r="V173" s="1" t="str">
        <f>_xlfn.XLOOKUP(A173,Dictonary!$A$2:$A$5,Dictonary!$B$2:$B$5)</f>
        <v>No information</v>
      </c>
      <c r="W173" s="1" t="str">
        <f>_xlfn.XLOOKUP(D173,Dictonary!$D$2:$D$12,Dictonary!$E$2:$E$12)</f>
        <v>furniture/equipment</v>
      </c>
      <c r="X173" s="1" t="str">
        <f>_xlfn.XLOOKUP(F173,Dictonary!$G$2:$G$6,Dictonary!$H$2:$H$6)</f>
        <v>Less 100</v>
      </c>
      <c r="Y173" s="1" t="str">
        <f>_xlfn.XLOOKUP(I173,Dictonary!$J$2:$J$6,Dictonary!$K$2:$K$6)</f>
        <v>female : divorced/separated/married</v>
      </c>
      <c r="Z173" s="1" t="str">
        <f>_xlfn.XLOOKUP(Q173,Dictonary!$M$2:$M$5,Dictonary!$N$2:$N$5)</f>
        <v>skilled employee / official</v>
      </c>
      <c r="AA173" s="1" t="str">
        <f>_xlfn.XLOOKUP(O173,Dictonary!$P$2:$P$4,Dictonary!$Q$2:$Q$4)</f>
        <v>own</v>
      </c>
    </row>
    <row r="174" spans="1:27" x14ac:dyDescent="0.3">
      <c r="A174" s="1" t="s">
        <v>35</v>
      </c>
      <c r="B174">
        <v>24</v>
      </c>
      <c r="C174" s="1" t="s">
        <v>50</v>
      </c>
      <c r="D174" s="1" t="s">
        <v>46</v>
      </c>
      <c r="E174">
        <v>2064</v>
      </c>
      <c r="F174" s="1" t="s">
        <v>37</v>
      </c>
      <c r="G174" s="1" t="s">
        <v>60</v>
      </c>
      <c r="H174">
        <v>3</v>
      </c>
      <c r="I174" s="1" t="s">
        <v>39</v>
      </c>
      <c r="J174" s="1" t="s">
        <v>27</v>
      </c>
      <c r="K174">
        <v>2</v>
      </c>
      <c r="L174" s="1" t="s">
        <v>48</v>
      </c>
      <c r="M174">
        <v>34</v>
      </c>
      <c r="N174" s="1" t="s">
        <v>29</v>
      </c>
      <c r="O174" s="1" t="s">
        <v>30</v>
      </c>
      <c r="P174">
        <v>1</v>
      </c>
      <c r="Q174" s="1" t="s">
        <v>57</v>
      </c>
      <c r="R174">
        <v>1</v>
      </c>
      <c r="S174" s="1" t="s">
        <v>32</v>
      </c>
      <c r="T174" s="1" t="s">
        <v>33</v>
      </c>
      <c r="U174" s="1" t="s">
        <v>41</v>
      </c>
      <c r="V174" s="1" t="str">
        <f>_xlfn.XLOOKUP(A174,Dictonary!$A$2:$A$5,Dictonary!$B$2:$B$5)</f>
        <v>Low balance</v>
      </c>
      <c r="W174" s="1" t="str">
        <f>_xlfn.XLOOKUP(D174,Dictonary!$D$2:$D$12,Dictonary!$E$2:$E$12)</f>
        <v>furniture/equipment</v>
      </c>
      <c r="X174" s="1" t="str">
        <f>_xlfn.XLOOKUP(F174,Dictonary!$G$2:$G$6,Dictonary!$H$2:$H$6)</f>
        <v>Less 100</v>
      </c>
      <c r="Y174" s="1" t="str">
        <f>_xlfn.XLOOKUP(I174,Dictonary!$J$2:$J$6,Dictonary!$K$2:$K$6)</f>
        <v>female : divorced/separated/married</v>
      </c>
      <c r="Z174" s="1" t="str">
        <f>_xlfn.XLOOKUP(Q174,Dictonary!$M$2:$M$5,Dictonary!$N$2:$N$5)</f>
        <v>management/ self-employed/ highly qualified employee/ officer</v>
      </c>
      <c r="AA174" s="1" t="str">
        <f>_xlfn.XLOOKUP(O174,Dictonary!$P$2:$P$4,Dictonary!$Q$2:$Q$4)</f>
        <v>own</v>
      </c>
    </row>
    <row r="175" spans="1:27" x14ac:dyDescent="0.3">
      <c r="A175" s="1" t="s">
        <v>35</v>
      </c>
      <c r="B175">
        <v>8</v>
      </c>
      <c r="C175" s="1" t="s">
        <v>36</v>
      </c>
      <c r="D175" s="1" t="s">
        <v>23</v>
      </c>
      <c r="E175">
        <v>1414</v>
      </c>
      <c r="F175" s="1" t="s">
        <v>37</v>
      </c>
      <c r="G175" s="1" t="s">
        <v>38</v>
      </c>
      <c r="H175">
        <v>4</v>
      </c>
      <c r="I175" s="1" t="s">
        <v>26</v>
      </c>
      <c r="J175" s="1" t="s">
        <v>47</v>
      </c>
      <c r="K175">
        <v>2</v>
      </c>
      <c r="L175" s="1" t="s">
        <v>28</v>
      </c>
      <c r="M175">
        <v>33</v>
      </c>
      <c r="N175" s="1" t="s">
        <v>29</v>
      </c>
      <c r="O175" s="1" t="s">
        <v>30</v>
      </c>
      <c r="P175">
        <v>1</v>
      </c>
      <c r="Q175" s="1" t="s">
        <v>31</v>
      </c>
      <c r="R175">
        <v>1</v>
      </c>
      <c r="S175" s="1" t="s">
        <v>40</v>
      </c>
      <c r="T175" s="1" t="s">
        <v>67</v>
      </c>
      <c r="U175" s="1" t="s">
        <v>34</v>
      </c>
      <c r="V175" s="1" t="str">
        <f>_xlfn.XLOOKUP(A175,Dictonary!$A$2:$A$5,Dictonary!$B$2:$B$5)</f>
        <v>Low balance</v>
      </c>
      <c r="W175" s="1" t="str">
        <f>_xlfn.XLOOKUP(D175,Dictonary!$D$2:$D$12,Dictonary!$E$2:$E$12)</f>
        <v>radio/television</v>
      </c>
      <c r="X175" s="1" t="str">
        <f>_xlfn.XLOOKUP(F175,Dictonary!$G$2:$G$6,Dictonary!$H$2:$H$6)</f>
        <v>Less 100</v>
      </c>
      <c r="Y175" s="1" t="str">
        <f>_xlfn.XLOOKUP(I175,Dictonary!$J$2:$J$6,Dictonary!$K$2:$K$6)</f>
        <v>male : single</v>
      </c>
      <c r="Z175" s="1" t="str">
        <f>_xlfn.XLOOKUP(Q175,Dictonary!$M$2:$M$5,Dictonary!$N$2:$N$5)</f>
        <v>skilled employee / official</v>
      </c>
      <c r="AA175" s="1" t="str">
        <f>_xlfn.XLOOKUP(O175,Dictonary!$P$2:$P$4,Dictonary!$Q$2:$Q$4)</f>
        <v>own</v>
      </c>
    </row>
    <row r="176" spans="1:27" x14ac:dyDescent="0.3">
      <c r="A176" s="1" t="s">
        <v>21</v>
      </c>
      <c r="B176">
        <v>21</v>
      </c>
      <c r="C176" s="1" t="s">
        <v>50</v>
      </c>
      <c r="D176" s="1" t="s">
        <v>43</v>
      </c>
      <c r="E176">
        <v>3414</v>
      </c>
      <c r="F176" s="1" t="s">
        <v>37</v>
      </c>
      <c r="G176" s="1" t="s">
        <v>62</v>
      </c>
      <c r="H176">
        <v>2</v>
      </c>
      <c r="I176" s="1" t="s">
        <v>26</v>
      </c>
      <c r="J176" s="1" t="s">
        <v>27</v>
      </c>
      <c r="K176">
        <v>1</v>
      </c>
      <c r="L176" s="1" t="s">
        <v>48</v>
      </c>
      <c r="M176">
        <v>26</v>
      </c>
      <c r="N176" s="1" t="s">
        <v>29</v>
      </c>
      <c r="O176" s="1" t="s">
        <v>30</v>
      </c>
      <c r="P176">
        <v>2</v>
      </c>
      <c r="Q176" s="1" t="s">
        <v>31</v>
      </c>
      <c r="R176">
        <v>1</v>
      </c>
      <c r="S176" s="1" t="s">
        <v>40</v>
      </c>
      <c r="T176" s="1" t="s">
        <v>33</v>
      </c>
      <c r="U176" s="1" t="s">
        <v>41</v>
      </c>
      <c r="V176" s="1" t="str">
        <f>_xlfn.XLOOKUP(A176,Dictonary!$A$2:$A$5,Dictonary!$B$2:$B$5)</f>
        <v>Negative balance</v>
      </c>
      <c r="W176" s="1" t="str">
        <f>_xlfn.XLOOKUP(D176,Dictonary!$D$2:$D$12,Dictonary!$E$2:$E$12)</f>
        <v>education</v>
      </c>
      <c r="X176" s="1" t="str">
        <f>_xlfn.XLOOKUP(F176,Dictonary!$G$2:$G$6,Dictonary!$H$2:$H$6)</f>
        <v>Less 100</v>
      </c>
      <c r="Y176" s="1" t="str">
        <f>_xlfn.XLOOKUP(I176,Dictonary!$J$2:$J$6,Dictonary!$K$2:$K$6)</f>
        <v>male : single</v>
      </c>
      <c r="Z176" s="1" t="str">
        <f>_xlfn.XLOOKUP(Q176,Dictonary!$M$2:$M$5,Dictonary!$N$2:$N$5)</f>
        <v>skilled employee / official</v>
      </c>
      <c r="AA176" s="1" t="str">
        <f>_xlfn.XLOOKUP(O176,Dictonary!$P$2:$P$4,Dictonary!$Q$2:$Q$4)</f>
        <v>own</v>
      </c>
    </row>
    <row r="177" spans="1:27" x14ac:dyDescent="0.3">
      <c r="A177" s="1" t="s">
        <v>42</v>
      </c>
      <c r="B177">
        <v>30</v>
      </c>
      <c r="C177" s="1" t="s">
        <v>69</v>
      </c>
      <c r="D177" s="1" t="s">
        <v>54</v>
      </c>
      <c r="E177">
        <v>7485</v>
      </c>
      <c r="F177" s="1" t="s">
        <v>24</v>
      </c>
      <c r="G177" s="1" t="s">
        <v>60</v>
      </c>
      <c r="H177">
        <v>4</v>
      </c>
      <c r="I177" s="1" t="s">
        <v>39</v>
      </c>
      <c r="J177" s="1" t="s">
        <v>27</v>
      </c>
      <c r="K177">
        <v>1</v>
      </c>
      <c r="L177" s="1" t="s">
        <v>28</v>
      </c>
      <c r="M177">
        <v>53</v>
      </c>
      <c r="N177" s="1" t="s">
        <v>66</v>
      </c>
      <c r="O177" s="1" t="s">
        <v>30</v>
      </c>
      <c r="P177">
        <v>1</v>
      </c>
      <c r="Q177" s="1" t="s">
        <v>57</v>
      </c>
      <c r="R177">
        <v>1</v>
      </c>
      <c r="S177" s="1" t="s">
        <v>32</v>
      </c>
      <c r="T177" s="1" t="s">
        <v>33</v>
      </c>
      <c r="U177" s="1" t="s">
        <v>41</v>
      </c>
      <c r="V177" s="1" t="str">
        <f>_xlfn.XLOOKUP(A177,Dictonary!$A$2:$A$5,Dictonary!$B$2:$B$5)</f>
        <v>No information</v>
      </c>
      <c r="W177" s="1" t="str">
        <f>_xlfn.XLOOKUP(D177,Dictonary!$D$2:$D$12,Dictonary!$E$2:$E$12)</f>
        <v>car (used)</v>
      </c>
      <c r="X177" s="1" t="str">
        <f>_xlfn.XLOOKUP(F177,Dictonary!$G$2:$G$6,Dictonary!$H$2:$H$6)</f>
        <v>No information</v>
      </c>
      <c r="Y177" s="1" t="str">
        <f>_xlfn.XLOOKUP(I177,Dictonary!$J$2:$J$6,Dictonary!$K$2:$K$6)</f>
        <v>female : divorced/separated/married</v>
      </c>
      <c r="Z177" s="1" t="str">
        <f>_xlfn.XLOOKUP(Q177,Dictonary!$M$2:$M$5,Dictonary!$N$2:$N$5)</f>
        <v>management/ self-employed/ highly qualified employee/ officer</v>
      </c>
      <c r="AA177" s="1" t="str">
        <f>_xlfn.XLOOKUP(O177,Dictonary!$P$2:$P$4,Dictonary!$Q$2:$Q$4)</f>
        <v>own</v>
      </c>
    </row>
    <row r="178" spans="1:27" x14ac:dyDescent="0.3">
      <c r="A178" s="1" t="s">
        <v>21</v>
      </c>
      <c r="B178">
        <v>12</v>
      </c>
      <c r="C178" s="1" t="s">
        <v>36</v>
      </c>
      <c r="D178" s="1" t="s">
        <v>46</v>
      </c>
      <c r="E178">
        <v>2577</v>
      </c>
      <c r="F178" s="1" t="s">
        <v>37</v>
      </c>
      <c r="G178" s="1" t="s">
        <v>38</v>
      </c>
      <c r="H178">
        <v>2</v>
      </c>
      <c r="I178" s="1" t="s">
        <v>59</v>
      </c>
      <c r="J178" s="1" t="s">
        <v>27</v>
      </c>
      <c r="K178">
        <v>1</v>
      </c>
      <c r="L178" s="1" t="s">
        <v>55</v>
      </c>
      <c r="M178">
        <v>42</v>
      </c>
      <c r="N178" s="1" t="s">
        <v>29</v>
      </c>
      <c r="O178" s="1" t="s">
        <v>30</v>
      </c>
      <c r="P178">
        <v>1</v>
      </c>
      <c r="Q178" s="1" t="s">
        <v>31</v>
      </c>
      <c r="R178">
        <v>1</v>
      </c>
      <c r="S178" s="1" t="s">
        <v>40</v>
      </c>
      <c r="T178" s="1" t="s">
        <v>33</v>
      </c>
      <c r="U178" s="1" t="s">
        <v>34</v>
      </c>
      <c r="V178" s="1" t="str">
        <f>_xlfn.XLOOKUP(A178,Dictonary!$A$2:$A$5,Dictonary!$B$2:$B$5)</f>
        <v>Negative balance</v>
      </c>
      <c r="W178" s="1" t="str">
        <f>_xlfn.XLOOKUP(D178,Dictonary!$D$2:$D$12,Dictonary!$E$2:$E$12)</f>
        <v>furniture/equipment</v>
      </c>
      <c r="X178" s="1" t="str">
        <f>_xlfn.XLOOKUP(F178,Dictonary!$G$2:$G$6,Dictonary!$H$2:$H$6)</f>
        <v>Less 100</v>
      </c>
      <c r="Y178" s="1" t="str">
        <f>_xlfn.XLOOKUP(I178,Dictonary!$J$2:$J$6,Dictonary!$K$2:$K$6)</f>
        <v>male : divorced/separated</v>
      </c>
      <c r="Z178" s="1" t="str">
        <f>_xlfn.XLOOKUP(Q178,Dictonary!$M$2:$M$5,Dictonary!$N$2:$N$5)</f>
        <v>skilled employee / official</v>
      </c>
      <c r="AA178" s="1" t="str">
        <f>_xlfn.XLOOKUP(O178,Dictonary!$P$2:$P$4,Dictonary!$Q$2:$Q$4)</f>
        <v>own</v>
      </c>
    </row>
    <row r="179" spans="1:27" x14ac:dyDescent="0.3">
      <c r="A179" s="1" t="s">
        <v>21</v>
      </c>
      <c r="B179">
        <v>6</v>
      </c>
      <c r="C179" s="1" t="s">
        <v>22</v>
      </c>
      <c r="D179" s="1" t="s">
        <v>23</v>
      </c>
      <c r="E179">
        <v>338</v>
      </c>
      <c r="F179" s="1" t="s">
        <v>53</v>
      </c>
      <c r="G179" s="1" t="s">
        <v>25</v>
      </c>
      <c r="H179">
        <v>4</v>
      </c>
      <c r="I179" s="1" t="s">
        <v>26</v>
      </c>
      <c r="J179" s="1" t="s">
        <v>27</v>
      </c>
      <c r="K179">
        <v>4</v>
      </c>
      <c r="L179" s="1" t="s">
        <v>55</v>
      </c>
      <c r="M179">
        <v>52</v>
      </c>
      <c r="N179" s="1" t="s">
        <v>29</v>
      </c>
      <c r="O179" s="1" t="s">
        <v>30</v>
      </c>
      <c r="P179">
        <v>2</v>
      </c>
      <c r="Q179" s="1" t="s">
        <v>31</v>
      </c>
      <c r="R179">
        <v>1</v>
      </c>
      <c r="S179" s="1" t="s">
        <v>40</v>
      </c>
      <c r="T179" s="1" t="s">
        <v>33</v>
      </c>
      <c r="U179" s="1" t="s">
        <v>34</v>
      </c>
      <c r="V179" s="1" t="str">
        <f>_xlfn.XLOOKUP(A179,Dictonary!$A$2:$A$5,Dictonary!$B$2:$B$5)</f>
        <v>Negative balance</v>
      </c>
      <c r="W179" s="1" t="str">
        <f>_xlfn.XLOOKUP(D179,Dictonary!$D$2:$D$12,Dictonary!$E$2:$E$12)</f>
        <v>radio/television</v>
      </c>
      <c r="X179" s="1" t="str">
        <f>_xlfn.XLOOKUP(F179,Dictonary!$G$2:$G$6,Dictonary!$H$2:$H$6)</f>
        <v>Up to 1000</v>
      </c>
      <c r="Y179" s="1" t="str">
        <f>_xlfn.XLOOKUP(I179,Dictonary!$J$2:$J$6,Dictonary!$K$2:$K$6)</f>
        <v>male : single</v>
      </c>
      <c r="Z179" s="1" t="str">
        <f>_xlfn.XLOOKUP(Q179,Dictonary!$M$2:$M$5,Dictonary!$N$2:$N$5)</f>
        <v>skilled employee / official</v>
      </c>
      <c r="AA179" s="1" t="str">
        <f>_xlfn.XLOOKUP(O179,Dictonary!$P$2:$P$4,Dictonary!$Q$2:$Q$4)</f>
        <v>own</v>
      </c>
    </row>
    <row r="180" spans="1:27" x14ac:dyDescent="0.3">
      <c r="A180" s="1" t="s">
        <v>42</v>
      </c>
      <c r="B180">
        <v>12</v>
      </c>
      <c r="C180" s="1" t="s">
        <v>36</v>
      </c>
      <c r="D180" s="1" t="s">
        <v>23</v>
      </c>
      <c r="E180">
        <v>1963</v>
      </c>
      <c r="F180" s="1" t="s">
        <v>37</v>
      </c>
      <c r="G180" s="1" t="s">
        <v>44</v>
      </c>
      <c r="H180">
        <v>4</v>
      </c>
      <c r="I180" s="1" t="s">
        <v>26</v>
      </c>
      <c r="J180" s="1" t="s">
        <v>27</v>
      </c>
      <c r="K180">
        <v>2</v>
      </c>
      <c r="L180" s="1" t="s">
        <v>55</v>
      </c>
      <c r="M180">
        <v>31</v>
      </c>
      <c r="N180" s="1" t="s">
        <v>29</v>
      </c>
      <c r="O180" s="1" t="s">
        <v>56</v>
      </c>
      <c r="P180">
        <v>2</v>
      </c>
      <c r="Q180" s="1" t="s">
        <v>57</v>
      </c>
      <c r="R180">
        <v>2</v>
      </c>
      <c r="S180" s="1" t="s">
        <v>32</v>
      </c>
      <c r="T180" s="1" t="s">
        <v>33</v>
      </c>
      <c r="U180" s="1" t="s">
        <v>34</v>
      </c>
      <c r="V180" s="1" t="str">
        <f>_xlfn.XLOOKUP(A180,Dictonary!$A$2:$A$5,Dictonary!$B$2:$B$5)</f>
        <v>No information</v>
      </c>
      <c r="W180" s="1" t="str">
        <f>_xlfn.XLOOKUP(D180,Dictonary!$D$2:$D$12,Dictonary!$E$2:$E$12)</f>
        <v>radio/television</v>
      </c>
      <c r="X180" s="1" t="str">
        <f>_xlfn.XLOOKUP(F180,Dictonary!$G$2:$G$6,Dictonary!$H$2:$H$6)</f>
        <v>Less 100</v>
      </c>
      <c r="Y180" s="1" t="str">
        <f>_xlfn.XLOOKUP(I180,Dictonary!$J$2:$J$6,Dictonary!$K$2:$K$6)</f>
        <v>male : single</v>
      </c>
      <c r="Z180" s="1" t="str">
        <f>_xlfn.XLOOKUP(Q180,Dictonary!$M$2:$M$5,Dictonary!$N$2:$N$5)</f>
        <v>management/ self-employed/ highly qualified employee/ officer</v>
      </c>
      <c r="AA180" s="1" t="str">
        <f>_xlfn.XLOOKUP(O180,Dictonary!$P$2:$P$4,Dictonary!$Q$2:$Q$4)</f>
        <v>rent</v>
      </c>
    </row>
    <row r="181" spans="1:27" x14ac:dyDescent="0.3">
      <c r="A181" s="1" t="s">
        <v>21</v>
      </c>
      <c r="B181">
        <v>21</v>
      </c>
      <c r="C181" s="1" t="s">
        <v>22</v>
      </c>
      <c r="D181" s="1" t="s">
        <v>51</v>
      </c>
      <c r="E181">
        <v>571</v>
      </c>
      <c r="F181" s="1" t="s">
        <v>37</v>
      </c>
      <c r="G181" s="1" t="s">
        <v>25</v>
      </c>
      <c r="H181">
        <v>4</v>
      </c>
      <c r="I181" s="1" t="s">
        <v>26</v>
      </c>
      <c r="J181" s="1" t="s">
        <v>27</v>
      </c>
      <c r="K181">
        <v>4</v>
      </c>
      <c r="L181" s="1" t="s">
        <v>28</v>
      </c>
      <c r="M181">
        <v>65</v>
      </c>
      <c r="N181" s="1" t="s">
        <v>29</v>
      </c>
      <c r="O181" s="1" t="s">
        <v>30</v>
      </c>
      <c r="P181">
        <v>2</v>
      </c>
      <c r="Q181" s="1" t="s">
        <v>31</v>
      </c>
      <c r="R181">
        <v>1</v>
      </c>
      <c r="S181" s="1" t="s">
        <v>40</v>
      </c>
      <c r="T181" s="1" t="s">
        <v>33</v>
      </c>
      <c r="U181" s="1" t="s">
        <v>34</v>
      </c>
      <c r="V181" s="1" t="str">
        <f>_xlfn.XLOOKUP(A181,Dictonary!$A$2:$A$5,Dictonary!$B$2:$B$5)</f>
        <v>Negative balance</v>
      </c>
      <c r="W181" s="1" t="str">
        <f>_xlfn.XLOOKUP(D181,Dictonary!$D$2:$D$12,Dictonary!$E$2:$E$12)</f>
        <v>car (new)</v>
      </c>
      <c r="X181" s="1" t="str">
        <f>_xlfn.XLOOKUP(F181,Dictonary!$G$2:$G$6,Dictonary!$H$2:$H$6)</f>
        <v>Less 100</v>
      </c>
      <c r="Y181" s="1" t="str">
        <f>_xlfn.XLOOKUP(I181,Dictonary!$J$2:$J$6,Dictonary!$K$2:$K$6)</f>
        <v>male : single</v>
      </c>
      <c r="Z181" s="1" t="str">
        <f>_xlfn.XLOOKUP(Q181,Dictonary!$M$2:$M$5,Dictonary!$N$2:$N$5)</f>
        <v>skilled employee / official</v>
      </c>
      <c r="AA181" s="1" t="str">
        <f>_xlfn.XLOOKUP(O181,Dictonary!$P$2:$P$4,Dictonary!$Q$2:$Q$4)</f>
        <v>own</v>
      </c>
    </row>
    <row r="182" spans="1:27" x14ac:dyDescent="0.3">
      <c r="A182" s="1" t="s">
        <v>42</v>
      </c>
      <c r="B182">
        <v>36</v>
      </c>
      <c r="C182" s="1" t="s">
        <v>50</v>
      </c>
      <c r="D182" s="1" t="s">
        <v>63</v>
      </c>
      <c r="E182">
        <v>9572</v>
      </c>
      <c r="F182" s="1" t="s">
        <v>37</v>
      </c>
      <c r="G182" s="1" t="s">
        <v>62</v>
      </c>
      <c r="H182">
        <v>1</v>
      </c>
      <c r="I182" s="1" t="s">
        <v>59</v>
      </c>
      <c r="J182" s="1" t="s">
        <v>27</v>
      </c>
      <c r="K182">
        <v>1</v>
      </c>
      <c r="L182" s="1" t="s">
        <v>55</v>
      </c>
      <c r="M182">
        <v>28</v>
      </c>
      <c r="N182" s="1" t="s">
        <v>29</v>
      </c>
      <c r="O182" s="1" t="s">
        <v>30</v>
      </c>
      <c r="P182">
        <v>2</v>
      </c>
      <c r="Q182" s="1" t="s">
        <v>31</v>
      </c>
      <c r="R182">
        <v>1</v>
      </c>
      <c r="S182" s="1" t="s">
        <v>40</v>
      </c>
      <c r="T182" s="1" t="s">
        <v>33</v>
      </c>
      <c r="U182" s="1" t="s">
        <v>41</v>
      </c>
      <c r="V182" s="1" t="str">
        <f>_xlfn.XLOOKUP(A182,Dictonary!$A$2:$A$5,Dictonary!$B$2:$B$5)</f>
        <v>No information</v>
      </c>
      <c r="W182" s="1" t="str">
        <f>_xlfn.XLOOKUP(D182,Dictonary!$D$2:$D$12,Dictonary!$E$2:$E$12)</f>
        <v>business</v>
      </c>
      <c r="X182" s="1" t="str">
        <f>_xlfn.XLOOKUP(F182,Dictonary!$G$2:$G$6,Dictonary!$H$2:$H$6)</f>
        <v>Less 100</v>
      </c>
      <c r="Y182" s="1" t="str">
        <f>_xlfn.XLOOKUP(I182,Dictonary!$J$2:$J$6,Dictonary!$K$2:$K$6)</f>
        <v>male : divorced/separated</v>
      </c>
      <c r="Z182" s="1" t="str">
        <f>_xlfn.XLOOKUP(Q182,Dictonary!$M$2:$M$5,Dictonary!$N$2:$N$5)</f>
        <v>skilled employee / official</v>
      </c>
      <c r="AA182" s="1" t="str">
        <f>_xlfn.XLOOKUP(O182,Dictonary!$P$2:$P$4,Dictonary!$Q$2:$Q$4)</f>
        <v>own</v>
      </c>
    </row>
    <row r="183" spans="1:27" x14ac:dyDescent="0.3">
      <c r="A183" s="1" t="s">
        <v>35</v>
      </c>
      <c r="B183">
        <v>36</v>
      </c>
      <c r="C183" s="1" t="s">
        <v>50</v>
      </c>
      <c r="D183" s="1" t="s">
        <v>63</v>
      </c>
      <c r="E183">
        <v>4455</v>
      </c>
      <c r="F183" s="1" t="s">
        <v>37</v>
      </c>
      <c r="G183" s="1" t="s">
        <v>38</v>
      </c>
      <c r="H183">
        <v>2</v>
      </c>
      <c r="I183" s="1" t="s">
        <v>59</v>
      </c>
      <c r="J183" s="1" t="s">
        <v>27</v>
      </c>
      <c r="K183">
        <v>2</v>
      </c>
      <c r="L183" s="1" t="s">
        <v>28</v>
      </c>
      <c r="M183">
        <v>30</v>
      </c>
      <c r="N183" s="1" t="s">
        <v>70</v>
      </c>
      <c r="O183" s="1" t="s">
        <v>30</v>
      </c>
      <c r="P183">
        <v>2</v>
      </c>
      <c r="Q183" s="1" t="s">
        <v>57</v>
      </c>
      <c r="R183">
        <v>1</v>
      </c>
      <c r="S183" s="1" t="s">
        <v>32</v>
      </c>
      <c r="T183" s="1" t="s">
        <v>33</v>
      </c>
      <c r="U183" s="1" t="s">
        <v>41</v>
      </c>
      <c r="V183" s="1" t="str">
        <f>_xlfn.XLOOKUP(A183,Dictonary!$A$2:$A$5,Dictonary!$B$2:$B$5)</f>
        <v>Low balance</v>
      </c>
      <c r="W183" s="1" t="str">
        <f>_xlfn.XLOOKUP(D183,Dictonary!$D$2:$D$12,Dictonary!$E$2:$E$12)</f>
        <v>business</v>
      </c>
      <c r="X183" s="1" t="str">
        <f>_xlfn.XLOOKUP(F183,Dictonary!$G$2:$G$6,Dictonary!$H$2:$H$6)</f>
        <v>Less 100</v>
      </c>
      <c r="Y183" s="1" t="str">
        <f>_xlfn.XLOOKUP(I183,Dictonary!$J$2:$J$6,Dictonary!$K$2:$K$6)</f>
        <v>male : divorced/separated</v>
      </c>
      <c r="Z183" s="1" t="str">
        <f>_xlfn.XLOOKUP(Q183,Dictonary!$M$2:$M$5,Dictonary!$N$2:$N$5)</f>
        <v>management/ self-employed/ highly qualified employee/ officer</v>
      </c>
      <c r="AA183" s="1" t="str">
        <f>_xlfn.XLOOKUP(O183,Dictonary!$P$2:$P$4,Dictonary!$Q$2:$Q$4)</f>
        <v>own</v>
      </c>
    </row>
    <row r="184" spans="1:27" x14ac:dyDescent="0.3">
      <c r="A184" s="1" t="s">
        <v>21</v>
      </c>
      <c r="B184">
        <v>21</v>
      </c>
      <c r="C184" s="1" t="s">
        <v>69</v>
      </c>
      <c r="D184" s="1" t="s">
        <v>51</v>
      </c>
      <c r="E184">
        <v>1647</v>
      </c>
      <c r="F184" s="1" t="s">
        <v>24</v>
      </c>
      <c r="G184" s="1" t="s">
        <v>38</v>
      </c>
      <c r="H184">
        <v>4</v>
      </c>
      <c r="I184" s="1" t="s">
        <v>26</v>
      </c>
      <c r="J184" s="1" t="s">
        <v>27</v>
      </c>
      <c r="K184">
        <v>2</v>
      </c>
      <c r="L184" s="1" t="s">
        <v>48</v>
      </c>
      <c r="M184">
        <v>40</v>
      </c>
      <c r="N184" s="1" t="s">
        <v>29</v>
      </c>
      <c r="O184" s="1" t="s">
        <v>30</v>
      </c>
      <c r="P184">
        <v>2</v>
      </c>
      <c r="Q184" s="1" t="s">
        <v>45</v>
      </c>
      <c r="R184">
        <v>2</v>
      </c>
      <c r="S184" s="1" t="s">
        <v>40</v>
      </c>
      <c r="T184" s="1" t="s">
        <v>33</v>
      </c>
      <c r="U184" s="1" t="s">
        <v>41</v>
      </c>
      <c r="V184" s="1" t="str">
        <f>_xlfn.XLOOKUP(A184,Dictonary!$A$2:$A$5,Dictonary!$B$2:$B$5)</f>
        <v>Negative balance</v>
      </c>
      <c r="W184" s="1" t="str">
        <f>_xlfn.XLOOKUP(D184,Dictonary!$D$2:$D$12,Dictonary!$E$2:$E$12)</f>
        <v>car (new)</v>
      </c>
      <c r="X184" s="1" t="str">
        <f>_xlfn.XLOOKUP(F184,Dictonary!$G$2:$G$6,Dictonary!$H$2:$H$6)</f>
        <v>No information</v>
      </c>
      <c r="Y184" s="1" t="str">
        <f>_xlfn.XLOOKUP(I184,Dictonary!$J$2:$J$6,Dictonary!$K$2:$K$6)</f>
        <v>male : single</v>
      </c>
      <c r="Z184" s="1" t="str">
        <f>_xlfn.XLOOKUP(Q184,Dictonary!$M$2:$M$5,Dictonary!$N$2:$N$5)</f>
        <v>unskilled - resident</v>
      </c>
      <c r="AA184" s="1" t="str">
        <f>_xlfn.XLOOKUP(O184,Dictonary!$P$2:$P$4,Dictonary!$Q$2:$Q$4)</f>
        <v>own</v>
      </c>
    </row>
    <row r="185" spans="1:27" x14ac:dyDescent="0.3">
      <c r="A185" s="1" t="s">
        <v>42</v>
      </c>
      <c r="B185">
        <v>24</v>
      </c>
      <c r="C185" s="1" t="s">
        <v>22</v>
      </c>
      <c r="D185" s="1" t="s">
        <v>46</v>
      </c>
      <c r="E185">
        <v>3777</v>
      </c>
      <c r="F185" s="1" t="s">
        <v>58</v>
      </c>
      <c r="G185" s="1" t="s">
        <v>38</v>
      </c>
      <c r="H185">
        <v>4</v>
      </c>
      <c r="I185" s="1" t="s">
        <v>26</v>
      </c>
      <c r="J185" s="1" t="s">
        <v>27</v>
      </c>
      <c r="K185">
        <v>4</v>
      </c>
      <c r="L185" s="1" t="s">
        <v>28</v>
      </c>
      <c r="M185">
        <v>50</v>
      </c>
      <c r="N185" s="1" t="s">
        <v>29</v>
      </c>
      <c r="O185" s="1" t="s">
        <v>30</v>
      </c>
      <c r="P185">
        <v>1</v>
      </c>
      <c r="Q185" s="1" t="s">
        <v>31</v>
      </c>
      <c r="R185">
        <v>1</v>
      </c>
      <c r="S185" s="1" t="s">
        <v>32</v>
      </c>
      <c r="T185" s="1" t="s">
        <v>33</v>
      </c>
      <c r="U185" s="1" t="s">
        <v>34</v>
      </c>
      <c r="V185" s="1" t="str">
        <f>_xlfn.XLOOKUP(A185,Dictonary!$A$2:$A$5,Dictonary!$B$2:$B$5)</f>
        <v>No information</v>
      </c>
      <c r="W185" s="1" t="str">
        <f>_xlfn.XLOOKUP(D185,Dictonary!$D$2:$D$12,Dictonary!$E$2:$E$12)</f>
        <v>furniture/equipment</v>
      </c>
      <c r="X185" s="1" t="str">
        <f>_xlfn.XLOOKUP(F185,Dictonary!$G$2:$G$6,Dictonary!$H$2:$H$6)</f>
        <v>More 1000</v>
      </c>
      <c r="Y185" s="1" t="str">
        <f>_xlfn.XLOOKUP(I185,Dictonary!$J$2:$J$6,Dictonary!$K$2:$K$6)</f>
        <v>male : single</v>
      </c>
      <c r="Z185" s="1" t="str">
        <f>_xlfn.XLOOKUP(Q185,Dictonary!$M$2:$M$5,Dictonary!$N$2:$N$5)</f>
        <v>skilled employee / official</v>
      </c>
      <c r="AA185" s="1" t="str">
        <f>_xlfn.XLOOKUP(O185,Dictonary!$P$2:$P$4,Dictonary!$Q$2:$Q$4)</f>
        <v>own</v>
      </c>
    </row>
    <row r="186" spans="1:27" x14ac:dyDescent="0.3">
      <c r="A186" s="1" t="s">
        <v>35</v>
      </c>
      <c r="B186">
        <v>18</v>
      </c>
      <c r="C186" s="1" t="s">
        <v>22</v>
      </c>
      <c r="D186" s="1" t="s">
        <v>51</v>
      </c>
      <c r="E186">
        <v>884</v>
      </c>
      <c r="F186" s="1" t="s">
        <v>37</v>
      </c>
      <c r="G186" s="1" t="s">
        <v>25</v>
      </c>
      <c r="H186">
        <v>4</v>
      </c>
      <c r="I186" s="1" t="s">
        <v>26</v>
      </c>
      <c r="J186" s="1" t="s">
        <v>27</v>
      </c>
      <c r="K186">
        <v>4</v>
      </c>
      <c r="L186" s="1" t="s">
        <v>55</v>
      </c>
      <c r="M186">
        <v>36</v>
      </c>
      <c r="N186" s="1" t="s">
        <v>66</v>
      </c>
      <c r="O186" s="1" t="s">
        <v>30</v>
      </c>
      <c r="P186">
        <v>1</v>
      </c>
      <c r="Q186" s="1" t="s">
        <v>31</v>
      </c>
      <c r="R186">
        <v>2</v>
      </c>
      <c r="S186" s="1" t="s">
        <v>32</v>
      </c>
      <c r="T186" s="1" t="s">
        <v>33</v>
      </c>
      <c r="U186" s="1" t="s">
        <v>41</v>
      </c>
      <c r="V186" s="1" t="str">
        <f>_xlfn.XLOOKUP(A186,Dictonary!$A$2:$A$5,Dictonary!$B$2:$B$5)</f>
        <v>Low balance</v>
      </c>
      <c r="W186" s="1" t="str">
        <f>_xlfn.XLOOKUP(D186,Dictonary!$D$2:$D$12,Dictonary!$E$2:$E$12)</f>
        <v>car (new)</v>
      </c>
      <c r="X186" s="1" t="str">
        <f>_xlfn.XLOOKUP(F186,Dictonary!$G$2:$G$6,Dictonary!$H$2:$H$6)</f>
        <v>Less 100</v>
      </c>
      <c r="Y186" s="1" t="str">
        <f>_xlfn.XLOOKUP(I186,Dictonary!$J$2:$J$6,Dictonary!$K$2:$K$6)</f>
        <v>male : single</v>
      </c>
      <c r="Z186" s="1" t="str">
        <f>_xlfn.XLOOKUP(Q186,Dictonary!$M$2:$M$5,Dictonary!$N$2:$N$5)</f>
        <v>skilled employee / official</v>
      </c>
      <c r="AA186" s="1" t="str">
        <f>_xlfn.XLOOKUP(O186,Dictonary!$P$2:$P$4,Dictonary!$Q$2:$Q$4)</f>
        <v>own</v>
      </c>
    </row>
    <row r="187" spans="1:27" x14ac:dyDescent="0.3">
      <c r="A187" s="1" t="s">
        <v>42</v>
      </c>
      <c r="B187">
        <v>15</v>
      </c>
      <c r="C187" s="1" t="s">
        <v>22</v>
      </c>
      <c r="D187" s="1" t="s">
        <v>23</v>
      </c>
      <c r="E187">
        <v>1360</v>
      </c>
      <c r="F187" s="1" t="s">
        <v>37</v>
      </c>
      <c r="G187" s="1" t="s">
        <v>38</v>
      </c>
      <c r="H187">
        <v>4</v>
      </c>
      <c r="I187" s="1" t="s">
        <v>26</v>
      </c>
      <c r="J187" s="1" t="s">
        <v>27</v>
      </c>
      <c r="K187">
        <v>2</v>
      </c>
      <c r="L187" s="1" t="s">
        <v>48</v>
      </c>
      <c r="M187">
        <v>31</v>
      </c>
      <c r="N187" s="1" t="s">
        <v>29</v>
      </c>
      <c r="O187" s="1" t="s">
        <v>30</v>
      </c>
      <c r="P187">
        <v>2</v>
      </c>
      <c r="Q187" s="1" t="s">
        <v>31</v>
      </c>
      <c r="R187">
        <v>1</v>
      </c>
      <c r="S187" s="1" t="s">
        <v>40</v>
      </c>
      <c r="T187" s="1" t="s">
        <v>33</v>
      </c>
      <c r="U187" s="1" t="s">
        <v>34</v>
      </c>
      <c r="V187" s="1" t="str">
        <f>_xlfn.XLOOKUP(A187,Dictonary!$A$2:$A$5,Dictonary!$B$2:$B$5)</f>
        <v>No information</v>
      </c>
      <c r="W187" s="1" t="str">
        <f>_xlfn.XLOOKUP(D187,Dictonary!$D$2:$D$12,Dictonary!$E$2:$E$12)</f>
        <v>radio/television</v>
      </c>
      <c r="X187" s="1" t="str">
        <f>_xlfn.XLOOKUP(F187,Dictonary!$G$2:$G$6,Dictonary!$H$2:$H$6)</f>
        <v>Less 100</v>
      </c>
      <c r="Y187" s="1" t="str">
        <f>_xlfn.XLOOKUP(I187,Dictonary!$J$2:$J$6,Dictonary!$K$2:$K$6)</f>
        <v>male : single</v>
      </c>
      <c r="Z187" s="1" t="str">
        <f>_xlfn.XLOOKUP(Q187,Dictonary!$M$2:$M$5,Dictonary!$N$2:$N$5)</f>
        <v>skilled employee / official</v>
      </c>
      <c r="AA187" s="1" t="str">
        <f>_xlfn.XLOOKUP(O187,Dictonary!$P$2:$P$4,Dictonary!$Q$2:$Q$4)</f>
        <v>own</v>
      </c>
    </row>
    <row r="188" spans="1:27" x14ac:dyDescent="0.3">
      <c r="A188" s="1" t="s">
        <v>35</v>
      </c>
      <c r="B188">
        <v>9</v>
      </c>
      <c r="C188" s="1" t="s">
        <v>69</v>
      </c>
      <c r="D188" s="1" t="s">
        <v>54</v>
      </c>
      <c r="E188">
        <v>5129</v>
      </c>
      <c r="F188" s="1" t="s">
        <v>37</v>
      </c>
      <c r="G188" s="1" t="s">
        <v>25</v>
      </c>
      <c r="H188">
        <v>2</v>
      </c>
      <c r="I188" s="1" t="s">
        <v>39</v>
      </c>
      <c r="J188" s="1" t="s">
        <v>27</v>
      </c>
      <c r="K188">
        <v>4</v>
      </c>
      <c r="L188" s="1" t="s">
        <v>52</v>
      </c>
      <c r="M188">
        <v>74</v>
      </c>
      <c r="N188" s="1" t="s">
        <v>66</v>
      </c>
      <c r="O188" s="1" t="s">
        <v>49</v>
      </c>
      <c r="P188">
        <v>1</v>
      </c>
      <c r="Q188" s="1" t="s">
        <v>57</v>
      </c>
      <c r="R188">
        <v>2</v>
      </c>
      <c r="S188" s="1" t="s">
        <v>32</v>
      </c>
      <c r="T188" s="1" t="s">
        <v>33</v>
      </c>
      <c r="U188" s="1" t="s">
        <v>41</v>
      </c>
      <c r="V188" s="1" t="str">
        <f>_xlfn.XLOOKUP(A188,Dictonary!$A$2:$A$5,Dictonary!$B$2:$B$5)</f>
        <v>Low balance</v>
      </c>
      <c r="W188" s="1" t="str">
        <f>_xlfn.XLOOKUP(D188,Dictonary!$D$2:$D$12,Dictonary!$E$2:$E$12)</f>
        <v>car (used)</v>
      </c>
      <c r="X188" s="1" t="str">
        <f>_xlfn.XLOOKUP(F188,Dictonary!$G$2:$G$6,Dictonary!$H$2:$H$6)</f>
        <v>Less 100</v>
      </c>
      <c r="Y188" s="1" t="str">
        <f>_xlfn.XLOOKUP(I188,Dictonary!$J$2:$J$6,Dictonary!$K$2:$K$6)</f>
        <v>female : divorced/separated/married</v>
      </c>
      <c r="Z188" s="1" t="str">
        <f>_xlfn.XLOOKUP(Q188,Dictonary!$M$2:$M$5,Dictonary!$N$2:$N$5)</f>
        <v>management/ self-employed/ highly qualified employee/ officer</v>
      </c>
      <c r="AA188" s="1" t="str">
        <f>_xlfn.XLOOKUP(O188,Dictonary!$P$2:$P$4,Dictonary!$Q$2:$Q$4)</f>
        <v>for free</v>
      </c>
    </row>
    <row r="189" spans="1:27" x14ac:dyDescent="0.3">
      <c r="A189" s="1" t="s">
        <v>35</v>
      </c>
      <c r="B189">
        <v>16</v>
      </c>
      <c r="C189" s="1" t="s">
        <v>22</v>
      </c>
      <c r="D189" s="1" t="s">
        <v>51</v>
      </c>
      <c r="E189">
        <v>1175</v>
      </c>
      <c r="F189" s="1" t="s">
        <v>37</v>
      </c>
      <c r="G189" s="1" t="s">
        <v>60</v>
      </c>
      <c r="H189">
        <v>2</v>
      </c>
      <c r="I189" s="1" t="s">
        <v>26</v>
      </c>
      <c r="J189" s="1" t="s">
        <v>27</v>
      </c>
      <c r="K189">
        <v>3</v>
      </c>
      <c r="L189" s="1" t="s">
        <v>55</v>
      </c>
      <c r="M189">
        <v>68</v>
      </c>
      <c r="N189" s="1" t="s">
        <v>29</v>
      </c>
      <c r="O189" s="1" t="s">
        <v>49</v>
      </c>
      <c r="P189">
        <v>3</v>
      </c>
      <c r="Q189" s="1" t="s">
        <v>74</v>
      </c>
      <c r="R189">
        <v>1</v>
      </c>
      <c r="S189" s="1" t="s">
        <v>32</v>
      </c>
      <c r="T189" s="1" t="s">
        <v>33</v>
      </c>
      <c r="U189" s="1" t="s">
        <v>34</v>
      </c>
      <c r="V189" s="1" t="str">
        <f>_xlfn.XLOOKUP(A189,Dictonary!$A$2:$A$5,Dictonary!$B$2:$B$5)</f>
        <v>Low balance</v>
      </c>
      <c r="W189" s="1" t="str">
        <f>_xlfn.XLOOKUP(D189,Dictonary!$D$2:$D$12,Dictonary!$E$2:$E$12)</f>
        <v>car (new)</v>
      </c>
      <c r="X189" s="1" t="str">
        <f>_xlfn.XLOOKUP(F189,Dictonary!$G$2:$G$6,Dictonary!$H$2:$H$6)</f>
        <v>Less 100</v>
      </c>
      <c r="Y189" s="1" t="str">
        <f>_xlfn.XLOOKUP(I189,Dictonary!$J$2:$J$6,Dictonary!$K$2:$K$6)</f>
        <v>male : single</v>
      </c>
      <c r="Z189" s="1" t="str">
        <f>_xlfn.XLOOKUP(Q189,Dictonary!$M$2:$M$5,Dictonary!$N$2:$N$5)</f>
        <v>unemployed/ unskilled  - non-resident</v>
      </c>
      <c r="AA189" s="1" t="str">
        <f>_xlfn.XLOOKUP(O189,Dictonary!$P$2:$P$4,Dictonary!$Q$2:$Q$4)</f>
        <v>for free</v>
      </c>
    </row>
    <row r="190" spans="1:27" x14ac:dyDescent="0.3">
      <c r="A190" s="1" t="s">
        <v>21</v>
      </c>
      <c r="B190">
        <v>12</v>
      </c>
      <c r="C190" s="1" t="s">
        <v>36</v>
      </c>
      <c r="D190" s="1" t="s">
        <v>23</v>
      </c>
      <c r="E190">
        <v>674</v>
      </c>
      <c r="F190" s="1" t="s">
        <v>64</v>
      </c>
      <c r="G190" s="1" t="s">
        <v>44</v>
      </c>
      <c r="H190">
        <v>4</v>
      </c>
      <c r="I190" s="1" t="s">
        <v>61</v>
      </c>
      <c r="J190" s="1" t="s">
        <v>27</v>
      </c>
      <c r="K190">
        <v>1</v>
      </c>
      <c r="L190" s="1" t="s">
        <v>48</v>
      </c>
      <c r="M190">
        <v>20</v>
      </c>
      <c r="N190" s="1" t="s">
        <v>29</v>
      </c>
      <c r="O190" s="1" t="s">
        <v>30</v>
      </c>
      <c r="P190">
        <v>1</v>
      </c>
      <c r="Q190" s="1" t="s">
        <v>31</v>
      </c>
      <c r="R190">
        <v>1</v>
      </c>
      <c r="S190" s="1" t="s">
        <v>40</v>
      </c>
      <c r="T190" s="1" t="s">
        <v>33</v>
      </c>
      <c r="U190" s="1" t="s">
        <v>41</v>
      </c>
      <c r="V190" s="1" t="str">
        <f>_xlfn.XLOOKUP(A190,Dictonary!$A$2:$A$5,Dictonary!$B$2:$B$5)</f>
        <v>Negative balance</v>
      </c>
      <c r="W190" s="1" t="str">
        <f>_xlfn.XLOOKUP(D190,Dictonary!$D$2:$D$12,Dictonary!$E$2:$E$12)</f>
        <v>radio/television</v>
      </c>
      <c r="X190" s="1" t="str">
        <f>_xlfn.XLOOKUP(F190,Dictonary!$G$2:$G$6,Dictonary!$H$2:$H$6)</f>
        <v>Up to 500</v>
      </c>
      <c r="Y190" s="1" t="str">
        <f>_xlfn.XLOOKUP(I190,Dictonary!$J$2:$J$6,Dictonary!$K$2:$K$6)</f>
        <v>male : married/widowed</v>
      </c>
      <c r="Z190" s="1" t="str">
        <f>_xlfn.XLOOKUP(Q190,Dictonary!$M$2:$M$5,Dictonary!$N$2:$N$5)</f>
        <v>skilled employee / official</v>
      </c>
      <c r="AA190" s="1" t="str">
        <f>_xlfn.XLOOKUP(O190,Dictonary!$P$2:$P$4,Dictonary!$Q$2:$Q$4)</f>
        <v>own</v>
      </c>
    </row>
    <row r="191" spans="1:27" x14ac:dyDescent="0.3">
      <c r="A191" s="1" t="s">
        <v>35</v>
      </c>
      <c r="B191">
        <v>18</v>
      </c>
      <c r="C191" s="1" t="s">
        <v>65</v>
      </c>
      <c r="D191" s="1" t="s">
        <v>46</v>
      </c>
      <c r="E191">
        <v>3244</v>
      </c>
      <c r="F191" s="1" t="s">
        <v>37</v>
      </c>
      <c r="G191" s="1" t="s">
        <v>38</v>
      </c>
      <c r="H191">
        <v>1</v>
      </c>
      <c r="I191" s="1" t="s">
        <v>39</v>
      </c>
      <c r="J191" s="1" t="s">
        <v>27</v>
      </c>
      <c r="K191">
        <v>4</v>
      </c>
      <c r="L191" s="1" t="s">
        <v>55</v>
      </c>
      <c r="M191">
        <v>33</v>
      </c>
      <c r="N191" s="1" t="s">
        <v>66</v>
      </c>
      <c r="O191" s="1" t="s">
        <v>30</v>
      </c>
      <c r="P191">
        <v>2</v>
      </c>
      <c r="Q191" s="1" t="s">
        <v>31</v>
      </c>
      <c r="R191">
        <v>1</v>
      </c>
      <c r="S191" s="1" t="s">
        <v>32</v>
      </c>
      <c r="T191" s="1" t="s">
        <v>33</v>
      </c>
      <c r="U191" s="1" t="s">
        <v>34</v>
      </c>
      <c r="V191" s="1" t="str">
        <f>_xlfn.XLOOKUP(A191,Dictonary!$A$2:$A$5,Dictonary!$B$2:$B$5)</f>
        <v>Low balance</v>
      </c>
      <c r="W191" s="1" t="str">
        <f>_xlfn.XLOOKUP(D191,Dictonary!$D$2:$D$12,Dictonary!$E$2:$E$12)</f>
        <v>furniture/equipment</v>
      </c>
      <c r="X191" s="1" t="str">
        <f>_xlfn.XLOOKUP(F191,Dictonary!$G$2:$G$6,Dictonary!$H$2:$H$6)</f>
        <v>Less 100</v>
      </c>
      <c r="Y191" s="1" t="str">
        <f>_xlfn.XLOOKUP(I191,Dictonary!$J$2:$J$6,Dictonary!$K$2:$K$6)</f>
        <v>female : divorced/separated/married</v>
      </c>
      <c r="Z191" s="1" t="str">
        <f>_xlfn.XLOOKUP(Q191,Dictonary!$M$2:$M$5,Dictonary!$N$2:$N$5)</f>
        <v>skilled employee / official</v>
      </c>
      <c r="AA191" s="1" t="str">
        <f>_xlfn.XLOOKUP(O191,Dictonary!$P$2:$P$4,Dictonary!$Q$2:$Q$4)</f>
        <v>own</v>
      </c>
    </row>
    <row r="192" spans="1:27" x14ac:dyDescent="0.3">
      <c r="A192" s="1" t="s">
        <v>42</v>
      </c>
      <c r="B192">
        <v>24</v>
      </c>
      <c r="C192" s="1" t="s">
        <v>36</v>
      </c>
      <c r="D192" s="1" t="s">
        <v>63</v>
      </c>
      <c r="E192">
        <v>4591</v>
      </c>
      <c r="F192" s="1" t="s">
        <v>58</v>
      </c>
      <c r="G192" s="1" t="s">
        <v>38</v>
      </c>
      <c r="H192">
        <v>2</v>
      </c>
      <c r="I192" s="1" t="s">
        <v>26</v>
      </c>
      <c r="J192" s="1" t="s">
        <v>27</v>
      </c>
      <c r="K192">
        <v>3</v>
      </c>
      <c r="L192" s="1" t="s">
        <v>48</v>
      </c>
      <c r="M192">
        <v>54</v>
      </c>
      <c r="N192" s="1" t="s">
        <v>29</v>
      </c>
      <c r="O192" s="1" t="s">
        <v>30</v>
      </c>
      <c r="P192">
        <v>3</v>
      </c>
      <c r="Q192" s="1" t="s">
        <v>57</v>
      </c>
      <c r="R192">
        <v>1</v>
      </c>
      <c r="S192" s="1" t="s">
        <v>32</v>
      </c>
      <c r="T192" s="1" t="s">
        <v>33</v>
      </c>
      <c r="U192" s="1" t="s">
        <v>41</v>
      </c>
      <c r="V192" s="1" t="str">
        <f>_xlfn.XLOOKUP(A192,Dictonary!$A$2:$A$5,Dictonary!$B$2:$B$5)</f>
        <v>No information</v>
      </c>
      <c r="W192" s="1" t="str">
        <f>_xlfn.XLOOKUP(D192,Dictonary!$D$2:$D$12,Dictonary!$E$2:$E$12)</f>
        <v>business</v>
      </c>
      <c r="X192" s="1" t="str">
        <f>_xlfn.XLOOKUP(F192,Dictonary!$G$2:$G$6,Dictonary!$H$2:$H$6)</f>
        <v>More 1000</v>
      </c>
      <c r="Y192" s="1" t="str">
        <f>_xlfn.XLOOKUP(I192,Dictonary!$J$2:$J$6,Dictonary!$K$2:$K$6)</f>
        <v>male : single</v>
      </c>
      <c r="Z192" s="1" t="str">
        <f>_xlfn.XLOOKUP(Q192,Dictonary!$M$2:$M$5,Dictonary!$N$2:$N$5)</f>
        <v>management/ self-employed/ highly qualified employee/ officer</v>
      </c>
      <c r="AA192" s="1" t="str">
        <f>_xlfn.XLOOKUP(O192,Dictonary!$P$2:$P$4,Dictonary!$Q$2:$Q$4)</f>
        <v>own</v>
      </c>
    </row>
    <row r="193" spans="1:27" x14ac:dyDescent="0.3">
      <c r="A193" s="1" t="s">
        <v>35</v>
      </c>
      <c r="B193">
        <v>48</v>
      </c>
      <c r="C193" s="1" t="s">
        <v>65</v>
      </c>
      <c r="D193" s="1" t="s">
        <v>63</v>
      </c>
      <c r="E193">
        <v>3844</v>
      </c>
      <c r="F193" s="1" t="s">
        <v>64</v>
      </c>
      <c r="G193" s="1" t="s">
        <v>44</v>
      </c>
      <c r="H193">
        <v>4</v>
      </c>
      <c r="I193" s="1" t="s">
        <v>26</v>
      </c>
      <c r="J193" s="1" t="s">
        <v>27</v>
      </c>
      <c r="K193">
        <v>4</v>
      </c>
      <c r="L193" s="1" t="s">
        <v>52</v>
      </c>
      <c r="M193">
        <v>34</v>
      </c>
      <c r="N193" s="1" t="s">
        <v>29</v>
      </c>
      <c r="O193" s="1" t="s">
        <v>49</v>
      </c>
      <c r="P193">
        <v>1</v>
      </c>
      <c r="Q193" s="1" t="s">
        <v>45</v>
      </c>
      <c r="R193">
        <v>2</v>
      </c>
      <c r="S193" s="1" t="s">
        <v>40</v>
      </c>
      <c r="T193" s="1" t="s">
        <v>33</v>
      </c>
      <c r="U193" s="1" t="s">
        <v>41</v>
      </c>
      <c r="V193" s="1" t="str">
        <f>_xlfn.XLOOKUP(A193,Dictonary!$A$2:$A$5,Dictonary!$B$2:$B$5)</f>
        <v>Low balance</v>
      </c>
      <c r="W193" s="1" t="str">
        <f>_xlfn.XLOOKUP(D193,Dictonary!$D$2:$D$12,Dictonary!$E$2:$E$12)</f>
        <v>business</v>
      </c>
      <c r="X193" s="1" t="str">
        <f>_xlfn.XLOOKUP(F193,Dictonary!$G$2:$G$6,Dictonary!$H$2:$H$6)</f>
        <v>Up to 500</v>
      </c>
      <c r="Y193" s="1" t="str">
        <f>_xlfn.XLOOKUP(I193,Dictonary!$J$2:$J$6,Dictonary!$K$2:$K$6)</f>
        <v>male : single</v>
      </c>
      <c r="Z193" s="1" t="str">
        <f>_xlfn.XLOOKUP(Q193,Dictonary!$M$2:$M$5,Dictonary!$N$2:$N$5)</f>
        <v>unskilled - resident</v>
      </c>
      <c r="AA193" s="1" t="str">
        <f>_xlfn.XLOOKUP(O193,Dictonary!$P$2:$P$4,Dictonary!$Q$2:$Q$4)</f>
        <v>for free</v>
      </c>
    </row>
    <row r="194" spans="1:27" x14ac:dyDescent="0.3">
      <c r="A194" s="1" t="s">
        <v>35</v>
      </c>
      <c r="B194">
        <v>27</v>
      </c>
      <c r="C194" s="1" t="s">
        <v>36</v>
      </c>
      <c r="D194" s="1" t="s">
        <v>63</v>
      </c>
      <c r="E194">
        <v>3915</v>
      </c>
      <c r="F194" s="1" t="s">
        <v>37</v>
      </c>
      <c r="G194" s="1" t="s">
        <v>38</v>
      </c>
      <c r="H194">
        <v>4</v>
      </c>
      <c r="I194" s="1" t="s">
        <v>26</v>
      </c>
      <c r="J194" s="1" t="s">
        <v>27</v>
      </c>
      <c r="K194">
        <v>2</v>
      </c>
      <c r="L194" s="1" t="s">
        <v>55</v>
      </c>
      <c r="M194">
        <v>36</v>
      </c>
      <c r="N194" s="1" t="s">
        <v>29</v>
      </c>
      <c r="O194" s="1" t="s">
        <v>30</v>
      </c>
      <c r="P194">
        <v>1</v>
      </c>
      <c r="Q194" s="1" t="s">
        <v>31</v>
      </c>
      <c r="R194">
        <v>2</v>
      </c>
      <c r="S194" s="1" t="s">
        <v>32</v>
      </c>
      <c r="T194" s="1" t="s">
        <v>33</v>
      </c>
      <c r="U194" s="1" t="s">
        <v>41</v>
      </c>
      <c r="V194" s="1" t="str">
        <f>_xlfn.XLOOKUP(A194,Dictonary!$A$2:$A$5,Dictonary!$B$2:$B$5)</f>
        <v>Low balance</v>
      </c>
      <c r="W194" s="1" t="str">
        <f>_xlfn.XLOOKUP(D194,Dictonary!$D$2:$D$12,Dictonary!$E$2:$E$12)</f>
        <v>business</v>
      </c>
      <c r="X194" s="1" t="str">
        <f>_xlfn.XLOOKUP(F194,Dictonary!$G$2:$G$6,Dictonary!$H$2:$H$6)</f>
        <v>Less 100</v>
      </c>
      <c r="Y194" s="1" t="str">
        <f>_xlfn.XLOOKUP(I194,Dictonary!$J$2:$J$6,Dictonary!$K$2:$K$6)</f>
        <v>male : single</v>
      </c>
      <c r="Z194" s="1" t="str">
        <f>_xlfn.XLOOKUP(Q194,Dictonary!$M$2:$M$5,Dictonary!$N$2:$N$5)</f>
        <v>skilled employee / official</v>
      </c>
      <c r="AA194" s="1" t="str">
        <f>_xlfn.XLOOKUP(O194,Dictonary!$P$2:$P$4,Dictonary!$Q$2:$Q$4)</f>
        <v>own</v>
      </c>
    </row>
    <row r="195" spans="1:27" x14ac:dyDescent="0.3">
      <c r="A195" s="1" t="s">
        <v>42</v>
      </c>
      <c r="B195">
        <v>6</v>
      </c>
      <c r="C195" s="1" t="s">
        <v>36</v>
      </c>
      <c r="D195" s="1" t="s">
        <v>23</v>
      </c>
      <c r="E195">
        <v>2108</v>
      </c>
      <c r="F195" s="1" t="s">
        <v>37</v>
      </c>
      <c r="G195" s="1" t="s">
        <v>44</v>
      </c>
      <c r="H195">
        <v>2</v>
      </c>
      <c r="I195" s="1" t="s">
        <v>61</v>
      </c>
      <c r="J195" s="1" t="s">
        <v>27</v>
      </c>
      <c r="K195">
        <v>2</v>
      </c>
      <c r="L195" s="1" t="s">
        <v>28</v>
      </c>
      <c r="M195">
        <v>29</v>
      </c>
      <c r="N195" s="1" t="s">
        <v>29</v>
      </c>
      <c r="O195" s="1" t="s">
        <v>56</v>
      </c>
      <c r="P195">
        <v>1</v>
      </c>
      <c r="Q195" s="1" t="s">
        <v>31</v>
      </c>
      <c r="R195">
        <v>1</v>
      </c>
      <c r="S195" s="1" t="s">
        <v>40</v>
      </c>
      <c r="T195" s="1" t="s">
        <v>33</v>
      </c>
      <c r="U195" s="1" t="s">
        <v>34</v>
      </c>
      <c r="V195" s="1" t="str">
        <f>_xlfn.XLOOKUP(A195,Dictonary!$A$2:$A$5,Dictonary!$B$2:$B$5)</f>
        <v>No information</v>
      </c>
      <c r="W195" s="1" t="str">
        <f>_xlfn.XLOOKUP(D195,Dictonary!$D$2:$D$12,Dictonary!$E$2:$E$12)</f>
        <v>radio/television</v>
      </c>
      <c r="X195" s="1" t="str">
        <f>_xlfn.XLOOKUP(F195,Dictonary!$G$2:$G$6,Dictonary!$H$2:$H$6)</f>
        <v>Less 100</v>
      </c>
      <c r="Y195" s="1" t="str">
        <f>_xlfn.XLOOKUP(I195,Dictonary!$J$2:$J$6,Dictonary!$K$2:$K$6)</f>
        <v>male : married/widowed</v>
      </c>
      <c r="Z195" s="1" t="str">
        <f>_xlfn.XLOOKUP(Q195,Dictonary!$M$2:$M$5,Dictonary!$N$2:$N$5)</f>
        <v>skilled employee / official</v>
      </c>
      <c r="AA195" s="1" t="str">
        <f>_xlfn.XLOOKUP(O195,Dictonary!$P$2:$P$4,Dictonary!$Q$2:$Q$4)</f>
        <v>rent</v>
      </c>
    </row>
    <row r="196" spans="1:27" x14ac:dyDescent="0.3">
      <c r="A196" s="1" t="s">
        <v>35</v>
      </c>
      <c r="B196">
        <v>45</v>
      </c>
      <c r="C196" s="1" t="s">
        <v>36</v>
      </c>
      <c r="D196" s="1" t="s">
        <v>23</v>
      </c>
      <c r="E196">
        <v>3031</v>
      </c>
      <c r="F196" s="1" t="s">
        <v>64</v>
      </c>
      <c r="G196" s="1" t="s">
        <v>38</v>
      </c>
      <c r="H196">
        <v>4</v>
      </c>
      <c r="I196" s="1" t="s">
        <v>26</v>
      </c>
      <c r="J196" s="1" t="s">
        <v>47</v>
      </c>
      <c r="K196">
        <v>4</v>
      </c>
      <c r="L196" s="1" t="s">
        <v>48</v>
      </c>
      <c r="M196">
        <v>21</v>
      </c>
      <c r="N196" s="1" t="s">
        <v>29</v>
      </c>
      <c r="O196" s="1" t="s">
        <v>56</v>
      </c>
      <c r="P196">
        <v>1</v>
      </c>
      <c r="Q196" s="1" t="s">
        <v>31</v>
      </c>
      <c r="R196">
        <v>1</v>
      </c>
      <c r="S196" s="1" t="s">
        <v>40</v>
      </c>
      <c r="T196" s="1" t="s">
        <v>33</v>
      </c>
      <c r="U196" s="1" t="s">
        <v>41</v>
      </c>
      <c r="V196" s="1" t="str">
        <f>_xlfn.XLOOKUP(A196,Dictonary!$A$2:$A$5,Dictonary!$B$2:$B$5)</f>
        <v>Low balance</v>
      </c>
      <c r="W196" s="1" t="str">
        <f>_xlfn.XLOOKUP(D196,Dictonary!$D$2:$D$12,Dictonary!$E$2:$E$12)</f>
        <v>radio/television</v>
      </c>
      <c r="X196" s="1" t="str">
        <f>_xlfn.XLOOKUP(F196,Dictonary!$G$2:$G$6,Dictonary!$H$2:$H$6)</f>
        <v>Up to 500</v>
      </c>
      <c r="Y196" s="1" t="str">
        <f>_xlfn.XLOOKUP(I196,Dictonary!$J$2:$J$6,Dictonary!$K$2:$K$6)</f>
        <v>male : single</v>
      </c>
      <c r="Z196" s="1" t="str">
        <f>_xlfn.XLOOKUP(Q196,Dictonary!$M$2:$M$5,Dictonary!$N$2:$N$5)</f>
        <v>skilled employee / official</v>
      </c>
      <c r="AA196" s="1" t="str">
        <f>_xlfn.XLOOKUP(O196,Dictonary!$P$2:$P$4,Dictonary!$Q$2:$Q$4)</f>
        <v>rent</v>
      </c>
    </row>
    <row r="197" spans="1:27" x14ac:dyDescent="0.3">
      <c r="A197" s="1" t="s">
        <v>35</v>
      </c>
      <c r="B197">
        <v>9</v>
      </c>
      <c r="C197" s="1" t="s">
        <v>22</v>
      </c>
      <c r="D197" s="1" t="s">
        <v>43</v>
      </c>
      <c r="E197">
        <v>1501</v>
      </c>
      <c r="F197" s="1" t="s">
        <v>37</v>
      </c>
      <c r="G197" s="1" t="s">
        <v>25</v>
      </c>
      <c r="H197">
        <v>2</v>
      </c>
      <c r="I197" s="1" t="s">
        <v>39</v>
      </c>
      <c r="J197" s="1" t="s">
        <v>27</v>
      </c>
      <c r="K197">
        <v>3</v>
      </c>
      <c r="L197" s="1" t="s">
        <v>55</v>
      </c>
      <c r="M197">
        <v>34</v>
      </c>
      <c r="N197" s="1" t="s">
        <v>29</v>
      </c>
      <c r="O197" s="1" t="s">
        <v>30</v>
      </c>
      <c r="P197">
        <v>2</v>
      </c>
      <c r="Q197" s="1" t="s">
        <v>57</v>
      </c>
      <c r="R197">
        <v>1</v>
      </c>
      <c r="S197" s="1" t="s">
        <v>32</v>
      </c>
      <c r="T197" s="1" t="s">
        <v>33</v>
      </c>
      <c r="U197" s="1" t="s">
        <v>41</v>
      </c>
      <c r="V197" s="1" t="str">
        <f>_xlfn.XLOOKUP(A197,Dictonary!$A$2:$A$5,Dictonary!$B$2:$B$5)</f>
        <v>Low balance</v>
      </c>
      <c r="W197" s="1" t="str">
        <f>_xlfn.XLOOKUP(D197,Dictonary!$D$2:$D$12,Dictonary!$E$2:$E$12)</f>
        <v>education</v>
      </c>
      <c r="X197" s="1" t="str">
        <f>_xlfn.XLOOKUP(F197,Dictonary!$G$2:$G$6,Dictonary!$H$2:$H$6)</f>
        <v>Less 100</v>
      </c>
      <c r="Y197" s="1" t="str">
        <f>_xlfn.XLOOKUP(I197,Dictonary!$J$2:$J$6,Dictonary!$K$2:$K$6)</f>
        <v>female : divorced/separated/married</v>
      </c>
      <c r="Z197" s="1" t="str">
        <f>_xlfn.XLOOKUP(Q197,Dictonary!$M$2:$M$5,Dictonary!$N$2:$N$5)</f>
        <v>management/ self-employed/ highly qualified employee/ officer</v>
      </c>
      <c r="AA197" s="1" t="str">
        <f>_xlfn.XLOOKUP(O197,Dictonary!$P$2:$P$4,Dictonary!$Q$2:$Q$4)</f>
        <v>own</v>
      </c>
    </row>
    <row r="198" spans="1:27" x14ac:dyDescent="0.3">
      <c r="A198" s="1" t="s">
        <v>42</v>
      </c>
      <c r="B198">
        <v>6</v>
      </c>
      <c r="C198" s="1" t="s">
        <v>22</v>
      </c>
      <c r="D198" s="1" t="s">
        <v>23</v>
      </c>
      <c r="E198">
        <v>1382</v>
      </c>
      <c r="F198" s="1" t="s">
        <v>37</v>
      </c>
      <c r="G198" s="1" t="s">
        <v>38</v>
      </c>
      <c r="H198">
        <v>1</v>
      </c>
      <c r="I198" s="1" t="s">
        <v>39</v>
      </c>
      <c r="J198" s="1" t="s">
        <v>27</v>
      </c>
      <c r="K198">
        <v>1</v>
      </c>
      <c r="L198" s="1" t="s">
        <v>55</v>
      </c>
      <c r="M198">
        <v>28</v>
      </c>
      <c r="N198" s="1" t="s">
        <v>29</v>
      </c>
      <c r="O198" s="1" t="s">
        <v>30</v>
      </c>
      <c r="P198">
        <v>2</v>
      </c>
      <c r="Q198" s="1" t="s">
        <v>31</v>
      </c>
      <c r="R198">
        <v>1</v>
      </c>
      <c r="S198" s="1" t="s">
        <v>32</v>
      </c>
      <c r="T198" s="1" t="s">
        <v>33</v>
      </c>
      <c r="U198" s="1" t="s">
        <v>34</v>
      </c>
      <c r="V198" s="1" t="str">
        <f>_xlfn.XLOOKUP(A198,Dictonary!$A$2:$A$5,Dictonary!$B$2:$B$5)</f>
        <v>No information</v>
      </c>
      <c r="W198" s="1" t="str">
        <f>_xlfn.XLOOKUP(D198,Dictonary!$D$2:$D$12,Dictonary!$E$2:$E$12)</f>
        <v>radio/television</v>
      </c>
      <c r="X198" s="1" t="str">
        <f>_xlfn.XLOOKUP(F198,Dictonary!$G$2:$G$6,Dictonary!$H$2:$H$6)</f>
        <v>Less 100</v>
      </c>
      <c r="Y198" s="1" t="str">
        <f>_xlfn.XLOOKUP(I198,Dictonary!$J$2:$J$6,Dictonary!$K$2:$K$6)</f>
        <v>female : divorced/separated/married</v>
      </c>
      <c r="Z198" s="1" t="str">
        <f>_xlfn.XLOOKUP(Q198,Dictonary!$M$2:$M$5,Dictonary!$N$2:$N$5)</f>
        <v>skilled employee / official</v>
      </c>
      <c r="AA198" s="1" t="str">
        <f>_xlfn.XLOOKUP(O198,Dictonary!$P$2:$P$4,Dictonary!$Q$2:$Q$4)</f>
        <v>own</v>
      </c>
    </row>
    <row r="199" spans="1:27" x14ac:dyDescent="0.3">
      <c r="A199" s="1" t="s">
        <v>35</v>
      </c>
      <c r="B199">
        <v>12</v>
      </c>
      <c r="C199" s="1" t="s">
        <v>36</v>
      </c>
      <c r="D199" s="1" t="s">
        <v>46</v>
      </c>
      <c r="E199">
        <v>951</v>
      </c>
      <c r="F199" s="1" t="s">
        <v>64</v>
      </c>
      <c r="G199" s="1" t="s">
        <v>62</v>
      </c>
      <c r="H199">
        <v>4</v>
      </c>
      <c r="I199" s="1" t="s">
        <v>39</v>
      </c>
      <c r="J199" s="1" t="s">
        <v>27</v>
      </c>
      <c r="K199">
        <v>4</v>
      </c>
      <c r="L199" s="1" t="s">
        <v>55</v>
      </c>
      <c r="M199">
        <v>27</v>
      </c>
      <c r="N199" s="1" t="s">
        <v>66</v>
      </c>
      <c r="O199" s="1" t="s">
        <v>56</v>
      </c>
      <c r="P199">
        <v>4</v>
      </c>
      <c r="Q199" s="1" t="s">
        <v>31</v>
      </c>
      <c r="R199">
        <v>1</v>
      </c>
      <c r="S199" s="1" t="s">
        <v>40</v>
      </c>
      <c r="T199" s="1" t="s">
        <v>33</v>
      </c>
      <c r="U199" s="1" t="s">
        <v>41</v>
      </c>
      <c r="V199" s="1" t="str">
        <f>_xlfn.XLOOKUP(A199,Dictonary!$A$2:$A$5,Dictonary!$B$2:$B$5)</f>
        <v>Low balance</v>
      </c>
      <c r="W199" s="1" t="str">
        <f>_xlfn.XLOOKUP(D199,Dictonary!$D$2:$D$12,Dictonary!$E$2:$E$12)</f>
        <v>furniture/equipment</v>
      </c>
      <c r="X199" s="1" t="str">
        <f>_xlfn.XLOOKUP(F199,Dictonary!$G$2:$G$6,Dictonary!$H$2:$H$6)</f>
        <v>Up to 500</v>
      </c>
      <c r="Y199" s="1" t="str">
        <f>_xlfn.XLOOKUP(I199,Dictonary!$J$2:$J$6,Dictonary!$K$2:$K$6)</f>
        <v>female : divorced/separated/married</v>
      </c>
      <c r="Z199" s="1" t="str">
        <f>_xlfn.XLOOKUP(Q199,Dictonary!$M$2:$M$5,Dictonary!$N$2:$N$5)</f>
        <v>skilled employee / official</v>
      </c>
      <c r="AA199" s="1" t="str">
        <f>_xlfn.XLOOKUP(O199,Dictonary!$P$2:$P$4,Dictonary!$Q$2:$Q$4)</f>
        <v>rent</v>
      </c>
    </row>
    <row r="200" spans="1:27" x14ac:dyDescent="0.3">
      <c r="A200" s="1" t="s">
        <v>35</v>
      </c>
      <c r="B200">
        <v>24</v>
      </c>
      <c r="C200" s="1" t="s">
        <v>36</v>
      </c>
      <c r="D200" s="1" t="s">
        <v>54</v>
      </c>
      <c r="E200">
        <v>2760</v>
      </c>
      <c r="F200" s="1" t="s">
        <v>24</v>
      </c>
      <c r="G200" s="1" t="s">
        <v>25</v>
      </c>
      <c r="H200">
        <v>4</v>
      </c>
      <c r="I200" s="1" t="s">
        <v>26</v>
      </c>
      <c r="J200" s="1" t="s">
        <v>27</v>
      </c>
      <c r="K200">
        <v>4</v>
      </c>
      <c r="L200" s="1" t="s">
        <v>52</v>
      </c>
      <c r="M200">
        <v>36</v>
      </c>
      <c r="N200" s="1" t="s">
        <v>66</v>
      </c>
      <c r="O200" s="1" t="s">
        <v>49</v>
      </c>
      <c r="P200">
        <v>1</v>
      </c>
      <c r="Q200" s="1" t="s">
        <v>31</v>
      </c>
      <c r="R200">
        <v>1</v>
      </c>
      <c r="S200" s="1" t="s">
        <v>32</v>
      </c>
      <c r="T200" s="1" t="s">
        <v>33</v>
      </c>
      <c r="U200" s="1" t="s">
        <v>34</v>
      </c>
      <c r="V200" s="1" t="str">
        <f>_xlfn.XLOOKUP(A200,Dictonary!$A$2:$A$5,Dictonary!$B$2:$B$5)</f>
        <v>Low balance</v>
      </c>
      <c r="W200" s="1" t="str">
        <f>_xlfn.XLOOKUP(D200,Dictonary!$D$2:$D$12,Dictonary!$E$2:$E$12)</f>
        <v>car (used)</v>
      </c>
      <c r="X200" s="1" t="str">
        <f>_xlfn.XLOOKUP(F200,Dictonary!$G$2:$G$6,Dictonary!$H$2:$H$6)</f>
        <v>No information</v>
      </c>
      <c r="Y200" s="1" t="str">
        <f>_xlfn.XLOOKUP(I200,Dictonary!$J$2:$J$6,Dictonary!$K$2:$K$6)</f>
        <v>male : single</v>
      </c>
      <c r="Z200" s="1" t="str">
        <f>_xlfn.XLOOKUP(Q200,Dictonary!$M$2:$M$5,Dictonary!$N$2:$N$5)</f>
        <v>skilled employee / official</v>
      </c>
      <c r="AA200" s="1" t="str">
        <f>_xlfn.XLOOKUP(O200,Dictonary!$P$2:$P$4,Dictonary!$Q$2:$Q$4)</f>
        <v>for free</v>
      </c>
    </row>
    <row r="201" spans="1:27" x14ac:dyDescent="0.3">
      <c r="A201" s="1" t="s">
        <v>35</v>
      </c>
      <c r="B201">
        <v>18</v>
      </c>
      <c r="C201" s="1" t="s">
        <v>50</v>
      </c>
      <c r="D201" s="1" t="s">
        <v>46</v>
      </c>
      <c r="E201">
        <v>4297</v>
      </c>
      <c r="F201" s="1" t="s">
        <v>37</v>
      </c>
      <c r="G201" s="1" t="s">
        <v>25</v>
      </c>
      <c r="H201">
        <v>4</v>
      </c>
      <c r="I201" s="1" t="s">
        <v>59</v>
      </c>
      <c r="J201" s="1" t="s">
        <v>27</v>
      </c>
      <c r="K201">
        <v>3</v>
      </c>
      <c r="L201" s="1" t="s">
        <v>52</v>
      </c>
      <c r="M201">
        <v>40</v>
      </c>
      <c r="N201" s="1" t="s">
        <v>29</v>
      </c>
      <c r="O201" s="1" t="s">
        <v>30</v>
      </c>
      <c r="P201">
        <v>1</v>
      </c>
      <c r="Q201" s="1" t="s">
        <v>57</v>
      </c>
      <c r="R201">
        <v>1</v>
      </c>
      <c r="S201" s="1" t="s">
        <v>32</v>
      </c>
      <c r="T201" s="1" t="s">
        <v>33</v>
      </c>
      <c r="U201" s="1" t="s">
        <v>41</v>
      </c>
      <c r="V201" s="1" t="str">
        <f>_xlfn.XLOOKUP(A201,Dictonary!$A$2:$A$5,Dictonary!$B$2:$B$5)</f>
        <v>Low balance</v>
      </c>
      <c r="W201" s="1" t="str">
        <f>_xlfn.XLOOKUP(D201,Dictonary!$D$2:$D$12,Dictonary!$E$2:$E$12)</f>
        <v>furniture/equipment</v>
      </c>
      <c r="X201" s="1" t="str">
        <f>_xlfn.XLOOKUP(F201,Dictonary!$G$2:$G$6,Dictonary!$H$2:$H$6)</f>
        <v>Less 100</v>
      </c>
      <c r="Y201" s="1" t="str">
        <f>_xlfn.XLOOKUP(I201,Dictonary!$J$2:$J$6,Dictonary!$K$2:$K$6)</f>
        <v>male : divorced/separated</v>
      </c>
      <c r="Z201" s="1" t="str">
        <f>_xlfn.XLOOKUP(Q201,Dictonary!$M$2:$M$5,Dictonary!$N$2:$N$5)</f>
        <v>management/ self-employed/ highly qualified employee/ officer</v>
      </c>
      <c r="AA201" s="1" t="str">
        <f>_xlfn.XLOOKUP(O201,Dictonary!$P$2:$P$4,Dictonary!$Q$2:$Q$4)</f>
        <v>own</v>
      </c>
    </row>
    <row r="202" spans="1:27" x14ac:dyDescent="0.3">
      <c r="A202" s="1" t="s">
        <v>42</v>
      </c>
      <c r="B202">
        <v>9</v>
      </c>
      <c r="C202" s="1" t="s">
        <v>22</v>
      </c>
      <c r="D202" s="1" t="s">
        <v>43</v>
      </c>
      <c r="E202">
        <v>936</v>
      </c>
      <c r="F202" s="1" t="s">
        <v>53</v>
      </c>
      <c r="G202" s="1" t="s">
        <v>25</v>
      </c>
      <c r="H202">
        <v>4</v>
      </c>
      <c r="I202" s="1" t="s">
        <v>26</v>
      </c>
      <c r="J202" s="1" t="s">
        <v>27</v>
      </c>
      <c r="K202">
        <v>2</v>
      </c>
      <c r="L202" s="1" t="s">
        <v>55</v>
      </c>
      <c r="M202">
        <v>52</v>
      </c>
      <c r="N202" s="1" t="s">
        <v>29</v>
      </c>
      <c r="O202" s="1" t="s">
        <v>30</v>
      </c>
      <c r="P202">
        <v>2</v>
      </c>
      <c r="Q202" s="1" t="s">
        <v>31</v>
      </c>
      <c r="R202">
        <v>1</v>
      </c>
      <c r="S202" s="1" t="s">
        <v>32</v>
      </c>
      <c r="T202" s="1" t="s">
        <v>33</v>
      </c>
      <c r="U202" s="1" t="s">
        <v>34</v>
      </c>
      <c r="V202" s="1" t="str">
        <f>_xlfn.XLOOKUP(A202,Dictonary!$A$2:$A$5,Dictonary!$B$2:$B$5)</f>
        <v>No information</v>
      </c>
      <c r="W202" s="1" t="str">
        <f>_xlfn.XLOOKUP(D202,Dictonary!$D$2:$D$12,Dictonary!$E$2:$E$12)</f>
        <v>education</v>
      </c>
      <c r="X202" s="1" t="str">
        <f>_xlfn.XLOOKUP(F202,Dictonary!$G$2:$G$6,Dictonary!$H$2:$H$6)</f>
        <v>Up to 1000</v>
      </c>
      <c r="Y202" s="1" t="str">
        <f>_xlfn.XLOOKUP(I202,Dictonary!$J$2:$J$6,Dictonary!$K$2:$K$6)</f>
        <v>male : single</v>
      </c>
      <c r="Z202" s="1" t="str">
        <f>_xlfn.XLOOKUP(Q202,Dictonary!$M$2:$M$5,Dictonary!$N$2:$N$5)</f>
        <v>skilled employee / official</v>
      </c>
      <c r="AA202" s="1" t="str">
        <f>_xlfn.XLOOKUP(O202,Dictonary!$P$2:$P$4,Dictonary!$Q$2:$Q$4)</f>
        <v>own</v>
      </c>
    </row>
    <row r="203" spans="1:27" x14ac:dyDescent="0.3">
      <c r="A203" s="1" t="s">
        <v>21</v>
      </c>
      <c r="B203">
        <v>12</v>
      </c>
      <c r="C203" s="1" t="s">
        <v>36</v>
      </c>
      <c r="D203" s="1" t="s">
        <v>51</v>
      </c>
      <c r="E203">
        <v>1168</v>
      </c>
      <c r="F203" s="1" t="s">
        <v>37</v>
      </c>
      <c r="G203" s="1" t="s">
        <v>38</v>
      </c>
      <c r="H203">
        <v>4</v>
      </c>
      <c r="I203" s="1" t="s">
        <v>61</v>
      </c>
      <c r="J203" s="1" t="s">
        <v>27</v>
      </c>
      <c r="K203">
        <v>3</v>
      </c>
      <c r="L203" s="1" t="s">
        <v>28</v>
      </c>
      <c r="M203">
        <v>27</v>
      </c>
      <c r="N203" s="1" t="s">
        <v>29</v>
      </c>
      <c r="O203" s="1" t="s">
        <v>30</v>
      </c>
      <c r="P203">
        <v>1</v>
      </c>
      <c r="Q203" s="1" t="s">
        <v>45</v>
      </c>
      <c r="R203">
        <v>1</v>
      </c>
      <c r="S203" s="1" t="s">
        <v>40</v>
      </c>
      <c r="T203" s="1" t="s">
        <v>33</v>
      </c>
      <c r="U203" s="1" t="s">
        <v>34</v>
      </c>
      <c r="V203" s="1" t="str">
        <f>_xlfn.XLOOKUP(A203,Dictonary!$A$2:$A$5,Dictonary!$B$2:$B$5)</f>
        <v>Negative balance</v>
      </c>
      <c r="W203" s="1" t="str">
        <f>_xlfn.XLOOKUP(D203,Dictonary!$D$2:$D$12,Dictonary!$E$2:$E$12)</f>
        <v>car (new)</v>
      </c>
      <c r="X203" s="1" t="str">
        <f>_xlfn.XLOOKUP(F203,Dictonary!$G$2:$G$6,Dictonary!$H$2:$H$6)</f>
        <v>Less 100</v>
      </c>
      <c r="Y203" s="1" t="str">
        <f>_xlfn.XLOOKUP(I203,Dictonary!$J$2:$J$6,Dictonary!$K$2:$K$6)</f>
        <v>male : married/widowed</v>
      </c>
      <c r="Z203" s="1" t="str">
        <f>_xlfn.XLOOKUP(Q203,Dictonary!$M$2:$M$5,Dictonary!$N$2:$N$5)</f>
        <v>unskilled - resident</v>
      </c>
      <c r="AA203" s="1" t="str">
        <f>_xlfn.XLOOKUP(O203,Dictonary!$P$2:$P$4,Dictonary!$Q$2:$Q$4)</f>
        <v>own</v>
      </c>
    </row>
    <row r="204" spans="1:27" x14ac:dyDescent="0.3">
      <c r="A204" s="1" t="s">
        <v>42</v>
      </c>
      <c r="B204">
        <v>27</v>
      </c>
      <c r="C204" s="1" t="s">
        <v>50</v>
      </c>
      <c r="D204" s="1" t="s">
        <v>63</v>
      </c>
      <c r="E204">
        <v>5117</v>
      </c>
      <c r="F204" s="1" t="s">
        <v>37</v>
      </c>
      <c r="G204" s="1" t="s">
        <v>44</v>
      </c>
      <c r="H204">
        <v>3</v>
      </c>
      <c r="I204" s="1" t="s">
        <v>26</v>
      </c>
      <c r="J204" s="1" t="s">
        <v>27</v>
      </c>
      <c r="K204">
        <v>4</v>
      </c>
      <c r="L204" s="1" t="s">
        <v>55</v>
      </c>
      <c r="M204">
        <v>26</v>
      </c>
      <c r="N204" s="1" t="s">
        <v>29</v>
      </c>
      <c r="O204" s="1" t="s">
        <v>30</v>
      </c>
      <c r="P204">
        <v>2</v>
      </c>
      <c r="Q204" s="1" t="s">
        <v>31</v>
      </c>
      <c r="R204">
        <v>1</v>
      </c>
      <c r="S204" s="1" t="s">
        <v>40</v>
      </c>
      <c r="T204" s="1" t="s">
        <v>33</v>
      </c>
      <c r="U204" s="1" t="s">
        <v>34</v>
      </c>
      <c r="V204" s="1" t="str">
        <f>_xlfn.XLOOKUP(A204,Dictonary!$A$2:$A$5,Dictonary!$B$2:$B$5)</f>
        <v>No information</v>
      </c>
      <c r="W204" s="1" t="str">
        <f>_xlfn.XLOOKUP(D204,Dictonary!$D$2:$D$12,Dictonary!$E$2:$E$12)</f>
        <v>business</v>
      </c>
      <c r="X204" s="1" t="str">
        <f>_xlfn.XLOOKUP(F204,Dictonary!$G$2:$G$6,Dictonary!$H$2:$H$6)</f>
        <v>Less 100</v>
      </c>
      <c r="Y204" s="1" t="str">
        <f>_xlfn.XLOOKUP(I204,Dictonary!$J$2:$J$6,Dictonary!$K$2:$K$6)</f>
        <v>male : single</v>
      </c>
      <c r="Z204" s="1" t="str">
        <f>_xlfn.XLOOKUP(Q204,Dictonary!$M$2:$M$5,Dictonary!$N$2:$N$5)</f>
        <v>skilled employee / official</v>
      </c>
      <c r="AA204" s="1" t="str">
        <f>_xlfn.XLOOKUP(O204,Dictonary!$P$2:$P$4,Dictonary!$Q$2:$Q$4)</f>
        <v>own</v>
      </c>
    </row>
    <row r="205" spans="1:27" x14ac:dyDescent="0.3">
      <c r="A205" s="1" t="s">
        <v>21</v>
      </c>
      <c r="B205">
        <v>12</v>
      </c>
      <c r="C205" s="1" t="s">
        <v>36</v>
      </c>
      <c r="D205" s="1" t="s">
        <v>76</v>
      </c>
      <c r="E205">
        <v>902</v>
      </c>
      <c r="F205" s="1" t="s">
        <v>37</v>
      </c>
      <c r="G205" s="1" t="s">
        <v>44</v>
      </c>
      <c r="H205">
        <v>4</v>
      </c>
      <c r="I205" s="1" t="s">
        <v>61</v>
      </c>
      <c r="J205" s="1" t="s">
        <v>27</v>
      </c>
      <c r="K205">
        <v>4</v>
      </c>
      <c r="L205" s="1" t="s">
        <v>48</v>
      </c>
      <c r="M205">
        <v>21</v>
      </c>
      <c r="N205" s="1" t="s">
        <v>29</v>
      </c>
      <c r="O205" s="1" t="s">
        <v>56</v>
      </c>
      <c r="P205">
        <v>1</v>
      </c>
      <c r="Q205" s="1" t="s">
        <v>31</v>
      </c>
      <c r="R205">
        <v>1</v>
      </c>
      <c r="S205" s="1" t="s">
        <v>40</v>
      </c>
      <c r="T205" s="1" t="s">
        <v>33</v>
      </c>
      <c r="U205" s="1" t="s">
        <v>41</v>
      </c>
      <c r="V205" s="1" t="str">
        <f>_xlfn.XLOOKUP(A205,Dictonary!$A$2:$A$5,Dictonary!$B$2:$B$5)</f>
        <v>Negative balance</v>
      </c>
      <c r="W205" s="1" t="str">
        <f>_xlfn.XLOOKUP(D205,Dictonary!$D$2:$D$12,Dictonary!$E$2:$E$12)</f>
        <v>retraining</v>
      </c>
      <c r="X205" s="1" t="str">
        <f>_xlfn.XLOOKUP(F205,Dictonary!$G$2:$G$6,Dictonary!$H$2:$H$6)</f>
        <v>Less 100</v>
      </c>
      <c r="Y205" s="1" t="str">
        <f>_xlfn.XLOOKUP(I205,Dictonary!$J$2:$J$6,Dictonary!$K$2:$K$6)</f>
        <v>male : married/widowed</v>
      </c>
      <c r="Z205" s="1" t="str">
        <f>_xlfn.XLOOKUP(Q205,Dictonary!$M$2:$M$5,Dictonary!$N$2:$N$5)</f>
        <v>skilled employee / official</v>
      </c>
      <c r="AA205" s="1" t="str">
        <f>_xlfn.XLOOKUP(O205,Dictonary!$P$2:$P$4,Dictonary!$Q$2:$Q$4)</f>
        <v>rent</v>
      </c>
    </row>
    <row r="206" spans="1:27" x14ac:dyDescent="0.3">
      <c r="A206" s="1" t="s">
        <v>42</v>
      </c>
      <c r="B206">
        <v>12</v>
      </c>
      <c r="C206" s="1" t="s">
        <v>22</v>
      </c>
      <c r="D206" s="1" t="s">
        <v>51</v>
      </c>
      <c r="E206">
        <v>1495</v>
      </c>
      <c r="F206" s="1" t="s">
        <v>37</v>
      </c>
      <c r="G206" s="1" t="s">
        <v>25</v>
      </c>
      <c r="H206">
        <v>4</v>
      </c>
      <c r="I206" s="1" t="s">
        <v>26</v>
      </c>
      <c r="J206" s="1" t="s">
        <v>27</v>
      </c>
      <c r="K206">
        <v>1</v>
      </c>
      <c r="L206" s="1" t="s">
        <v>28</v>
      </c>
      <c r="M206">
        <v>38</v>
      </c>
      <c r="N206" s="1" t="s">
        <v>29</v>
      </c>
      <c r="O206" s="1" t="s">
        <v>30</v>
      </c>
      <c r="P206">
        <v>2</v>
      </c>
      <c r="Q206" s="1" t="s">
        <v>45</v>
      </c>
      <c r="R206">
        <v>2</v>
      </c>
      <c r="S206" s="1" t="s">
        <v>40</v>
      </c>
      <c r="T206" s="1" t="s">
        <v>33</v>
      </c>
      <c r="U206" s="1" t="s">
        <v>34</v>
      </c>
      <c r="V206" s="1" t="str">
        <f>_xlfn.XLOOKUP(A206,Dictonary!$A$2:$A$5,Dictonary!$B$2:$B$5)</f>
        <v>No information</v>
      </c>
      <c r="W206" s="1" t="str">
        <f>_xlfn.XLOOKUP(D206,Dictonary!$D$2:$D$12,Dictonary!$E$2:$E$12)</f>
        <v>car (new)</v>
      </c>
      <c r="X206" s="1" t="str">
        <f>_xlfn.XLOOKUP(F206,Dictonary!$G$2:$G$6,Dictonary!$H$2:$H$6)</f>
        <v>Less 100</v>
      </c>
      <c r="Y206" s="1" t="str">
        <f>_xlfn.XLOOKUP(I206,Dictonary!$J$2:$J$6,Dictonary!$K$2:$K$6)</f>
        <v>male : single</v>
      </c>
      <c r="Z206" s="1" t="str">
        <f>_xlfn.XLOOKUP(Q206,Dictonary!$M$2:$M$5,Dictonary!$N$2:$N$5)</f>
        <v>unskilled - resident</v>
      </c>
      <c r="AA206" s="1" t="str">
        <f>_xlfn.XLOOKUP(O206,Dictonary!$P$2:$P$4,Dictonary!$Q$2:$Q$4)</f>
        <v>own</v>
      </c>
    </row>
    <row r="207" spans="1:27" x14ac:dyDescent="0.3">
      <c r="A207" s="1" t="s">
        <v>21</v>
      </c>
      <c r="B207">
        <v>30</v>
      </c>
      <c r="C207" s="1" t="s">
        <v>22</v>
      </c>
      <c r="D207" s="1" t="s">
        <v>54</v>
      </c>
      <c r="E207">
        <v>10623</v>
      </c>
      <c r="F207" s="1" t="s">
        <v>37</v>
      </c>
      <c r="G207" s="1" t="s">
        <v>25</v>
      </c>
      <c r="H207">
        <v>3</v>
      </c>
      <c r="I207" s="1" t="s">
        <v>26</v>
      </c>
      <c r="J207" s="1" t="s">
        <v>27</v>
      </c>
      <c r="K207">
        <v>4</v>
      </c>
      <c r="L207" s="1" t="s">
        <v>52</v>
      </c>
      <c r="M207">
        <v>38</v>
      </c>
      <c r="N207" s="1" t="s">
        <v>29</v>
      </c>
      <c r="O207" s="1" t="s">
        <v>49</v>
      </c>
      <c r="P207">
        <v>3</v>
      </c>
      <c r="Q207" s="1" t="s">
        <v>57</v>
      </c>
      <c r="R207">
        <v>2</v>
      </c>
      <c r="S207" s="1" t="s">
        <v>32</v>
      </c>
      <c r="T207" s="1" t="s">
        <v>33</v>
      </c>
      <c r="U207" s="1" t="s">
        <v>34</v>
      </c>
      <c r="V207" s="1" t="str">
        <f>_xlfn.XLOOKUP(A207,Dictonary!$A$2:$A$5,Dictonary!$B$2:$B$5)</f>
        <v>Negative balance</v>
      </c>
      <c r="W207" s="1" t="str">
        <f>_xlfn.XLOOKUP(D207,Dictonary!$D$2:$D$12,Dictonary!$E$2:$E$12)</f>
        <v>car (used)</v>
      </c>
      <c r="X207" s="1" t="str">
        <f>_xlfn.XLOOKUP(F207,Dictonary!$G$2:$G$6,Dictonary!$H$2:$H$6)</f>
        <v>Less 100</v>
      </c>
      <c r="Y207" s="1" t="str">
        <f>_xlfn.XLOOKUP(I207,Dictonary!$J$2:$J$6,Dictonary!$K$2:$K$6)</f>
        <v>male : single</v>
      </c>
      <c r="Z207" s="1" t="str">
        <f>_xlfn.XLOOKUP(Q207,Dictonary!$M$2:$M$5,Dictonary!$N$2:$N$5)</f>
        <v>management/ self-employed/ highly qualified employee/ officer</v>
      </c>
      <c r="AA207" s="1" t="str">
        <f>_xlfn.XLOOKUP(O207,Dictonary!$P$2:$P$4,Dictonary!$Q$2:$Q$4)</f>
        <v>for free</v>
      </c>
    </row>
    <row r="208" spans="1:27" x14ac:dyDescent="0.3">
      <c r="A208" s="1" t="s">
        <v>42</v>
      </c>
      <c r="B208">
        <v>12</v>
      </c>
      <c r="C208" s="1" t="s">
        <v>22</v>
      </c>
      <c r="D208" s="1" t="s">
        <v>46</v>
      </c>
      <c r="E208">
        <v>1935</v>
      </c>
      <c r="F208" s="1" t="s">
        <v>37</v>
      </c>
      <c r="G208" s="1" t="s">
        <v>25</v>
      </c>
      <c r="H208">
        <v>4</v>
      </c>
      <c r="I208" s="1" t="s">
        <v>26</v>
      </c>
      <c r="J208" s="1" t="s">
        <v>27</v>
      </c>
      <c r="K208">
        <v>4</v>
      </c>
      <c r="L208" s="1" t="s">
        <v>28</v>
      </c>
      <c r="M208">
        <v>43</v>
      </c>
      <c r="N208" s="1" t="s">
        <v>29</v>
      </c>
      <c r="O208" s="1" t="s">
        <v>30</v>
      </c>
      <c r="P208">
        <v>3</v>
      </c>
      <c r="Q208" s="1" t="s">
        <v>31</v>
      </c>
      <c r="R208">
        <v>1</v>
      </c>
      <c r="S208" s="1" t="s">
        <v>32</v>
      </c>
      <c r="T208" s="1" t="s">
        <v>33</v>
      </c>
      <c r="U208" s="1" t="s">
        <v>34</v>
      </c>
      <c r="V208" s="1" t="str">
        <f>_xlfn.XLOOKUP(A208,Dictonary!$A$2:$A$5,Dictonary!$B$2:$B$5)</f>
        <v>No information</v>
      </c>
      <c r="W208" s="1" t="str">
        <f>_xlfn.XLOOKUP(D208,Dictonary!$D$2:$D$12,Dictonary!$E$2:$E$12)</f>
        <v>furniture/equipment</v>
      </c>
      <c r="X208" s="1" t="str">
        <f>_xlfn.XLOOKUP(F208,Dictonary!$G$2:$G$6,Dictonary!$H$2:$H$6)</f>
        <v>Less 100</v>
      </c>
      <c r="Y208" s="1" t="str">
        <f>_xlfn.XLOOKUP(I208,Dictonary!$J$2:$J$6,Dictonary!$K$2:$K$6)</f>
        <v>male : single</v>
      </c>
      <c r="Z208" s="1" t="str">
        <f>_xlfn.XLOOKUP(Q208,Dictonary!$M$2:$M$5,Dictonary!$N$2:$N$5)</f>
        <v>skilled employee / official</v>
      </c>
      <c r="AA208" s="1" t="str">
        <f>_xlfn.XLOOKUP(O208,Dictonary!$P$2:$P$4,Dictonary!$Q$2:$Q$4)</f>
        <v>own</v>
      </c>
    </row>
    <row r="209" spans="1:27" x14ac:dyDescent="0.3">
      <c r="A209" s="1" t="s">
        <v>35</v>
      </c>
      <c r="B209">
        <v>12</v>
      </c>
      <c r="C209" s="1" t="s">
        <v>22</v>
      </c>
      <c r="D209" s="1" t="s">
        <v>72</v>
      </c>
      <c r="E209">
        <v>1424</v>
      </c>
      <c r="F209" s="1" t="s">
        <v>37</v>
      </c>
      <c r="G209" s="1" t="s">
        <v>44</v>
      </c>
      <c r="H209">
        <v>4</v>
      </c>
      <c r="I209" s="1" t="s">
        <v>26</v>
      </c>
      <c r="J209" s="1" t="s">
        <v>27</v>
      </c>
      <c r="K209">
        <v>3</v>
      </c>
      <c r="L209" s="1" t="s">
        <v>48</v>
      </c>
      <c r="M209">
        <v>26</v>
      </c>
      <c r="N209" s="1" t="s">
        <v>29</v>
      </c>
      <c r="O209" s="1" t="s">
        <v>30</v>
      </c>
      <c r="P209">
        <v>1</v>
      </c>
      <c r="Q209" s="1" t="s">
        <v>31</v>
      </c>
      <c r="R209">
        <v>1</v>
      </c>
      <c r="S209" s="1" t="s">
        <v>40</v>
      </c>
      <c r="T209" s="1" t="s">
        <v>33</v>
      </c>
      <c r="U209" s="1" t="s">
        <v>34</v>
      </c>
      <c r="V209" s="1" t="str">
        <f>_xlfn.XLOOKUP(A209,Dictonary!$A$2:$A$5,Dictonary!$B$2:$B$5)</f>
        <v>Low balance</v>
      </c>
      <c r="W209" s="1" t="str">
        <f>_xlfn.XLOOKUP(D209,Dictonary!$D$2:$D$12,Dictonary!$E$2:$E$12)</f>
        <v>domestic appliances</v>
      </c>
      <c r="X209" s="1" t="str">
        <f>_xlfn.XLOOKUP(F209,Dictonary!$G$2:$G$6,Dictonary!$H$2:$H$6)</f>
        <v>Less 100</v>
      </c>
      <c r="Y209" s="1" t="str">
        <f>_xlfn.XLOOKUP(I209,Dictonary!$J$2:$J$6,Dictonary!$K$2:$K$6)</f>
        <v>male : single</v>
      </c>
      <c r="Z209" s="1" t="str">
        <f>_xlfn.XLOOKUP(Q209,Dictonary!$M$2:$M$5,Dictonary!$N$2:$N$5)</f>
        <v>skilled employee / official</v>
      </c>
      <c r="AA209" s="1" t="str">
        <f>_xlfn.XLOOKUP(O209,Dictonary!$P$2:$P$4,Dictonary!$Q$2:$Q$4)</f>
        <v>own</v>
      </c>
    </row>
    <row r="210" spans="1:27" x14ac:dyDescent="0.3">
      <c r="A210" s="1" t="s">
        <v>21</v>
      </c>
      <c r="B210">
        <v>24</v>
      </c>
      <c r="C210" s="1" t="s">
        <v>36</v>
      </c>
      <c r="D210" s="1" t="s">
        <v>63</v>
      </c>
      <c r="E210">
        <v>6568</v>
      </c>
      <c r="F210" s="1" t="s">
        <v>37</v>
      </c>
      <c r="G210" s="1" t="s">
        <v>38</v>
      </c>
      <c r="H210">
        <v>2</v>
      </c>
      <c r="I210" s="1" t="s">
        <v>61</v>
      </c>
      <c r="J210" s="1" t="s">
        <v>27</v>
      </c>
      <c r="K210">
        <v>2</v>
      </c>
      <c r="L210" s="1" t="s">
        <v>55</v>
      </c>
      <c r="M210">
        <v>21</v>
      </c>
      <c r="N210" s="1" t="s">
        <v>70</v>
      </c>
      <c r="O210" s="1" t="s">
        <v>30</v>
      </c>
      <c r="P210">
        <v>1</v>
      </c>
      <c r="Q210" s="1" t="s">
        <v>45</v>
      </c>
      <c r="R210">
        <v>1</v>
      </c>
      <c r="S210" s="1" t="s">
        <v>40</v>
      </c>
      <c r="T210" s="1" t="s">
        <v>33</v>
      </c>
      <c r="U210" s="1" t="s">
        <v>34</v>
      </c>
      <c r="V210" s="1" t="str">
        <f>_xlfn.XLOOKUP(A210,Dictonary!$A$2:$A$5,Dictonary!$B$2:$B$5)</f>
        <v>Negative balance</v>
      </c>
      <c r="W210" s="1" t="str">
        <f>_xlfn.XLOOKUP(D210,Dictonary!$D$2:$D$12,Dictonary!$E$2:$E$12)</f>
        <v>business</v>
      </c>
      <c r="X210" s="1" t="str">
        <f>_xlfn.XLOOKUP(F210,Dictonary!$G$2:$G$6,Dictonary!$H$2:$H$6)</f>
        <v>Less 100</v>
      </c>
      <c r="Y210" s="1" t="str">
        <f>_xlfn.XLOOKUP(I210,Dictonary!$J$2:$J$6,Dictonary!$K$2:$K$6)</f>
        <v>male : married/widowed</v>
      </c>
      <c r="Z210" s="1" t="str">
        <f>_xlfn.XLOOKUP(Q210,Dictonary!$M$2:$M$5,Dictonary!$N$2:$N$5)</f>
        <v>unskilled - resident</v>
      </c>
      <c r="AA210" s="1" t="str">
        <f>_xlfn.XLOOKUP(O210,Dictonary!$P$2:$P$4,Dictonary!$Q$2:$Q$4)</f>
        <v>own</v>
      </c>
    </row>
    <row r="211" spans="1:27" x14ac:dyDescent="0.3">
      <c r="A211" s="1" t="s">
        <v>42</v>
      </c>
      <c r="B211">
        <v>12</v>
      </c>
      <c r="C211" s="1" t="s">
        <v>36</v>
      </c>
      <c r="D211" s="1" t="s">
        <v>54</v>
      </c>
      <c r="E211">
        <v>1413</v>
      </c>
      <c r="F211" s="1" t="s">
        <v>58</v>
      </c>
      <c r="G211" s="1" t="s">
        <v>44</v>
      </c>
      <c r="H211">
        <v>3</v>
      </c>
      <c r="I211" s="1" t="s">
        <v>26</v>
      </c>
      <c r="J211" s="1" t="s">
        <v>27</v>
      </c>
      <c r="K211">
        <v>2</v>
      </c>
      <c r="L211" s="1" t="s">
        <v>48</v>
      </c>
      <c r="M211">
        <v>55</v>
      </c>
      <c r="N211" s="1" t="s">
        <v>29</v>
      </c>
      <c r="O211" s="1" t="s">
        <v>30</v>
      </c>
      <c r="P211">
        <v>1</v>
      </c>
      <c r="Q211" s="1" t="s">
        <v>31</v>
      </c>
      <c r="R211">
        <v>1</v>
      </c>
      <c r="S211" s="1" t="s">
        <v>40</v>
      </c>
      <c r="T211" s="1" t="s">
        <v>67</v>
      </c>
      <c r="U211" s="1" t="s">
        <v>34</v>
      </c>
      <c r="V211" s="1" t="str">
        <f>_xlfn.XLOOKUP(A211,Dictonary!$A$2:$A$5,Dictonary!$B$2:$B$5)</f>
        <v>No information</v>
      </c>
      <c r="W211" s="1" t="str">
        <f>_xlfn.XLOOKUP(D211,Dictonary!$D$2:$D$12,Dictonary!$E$2:$E$12)</f>
        <v>car (used)</v>
      </c>
      <c r="X211" s="1" t="str">
        <f>_xlfn.XLOOKUP(F211,Dictonary!$G$2:$G$6,Dictonary!$H$2:$H$6)</f>
        <v>More 1000</v>
      </c>
      <c r="Y211" s="1" t="str">
        <f>_xlfn.XLOOKUP(I211,Dictonary!$J$2:$J$6,Dictonary!$K$2:$K$6)</f>
        <v>male : single</v>
      </c>
      <c r="Z211" s="1" t="str">
        <f>_xlfn.XLOOKUP(Q211,Dictonary!$M$2:$M$5,Dictonary!$N$2:$N$5)</f>
        <v>skilled employee / official</v>
      </c>
      <c r="AA211" s="1" t="str">
        <f>_xlfn.XLOOKUP(O211,Dictonary!$P$2:$P$4,Dictonary!$Q$2:$Q$4)</f>
        <v>own</v>
      </c>
    </row>
    <row r="212" spans="1:27" x14ac:dyDescent="0.3">
      <c r="A212" s="1" t="s">
        <v>42</v>
      </c>
      <c r="B212">
        <v>9</v>
      </c>
      <c r="C212" s="1" t="s">
        <v>22</v>
      </c>
      <c r="D212" s="1" t="s">
        <v>23</v>
      </c>
      <c r="E212">
        <v>3074</v>
      </c>
      <c r="F212" s="1" t="s">
        <v>24</v>
      </c>
      <c r="G212" s="1" t="s">
        <v>38</v>
      </c>
      <c r="H212">
        <v>1</v>
      </c>
      <c r="I212" s="1" t="s">
        <v>26</v>
      </c>
      <c r="J212" s="1" t="s">
        <v>27</v>
      </c>
      <c r="K212">
        <v>2</v>
      </c>
      <c r="L212" s="1" t="s">
        <v>28</v>
      </c>
      <c r="M212">
        <v>33</v>
      </c>
      <c r="N212" s="1" t="s">
        <v>29</v>
      </c>
      <c r="O212" s="1" t="s">
        <v>30</v>
      </c>
      <c r="P212">
        <v>2</v>
      </c>
      <c r="Q212" s="1" t="s">
        <v>31</v>
      </c>
      <c r="R212">
        <v>2</v>
      </c>
      <c r="S212" s="1" t="s">
        <v>40</v>
      </c>
      <c r="T212" s="1" t="s">
        <v>33</v>
      </c>
      <c r="U212" s="1" t="s">
        <v>34</v>
      </c>
      <c r="V212" s="1" t="str">
        <f>_xlfn.XLOOKUP(A212,Dictonary!$A$2:$A$5,Dictonary!$B$2:$B$5)</f>
        <v>No information</v>
      </c>
      <c r="W212" s="1" t="str">
        <f>_xlfn.XLOOKUP(D212,Dictonary!$D$2:$D$12,Dictonary!$E$2:$E$12)</f>
        <v>radio/television</v>
      </c>
      <c r="X212" s="1" t="str">
        <f>_xlfn.XLOOKUP(F212,Dictonary!$G$2:$G$6,Dictonary!$H$2:$H$6)</f>
        <v>No information</v>
      </c>
      <c r="Y212" s="1" t="str">
        <f>_xlfn.XLOOKUP(I212,Dictonary!$J$2:$J$6,Dictonary!$K$2:$K$6)</f>
        <v>male : single</v>
      </c>
      <c r="Z212" s="1" t="str">
        <f>_xlfn.XLOOKUP(Q212,Dictonary!$M$2:$M$5,Dictonary!$N$2:$N$5)</f>
        <v>skilled employee / official</v>
      </c>
      <c r="AA212" s="1" t="str">
        <f>_xlfn.XLOOKUP(O212,Dictonary!$P$2:$P$4,Dictonary!$Q$2:$Q$4)</f>
        <v>own</v>
      </c>
    </row>
    <row r="213" spans="1:27" x14ac:dyDescent="0.3">
      <c r="A213" s="1" t="s">
        <v>42</v>
      </c>
      <c r="B213">
        <v>36</v>
      </c>
      <c r="C213" s="1" t="s">
        <v>36</v>
      </c>
      <c r="D213" s="1" t="s">
        <v>23</v>
      </c>
      <c r="E213">
        <v>3835</v>
      </c>
      <c r="F213" s="1" t="s">
        <v>24</v>
      </c>
      <c r="G213" s="1" t="s">
        <v>25</v>
      </c>
      <c r="H213">
        <v>2</v>
      </c>
      <c r="I213" s="1" t="s">
        <v>39</v>
      </c>
      <c r="J213" s="1" t="s">
        <v>27</v>
      </c>
      <c r="K213">
        <v>4</v>
      </c>
      <c r="L213" s="1" t="s">
        <v>28</v>
      </c>
      <c r="M213">
        <v>45</v>
      </c>
      <c r="N213" s="1" t="s">
        <v>29</v>
      </c>
      <c r="O213" s="1" t="s">
        <v>30</v>
      </c>
      <c r="P213">
        <v>1</v>
      </c>
      <c r="Q213" s="1" t="s">
        <v>45</v>
      </c>
      <c r="R213">
        <v>1</v>
      </c>
      <c r="S213" s="1" t="s">
        <v>32</v>
      </c>
      <c r="T213" s="1" t="s">
        <v>33</v>
      </c>
      <c r="U213" s="1" t="s">
        <v>34</v>
      </c>
      <c r="V213" s="1" t="str">
        <f>_xlfn.XLOOKUP(A213,Dictonary!$A$2:$A$5,Dictonary!$B$2:$B$5)</f>
        <v>No information</v>
      </c>
      <c r="W213" s="1" t="str">
        <f>_xlfn.XLOOKUP(D213,Dictonary!$D$2:$D$12,Dictonary!$E$2:$E$12)</f>
        <v>radio/television</v>
      </c>
      <c r="X213" s="1" t="str">
        <f>_xlfn.XLOOKUP(F213,Dictonary!$G$2:$G$6,Dictonary!$H$2:$H$6)</f>
        <v>No information</v>
      </c>
      <c r="Y213" s="1" t="str">
        <f>_xlfn.XLOOKUP(I213,Dictonary!$J$2:$J$6,Dictonary!$K$2:$K$6)</f>
        <v>female : divorced/separated/married</v>
      </c>
      <c r="Z213" s="1" t="str">
        <f>_xlfn.XLOOKUP(Q213,Dictonary!$M$2:$M$5,Dictonary!$N$2:$N$5)</f>
        <v>unskilled - resident</v>
      </c>
      <c r="AA213" s="1" t="str">
        <f>_xlfn.XLOOKUP(O213,Dictonary!$P$2:$P$4,Dictonary!$Q$2:$Q$4)</f>
        <v>own</v>
      </c>
    </row>
    <row r="214" spans="1:27" x14ac:dyDescent="0.3">
      <c r="A214" s="1" t="s">
        <v>21</v>
      </c>
      <c r="B214">
        <v>27</v>
      </c>
      <c r="C214" s="1" t="s">
        <v>65</v>
      </c>
      <c r="D214" s="1" t="s">
        <v>63</v>
      </c>
      <c r="E214">
        <v>5293</v>
      </c>
      <c r="F214" s="1" t="s">
        <v>37</v>
      </c>
      <c r="G214" s="1" t="s">
        <v>60</v>
      </c>
      <c r="H214">
        <v>2</v>
      </c>
      <c r="I214" s="1" t="s">
        <v>26</v>
      </c>
      <c r="J214" s="1" t="s">
        <v>27</v>
      </c>
      <c r="K214">
        <v>4</v>
      </c>
      <c r="L214" s="1" t="s">
        <v>48</v>
      </c>
      <c r="M214">
        <v>50</v>
      </c>
      <c r="N214" s="1" t="s">
        <v>70</v>
      </c>
      <c r="O214" s="1" t="s">
        <v>30</v>
      </c>
      <c r="P214">
        <v>2</v>
      </c>
      <c r="Q214" s="1" t="s">
        <v>31</v>
      </c>
      <c r="R214">
        <v>1</v>
      </c>
      <c r="S214" s="1" t="s">
        <v>32</v>
      </c>
      <c r="T214" s="1" t="s">
        <v>33</v>
      </c>
      <c r="U214" s="1" t="s">
        <v>41</v>
      </c>
      <c r="V214" s="1" t="str">
        <f>_xlfn.XLOOKUP(A214,Dictonary!$A$2:$A$5,Dictonary!$B$2:$B$5)</f>
        <v>Negative balance</v>
      </c>
      <c r="W214" s="1" t="str">
        <f>_xlfn.XLOOKUP(D214,Dictonary!$D$2:$D$12,Dictonary!$E$2:$E$12)</f>
        <v>business</v>
      </c>
      <c r="X214" s="1" t="str">
        <f>_xlfn.XLOOKUP(F214,Dictonary!$G$2:$G$6,Dictonary!$H$2:$H$6)</f>
        <v>Less 100</v>
      </c>
      <c r="Y214" s="1" t="str">
        <f>_xlfn.XLOOKUP(I214,Dictonary!$J$2:$J$6,Dictonary!$K$2:$K$6)</f>
        <v>male : single</v>
      </c>
      <c r="Z214" s="1" t="str">
        <f>_xlfn.XLOOKUP(Q214,Dictonary!$M$2:$M$5,Dictonary!$N$2:$N$5)</f>
        <v>skilled employee / official</v>
      </c>
      <c r="AA214" s="1" t="str">
        <f>_xlfn.XLOOKUP(O214,Dictonary!$P$2:$P$4,Dictonary!$Q$2:$Q$4)</f>
        <v>own</v>
      </c>
    </row>
    <row r="215" spans="1:27" x14ac:dyDescent="0.3">
      <c r="A215" s="1" t="s">
        <v>68</v>
      </c>
      <c r="B215">
        <v>30</v>
      </c>
      <c r="C215" s="1" t="s">
        <v>50</v>
      </c>
      <c r="D215" s="1" t="s">
        <v>63</v>
      </c>
      <c r="E215">
        <v>1908</v>
      </c>
      <c r="F215" s="1" t="s">
        <v>37</v>
      </c>
      <c r="G215" s="1" t="s">
        <v>25</v>
      </c>
      <c r="H215">
        <v>4</v>
      </c>
      <c r="I215" s="1" t="s">
        <v>26</v>
      </c>
      <c r="J215" s="1" t="s">
        <v>27</v>
      </c>
      <c r="K215">
        <v>4</v>
      </c>
      <c r="L215" s="1" t="s">
        <v>28</v>
      </c>
      <c r="M215">
        <v>66</v>
      </c>
      <c r="N215" s="1" t="s">
        <v>29</v>
      </c>
      <c r="O215" s="1" t="s">
        <v>30</v>
      </c>
      <c r="P215">
        <v>1</v>
      </c>
      <c r="Q215" s="1" t="s">
        <v>57</v>
      </c>
      <c r="R215">
        <v>1</v>
      </c>
      <c r="S215" s="1" t="s">
        <v>32</v>
      </c>
      <c r="T215" s="1" t="s">
        <v>33</v>
      </c>
      <c r="U215" s="1" t="s">
        <v>41</v>
      </c>
      <c r="V215" s="1" t="str">
        <f>_xlfn.XLOOKUP(A215,Dictonary!$A$2:$A$5,Dictonary!$B$2:$B$5)</f>
        <v>Normal balance</v>
      </c>
      <c r="W215" s="1" t="str">
        <f>_xlfn.XLOOKUP(D215,Dictonary!$D$2:$D$12,Dictonary!$E$2:$E$12)</f>
        <v>business</v>
      </c>
      <c r="X215" s="1" t="str">
        <f>_xlfn.XLOOKUP(F215,Dictonary!$G$2:$G$6,Dictonary!$H$2:$H$6)</f>
        <v>Less 100</v>
      </c>
      <c r="Y215" s="1" t="str">
        <f>_xlfn.XLOOKUP(I215,Dictonary!$J$2:$J$6,Dictonary!$K$2:$K$6)</f>
        <v>male : single</v>
      </c>
      <c r="Z215" s="1" t="str">
        <f>_xlfn.XLOOKUP(Q215,Dictonary!$M$2:$M$5,Dictonary!$N$2:$N$5)</f>
        <v>management/ self-employed/ highly qualified employee/ officer</v>
      </c>
      <c r="AA215" s="1" t="str">
        <f>_xlfn.XLOOKUP(O215,Dictonary!$P$2:$P$4,Dictonary!$Q$2:$Q$4)</f>
        <v>own</v>
      </c>
    </row>
    <row r="216" spans="1:27" x14ac:dyDescent="0.3">
      <c r="A216" s="1" t="s">
        <v>42</v>
      </c>
      <c r="B216">
        <v>36</v>
      </c>
      <c r="C216" s="1" t="s">
        <v>22</v>
      </c>
      <c r="D216" s="1" t="s">
        <v>23</v>
      </c>
      <c r="E216">
        <v>3342</v>
      </c>
      <c r="F216" s="1" t="s">
        <v>24</v>
      </c>
      <c r="G216" s="1" t="s">
        <v>25</v>
      </c>
      <c r="H216">
        <v>4</v>
      </c>
      <c r="I216" s="1" t="s">
        <v>26</v>
      </c>
      <c r="J216" s="1" t="s">
        <v>27</v>
      </c>
      <c r="K216">
        <v>2</v>
      </c>
      <c r="L216" s="1" t="s">
        <v>55</v>
      </c>
      <c r="M216">
        <v>51</v>
      </c>
      <c r="N216" s="1" t="s">
        <v>29</v>
      </c>
      <c r="O216" s="1" t="s">
        <v>30</v>
      </c>
      <c r="P216">
        <v>1</v>
      </c>
      <c r="Q216" s="1" t="s">
        <v>31</v>
      </c>
      <c r="R216">
        <v>1</v>
      </c>
      <c r="S216" s="1" t="s">
        <v>32</v>
      </c>
      <c r="T216" s="1" t="s">
        <v>33</v>
      </c>
      <c r="U216" s="1" t="s">
        <v>34</v>
      </c>
      <c r="V216" s="1" t="str">
        <f>_xlfn.XLOOKUP(A216,Dictonary!$A$2:$A$5,Dictonary!$B$2:$B$5)</f>
        <v>No information</v>
      </c>
      <c r="W216" s="1" t="str">
        <f>_xlfn.XLOOKUP(D216,Dictonary!$D$2:$D$12,Dictonary!$E$2:$E$12)</f>
        <v>radio/television</v>
      </c>
      <c r="X216" s="1" t="str">
        <f>_xlfn.XLOOKUP(F216,Dictonary!$G$2:$G$6,Dictonary!$H$2:$H$6)</f>
        <v>No information</v>
      </c>
      <c r="Y216" s="1" t="str">
        <f>_xlfn.XLOOKUP(I216,Dictonary!$J$2:$J$6,Dictonary!$K$2:$K$6)</f>
        <v>male : single</v>
      </c>
      <c r="Z216" s="1" t="str">
        <f>_xlfn.XLOOKUP(Q216,Dictonary!$M$2:$M$5,Dictonary!$N$2:$N$5)</f>
        <v>skilled employee / official</v>
      </c>
      <c r="AA216" s="1" t="str">
        <f>_xlfn.XLOOKUP(O216,Dictonary!$P$2:$P$4,Dictonary!$Q$2:$Q$4)</f>
        <v>own</v>
      </c>
    </row>
    <row r="217" spans="1:27" x14ac:dyDescent="0.3">
      <c r="A217" s="1" t="s">
        <v>35</v>
      </c>
      <c r="B217">
        <v>6</v>
      </c>
      <c r="C217" s="1" t="s">
        <v>22</v>
      </c>
      <c r="D217" s="1" t="s">
        <v>76</v>
      </c>
      <c r="E217">
        <v>932</v>
      </c>
      <c r="F217" s="1" t="s">
        <v>24</v>
      </c>
      <c r="G217" s="1" t="s">
        <v>44</v>
      </c>
      <c r="H217">
        <v>1</v>
      </c>
      <c r="I217" s="1" t="s">
        <v>39</v>
      </c>
      <c r="J217" s="1" t="s">
        <v>27</v>
      </c>
      <c r="K217">
        <v>3</v>
      </c>
      <c r="L217" s="1" t="s">
        <v>48</v>
      </c>
      <c r="M217">
        <v>39</v>
      </c>
      <c r="N217" s="1" t="s">
        <v>29</v>
      </c>
      <c r="O217" s="1" t="s">
        <v>30</v>
      </c>
      <c r="P217">
        <v>2</v>
      </c>
      <c r="Q217" s="1" t="s">
        <v>45</v>
      </c>
      <c r="R217">
        <v>1</v>
      </c>
      <c r="S217" s="1" t="s">
        <v>40</v>
      </c>
      <c r="T217" s="1" t="s">
        <v>33</v>
      </c>
      <c r="U217" s="1" t="s">
        <v>34</v>
      </c>
      <c r="V217" s="1" t="str">
        <f>_xlfn.XLOOKUP(A217,Dictonary!$A$2:$A$5,Dictonary!$B$2:$B$5)</f>
        <v>Low balance</v>
      </c>
      <c r="W217" s="1" t="str">
        <f>_xlfn.XLOOKUP(D217,Dictonary!$D$2:$D$12,Dictonary!$E$2:$E$12)</f>
        <v>retraining</v>
      </c>
      <c r="X217" s="1" t="str">
        <f>_xlfn.XLOOKUP(F217,Dictonary!$G$2:$G$6,Dictonary!$H$2:$H$6)</f>
        <v>No information</v>
      </c>
      <c r="Y217" s="1" t="str">
        <f>_xlfn.XLOOKUP(I217,Dictonary!$J$2:$J$6,Dictonary!$K$2:$K$6)</f>
        <v>female : divorced/separated/married</v>
      </c>
      <c r="Z217" s="1" t="str">
        <f>_xlfn.XLOOKUP(Q217,Dictonary!$M$2:$M$5,Dictonary!$N$2:$N$5)</f>
        <v>unskilled - resident</v>
      </c>
      <c r="AA217" s="1" t="str">
        <f>_xlfn.XLOOKUP(O217,Dictonary!$P$2:$P$4,Dictonary!$Q$2:$Q$4)</f>
        <v>own</v>
      </c>
    </row>
    <row r="218" spans="1:27" x14ac:dyDescent="0.3">
      <c r="A218" s="1" t="s">
        <v>21</v>
      </c>
      <c r="B218">
        <v>18</v>
      </c>
      <c r="C218" s="1" t="s">
        <v>65</v>
      </c>
      <c r="D218" s="1" t="s">
        <v>63</v>
      </c>
      <c r="E218">
        <v>3104</v>
      </c>
      <c r="F218" s="1" t="s">
        <v>37</v>
      </c>
      <c r="G218" s="1" t="s">
        <v>44</v>
      </c>
      <c r="H218">
        <v>3</v>
      </c>
      <c r="I218" s="1" t="s">
        <v>26</v>
      </c>
      <c r="J218" s="1" t="s">
        <v>27</v>
      </c>
      <c r="K218">
        <v>1</v>
      </c>
      <c r="L218" s="1" t="s">
        <v>48</v>
      </c>
      <c r="M218">
        <v>31</v>
      </c>
      <c r="N218" s="1" t="s">
        <v>66</v>
      </c>
      <c r="O218" s="1" t="s">
        <v>30</v>
      </c>
      <c r="P218">
        <v>1</v>
      </c>
      <c r="Q218" s="1" t="s">
        <v>31</v>
      </c>
      <c r="R218">
        <v>1</v>
      </c>
      <c r="S218" s="1" t="s">
        <v>32</v>
      </c>
      <c r="T218" s="1" t="s">
        <v>33</v>
      </c>
      <c r="U218" s="1" t="s">
        <v>34</v>
      </c>
      <c r="V218" s="1" t="str">
        <f>_xlfn.XLOOKUP(A218,Dictonary!$A$2:$A$5,Dictonary!$B$2:$B$5)</f>
        <v>Negative balance</v>
      </c>
      <c r="W218" s="1" t="str">
        <f>_xlfn.XLOOKUP(D218,Dictonary!$D$2:$D$12,Dictonary!$E$2:$E$12)</f>
        <v>business</v>
      </c>
      <c r="X218" s="1" t="str">
        <f>_xlfn.XLOOKUP(F218,Dictonary!$G$2:$G$6,Dictonary!$H$2:$H$6)</f>
        <v>Less 100</v>
      </c>
      <c r="Y218" s="1" t="str">
        <f>_xlfn.XLOOKUP(I218,Dictonary!$J$2:$J$6,Dictonary!$K$2:$K$6)</f>
        <v>male : single</v>
      </c>
      <c r="Z218" s="1" t="str">
        <f>_xlfn.XLOOKUP(Q218,Dictonary!$M$2:$M$5,Dictonary!$N$2:$N$5)</f>
        <v>skilled employee / official</v>
      </c>
      <c r="AA218" s="1" t="str">
        <f>_xlfn.XLOOKUP(O218,Dictonary!$P$2:$P$4,Dictonary!$Q$2:$Q$4)</f>
        <v>own</v>
      </c>
    </row>
    <row r="219" spans="1:27" x14ac:dyDescent="0.3">
      <c r="A219" s="1" t="s">
        <v>68</v>
      </c>
      <c r="B219">
        <v>36</v>
      </c>
      <c r="C219" s="1" t="s">
        <v>36</v>
      </c>
      <c r="D219" s="1" t="s">
        <v>23</v>
      </c>
      <c r="E219">
        <v>3913</v>
      </c>
      <c r="F219" s="1" t="s">
        <v>37</v>
      </c>
      <c r="G219" s="1" t="s">
        <v>38</v>
      </c>
      <c r="H219">
        <v>2</v>
      </c>
      <c r="I219" s="1" t="s">
        <v>26</v>
      </c>
      <c r="J219" s="1" t="s">
        <v>27</v>
      </c>
      <c r="K219">
        <v>2</v>
      </c>
      <c r="L219" s="1" t="s">
        <v>28</v>
      </c>
      <c r="M219">
        <v>23</v>
      </c>
      <c r="N219" s="1" t="s">
        <v>29</v>
      </c>
      <c r="O219" s="1" t="s">
        <v>30</v>
      </c>
      <c r="P219">
        <v>1</v>
      </c>
      <c r="Q219" s="1" t="s">
        <v>31</v>
      </c>
      <c r="R219">
        <v>1</v>
      </c>
      <c r="S219" s="1" t="s">
        <v>32</v>
      </c>
      <c r="T219" s="1" t="s">
        <v>33</v>
      </c>
      <c r="U219" s="1" t="s">
        <v>34</v>
      </c>
      <c r="V219" s="1" t="str">
        <f>_xlfn.XLOOKUP(A219,Dictonary!$A$2:$A$5,Dictonary!$B$2:$B$5)</f>
        <v>Normal balance</v>
      </c>
      <c r="W219" s="1" t="str">
        <f>_xlfn.XLOOKUP(D219,Dictonary!$D$2:$D$12,Dictonary!$E$2:$E$12)</f>
        <v>radio/television</v>
      </c>
      <c r="X219" s="1" t="str">
        <f>_xlfn.XLOOKUP(F219,Dictonary!$G$2:$G$6,Dictonary!$H$2:$H$6)</f>
        <v>Less 100</v>
      </c>
      <c r="Y219" s="1" t="str">
        <f>_xlfn.XLOOKUP(I219,Dictonary!$J$2:$J$6,Dictonary!$K$2:$K$6)</f>
        <v>male : single</v>
      </c>
      <c r="Z219" s="1" t="str">
        <f>_xlfn.XLOOKUP(Q219,Dictonary!$M$2:$M$5,Dictonary!$N$2:$N$5)</f>
        <v>skilled employee / official</v>
      </c>
      <c r="AA219" s="1" t="str">
        <f>_xlfn.XLOOKUP(O219,Dictonary!$P$2:$P$4,Dictonary!$Q$2:$Q$4)</f>
        <v>own</v>
      </c>
    </row>
    <row r="220" spans="1:27" x14ac:dyDescent="0.3">
      <c r="A220" s="1" t="s">
        <v>21</v>
      </c>
      <c r="B220">
        <v>24</v>
      </c>
      <c r="C220" s="1" t="s">
        <v>36</v>
      </c>
      <c r="D220" s="1" t="s">
        <v>46</v>
      </c>
      <c r="E220">
        <v>3021</v>
      </c>
      <c r="F220" s="1" t="s">
        <v>37</v>
      </c>
      <c r="G220" s="1" t="s">
        <v>38</v>
      </c>
      <c r="H220">
        <v>2</v>
      </c>
      <c r="I220" s="1" t="s">
        <v>59</v>
      </c>
      <c r="J220" s="1" t="s">
        <v>27</v>
      </c>
      <c r="K220">
        <v>2</v>
      </c>
      <c r="L220" s="1" t="s">
        <v>28</v>
      </c>
      <c r="M220">
        <v>24</v>
      </c>
      <c r="N220" s="1" t="s">
        <v>29</v>
      </c>
      <c r="O220" s="1" t="s">
        <v>56</v>
      </c>
      <c r="P220">
        <v>1</v>
      </c>
      <c r="Q220" s="1" t="s">
        <v>45</v>
      </c>
      <c r="R220">
        <v>1</v>
      </c>
      <c r="S220" s="1" t="s">
        <v>40</v>
      </c>
      <c r="T220" s="1" t="s">
        <v>33</v>
      </c>
      <c r="U220" s="1" t="s">
        <v>34</v>
      </c>
      <c r="V220" s="1" t="str">
        <f>_xlfn.XLOOKUP(A220,Dictonary!$A$2:$A$5,Dictonary!$B$2:$B$5)</f>
        <v>Negative balance</v>
      </c>
      <c r="W220" s="1" t="str">
        <f>_xlfn.XLOOKUP(D220,Dictonary!$D$2:$D$12,Dictonary!$E$2:$E$12)</f>
        <v>furniture/equipment</v>
      </c>
      <c r="X220" s="1" t="str">
        <f>_xlfn.XLOOKUP(F220,Dictonary!$G$2:$G$6,Dictonary!$H$2:$H$6)</f>
        <v>Less 100</v>
      </c>
      <c r="Y220" s="1" t="str">
        <f>_xlfn.XLOOKUP(I220,Dictonary!$J$2:$J$6,Dictonary!$K$2:$K$6)</f>
        <v>male : divorced/separated</v>
      </c>
      <c r="Z220" s="1" t="str">
        <f>_xlfn.XLOOKUP(Q220,Dictonary!$M$2:$M$5,Dictonary!$N$2:$N$5)</f>
        <v>unskilled - resident</v>
      </c>
      <c r="AA220" s="1" t="str">
        <f>_xlfn.XLOOKUP(O220,Dictonary!$P$2:$P$4,Dictonary!$Q$2:$Q$4)</f>
        <v>rent</v>
      </c>
    </row>
    <row r="221" spans="1:27" x14ac:dyDescent="0.3">
      <c r="A221" s="1" t="s">
        <v>42</v>
      </c>
      <c r="B221">
        <v>10</v>
      </c>
      <c r="C221" s="1" t="s">
        <v>36</v>
      </c>
      <c r="D221" s="1" t="s">
        <v>51</v>
      </c>
      <c r="E221">
        <v>1364</v>
      </c>
      <c r="F221" s="1" t="s">
        <v>37</v>
      </c>
      <c r="G221" s="1" t="s">
        <v>38</v>
      </c>
      <c r="H221">
        <v>2</v>
      </c>
      <c r="I221" s="1" t="s">
        <v>39</v>
      </c>
      <c r="J221" s="1" t="s">
        <v>27</v>
      </c>
      <c r="K221">
        <v>4</v>
      </c>
      <c r="L221" s="1" t="s">
        <v>55</v>
      </c>
      <c r="M221">
        <v>64</v>
      </c>
      <c r="N221" s="1" t="s">
        <v>29</v>
      </c>
      <c r="O221" s="1" t="s">
        <v>30</v>
      </c>
      <c r="P221">
        <v>1</v>
      </c>
      <c r="Q221" s="1" t="s">
        <v>31</v>
      </c>
      <c r="R221">
        <v>1</v>
      </c>
      <c r="S221" s="1" t="s">
        <v>32</v>
      </c>
      <c r="T221" s="1" t="s">
        <v>33</v>
      </c>
      <c r="U221" s="1" t="s">
        <v>34</v>
      </c>
      <c r="V221" s="1" t="str">
        <f>_xlfn.XLOOKUP(A221,Dictonary!$A$2:$A$5,Dictonary!$B$2:$B$5)</f>
        <v>No information</v>
      </c>
      <c r="W221" s="1" t="str">
        <f>_xlfn.XLOOKUP(D221,Dictonary!$D$2:$D$12,Dictonary!$E$2:$E$12)</f>
        <v>car (new)</v>
      </c>
      <c r="X221" s="1" t="str">
        <f>_xlfn.XLOOKUP(F221,Dictonary!$G$2:$G$6,Dictonary!$H$2:$H$6)</f>
        <v>Less 100</v>
      </c>
      <c r="Y221" s="1" t="str">
        <f>_xlfn.XLOOKUP(I221,Dictonary!$J$2:$J$6,Dictonary!$K$2:$K$6)</f>
        <v>female : divorced/separated/married</v>
      </c>
      <c r="Z221" s="1" t="str">
        <f>_xlfn.XLOOKUP(Q221,Dictonary!$M$2:$M$5,Dictonary!$N$2:$N$5)</f>
        <v>skilled employee / official</v>
      </c>
      <c r="AA221" s="1" t="str">
        <f>_xlfn.XLOOKUP(O221,Dictonary!$P$2:$P$4,Dictonary!$Q$2:$Q$4)</f>
        <v>own</v>
      </c>
    </row>
    <row r="222" spans="1:27" x14ac:dyDescent="0.3">
      <c r="A222" s="1" t="s">
        <v>35</v>
      </c>
      <c r="B222">
        <v>12</v>
      </c>
      <c r="C222" s="1" t="s">
        <v>36</v>
      </c>
      <c r="D222" s="1" t="s">
        <v>23</v>
      </c>
      <c r="E222">
        <v>625</v>
      </c>
      <c r="F222" s="1" t="s">
        <v>37</v>
      </c>
      <c r="G222" s="1" t="s">
        <v>62</v>
      </c>
      <c r="H222">
        <v>4</v>
      </c>
      <c r="I222" s="1" t="s">
        <v>61</v>
      </c>
      <c r="J222" s="1" t="s">
        <v>47</v>
      </c>
      <c r="K222">
        <v>1</v>
      </c>
      <c r="L222" s="1" t="s">
        <v>28</v>
      </c>
      <c r="M222">
        <v>26</v>
      </c>
      <c r="N222" s="1" t="s">
        <v>66</v>
      </c>
      <c r="O222" s="1" t="s">
        <v>30</v>
      </c>
      <c r="P222">
        <v>1</v>
      </c>
      <c r="Q222" s="1" t="s">
        <v>45</v>
      </c>
      <c r="R222">
        <v>1</v>
      </c>
      <c r="S222" s="1" t="s">
        <v>40</v>
      </c>
      <c r="T222" s="1" t="s">
        <v>33</v>
      </c>
      <c r="U222" s="1" t="s">
        <v>34</v>
      </c>
      <c r="V222" s="1" t="str">
        <f>_xlfn.XLOOKUP(A222,Dictonary!$A$2:$A$5,Dictonary!$B$2:$B$5)</f>
        <v>Low balance</v>
      </c>
      <c r="W222" s="1" t="str">
        <f>_xlfn.XLOOKUP(D222,Dictonary!$D$2:$D$12,Dictonary!$E$2:$E$12)</f>
        <v>radio/television</v>
      </c>
      <c r="X222" s="1" t="str">
        <f>_xlfn.XLOOKUP(F222,Dictonary!$G$2:$G$6,Dictonary!$H$2:$H$6)</f>
        <v>Less 100</v>
      </c>
      <c r="Y222" s="1" t="str">
        <f>_xlfn.XLOOKUP(I222,Dictonary!$J$2:$J$6,Dictonary!$K$2:$K$6)</f>
        <v>male : married/widowed</v>
      </c>
      <c r="Z222" s="1" t="str">
        <f>_xlfn.XLOOKUP(Q222,Dictonary!$M$2:$M$5,Dictonary!$N$2:$N$5)</f>
        <v>unskilled - resident</v>
      </c>
      <c r="AA222" s="1" t="str">
        <f>_xlfn.XLOOKUP(O222,Dictonary!$P$2:$P$4,Dictonary!$Q$2:$Q$4)</f>
        <v>own</v>
      </c>
    </row>
    <row r="223" spans="1:27" x14ac:dyDescent="0.3">
      <c r="A223" s="1" t="s">
        <v>21</v>
      </c>
      <c r="B223">
        <v>12</v>
      </c>
      <c r="C223" s="1" t="s">
        <v>36</v>
      </c>
      <c r="D223" s="1" t="s">
        <v>43</v>
      </c>
      <c r="E223">
        <v>1200</v>
      </c>
      <c r="F223" s="1" t="s">
        <v>24</v>
      </c>
      <c r="G223" s="1" t="s">
        <v>38</v>
      </c>
      <c r="H223">
        <v>4</v>
      </c>
      <c r="I223" s="1" t="s">
        <v>39</v>
      </c>
      <c r="J223" s="1" t="s">
        <v>27</v>
      </c>
      <c r="K223">
        <v>4</v>
      </c>
      <c r="L223" s="1" t="s">
        <v>48</v>
      </c>
      <c r="M223">
        <v>23</v>
      </c>
      <c r="N223" s="1" t="s">
        <v>66</v>
      </c>
      <c r="O223" s="1" t="s">
        <v>56</v>
      </c>
      <c r="P223">
        <v>1</v>
      </c>
      <c r="Q223" s="1" t="s">
        <v>31</v>
      </c>
      <c r="R223">
        <v>1</v>
      </c>
      <c r="S223" s="1" t="s">
        <v>32</v>
      </c>
      <c r="T223" s="1" t="s">
        <v>33</v>
      </c>
      <c r="U223" s="1" t="s">
        <v>34</v>
      </c>
      <c r="V223" s="1" t="str">
        <f>_xlfn.XLOOKUP(A223,Dictonary!$A$2:$A$5,Dictonary!$B$2:$B$5)</f>
        <v>Negative balance</v>
      </c>
      <c r="W223" s="1" t="str">
        <f>_xlfn.XLOOKUP(D223,Dictonary!$D$2:$D$12,Dictonary!$E$2:$E$12)</f>
        <v>education</v>
      </c>
      <c r="X223" s="1" t="str">
        <f>_xlfn.XLOOKUP(F223,Dictonary!$G$2:$G$6,Dictonary!$H$2:$H$6)</f>
        <v>No information</v>
      </c>
      <c r="Y223" s="1" t="str">
        <f>_xlfn.XLOOKUP(I223,Dictonary!$J$2:$J$6,Dictonary!$K$2:$K$6)</f>
        <v>female : divorced/separated/married</v>
      </c>
      <c r="Z223" s="1" t="str">
        <f>_xlfn.XLOOKUP(Q223,Dictonary!$M$2:$M$5,Dictonary!$N$2:$N$5)</f>
        <v>skilled employee / official</v>
      </c>
      <c r="AA223" s="1" t="str">
        <f>_xlfn.XLOOKUP(O223,Dictonary!$P$2:$P$4,Dictonary!$Q$2:$Q$4)</f>
        <v>rent</v>
      </c>
    </row>
    <row r="224" spans="1:27" x14ac:dyDescent="0.3">
      <c r="A224" s="1" t="s">
        <v>42</v>
      </c>
      <c r="B224">
        <v>12</v>
      </c>
      <c r="C224" s="1" t="s">
        <v>36</v>
      </c>
      <c r="D224" s="1" t="s">
        <v>23</v>
      </c>
      <c r="E224">
        <v>707</v>
      </c>
      <c r="F224" s="1" t="s">
        <v>37</v>
      </c>
      <c r="G224" s="1" t="s">
        <v>38</v>
      </c>
      <c r="H224">
        <v>4</v>
      </c>
      <c r="I224" s="1" t="s">
        <v>26</v>
      </c>
      <c r="J224" s="1" t="s">
        <v>27</v>
      </c>
      <c r="K224">
        <v>2</v>
      </c>
      <c r="L224" s="1" t="s">
        <v>28</v>
      </c>
      <c r="M224">
        <v>30</v>
      </c>
      <c r="N224" s="1" t="s">
        <v>66</v>
      </c>
      <c r="O224" s="1" t="s">
        <v>30</v>
      </c>
      <c r="P224">
        <v>2</v>
      </c>
      <c r="Q224" s="1" t="s">
        <v>31</v>
      </c>
      <c r="R224">
        <v>1</v>
      </c>
      <c r="S224" s="1" t="s">
        <v>40</v>
      </c>
      <c r="T224" s="1" t="s">
        <v>33</v>
      </c>
      <c r="U224" s="1" t="s">
        <v>34</v>
      </c>
      <c r="V224" s="1" t="str">
        <f>_xlfn.XLOOKUP(A224,Dictonary!$A$2:$A$5,Dictonary!$B$2:$B$5)</f>
        <v>No information</v>
      </c>
      <c r="W224" s="1" t="str">
        <f>_xlfn.XLOOKUP(D224,Dictonary!$D$2:$D$12,Dictonary!$E$2:$E$12)</f>
        <v>radio/television</v>
      </c>
      <c r="X224" s="1" t="str">
        <f>_xlfn.XLOOKUP(F224,Dictonary!$G$2:$G$6,Dictonary!$H$2:$H$6)</f>
        <v>Less 100</v>
      </c>
      <c r="Y224" s="1" t="str">
        <f>_xlfn.XLOOKUP(I224,Dictonary!$J$2:$J$6,Dictonary!$K$2:$K$6)</f>
        <v>male : single</v>
      </c>
      <c r="Z224" s="1" t="str">
        <f>_xlfn.XLOOKUP(Q224,Dictonary!$M$2:$M$5,Dictonary!$N$2:$N$5)</f>
        <v>skilled employee / official</v>
      </c>
      <c r="AA224" s="1" t="str">
        <f>_xlfn.XLOOKUP(O224,Dictonary!$P$2:$P$4,Dictonary!$Q$2:$Q$4)</f>
        <v>own</v>
      </c>
    </row>
    <row r="225" spans="1:27" x14ac:dyDescent="0.3">
      <c r="A225" s="1" t="s">
        <v>42</v>
      </c>
      <c r="B225">
        <v>24</v>
      </c>
      <c r="C225" s="1" t="s">
        <v>50</v>
      </c>
      <c r="D225" s="1" t="s">
        <v>63</v>
      </c>
      <c r="E225">
        <v>2978</v>
      </c>
      <c r="F225" s="1" t="s">
        <v>24</v>
      </c>
      <c r="G225" s="1" t="s">
        <v>38</v>
      </c>
      <c r="H225">
        <v>4</v>
      </c>
      <c r="I225" s="1" t="s">
        <v>26</v>
      </c>
      <c r="J225" s="1" t="s">
        <v>27</v>
      </c>
      <c r="K225">
        <v>4</v>
      </c>
      <c r="L225" s="1" t="s">
        <v>28</v>
      </c>
      <c r="M225">
        <v>32</v>
      </c>
      <c r="N225" s="1" t="s">
        <v>29</v>
      </c>
      <c r="O225" s="1" t="s">
        <v>30</v>
      </c>
      <c r="P225">
        <v>2</v>
      </c>
      <c r="Q225" s="1" t="s">
        <v>31</v>
      </c>
      <c r="R225">
        <v>2</v>
      </c>
      <c r="S225" s="1" t="s">
        <v>32</v>
      </c>
      <c r="T225" s="1" t="s">
        <v>33</v>
      </c>
      <c r="U225" s="1" t="s">
        <v>34</v>
      </c>
      <c r="V225" s="1" t="str">
        <f>_xlfn.XLOOKUP(A225,Dictonary!$A$2:$A$5,Dictonary!$B$2:$B$5)</f>
        <v>No information</v>
      </c>
      <c r="W225" s="1" t="str">
        <f>_xlfn.XLOOKUP(D225,Dictonary!$D$2:$D$12,Dictonary!$E$2:$E$12)</f>
        <v>business</v>
      </c>
      <c r="X225" s="1" t="str">
        <f>_xlfn.XLOOKUP(F225,Dictonary!$G$2:$G$6,Dictonary!$H$2:$H$6)</f>
        <v>No information</v>
      </c>
      <c r="Y225" s="1" t="str">
        <f>_xlfn.XLOOKUP(I225,Dictonary!$J$2:$J$6,Dictonary!$K$2:$K$6)</f>
        <v>male : single</v>
      </c>
      <c r="Z225" s="1" t="str">
        <f>_xlfn.XLOOKUP(Q225,Dictonary!$M$2:$M$5,Dictonary!$N$2:$N$5)</f>
        <v>skilled employee / official</v>
      </c>
      <c r="AA225" s="1" t="str">
        <f>_xlfn.XLOOKUP(O225,Dictonary!$P$2:$P$4,Dictonary!$Q$2:$Q$4)</f>
        <v>own</v>
      </c>
    </row>
    <row r="226" spans="1:27" x14ac:dyDescent="0.3">
      <c r="A226" s="1" t="s">
        <v>42</v>
      </c>
      <c r="B226">
        <v>15</v>
      </c>
      <c r="C226" s="1" t="s">
        <v>36</v>
      </c>
      <c r="D226" s="1" t="s">
        <v>54</v>
      </c>
      <c r="E226">
        <v>4657</v>
      </c>
      <c r="F226" s="1" t="s">
        <v>37</v>
      </c>
      <c r="G226" s="1" t="s">
        <v>38</v>
      </c>
      <c r="H226">
        <v>3</v>
      </c>
      <c r="I226" s="1" t="s">
        <v>26</v>
      </c>
      <c r="J226" s="1" t="s">
        <v>27</v>
      </c>
      <c r="K226">
        <v>2</v>
      </c>
      <c r="L226" s="1" t="s">
        <v>55</v>
      </c>
      <c r="M226">
        <v>30</v>
      </c>
      <c r="N226" s="1" t="s">
        <v>29</v>
      </c>
      <c r="O226" s="1" t="s">
        <v>30</v>
      </c>
      <c r="P226">
        <v>1</v>
      </c>
      <c r="Q226" s="1" t="s">
        <v>31</v>
      </c>
      <c r="R226">
        <v>1</v>
      </c>
      <c r="S226" s="1" t="s">
        <v>32</v>
      </c>
      <c r="T226" s="1" t="s">
        <v>33</v>
      </c>
      <c r="U226" s="1" t="s">
        <v>34</v>
      </c>
      <c r="V226" s="1" t="str">
        <f>_xlfn.XLOOKUP(A226,Dictonary!$A$2:$A$5,Dictonary!$B$2:$B$5)</f>
        <v>No information</v>
      </c>
      <c r="W226" s="1" t="str">
        <f>_xlfn.XLOOKUP(D226,Dictonary!$D$2:$D$12,Dictonary!$E$2:$E$12)</f>
        <v>car (used)</v>
      </c>
      <c r="X226" s="1" t="str">
        <f>_xlfn.XLOOKUP(F226,Dictonary!$G$2:$G$6,Dictonary!$H$2:$H$6)</f>
        <v>Less 100</v>
      </c>
      <c r="Y226" s="1" t="str">
        <f>_xlfn.XLOOKUP(I226,Dictonary!$J$2:$J$6,Dictonary!$K$2:$K$6)</f>
        <v>male : single</v>
      </c>
      <c r="Z226" s="1" t="str">
        <f>_xlfn.XLOOKUP(Q226,Dictonary!$M$2:$M$5,Dictonary!$N$2:$N$5)</f>
        <v>skilled employee / official</v>
      </c>
      <c r="AA226" s="1" t="str">
        <f>_xlfn.XLOOKUP(O226,Dictonary!$P$2:$P$4,Dictonary!$Q$2:$Q$4)</f>
        <v>own</v>
      </c>
    </row>
    <row r="227" spans="1:27" x14ac:dyDescent="0.3">
      <c r="A227" s="1" t="s">
        <v>42</v>
      </c>
      <c r="B227">
        <v>36</v>
      </c>
      <c r="C227" s="1" t="s">
        <v>65</v>
      </c>
      <c r="D227" s="1" t="s">
        <v>73</v>
      </c>
      <c r="E227">
        <v>2613</v>
      </c>
      <c r="F227" s="1" t="s">
        <v>37</v>
      </c>
      <c r="G227" s="1" t="s">
        <v>38</v>
      </c>
      <c r="H227">
        <v>4</v>
      </c>
      <c r="I227" s="1" t="s">
        <v>26</v>
      </c>
      <c r="J227" s="1" t="s">
        <v>27</v>
      </c>
      <c r="K227">
        <v>2</v>
      </c>
      <c r="L227" s="1" t="s">
        <v>55</v>
      </c>
      <c r="M227">
        <v>27</v>
      </c>
      <c r="N227" s="1" t="s">
        <v>29</v>
      </c>
      <c r="O227" s="1" t="s">
        <v>30</v>
      </c>
      <c r="P227">
        <v>2</v>
      </c>
      <c r="Q227" s="1" t="s">
        <v>31</v>
      </c>
      <c r="R227">
        <v>1</v>
      </c>
      <c r="S227" s="1" t="s">
        <v>40</v>
      </c>
      <c r="T227" s="1" t="s">
        <v>33</v>
      </c>
      <c r="U227" s="1" t="s">
        <v>34</v>
      </c>
      <c r="V227" s="1" t="str">
        <f>_xlfn.XLOOKUP(A227,Dictonary!$A$2:$A$5,Dictonary!$B$2:$B$5)</f>
        <v>No information</v>
      </c>
      <c r="W227" s="1" t="str">
        <f>_xlfn.XLOOKUP(D227,Dictonary!$D$2:$D$12,Dictonary!$E$2:$E$12)</f>
        <v>repairs</v>
      </c>
      <c r="X227" s="1" t="str">
        <f>_xlfn.XLOOKUP(F227,Dictonary!$G$2:$G$6,Dictonary!$H$2:$H$6)</f>
        <v>Less 100</v>
      </c>
      <c r="Y227" s="1" t="str">
        <f>_xlfn.XLOOKUP(I227,Dictonary!$J$2:$J$6,Dictonary!$K$2:$K$6)</f>
        <v>male : single</v>
      </c>
      <c r="Z227" s="1" t="str">
        <f>_xlfn.XLOOKUP(Q227,Dictonary!$M$2:$M$5,Dictonary!$N$2:$N$5)</f>
        <v>skilled employee / official</v>
      </c>
      <c r="AA227" s="1" t="str">
        <f>_xlfn.XLOOKUP(O227,Dictonary!$P$2:$P$4,Dictonary!$Q$2:$Q$4)</f>
        <v>own</v>
      </c>
    </row>
    <row r="228" spans="1:27" x14ac:dyDescent="0.3">
      <c r="A228" s="1" t="s">
        <v>35</v>
      </c>
      <c r="B228">
        <v>48</v>
      </c>
      <c r="C228" s="1" t="s">
        <v>36</v>
      </c>
      <c r="D228" s="1" t="s">
        <v>23</v>
      </c>
      <c r="E228">
        <v>10961</v>
      </c>
      <c r="F228" s="1" t="s">
        <v>58</v>
      </c>
      <c r="G228" s="1" t="s">
        <v>44</v>
      </c>
      <c r="H228">
        <v>1</v>
      </c>
      <c r="I228" s="1" t="s">
        <v>26</v>
      </c>
      <c r="J228" s="1" t="s">
        <v>71</v>
      </c>
      <c r="K228">
        <v>2</v>
      </c>
      <c r="L228" s="1" t="s">
        <v>52</v>
      </c>
      <c r="M228">
        <v>27</v>
      </c>
      <c r="N228" s="1" t="s">
        <v>66</v>
      </c>
      <c r="O228" s="1" t="s">
        <v>30</v>
      </c>
      <c r="P228">
        <v>2</v>
      </c>
      <c r="Q228" s="1" t="s">
        <v>31</v>
      </c>
      <c r="R228">
        <v>1</v>
      </c>
      <c r="S228" s="1" t="s">
        <v>32</v>
      </c>
      <c r="T228" s="1" t="s">
        <v>33</v>
      </c>
      <c r="U228" s="1" t="s">
        <v>41</v>
      </c>
      <c r="V228" s="1" t="str">
        <f>_xlfn.XLOOKUP(A228,Dictonary!$A$2:$A$5,Dictonary!$B$2:$B$5)</f>
        <v>Low balance</v>
      </c>
      <c r="W228" s="1" t="str">
        <f>_xlfn.XLOOKUP(D228,Dictonary!$D$2:$D$12,Dictonary!$E$2:$E$12)</f>
        <v>radio/television</v>
      </c>
      <c r="X228" s="1" t="str">
        <f>_xlfn.XLOOKUP(F228,Dictonary!$G$2:$G$6,Dictonary!$H$2:$H$6)</f>
        <v>More 1000</v>
      </c>
      <c r="Y228" s="1" t="str">
        <f>_xlfn.XLOOKUP(I228,Dictonary!$J$2:$J$6,Dictonary!$K$2:$K$6)</f>
        <v>male : single</v>
      </c>
      <c r="Z228" s="1" t="str">
        <f>_xlfn.XLOOKUP(Q228,Dictonary!$M$2:$M$5,Dictonary!$N$2:$N$5)</f>
        <v>skilled employee / official</v>
      </c>
      <c r="AA228" s="1" t="str">
        <f>_xlfn.XLOOKUP(O228,Dictonary!$P$2:$P$4,Dictonary!$Q$2:$Q$4)</f>
        <v>own</v>
      </c>
    </row>
    <row r="229" spans="1:27" x14ac:dyDescent="0.3">
      <c r="A229" s="1" t="s">
        <v>21</v>
      </c>
      <c r="B229">
        <v>12</v>
      </c>
      <c r="C229" s="1" t="s">
        <v>36</v>
      </c>
      <c r="D229" s="1" t="s">
        <v>46</v>
      </c>
      <c r="E229">
        <v>7865</v>
      </c>
      <c r="F229" s="1" t="s">
        <v>37</v>
      </c>
      <c r="G229" s="1" t="s">
        <v>25</v>
      </c>
      <c r="H229">
        <v>4</v>
      </c>
      <c r="I229" s="1" t="s">
        <v>26</v>
      </c>
      <c r="J229" s="1" t="s">
        <v>27</v>
      </c>
      <c r="K229">
        <v>4</v>
      </c>
      <c r="L229" s="1" t="s">
        <v>52</v>
      </c>
      <c r="M229">
        <v>53</v>
      </c>
      <c r="N229" s="1" t="s">
        <v>29</v>
      </c>
      <c r="O229" s="1" t="s">
        <v>49</v>
      </c>
      <c r="P229">
        <v>1</v>
      </c>
      <c r="Q229" s="1" t="s">
        <v>57</v>
      </c>
      <c r="R229">
        <v>1</v>
      </c>
      <c r="S229" s="1" t="s">
        <v>32</v>
      </c>
      <c r="T229" s="1" t="s">
        <v>33</v>
      </c>
      <c r="U229" s="1" t="s">
        <v>41</v>
      </c>
      <c r="V229" s="1" t="str">
        <f>_xlfn.XLOOKUP(A229,Dictonary!$A$2:$A$5,Dictonary!$B$2:$B$5)</f>
        <v>Negative balance</v>
      </c>
      <c r="W229" s="1" t="str">
        <f>_xlfn.XLOOKUP(D229,Dictonary!$D$2:$D$12,Dictonary!$E$2:$E$12)</f>
        <v>furniture/equipment</v>
      </c>
      <c r="X229" s="1" t="str">
        <f>_xlfn.XLOOKUP(F229,Dictonary!$G$2:$G$6,Dictonary!$H$2:$H$6)</f>
        <v>Less 100</v>
      </c>
      <c r="Y229" s="1" t="str">
        <f>_xlfn.XLOOKUP(I229,Dictonary!$J$2:$J$6,Dictonary!$K$2:$K$6)</f>
        <v>male : single</v>
      </c>
      <c r="Z229" s="1" t="str">
        <f>_xlfn.XLOOKUP(Q229,Dictonary!$M$2:$M$5,Dictonary!$N$2:$N$5)</f>
        <v>management/ self-employed/ highly qualified employee/ officer</v>
      </c>
      <c r="AA229" s="1" t="str">
        <f>_xlfn.XLOOKUP(O229,Dictonary!$P$2:$P$4,Dictonary!$Q$2:$Q$4)</f>
        <v>for free</v>
      </c>
    </row>
    <row r="230" spans="1:27" x14ac:dyDescent="0.3">
      <c r="A230" s="1" t="s">
        <v>42</v>
      </c>
      <c r="B230">
        <v>9</v>
      </c>
      <c r="C230" s="1" t="s">
        <v>36</v>
      </c>
      <c r="D230" s="1" t="s">
        <v>23</v>
      </c>
      <c r="E230">
        <v>1478</v>
      </c>
      <c r="F230" s="1" t="s">
        <v>37</v>
      </c>
      <c r="G230" s="1" t="s">
        <v>44</v>
      </c>
      <c r="H230">
        <v>4</v>
      </c>
      <c r="I230" s="1" t="s">
        <v>26</v>
      </c>
      <c r="J230" s="1" t="s">
        <v>27</v>
      </c>
      <c r="K230">
        <v>2</v>
      </c>
      <c r="L230" s="1" t="s">
        <v>55</v>
      </c>
      <c r="M230">
        <v>22</v>
      </c>
      <c r="N230" s="1" t="s">
        <v>29</v>
      </c>
      <c r="O230" s="1" t="s">
        <v>30</v>
      </c>
      <c r="P230">
        <v>1</v>
      </c>
      <c r="Q230" s="1" t="s">
        <v>31</v>
      </c>
      <c r="R230">
        <v>1</v>
      </c>
      <c r="S230" s="1" t="s">
        <v>40</v>
      </c>
      <c r="T230" s="1" t="s">
        <v>33</v>
      </c>
      <c r="U230" s="1" t="s">
        <v>41</v>
      </c>
      <c r="V230" s="1" t="str">
        <f>_xlfn.XLOOKUP(A230,Dictonary!$A$2:$A$5,Dictonary!$B$2:$B$5)</f>
        <v>No information</v>
      </c>
      <c r="W230" s="1" t="str">
        <f>_xlfn.XLOOKUP(D230,Dictonary!$D$2:$D$12,Dictonary!$E$2:$E$12)</f>
        <v>radio/television</v>
      </c>
      <c r="X230" s="1" t="str">
        <f>_xlfn.XLOOKUP(F230,Dictonary!$G$2:$G$6,Dictonary!$H$2:$H$6)</f>
        <v>Less 100</v>
      </c>
      <c r="Y230" s="1" t="str">
        <f>_xlfn.XLOOKUP(I230,Dictonary!$J$2:$J$6,Dictonary!$K$2:$K$6)</f>
        <v>male : single</v>
      </c>
      <c r="Z230" s="1" t="str">
        <f>_xlfn.XLOOKUP(Q230,Dictonary!$M$2:$M$5,Dictonary!$N$2:$N$5)</f>
        <v>skilled employee / official</v>
      </c>
      <c r="AA230" s="1" t="str">
        <f>_xlfn.XLOOKUP(O230,Dictonary!$P$2:$P$4,Dictonary!$Q$2:$Q$4)</f>
        <v>own</v>
      </c>
    </row>
    <row r="231" spans="1:27" x14ac:dyDescent="0.3">
      <c r="A231" s="1" t="s">
        <v>21</v>
      </c>
      <c r="B231">
        <v>24</v>
      </c>
      <c r="C231" s="1" t="s">
        <v>36</v>
      </c>
      <c r="D231" s="1" t="s">
        <v>46</v>
      </c>
      <c r="E231">
        <v>3149</v>
      </c>
      <c r="F231" s="1" t="s">
        <v>37</v>
      </c>
      <c r="G231" s="1" t="s">
        <v>62</v>
      </c>
      <c r="H231">
        <v>4</v>
      </c>
      <c r="I231" s="1" t="s">
        <v>26</v>
      </c>
      <c r="J231" s="1" t="s">
        <v>27</v>
      </c>
      <c r="K231">
        <v>1</v>
      </c>
      <c r="L231" s="1" t="s">
        <v>52</v>
      </c>
      <c r="M231">
        <v>22</v>
      </c>
      <c r="N231" s="1" t="s">
        <v>66</v>
      </c>
      <c r="O231" s="1" t="s">
        <v>49</v>
      </c>
      <c r="P231">
        <v>1</v>
      </c>
      <c r="Q231" s="1" t="s">
        <v>31</v>
      </c>
      <c r="R231">
        <v>1</v>
      </c>
      <c r="S231" s="1" t="s">
        <v>40</v>
      </c>
      <c r="T231" s="1" t="s">
        <v>33</v>
      </c>
      <c r="U231" s="1" t="s">
        <v>34</v>
      </c>
      <c r="V231" s="1" t="str">
        <f>_xlfn.XLOOKUP(A231,Dictonary!$A$2:$A$5,Dictonary!$B$2:$B$5)</f>
        <v>Negative balance</v>
      </c>
      <c r="W231" s="1" t="str">
        <f>_xlfn.XLOOKUP(D231,Dictonary!$D$2:$D$12,Dictonary!$E$2:$E$12)</f>
        <v>furniture/equipment</v>
      </c>
      <c r="X231" s="1" t="str">
        <f>_xlfn.XLOOKUP(F231,Dictonary!$G$2:$G$6,Dictonary!$H$2:$H$6)</f>
        <v>Less 100</v>
      </c>
      <c r="Y231" s="1" t="str">
        <f>_xlfn.XLOOKUP(I231,Dictonary!$J$2:$J$6,Dictonary!$K$2:$K$6)</f>
        <v>male : single</v>
      </c>
      <c r="Z231" s="1" t="str">
        <f>_xlfn.XLOOKUP(Q231,Dictonary!$M$2:$M$5,Dictonary!$N$2:$N$5)</f>
        <v>skilled employee / official</v>
      </c>
      <c r="AA231" s="1" t="str">
        <f>_xlfn.XLOOKUP(O231,Dictonary!$P$2:$P$4,Dictonary!$Q$2:$Q$4)</f>
        <v>for free</v>
      </c>
    </row>
    <row r="232" spans="1:27" x14ac:dyDescent="0.3">
      <c r="A232" s="1" t="s">
        <v>68</v>
      </c>
      <c r="B232">
        <v>36</v>
      </c>
      <c r="C232" s="1" t="s">
        <v>36</v>
      </c>
      <c r="D232" s="1" t="s">
        <v>23</v>
      </c>
      <c r="E232">
        <v>4210</v>
      </c>
      <c r="F232" s="1" t="s">
        <v>37</v>
      </c>
      <c r="G232" s="1" t="s">
        <v>38</v>
      </c>
      <c r="H232">
        <v>4</v>
      </c>
      <c r="I232" s="1" t="s">
        <v>26</v>
      </c>
      <c r="J232" s="1" t="s">
        <v>27</v>
      </c>
      <c r="K232">
        <v>2</v>
      </c>
      <c r="L232" s="1" t="s">
        <v>55</v>
      </c>
      <c r="M232">
        <v>26</v>
      </c>
      <c r="N232" s="1" t="s">
        <v>29</v>
      </c>
      <c r="O232" s="1" t="s">
        <v>30</v>
      </c>
      <c r="P232">
        <v>1</v>
      </c>
      <c r="Q232" s="1" t="s">
        <v>31</v>
      </c>
      <c r="R232">
        <v>1</v>
      </c>
      <c r="S232" s="1" t="s">
        <v>40</v>
      </c>
      <c r="T232" s="1" t="s">
        <v>33</v>
      </c>
      <c r="U232" s="1" t="s">
        <v>41</v>
      </c>
      <c r="V232" s="1" t="str">
        <f>_xlfn.XLOOKUP(A232,Dictonary!$A$2:$A$5,Dictonary!$B$2:$B$5)</f>
        <v>Normal balance</v>
      </c>
      <c r="W232" s="1" t="str">
        <f>_xlfn.XLOOKUP(D232,Dictonary!$D$2:$D$12,Dictonary!$E$2:$E$12)</f>
        <v>radio/television</v>
      </c>
      <c r="X232" s="1" t="str">
        <f>_xlfn.XLOOKUP(F232,Dictonary!$G$2:$G$6,Dictonary!$H$2:$H$6)</f>
        <v>Less 100</v>
      </c>
      <c r="Y232" s="1" t="str">
        <f>_xlfn.XLOOKUP(I232,Dictonary!$J$2:$J$6,Dictonary!$K$2:$K$6)</f>
        <v>male : single</v>
      </c>
      <c r="Z232" s="1" t="str">
        <f>_xlfn.XLOOKUP(Q232,Dictonary!$M$2:$M$5,Dictonary!$N$2:$N$5)</f>
        <v>skilled employee / official</v>
      </c>
      <c r="AA232" s="1" t="str">
        <f>_xlfn.XLOOKUP(O232,Dictonary!$P$2:$P$4,Dictonary!$Q$2:$Q$4)</f>
        <v>own</v>
      </c>
    </row>
    <row r="233" spans="1:27" x14ac:dyDescent="0.3">
      <c r="A233" s="1" t="s">
        <v>42</v>
      </c>
      <c r="B233">
        <v>9</v>
      </c>
      <c r="C233" s="1" t="s">
        <v>36</v>
      </c>
      <c r="D233" s="1" t="s">
        <v>51</v>
      </c>
      <c r="E233">
        <v>2507</v>
      </c>
      <c r="F233" s="1" t="s">
        <v>53</v>
      </c>
      <c r="G233" s="1" t="s">
        <v>25</v>
      </c>
      <c r="H233">
        <v>2</v>
      </c>
      <c r="I233" s="1" t="s">
        <v>26</v>
      </c>
      <c r="J233" s="1" t="s">
        <v>27</v>
      </c>
      <c r="K233">
        <v>4</v>
      </c>
      <c r="L233" s="1" t="s">
        <v>52</v>
      </c>
      <c r="M233">
        <v>51</v>
      </c>
      <c r="N233" s="1" t="s">
        <v>29</v>
      </c>
      <c r="O233" s="1" t="s">
        <v>49</v>
      </c>
      <c r="P233">
        <v>1</v>
      </c>
      <c r="Q233" s="1" t="s">
        <v>45</v>
      </c>
      <c r="R233">
        <v>1</v>
      </c>
      <c r="S233" s="1" t="s">
        <v>40</v>
      </c>
      <c r="T233" s="1" t="s">
        <v>33</v>
      </c>
      <c r="U233" s="1" t="s">
        <v>34</v>
      </c>
      <c r="V233" s="1" t="str">
        <f>_xlfn.XLOOKUP(A233,Dictonary!$A$2:$A$5,Dictonary!$B$2:$B$5)</f>
        <v>No information</v>
      </c>
      <c r="W233" s="1" t="str">
        <f>_xlfn.XLOOKUP(D233,Dictonary!$D$2:$D$12,Dictonary!$E$2:$E$12)</f>
        <v>car (new)</v>
      </c>
      <c r="X233" s="1" t="str">
        <f>_xlfn.XLOOKUP(F233,Dictonary!$G$2:$G$6,Dictonary!$H$2:$H$6)</f>
        <v>Up to 1000</v>
      </c>
      <c r="Y233" s="1" t="str">
        <f>_xlfn.XLOOKUP(I233,Dictonary!$J$2:$J$6,Dictonary!$K$2:$K$6)</f>
        <v>male : single</v>
      </c>
      <c r="Z233" s="1" t="str">
        <f>_xlfn.XLOOKUP(Q233,Dictonary!$M$2:$M$5,Dictonary!$N$2:$N$5)</f>
        <v>unskilled - resident</v>
      </c>
      <c r="AA233" s="1" t="str">
        <f>_xlfn.XLOOKUP(O233,Dictonary!$P$2:$P$4,Dictonary!$Q$2:$Q$4)</f>
        <v>for free</v>
      </c>
    </row>
    <row r="234" spans="1:27" x14ac:dyDescent="0.3">
      <c r="A234" s="1" t="s">
        <v>42</v>
      </c>
      <c r="B234">
        <v>12</v>
      </c>
      <c r="C234" s="1" t="s">
        <v>36</v>
      </c>
      <c r="D234" s="1" t="s">
        <v>23</v>
      </c>
      <c r="E234">
        <v>2141</v>
      </c>
      <c r="F234" s="1" t="s">
        <v>64</v>
      </c>
      <c r="G234" s="1" t="s">
        <v>44</v>
      </c>
      <c r="H234">
        <v>3</v>
      </c>
      <c r="I234" s="1" t="s">
        <v>26</v>
      </c>
      <c r="J234" s="1" t="s">
        <v>27</v>
      </c>
      <c r="K234">
        <v>1</v>
      </c>
      <c r="L234" s="1" t="s">
        <v>52</v>
      </c>
      <c r="M234">
        <v>35</v>
      </c>
      <c r="N234" s="1" t="s">
        <v>29</v>
      </c>
      <c r="O234" s="1" t="s">
        <v>30</v>
      </c>
      <c r="P234">
        <v>1</v>
      </c>
      <c r="Q234" s="1" t="s">
        <v>31</v>
      </c>
      <c r="R234">
        <v>1</v>
      </c>
      <c r="S234" s="1" t="s">
        <v>40</v>
      </c>
      <c r="T234" s="1" t="s">
        <v>33</v>
      </c>
      <c r="U234" s="1" t="s">
        <v>34</v>
      </c>
      <c r="V234" s="1" t="str">
        <f>_xlfn.XLOOKUP(A234,Dictonary!$A$2:$A$5,Dictonary!$B$2:$B$5)</f>
        <v>No information</v>
      </c>
      <c r="W234" s="1" t="str">
        <f>_xlfn.XLOOKUP(D234,Dictonary!$D$2:$D$12,Dictonary!$E$2:$E$12)</f>
        <v>radio/television</v>
      </c>
      <c r="X234" s="1" t="str">
        <f>_xlfn.XLOOKUP(F234,Dictonary!$G$2:$G$6,Dictonary!$H$2:$H$6)</f>
        <v>Up to 500</v>
      </c>
      <c r="Y234" s="1" t="str">
        <f>_xlfn.XLOOKUP(I234,Dictonary!$J$2:$J$6,Dictonary!$K$2:$K$6)</f>
        <v>male : single</v>
      </c>
      <c r="Z234" s="1" t="str">
        <f>_xlfn.XLOOKUP(Q234,Dictonary!$M$2:$M$5,Dictonary!$N$2:$N$5)</f>
        <v>skilled employee / official</v>
      </c>
      <c r="AA234" s="1" t="str">
        <f>_xlfn.XLOOKUP(O234,Dictonary!$P$2:$P$4,Dictonary!$Q$2:$Q$4)</f>
        <v>own</v>
      </c>
    </row>
    <row r="235" spans="1:27" x14ac:dyDescent="0.3">
      <c r="A235" s="1" t="s">
        <v>35</v>
      </c>
      <c r="B235">
        <v>18</v>
      </c>
      <c r="C235" s="1" t="s">
        <v>36</v>
      </c>
      <c r="D235" s="1" t="s">
        <v>23</v>
      </c>
      <c r="E235">
        <v>866</v>
      </c>
      <c r="F235" s="1" t="s">
        <v>37</v>
      </c>
      <c r="G235" s="1" t="s">
        <v>38</v>
      </c>
      <c r="H235">
        <v>4</v>
      </c>
      <c r="I235" s="1" t="s">
        <v>61</v>
      </c>
      <c r="J235" s="1" t="s">
        <v>47</v>
      </c>
      <c r="K235">
        <v>2</v>
      </c>
      <c r="L235" s="1" t="s">
        <v>28</v>
      </c>
      <c r="M235">
        <v>25</v>
      </c>
      <c r="N235" s="1" t="s">
        <v>29</v>
      </c>
      <c r="O235" s="1" t="s">
        <v>30</v>
      </c>
      <c r="P235">
        <v>1</v>
      </c>
      <c r="Q235" s="1" t="s">
        <v>45</v>
      </c>
      <c r="R235">
        <v>1</v>
      </c>
      <c r="S235" s="1" t="s">
        <v>40</v>
      </c>
      <c r="T235" s="1" t="s">
        <v>33</v>
      </c>
      <c r="U235" s="1" t="s">
        <v>34</v>
      </c>
      <c r="V235" s="1" t="str">
        <f>_xlfn.XLOOKUP(A235,Dictonary!$A$2:$A$5,Dictonary!$B$2:$B$5)</f>
        <v>Low balance</v>
      </c>
      <c r="W235" s="1" t="str">
        <f>_xlfn.XLOOKUP(D235,Dictonary!$D$2:$D$12,Dictonary!$E$2:$E$12)</f>
        <v>radio/television</v>
      </c>
      <c r="X235" s="1" t="str">
        <f>_xlfn.XLOOKUP(F235,Dictonary!$G$2:$G$6,Dictonary!$H$2:$H$6)</f>
        <v>Less 100</v>
      </c>
      <c r="Y235" s="1" t="str">
        <f>_xlfn.XLOOKUP(I235,Dictonary!$J$2:$J$6,Dictonary!$K$2:$K$6)</f>
        <v>male : married/widowed</v>
      </c>
      <c r="Z235" s="1" t="str">
        <f>_xlfn.XLOOKUP(Q235,Dictonary!$M$2:$M$5,Dictonary!$N$2:$N$5)</f>
        <v>unskilled - resident</v>
      </c>
      <c r="AA235" s="1" t="str">
        <f>_xlfn.XLOOKUP(O235,Dictonary!$P$2:$P$4,Dictonary!$Q$2:$Q$4)</f>
        <v>own</v>
      </c>
    </row>
    <row r="236" spans="1:27" x14ac:dyDescent="0.3">
      <c r="A236" s="1" t="s">
        <v>42</v>
      </c>
      <c r="B236">
        <v>4</v>
      </c>
      <c r="C236" s="1" t="s">
        <v>22</v>
      </c>
      <c r="D236" s="1" t="s">
        <v>23</v>
      </c>
      <c r="E236">
        <v>1544</v>
      </c>
      <c r="F236" s="1" t="s">
        <v>37</v>
      </c>
      <c r="G236" s="1" t="s">
        <v>44</v>
      </c>
      <c r="H236">
        <v>2</v>
      </c>
      <c r="I236" s="1" t="s">
        <v>26</v>
      </c>
      <c r="J236" s="1" t="s">
        <v>27</v>
      </c>
      <c r="K236">
        <v>1</v>
      </c>
      <c r="L236" s="1" t="s">
        <v>28</v>
      </c>
      <c r="M236">
        <v>42</v>
      </c>
      <c r="N236" s="1" t="s">
        <v>29</v>
      </c>
      <c r="O236" s="1" t="s">
        <v>30</v>
      </c>
      <c r="P236">
        <v>3</v>
      </c>
      <c r="Q236" s="1" t="s">
        <v>45</v>
      </c>
      <c r="R236">
        <v>2</v>
      </c>
      <c r="S236" s="1" t="s">
        <v>40</v>
      </c>
      <c r="T236" s="1" t="s">
        <v>33</v>
      </c>
      <c r="U236" s="1" t="s">
        <v>34</v>
      </c>
      <c r="V236" s="1" t="str">
        <f>_xlfn.XLOOKUP(A236,Dictonary!$A$2:$A$5,Dictonary!$B$2:$B$5)</f>
        <v>No information</v>
      </c>
      <c r="W236" s="1" t="str">
        <f>_xlfn.XLOOKUP(D236,Dictonary!$D$2:$D$12,Dictonary!$E$2:$E$12)</f>
        <v>radio/television</v>
      </c>
      <c r="X236" s="1" t="str">
        <f>_xlfn.XLOOKUP(F236,Dictonary!$G$2:$G$6,Dictonary!$H$2:$H$6)</f>
        <v>Less 100</v>
      </c>
      <c r="Y236" s="1" t="str">
        <f>_xlfn.XLOOKUP(I236,Dictonary!$J$2:$J$6,Dictonary!$K$2:$K$6)</f>
        <v>male : single</v>
      </c>
      <c r="Z236" s="1" t="str">
        <f>_xlfn.XLOOKUP(Q236,Dictonary!$M$2:$M$5,Dictonary!$N$2:$N$5)</f>
        <v>unskilled - resident</v>
      </c>
      <c r="AA236" s="1" t="str">
        <f>_xlfn.XLOOKUP(O236,Dictonary!$P$2:$P$4,Dictonary!$Q$2:$Q$4)</f>
        <v>own</v>
      </c>
    </row>
    <row r="237" spans="1:27" x14ac:dyDescent="0.3">
      <c r="A237" s="1" t="s">
        <v>21</v>
      </c>
      <c r="B237">
        <v>24</v>
      </c>
      <c r="C237" s="1" t="s">
        <v>36</v>
      </c>
      <c r="D237" s="1" t="s">
        <v>23</v>
      </c>
      <c r="E237">
        <v>1823</v>
      </c>
      <c r="F237" s="1" t="s">
        <v>37</v>
      </c>
      <c r="G237" s="1" t="s">
        <v>60</v>
      </c>
      <c r="H237">
        <v>4</v>
      </c>
      <c r="I237" s="1" t="s">
        <v>26</v>
      </c>
      <c r="J237" s="1" t="s">
        <v>27</v>
      </c>
      <c r="K237">
        <v>2</v>
      </c>
      <c r="L237" s="1" t="s">
        <v>55</v>
      </c>
      <c r="M237">
        <v>30</v>
      </c>
      <c r="N237" s="1" t="s">
        <v>70</v>
      </c>
      <c r="O237" s="1" t="s">
        <v>30</v>
      </c>
      <c r="P237">
        <v>1</v>
      </c>
      <c r="Q237" s="1" t="s">
        <v>57</v>
      </c>
      <c r="R237">
        <v>2</v>
      </c>
      <c r="S237" s="1" t="s">
        <v>40</v>
      </c>
      <c r="T237" s="1" t="s">
        <v>33</v>
      </c>
      <c r="U237" s="1" t="s">
        <v>41</v>
      </c>
      <c r="V237" s="1" t="str">
        <f>_xlfn.XLOOKUP(A237,Dictonary!$A$2:$A$5,Dictonary!$B$2:$B$5)</f>
        <v>Negative balance</v>
      </c>
      <c r="W237" s="1" t="str">
        <f>_xlfn.XLOOKUP(D237,Dictonary!$D$2:$D$12,Dictonary!$E$2:$E$12)</f>
        <v>radio/television</v>
      </c>
      <c r="X237" s="1" t="str">
        <f>_xlfn.XLOOKUP(F237,Dictonary!$G$2:$G$6,Dictonary!$H$2:$H$6)</f>
        <v>Less 100</v>
      </c>
      <c r="Y237" s="1" t="str">
        <f>_xlfn.XLOOKUP(I237,Dictonary!$J$2:$J$6,Dictonary!$K$2:$K$6)</f>
        <v>male : single</v>
      </c>
      <c r="Z237" s="1" t="str">
        <f>_xlfn.XLOOKUP(Q237,Dictonary!$M$2:$M$5,Dictonary!$N$2:$N$5)</f>
        <v>management/ self-employed/ highly qualified employee/ officer</v>
      </c>
      <c r="AA237" s="1" t="str">
        <f>_xlfn.XLOOKUP(O237,Dictonary!$P$2:$P$4,Dictonary!$Q$2:$Q$4)</f>
        <v>own</v>
      </c>
    </row>
    <row r="238" spans="1:27" x14ac:dyDescent="0.3">
      <c r="A238" s="1" t="s">
        <v>35</v>
      </c>
      <c r="B238">
        <v>6</v>
      </c>
      <c r="C238" s="1" t="s">
        <v>36</v>
      </c>
      <c r="D238" s="1" t="s">
        <v>51</v>
      </c>
      <c r="E238">
        <v>14555</v>
      </c>
      <c r="F238" s="1" t="s">
        <v>24</v>
      </c>
      <c r="G238" s="1" t="s">
        <v>60</v>
      </c>
      <c r="H238">
        <v>1</v>
      </c>
      <c r="I238" s="1" t="s">
        <v>26</v>
      </c>
      <c r="J238" s="1" t="s">
        <v>27</v>
      </c>
      <c r="K238">
        <v>2</v>
      </c>
      <c r="L238" s="1" t="s">
        <v>48</v>
      </c>
      <c r="M238">
        <v>23</v>
      </c>
      <c r="N238" s="1" t="s">
        <v>29</v>
      </c>
      <c r="O238" s="1" t="s">
        <v>30</v>
      </c>
      <c r="P238">
        <v>1</v>
      </c>
      <c r="Q238" s="1" t="s">
        <v>74</v>
      </c>
      <c r="R238">
        <v>1</v>
      </c>
      <c r="S238" s="1" t="s">
        <v>32</v>
      </c>
      <c r="T238" s="1" t="s">
        <v>33</v>
      </c>
      <c r="U238" s="1" t="s">
        <v>41</v>
      </c>
      <c r="V238" s="1" t="str">
        <f>_xlfn.XLOOKUP(A238,Dictonary!$A$2:$A$5,Dictonary!$B$2:$B$5)</f>
        <v>Low balance</v>
      </c>
      <c r="W238" s="1" t="str">
        <f>_xlfn.XLOOKUP(D238,Dictonary!$D$2:$D$12,Dictonary!$E$2:$E$12)</f>
        <v>car (new)</v>
      </c>
      <c r="X238" s="1" t="str">
        <f>_xlfn.XLOOKUP(F238,Dictonary!$G$2:$G$6,Dictonary!$H$2:$H$6)</f>
        <v>No information</v>
      </c>
      <c r="Y238" s="1" t="str">
        <f>_xlfn.XLOOKUP(I238,Dictonary!$J$2:$J$6,Dictonary!$K$2:$K$6)</f>
        <v>male : single</v>
      </c>
      <c r="Z238" s="1" t="str">
        <f>_xlfn.XLOOKUP(Q238,Dictonary!$M$2:$M$5,Dictonary!$N$2:$N$5)</f>
        <v>unemployed/ unskilled  - non-resident</v>
      </c>
      <c r="AA238" s="1" t="str">
        <f>_xlfn.XLOOKUP(O238,Dictonary!$P$2:$P$4,Dictonary!$Q$2:$Q$4)</f>
        <v>own</v>
      </c>
    </row>
    <row r="239" spans="1:27" x14ac:dyDescent="0.3">
      <c r="A239" s="1" t="s">
        <v>35</v>
      </c>
      <c r="B239">
        <v>21</v>
      </c>
      <c r="C239" s="1" t="s">
        <v>36</v>
      </c>
      <c r="D239" s="1" t="s">
        <v>63</v>
      </c>
      <c r="E239">
        <v>2767</v>
      </c>
      <c r="F239" s="1" t="s">
        <v>64</v>
      </c>
      <c r="G239" s="1" t="s">
        <v>25</v>
      </c>
      <c r="H239">
        <v>4</v>
      </c>
      <c r="I239" s="1" t="s">
        <v>59</v>
      </c>
      <c r="J239" s="1" t="s">
        <v>27</v>
      </c>
      <c r="K239">
        <v>2</v>
      </c>
      <c r="L239" s="1" t="s">
        <v>55</v>
      </c>
      <c r="M239">
        <v>61</v>
      </c>
      <c r="N239" s="1" t="s">
        <v>66</v>
      </c>
      <c r="O239" s="1" t="s">
        <v>56</v>
      </c>
      <c r="P239">
        <v>2</v>
      </c>
      <c r="Q239" s="1" t="s">
        <v>45</v>
      </c>
      <c r="R239">
        <v>1</v>
      </c>
      <c r="S239" s="1" t="s">
        <v>40</v>
      </c>
      <c r="T239" s="1" t="s">
        <v>33</v>
      </c>
      <c r="U239" s="1" t="s">
        <v>41</v>
      </c>
      <c r="V239" s="1" t="str">
        <f>_xlfn.XLOOKUP(A239,Dictonary!$A$2:$A$5,Dictonary!$B$2:$B$5)</f>
        <v>Low balance</v>
      </c>
      <c r="W239" s="1" t="str">
        <f>_xlfn.XLOOKUP(D239,Dictonary!$D$2:$D$12,Dictonary!$E$2:$E$12)</f>
        <v>business</v>
      </c>
      <c r="X239" s="1" t="str">
        <f>_xlfn.XLOOKUP(F239,Dictonary!$G$2:$G$6,Dictonary!$H$2:$H$6)</f>
        <v>Up to 500</v>
      </c>
      <c r="Y239" s="1" t="str">
        <f>_xlfn.XLOOKUP(I239,Dictonary!$J$2:$J$6,Dictonary!$K$2:$K$6)</f>
        <v>male : divorced/separated</v>
      </c>
      <c r="Z239" s="1" t="str">
        <f>_xlfn.XLOOKUP(Q239,Dictonary!$M$2:$M$5,Dictonary!$N$2:$N$5)</f>
        <v>unskilled - resident</v>
      </c>
      <c r="AA239" s="1" t="str">
        <f>_xlfn.XLOOKUP(O239,Dictonary!$P$2:$P$4,Dictonary!$Q$2:$Q$4)</f>
        <v>rent</v>
      </c>
    </row>
    <row r="240" spans="1:27" x14ac:dyDescent="0.3">
      <c r="A240" s="1" t="s">
        <v>42</v>
      </c>
      <c r="B240">
        <v>12</v>
      </c>
      <c r="C240" s="1" t="s">
        <v>22</v>
      </c>
      <c r="D240" s="1" t="s">
        <v>23</v>
      </c>
      <c r="E240">
        <v>1291</v>
      </c>
      <c r="F240" s="1" t="s">
        <v>37</v>
      </c>
      <c r="G240" s="1" t="s">
        <v>38</v>
      </c>
      <c r="H240">
        <v>4</v>
      </c>
      <c r="I240" s="1" t="s">
        <v>39</v>
      </c>
      <c r="J240" s="1" t="s">
        <v>27</v>
      </c>
      <c r="K240">
        <v>2</v>
      </c>
      <c r="L240" s="1" t="s">
        <v>48</v>
      </c>
      <c r="M240">
        <v>35</v>
      </c>
      <c r="N240" s="1" t="s">
        <v>29</v>
      </c>
      <c r="O240" s="1" t="s">
        <v>30</v>
      </c>
      <c r="P240">
        <v>2</v>
      </c>
      <c r="Q240" s="1" t="s">
        <v>31</v>
      </c>
      <c r="R240">
        <v>1</v>
      </c>
      <c r="S240" s="1" t="s">
        <v>40</v>
      </c>
      <c r="T240" s="1" t="s">
        <v>33</v>
      </c>
      <c r="U240" s="1" t="s">
        <v>34</v>
      </c>
      <c r="V240" s="1" t="str">
        <f>_xlfn.XLOOKUP(A240,Dictonary!$A$2:$A$5,Dictonary!$B$2:$B$5)</f>
        <v>No information</v>
      </c>
      <c r="W240" s="1" t="str">
        <f>_xlfn.XLOOKUP(D240,Dictonary!$D$2:$D$12,Dictonary!$E$2:$E$12)</f>
        <v>radio/television</v>
      </c>
      <c r="X240" s="1" t="str">
        <f>_xlfn.XLOOKUP(F240,Dictonary!$G$2:$G$6,Dictonary!$H$2:$H$6)</f>
        <v>Less 100</v>
      </c>
      <c r="Y240" s="1" t="str">
        <f>_xlfn.XLOOKUP(I240,Dictonary!$J$2:$J$6,Dictonary!$K$2:$K$6)</f>
        <v>female : divorced/separated/married</v>
      </c>
      <c r="Z240" s="1" t="str">
        <f>_xlfn.XLOOKUP(Q240,Dictonary!$M$2:$M$5,Dictonary!$N$2:$N$5)</f>
        <v>skilled employee / official</v>
      </c>
      <c r="AA240" s="1" t="str">
        <f>_xlfn.XLOOKUP(O240,Dictonary!$P$2:$P$4,Dictonary!$Q$2:$Q$4)</f>
        <v>own</v>
      </c>
    </row>
    <row r="241" spans="1:27" x14ac:dyDescent="0.3">
      <c r="A241" s="1" t="s">
        <v>21</v>
      </c>
      <c r="B241">
        <v>30</v>
      </c>
      <c r="C241" s="1" t="s">
        <v>36</v>
      </c>
      <c r="D241" s="1" t="s">
        <v>23</v>
      </c>
      <c r="E241">
        <v>2522</v>
      </c>
      <c r="F241" s="1" t="s">
        <v>37</v>
      </c>
      <c r="G241" s="1" t="s">
        <v>25</v>
      </c>
      <c r="H241">
        <v>1</v>
      </c>
      <c r="I241" s="1" t="s">
        <v>26</v>
      </c>
      <c r="J241" s="1" t="s">
        <v>47</v>
      </c>
      <c r="K241">
        <v>3</v>
      </c>
      <c r="L241" s="1" t="s">
        <v>48</v>
      </c>
      <c r="M241">
        <v>39</v>
      </c>
      <c r="N241" s="1" t="s">
        <v>29</v>
      </c>
      <c r="O241" s="1" t="s">
        <v>30</v>
      </c>
      <c r="P241">
        <v>1</v>
      </c>
      <c r="Q241" s="1" t="s">
        <v>31</v>
      </c>
      <c r="R241">
        <v>2</v>
      </c>
      <c r="S241" s="1" t="s">
        <v>40</v>
      </c>
      <c r="T241" s="1" t="s">
        <v>33</v>
      </c>
      <c r="U241" s="1" t="s">
        <v>34</v>
      </c>
      <c r="V241" s="1" t="str">
        <f>_xlfn.XLOOKUP(A241,Dictonary!$A$2:$A$5,Dictonary!$B$2:$B$5)</f>
        <v>Negative balance</v>
      </c>
      <c r="W241" s="1" t="str">
        <f>_xlfn.XLOOKUP(D241,Dictonary!$D$2:$D$12,Dictonary!$E$2:$E$12)</f>
        <v>radio/television</v>
      </c>
      <c r="X241" s="1" t="str">
        <f>_xlfn.XLOOKUP(F241,Dictonary!$G$2:$G$6,Dictonary!$H$2:$H$6)</f>
        <v>Less 100</v>
      </c>
      <c r="Y241" s="1" t="str">
        <f>_xlfn.XLOOKUP(I241,Dictonary!$J$2:$J$6,Dictonary!$K$2:$K$6)</f>
        <v>male : single</v>
      </c>
      <c r="Z241" s="1" t="str">
        <f>_xlfn.XLOOKUP(Q241,Dictonary!$M$2:$M$5,Dictonary!$N$2:$N$5)</f>
        <v>skilled employee / official</v>
      </c>
      <c r="AA241" s="1" t="str">
        <f>_xlfn.XLOOKUP(O241,Dictonary!$P$2:$P$4,Dictonary!$Q$2:$Q$4)</f>
        <v>own</v>
      </c>
    </row>
    <row r="242" spans="1:27" x14ac:dyDescent="0.3">
      <c r="A242" s="1" t="s">
        <v>21</v>
      </c>
      <c r="B242">
        <v>24</v>
      </c>
      <c r="C242" s="1" t="s">
        <v>36</v>
      </c>
      <c r="D242" s="1" t="s">
        <v>51</v>
      </c>
      <c r="E242">
        <v>915</v>
      </c>
      <c r="F242" s="1" t="s">
        <v>24</v>
      </c>
      <c r="G242" s="1" t="s">
        <v>25</v>
      </c>
      <c r="H242">
        <v>4</v>
      </c>
      <c r="I242" s="1" t="s">
        <v>39</v>
      </c>
      <c r="J242" s="1" t="s">
        <v>27</v>
      </c>
      <c r="K242">
        <v>2</v>
      </c>
      <c r="L242" s="1" t="s">
        <v>55</v>
      </c>
      <c r="M242">
        <v>29</v>
      </c>
      <c r="N242" s="1" t="s">
        <v>66</v>
      </c>
      <c r="O242" s="1" t="s">
        <v>30</v>
      </c>
      <c r="P242">
        <v>1</v>
      </c>
      <c r="Q242" s="1" t="s">
        <v>31</v>
      </c>
      <c r="R242">
        <v>1</v>
      </c>
      <c r="S242" s="1" t="s">
        <v>40</v>
      </c>
      <c r="T242" s="1" t="s">
        <v>33</v>
      </c>
      <c r="U242" s="1" t="s">
        <v>41</v>
      </c>
      <c r="V242" s="1" t="str">
        <f>_xlfn.XLOOKUP(A242,Dictonary!$A$2:$A$5,Dictonary!$B$2:$B$5)</f>
        <v>Negative balance</v>
      </c>
      <c r="W242" s="1" t="str">
        <f>_xlfn.XLOOKUP(D242,Dictonary!$D$2:$D$12,Dictonary!$E$2:$E$12)</f>
        <v>car (new)</v>
      </c>
      <c r="X242" s="1" t="str">
        <f>_xlfn.XLOOKUP(F242,Dictonary!$G$2:$G$6,Dictonary!$H$2:$H$6)</f>
        <v>No information</v>
      </c>
      <c r="Y242" s="1" t="str">
        <f>_xlfn.XLOOKUP(I242,Dictonary!$J$2:$J$6,Dictonary!$K$2:$K$6)</f>
        <v>female : divorced/separated/married</v>
      </c>
      <c r="Z242" s="1" t="str">
        <f>_xlfn.XLOOKUP(Q242,Dictonary!$M$2:$M$5,Dictonary!$N$2:$N$5)</f>
        <v>skilled employee / official</v>
      </c>
      <c r="AA242" s="1" t="str">
        <f>_xlfn.XLOOKUP(O242,Dictonary!$P$2:$P$4,Dictonary!$Q$2:$Q$4)</f>
        <v>own</v>
      </c>
    </row>
    <row r="243" spans="1:27" x14ac:dyDescent="0.3">
      <c r="A243" s="1" t="s">
        <v>42</v>
      </c>
      <c r="B243">
        <v>6</v>
      </c>
      <c r="C243" s="1" t="s">
        <v>36</v>
      </c>
      <c r="D243" s="1" t="s">
        <v>23</v>
      </c>
      <c r="E243">
        <v>1595</v>
      </c>
      <c r="F243" s="1" t="s">
        <v>37</v>
      </c>
      <c r="G243" s="1" t="s">
        <v>44</v>
      </c>
      <c r="H243">
        <v>3</v>
      </c>
      <c r="I243" s="1" t="s">
        <v>26</v>
      </c>
      <c r="J243" s="1" t="s">
        <v>27</v>
      </c>
      <c r="K243">
        <v>2</v>
      </c>
      <c r="L243" s="1" t="s">
        <v>48</v>
      </c>
      <c r="M243">
        <v>51</v>
      </c>
      <c r="N243" s="1" t="s">
        <v>29</v>
      </c>
      <c r="O243" s="1" t="s">
        <v>30</v>
      </c>
      <c r="P243">
        <v>1</v>
      </c>
      <c r="Q243" s="1" t="s">
        <v>31</v>
      </c>
      <c r="R243">
        <v>2</v>
      </c>
      <c r="S243" s="1" t="s">
        <v>40</v>
      </c>
      <c r="T243" s="1" t="s">
        <v>33</v>
      </c>
      <c r="U243" s="1" t="s">
        <v>34</v>
      </c>
      <c r="V243" s="1" t="str">
        <f>_xlfn.XLOOKUP(A243,Dictonary!$A$2:$A$5,Dictonary!$B$2:$B$5)</f>
        <v>No information</v>
      </c>
      <c r="W243" s="1" t="str">
        <f>_xlfn.XLOOKUP(D243,Dictonary!$D$2:$D$12,Dictonary!$E$2:$E$12)</f>
        <v>radio/television</v>
      </c>
      <c r="X243" s="1" t="str">
        <f>_xlfn.XLOOKUP(F243,Dictonary!$G$2:$G$6,Dictonary!$H$2:$H$6)</f>
        <v>Less 100</v>
      </c>
      <c r="Y243" s="1" t="str">
        <f>_xlfn.XLOOKUP(I243,Dictonary!$J$2:$J$6,Dictonary!$K$2:$K$6)</f>
        <v>male : single</v>
      </c>
      <c r="Z243" s="1" t="str">
        <f>_xlfn.XLOOKUP(Q243,Dictonary!$M$2:$M$5,Dictonary!$N$2:$N$5)</f>
        <v>skilled employee / official</v>
      </c>
      <c r="AA243" s="1" t="str">
        <f>_xlfn.XLOOKUP(O243,Dictonary!$P$2:$P$4,Dictonary!$Q$2:$Q$4)</f>
        <v>own</v>
      </c>
    </row>
    <row r="244" spans="1:27" x14ac:dyDescent="0.3">
      <c r="A244" s="1" t="s">
        <v>21</v>
      </c>
      <c r="B244">
        <v>48</v>
      </c>
      <c r="C244" s="1" t="s">
        <v>65</v>
      </c>
      <c r="D244" s="1" t="s">
        <v>54</v>
      </c>
      <c r="E244">
        <v>4605</v>
      </c>
      <c r="F244" s="1" t="s">
        <v>37</v>
      </c>
      <c r="G244" s="1" t="s">
        <v>25</v>
      </c>
      <c r="H244">
        <v>3</v>
      </c>
      <c r="I244" s="1" t="s">
        <v>26</v>
      </c>
      <c r="J244" s="1" t="s">
        <v>27</v>
      </c>
      <c r="K244">
        <v>4</v>
      </c>
      <c r="L244" s="1" t="s">
        <v>52</v>
      </c>
      <c r="M244">
        <v>24</v>
      </c>
      <c r="N244" s="1" t="s">
        <v>29</v>
      </c>
      <c r="O244" s="1" t="s">
        <v>49</v>
      </c>
      <c r="P244">
        <v>2</v>
      </c>
      <c r="Q244" s="1" t="s">
        <v>31</v>
      </c>
      <c r="R244">
        <v>2</v>
      </c>
      <c r="S244" s="1" t="s">
        <v>40</v>
      </c>
      <c r="T244" s="1" t="s">
        <v>33</v>
      </c>
      <c r="U244" s="1" t="s">
        <v>41</v>
      </c>
      <c r="V244" s="1" t="str">
        <f>_xlfn.XLOOKUP(A244,Dictonary!$A$2:$A$5,Dictonary!$B$2:$B$5)</f>
        <v>Negative balance</v>
      </c>
      <c r="W244" s="1" t="str">
        <f>_xlfn.XLOOKUP(D244,Dictonary!$D$2:$D$12,Dictonary!$E$2:$E$12)</f>
        <v>car (used)</v>
      </c>
      <c r="X244" s="1" t="str">
        <f>_xlfn.XLOOKUP(F244,Dictonary!$G$2:$G$6,Dictonary!$H$2:$H$6)</f>
        <v>Less 100</v>
      </c>
      <c r="Y244" s="1" t="str">
        <f>_xlfn.XLOOKUP(I244,Dictonary!$J$2:$J$6,Dictonary!$K$2:$K$6)</f>
        <v>male : single</v>
      </c>
      <c r="Z244" s="1" t="str">
        <f>_xlfn.XLOOKUP(Q244,Dictonary!$M$2:$M$5,Dictonary!$N$2:$N$5)</f>
        <v>skilled employee / official</v>
      </c>
      <c r="AA244" s="1" t="str">
        <f>_xlfn.XLOOKUP(O244,Dictonary!$P$2:$P$4,Dictonary!$Q$2:$Q$4)</f>
        <v>for free</v>
      </c>
    </row>
    <row r="245" spans="1:27" x14ac:dyDescent="0.3">
      <c r="A245" s="1" t="s">
        <v>42</v>
      </c>
      <c r="B245">
        <v>12</v>
      </c>
      <c r="C245" s="1" t="s">
        <v>22</v>
      </c>
      <c r="D245" s="1" t="s">
        <v>63</v>
      </c>
      <c r="E245">
        <v>1185</v>
      </c>
      <c r="F245" s="1" t="s">
        <v>37</v>
      </c>
      <c r="G245" s="1" t="s">
        <v>38</v>
      </c>
      <c r="H245">
        <v>3</v>
      </c>
      <c r="I245" s="1" t="s">
        <v>39</v>
      </c>
      <c r="J245" s="1" t="s">
        <v>27</v>
      </c>
      <c r="K245">
        <v>2</v>
      </c>
      <c r="L245" s="1" t="s">
        <v>28</v>
      </c>
      <c r="M245">
        <v>27</v>
      </c>
      <c r="N245" s="1" t="s">
        <v>29</v>
      </c>
      <c r="O245" s="1" t="s">
        <v>30</v>
      </c>
      <c r="P245">
        <v>2</v>
      </c>
      <c r="Q245" s="1" t="s">
        <v>31</v>
      </c>
      <c r="R245">
        <v>1</v>
      </c>
      <c r="S245" s="1" t="s">
        <v>40</v>
      </c>
      <c r="T245" s="1" t="s">
        <v>33</v>
      </c>
      <c r="U245" s="1" t="s">
        <v>34</v>
      </c>
      <c r="V245" s="1" t="str">
        <f>_xlfn.XLOOKUP(A245,Dictonary!$A$2:$A$5,Dictonary!$B$2:$B$5)</f>
        <v>No information</v>
      </c>
      <c r="W245" s="1" t="str">
        <f>_xlfn.XLOOKUP(D245,Dictonary!$D$2:$D$12,Dictonary!$E$2:$E$12)</f>
        <v>business</v>
      </c>
      <c r="X245" s="1" t="str">
        <f>_xlfn.XLOOKUP(F245,Dictonary!$G$2:$G$6,Dictonary!$H$2:$H$6)</f>
        <v>Less 100</v>
      </c>
      <c r="Y245" s="1" t="str">
        <f>_xlfn.XLOOKUP(I245,Dictonary!$J$2:$J$6,Dictonary!$K$2:$K$6)</f>
        <v>female : divorced/separated/married</v>
      </c>
      <c r="Z245" s="1" t="str">
        <f>_xlfn.XLOOKUP(Q245,Dictonary!$M$2:$M$5,Dictonary!$N$2:$N$5)</f>
        <v>skilled employee / official</v>
      </c>
      <c r="AA245" s="1" t="str">
        <f>_xlfn.XLOOKUP(O245,Dictonary!$P$2:$P$4,Dictonary!$Q$2:$Q$4)</f>
        <v>own</v>
      </c>
    </row>
    <row r="246" spans="1:27" x14ac:dyDescent="0.3">
      <c r="A246" s="1" t="s">
        <v>42</v>
      </c>
      <c r="B246">
        <v>12</v>
      </c>
      <c r="C246" s="1" t="s">
        <v>69</v>
      </c>
      <c r="D246" s="1" t="s">
        <v>76</v>
      </c>
      <c r="E246">
        <v>3447</v>
      </c>
      <c r="F246" s="1" t="s">
        <v>53</v>
      </c>
      <c r="G246" s="1" t="s">
        <v>38</v>
      </c>
      <c r="H246">
        <v>4</v>
      </c>
      <c r="I246" s="1" t="s">
        <v>39</v>
      </c>
      <c r="J246" s="1" t="s">
        <v>27</v>
      </c>
      <c r="K246">
        <v>3</v>
      </c>
      <c r="L246" s="1" t="s">
        <v>28</v>
      </c>
      <c r="M246">
        <v>35</v>
      </c>
      <c r="N246" s="1" t="s">
        <v>29</v>
      </c>
      <c r="O246" s="1" t="s">
        <v>30</v>
      </c>
      <c r="P246">
        <v>1</v>
      </c>
      <c r="Q246" s="1" t="s">
        <v>45</v>
      </c>
      <c r="R246">
        <v>2</v>
      </c>
      <c r="S246" s="1" t="s">
        <v>40</v>
      </c>
      <c r="T246" s="1" t="s">
        <v>33</v>
      </c>
      <c r="U246" s="1" t="s">
        <v>34</v>
      </c>
      <c r="V246" s="1" t="str">
        <f>_xlfn.XLOOKUP(A246,Dictonary!$A$2:$A$5,Dictonary!$B$2:$B$5)</f>
        <v>No information</v>
      </c>
      <c r="W246" s="1" t="str">
        <f>_xlfn.XLOOKUP(D246,Dictonary!$D$2:$D$12,Dictonary!$E$2:$E$12)</f>
        <v>retraining</v>
      </c>
      <c r="X246" s="1" t="str">
        <f>_xlfn.XLOOKUP(F246,Dictonary!$G$2:$G$6,Dictonary!$H$2:$H$6)</f>
        <v>Up to 1000</v>
      </c>
      <c r="Y246" s="1" t="str">
        <f>_xlfn.XLOOKUP(I246,Dictonary!$J$2:$J$6,Dictonary!$K$2:$K$6)</f>
        <v>female : divorced/separated/married</v>
      </c>
      <c r="Z246" s="1" t="str">
        <f>_xlfn.XLOOKUP(Q246,Dictonary!$M$2:$M$5,Dictonary!$N$2:$N$5)</f>
        <v>unskilled - resident</v>
      </c>
      <c r="AA246" s="1" t="str">
        <f>_xlfn.XLOOKUP(O246,Dictonary!$P$2:$P$4,Dictonary!$Q$2:$Q$4)</f>
        <v>own</v>
      </c>
    </row>
    <row r="247" spans="1:27" x14ac:dyDescent="0.3">
      <c r="A247" s="1" t="s">
        <v>42</v>
      </c>
      <c r="B247">
        <v>24</v>
      </c>
      <c r="C247" s="1" t="s">
        <v>36</v>
      </c>
      <c r="D247" s="1" t="s">
        <v>63</v>
      </c>
      <c r="E247">
        <v>1258</v>
      </c>
      <c r="F247" s="1" t="s">
        <v>37</v>
      </c>
      <c r="G247" s="1" t="s">
        <v>44</v>
      </c>
      <c r="H247">
        <v>4</v>
      </c>
      <c r="I247" s="1" t="s">
        <v>26</v>
      </c>
      <c r="J247" s="1" t="s">
        <v>27</v>
      </c>
      <c r="K247">
        <v>1</v>
      </c>
      <c r="L247" s="1" t="s">
        <v>28</v>
      </c>
      <c r="M247">
        <v>25</v>
      </c>
      <c r="N247" s="1" t="s">
        <v>29</v>
      </c>
      <c r="O247" s="1" t="s">
        <v>30</v>
      </c>
      <c r="P247">
        <v>1</v>
      </c>
      <c r="Q247" s="1" t="s">
        <v>31</v>
      </c>
      <c r="R247">
        <v>1</v>
      </c>
      <c r="S247" s="1" t="s">
        <v>32</v>
      </c>
      <c r="T247" s="1" t="s">
        <v>33</v>
      </c>
      <c r="U247" s="1" t="s">
        <v>34</v>
      </c>
      <c r="V247" s="1" t="str">
        <f>_xlfn.XLOOKUP(A247,Dictonary!$A$2:$A$5,Dictonary!$B$2:$B$5)</f>
        <v>No information</v>
      </c>
      <c r="W247" s="1" t="str">
        <f>_xlfn.XLOOKUP(D247,Dictonary!$D$2:$D$12,Dictonary!$E$2:$E$12)</f>
        <v>business</v>
      </c>
      <c r="X247" s="1" t="str">
        <f>_xlfn.XLOOKUP(F247,Dictonary!$G$2:$G$6,Dictonary!$H$2:$H$6)</f>
        <v>Less 100</v>
      </c>
      <c r="Y247" s="1" t="str">
        <f>_xlfn.XLOOKUP(I247,Dictonary!$J$2:$J$6,Dictonary!$K$2:$K$6)</f>
        <v>male : single</v>
      </c>
      <c r="Z247" s="1" t="str">
        <f>_xlfn.XLOOKUP(Q247,Dictonary!$M$2:$M$5,Dictonary!$N$2:$N$5)</f>
        <v>skilled employee / official</v>
      </c>
      <c r="AA247" s="1" t="str">
        <f>_xlfn.XLOOKUP(O247,Dictonary!$P$2:$P$4,Dictonary!$Q$2:$Q$4)</f>
        <v>own</v>
      </c>
    </row>
    <row r="248" spans="1:27" x14ac:dyDescent="0.3">
      <c r="A248" s="1" t="s">
        <v>42</v>
      </c>
      <c r="B248">
        <v>12</v>
      </c>
      <c r="C248" s="1" t="s">
        <v>22</v>
      </c>
      <c r="D248" s="1" t="s">
        <v>23</v>
      </c>
      <c r="E248">
        <v>717</v>
      </c>
      <c r="F248" s="1" t="s">
        <v>37</v>
      </c>
      <c r="G248" s="1" t="s">
        <v>25</v>
      </c>
      <c r="H248">
        <v>4</v>
      </c>
      <c r="I248" s="1" t="s">
        <v>26</v>
      </c>
      <c r="J248" s="1" t="s">
        <v>27</v>
      </c>
      <c r="K248">
        <v>4</v>
      </c>
      <c r="L248" s="1" t="s">
        <v>28</v>
      </c>
      <c r="M248">
        <v>52</v>
      </c>
      <c r="N248" s="1" t="s">
        <v>29</v>
      </c>
      <c r="O248" s="1" t="s">
        <v>30</v>
      </c>
      <c r="P248">
        <v>3</v>
      </c>
      <c r="Q248" s="1" t="s">
        <v>31</v>
      </c>
      <c r="R248">
        <v>1</v>
      </c>
      <c r="S248" s="1" t="s">
        <v>40</v>
      </c>
      <c r="T248" s="1" t="s">
        <v>33</v>
      </c>
      <c r="U248" s="1" t="s">
        <v>34</v>
      </c>
      <c r="V248" s="1" t="str">
        <f>_xlfn.XLOOKUP(A248,Dictonary!$A$2:$A$5,Dictonary!$B$2:$B$5)</f>
        <v>No information</v>
      </c>
      <c r="W248" s="1" t="str">
        <f>_xlfn.XLOOKUP(D248,Dictonary!$D$2:$D$12,Dictonary!$E$2:$E$12)</f>
        <v>radio/television</v>
      </c>
      <c r="X248" s="1" t="str">
        <f>_xlfn.XLOOKUP(F248,Dictonary!$G$2:$G$6,Dictonary!$H$2:$H$6)</f>
        <v>Less 100</v>
      </c>
      <c r="Y248" s="1" t="str">
        <f>_xlfn.XLOOKUP(I248,Dictonary!$J$2:$J$6,Dictonary!$K$2:$K$6)</f>
        <v>male : single</v>
      </c>
      <c r="Z248" s="1" t="str">
        <f>_xlfn.XLOOKUP(Q248,Dictonary!$M$2:$M$5,Dictonary!$N$2:$N$5)</f>
        <v>skilled employee / official</v>
      </c>
      <c r="AA248" s="1" t="str">
        <f>_xlfn.XLOOKUP(O248,Dictonary!$P$2:$P$4,Dictonary!$Q$2:$Q$4)</f>
        <v>own</v>
      </c>
    </row>
    <row r="249" spans="1:27" x14ac:dyDescent="0.3">
      <c r="A249" s="1" t="s">
        <v>42</v>
      </c>
      <c r="B249">
        <v>6</v>
      </c>
      <c r="C249" s="1" t="s">
        <v>65</v>
      </c>
      <c r="D249" s="1" t="s">
        <v>51</v>
      </c>
      <c r="E249">
        <v>1204</v>
      </c>
      <c r="F249" s="1" t="s">
        <v>64</v>
      </c>
      <c r="G249" s="1" t="s">
        <v>38</v>
      </c>
      <c r="H249">
        <v>4</v>
      </c>
      <c r="I249" s="1" t="s">
        <v>26</v>
      </c>
      <c r="J249" s="1" t="s">
        <v>27</v>
      </c>
      <c r="K249">
        <v>1</v>
      </c>
      <c r="L249" s="1" t="s">
        <v>52</v>
      </c>
      <c r="M249">
        <v>35</v>
      </c>
      <c r="N249" s="1" t="s">
        <v>66</v>
      </c>
      <c r="O249" s="1" t="s">
        <v>56</v>
      </c>
      <c r="P249">
        <v>1</v>
      </c>
      <c r="Q249" s="1" t="s">
        <v>31</v>
      </c>
      <c r="R249">
        <v>1</v>
      </c>
      <c r="S249" s="1" t="s">
        <v>40</v>
      </c>
      <c r="T249" s="1" t="s">
        <v>67</v>
      </c>
      <c r="U249" s="1" t="s">
        <v>34</v>
      </c>
      <c r="V249" s="1" t="str">
        <f>_xlfn.XLOOKUP(A249,Dictonary!$A$2:$A$5,Dictonary!$B$2:$B$5)</f>
        <v>No information</v>
      </c>
      <c r="W249" s="1" t="str">
        <f>_xlfn.XLOOKUP(D249,Dictonary!$D$2:$D$12,Dictonary!$E$2:$E$12)</f>
        <v>car (new)</v>
      </c>
      <c r="X249" s="1" t="str">
        <f>_xlfn.XLOOKUP(F249,Dictonary!$G$2:$G$6,Dictonary!$H$2:$H$6)</f>
        <v>Up to 500</v>
      </c>
      <c r="Y249" s="1" t="str">
        <f>_xlfn.XLOOKUP(I249,Dictonary!$J$2:$J$6,Dictonary!$K$2:$K$6)</f>
        <v>male : single</v>
      </c>
      <c r="Z249" s="1" t="str">
        <f>_xlfn.XLOOKUP(Q249,Dictonary!$M$2:$M$5,Dictonary!$N$2:$N$5)</f>
        <v>skilled employee / official</v>
      </c>
      <c r="AA249" s="1" t="str">
        <f>_xlfn.XLOOKUP(O249,Dictonary!$P$2:$P$4,Dictonary!$Q$2:$Q$4)</f>
        <v>rent</v>
      </c>
    </row>
    <row r="250" spans="1:27" x14ac:dyDescent="0.3">
      <c r="A250" s="1" t="s">
        <v>68</v>
      </c>
      <c r="B250">
        <v>24</v>
      </c>
      <c r="C250" s="1" t="s">
        <v>36</v>
      </c>
      <c r="D250" s="1" t="s">
        <v>46</v>
      </c>
      <c r="E250">
        <v>1925</v>
      </c>
      <c r="F250" s="1" t="s">
        <v>37</v>
      </c>
      <c r="G250" s="1" t="s">
        <v>38</v>
      </c>
      <c r="H250">
        <v>2</v>
      </c>
      <c r="I250" s="1" t="s">
        <v>26</v>
      </c>
      <c r="J250" s="1" t="s">
        <v>27</v>
      </c>
      <c r="K250">
        <v>2</v>
      </c>
      <c r="L250" s="1" t="s">
        <v>28</v>
      </c>
      <c r="M250">
        <v>26</v>
      </c>
      <c r="N250" s="1" t="s">
        <v>29</v>
      </c>
      <c r="O250" s="1" t="s">
        <v>30</v>
      </c>
      <c r="P250">
        <v>1</v>
      </c>
      <c r="Q250" s="1" t="s">
        <v>31</v>
      </c>
      <c r="R250">
        <v>1</v>
      </c>
      <c r="S250" s="1" t="s">
        <v>40</v>
      </c>
      <c r="T250" s="1" t="s">
        <v>33</v>
      </c>
      <c r="U250" s="1" t="s">
        <v>34</v>
      </c>
      <c r="V250" s="1" t="str">
        <f>_xlfn.XLOOKUP(A250,Dictonary!$A$2:$A$5,Dictonary!$B$2:$B$5)</f>
        <v>Normal balance</v>
      </c>
      <c r="W250" s="1" t="str">
        <f>_xlfn.XLOOKUP(D250,Dictonary!$D$2:$D$12,Dictonary!$E$2:$E$12)</f>
        <v>furniture/equipment</v>
      </c>
      <c r="X250" s="1" t="str">
        <f>_xlfn.XLOOKUP(F250,Dictonary!$G$2:$G$6,Dictonary!$H$2:$H$6)</f>
        <v>Less 100</v>
      </c>
      <c r="Y250" s="1" t="str">
        <f>_xlfn.XLOOKUP(I250,Dictonary!$J$2:$J$6,Dictonary!$K$2:$K$6)</f>
        <v>male : single</v>
      </c>
      <c r="Z250" s="1" t="str">
        <f>_xlfn.XLOOKUP(Q250,Dictonary!$M$2:$M$5,Dictonary!$N$2:$N$5)</f>
        <v>skilled employee / official</v>
      </c>
      <c r="AA250" s="1" t="str">
        <f>_xlfn.XLOOKUP(O250,Dictonary!$P$2:$P$4,Dictonary!$Q$2:$Q$4)</f>
        <v>own</v>
      </c>
    </row>
    <row r="251" spans="1:27" x14ac:dyDescent="0.3">
      <c r="A251" s="1" t="s">
        <v>42</v>
      </c>
      <c r="B251">
        <v>18</v>
      </c>
      <c r="C251" s="1" t="s">
        <v>36</v>
      </c>
      <c r="D251" s="1" t="s">
        <v>23</v>
      </c>
      <c r="E251">
        <v>433</v>
      </c>
      <c r="F251" s="1" t="s">
        <v>37</v>
      </c>
      <c r="G251" s="1" t="s">
        <v>60</v>
      </c>
      <c r="H251">
        <v>3</v>
      </c>
      <c r="I251" s="1" t="s">
        <v>39</v>
      </c>
      <c r="J251" s="1" t="s">
        <v>71</v>
      </c>
      <c r="K251">
        <v>4</v>
      </c>
      <c r="L251" s="1" t="s">
        <v>28</v>
      </c>
      <c r="M251">
        <v>22</v>
      </c>
      <c r="N251" s="1" t="s">
        <v>29</v>
      </c>
      <c r="O251" s="1" t="s">
        <v>56</v>
      </c>
      <c r="P251">
        <v>1</v>
      </c>
      <c r="Q251" s="1" t="s">
        <v>31</v>
      </c>
      <c r="R251">
        <v>1</v>
      </c>
      <c r="S251" s="1" t="s">
        <v>40</v>
      </c>
      <c r="T251" s="1" t="s">
        <v>33</v>
      </c>
      <c r="U251" s="1" t="s">
        <v>41</v>
      </c>
      <c r="V251" s="1" t="str">
        <f>_xlfn.XLOOKUP(A251,Dictonary!$A$2:$A$5,Dictonary!$B$2:$B$5)</f>
        <v>No information</v>
      </c>
      <c r="W251" s="1" t="str">
        <f>_xlfn.XLOOKUP(D251,Dictonary!$D$2:$D$12,Dictonary!$E$2:$E$12)</f>
        <v>radio/television</v>
      </c>
      <c r="X251" s="1" t="str">
        <f>_xlfn.XLOOKUP(F251,Dictonary!$G$2:$G$6,Dictonary!$H$2:$H$6)</f>
        <v>Less 100</v>
      </c>
      <c r="Y251" s="1" t="str">
        <f>_xlfn.XLOOKUP(I251,Dictonary!$J$2:$J$6,Dictonary!$K$2:$K$6)</f>
        <v>female : divorced/separated/married</v>
      </c>
      <c r="Z251" s="1" t="str">
        <f>_xlfn.XLOOKUP(Q251,Dictonary!$M$2:$M$5,Dictonary!$N$2:$N$5)</f>
        <v>skilled employee / official</v>
      </c>
      <c r="AA251" s="1" t="str">
        <f>_xlfn.XLOOKUP(O251,Dictonary!$P$2:$P$4,Dictonary!$Q$2:$Q$4)</f>
        <v>rent</v>
      </c>
    </row>
    <row r="252" spans="1:27" x14ac:dyDescent="0.3">
      <c r="A252" s="1" t="s">
        <v>21</v>
      </c>
      <c r="B252">
        <v>6</v>
      </c>
      <c r="C252" s="1" t="s">
        <v>22</v>
      </c>
      <c r="D252" s="1" t="s">
        <v>51</v>
      </c>
      <c r="E252">
        <v>666</v>
      </c>
      <c r="F252" s="1" t="s">
        <v>58</v>
      </c>
      <c r="G252" s="1" t="s">
        <v>44</v>
      </c>
      <c r="H252">
        <v>3</v>
      </c>
      <c r="I252" s="1" t="s">
        <v>39</v>
      </c>
      <c r="J252" s="1" t="s">
        <v>27</v>
      </c>
      <c r="K252">
        <v>4</v>
      </c>
      <c r="L252" s="1" t="s">
        <v>28</v>
      </c>
      <c r="M252">
        <v>39</v>
      </c>
      <c r="N252" s="1" t="s">
        <v>29</v>
      </c>
      <c r="O252" s="1" t="s">
        <v>30</v>
      </c>
      <c r="P252">
        <v>2</v>
      </c>
      <c r="Q252" s="1" t="s">
        <v>45</v>
      </c>
      <c r="R252">
        <v>1</v>
      </c>
      <c r="S252" s="1" t="s">
        <v>32</v>
      </c>
      <c r="T252" s="1" t="s">
        <v>33</v>
      </c>
      <c r="U252" s="1" t="s">
        <v>34</v>
      </c>
      <c r="V252" s="1" t="str">
        <f>_xlfn.XLOOKUP(A252,Dictonary!$A$2:$A$5,Dictonary!$B$2:$B$5)</f>
        <v>Negative balance</v>
      </c>
      <c r="W252" s="1" t="str">
        <f>_xlfn.XLOOKUP(D252,Dictonary!$D$2:$D$12,Dictonary!$E$2:$E$12)</f>
        <v>car (new)</v>
      </c>
      <c r="X252" s="1" t="str">
        <f>_xlfn.XLOOKUP(F252,Dictonary!$G$2:$G$6,Dictonary!$H$2:$H$6)</f>
        <v>More 1000</v>
      </c>
      <c r="Y252" s="1" t="str">
        <f>_xlfn.XLOOKUP(I252,Dictonary!$J$2:$J$6,Dictonary!$K$2:$K$6)</f>
        <v>female : divorced/separated/married</v>
      </c>
      <c r="Z252" s="1" t="str">
        <f>_xlfn.XLOOKUP(Q252,Dictonary!$M$2:$M$5,Dictonary!$N$2:$N$5)</f>
        <v>unskilled - resident</v>
      </c>
      <c r="AA252" s="1" t="str">
        <f>_xlfn.XLOOKUP(O252,Dictonary!$P$2:$P$4,Dictonary!$Q$2:$Q$4)</f>
        <v>own</v>
      </c>
    </row>
    <row r="253" spans="1:27" x14ac:dyDescent="0.3">
      <c r="A253" s="1" t="s">
        <v>68</v>
      </c>
      <c r="B253">
        <v>12</v>
      </c>
      <c r="C253" s="1" t="s">
        <v>36</v>
      </c>
      <c r="D253" s="1" t="s">
        <v>46</v>
      </c>
      <c r="E253">
        <v>2251</v>
      </c>
      <c r="F253" s="1" t="s">
        <v>37</v>
      </c>
      <c r="G253" s="1" t="s">
        <v>38</v>
      </c>
      <c r="H253">
        <v>1</v>
      </c>
      <c r="I253" s="1" t="s">
        <v>39</v>
      </c>
      <c r="J253" s="1" t="s">
        <v>27</v>
      </c>
      <c r="K253">
        <v>2</v>
      </c>
      <c r="L253" s="1" t="s">
        <v>55</v>
      </c>
      <c r="M253">
        <v>46</v>
      </c>
      <c r="N253" s="1" t="s">
        <v>29</v>
      </c>
      <c r="O253" s="1" t="s">
        <v>30</v>
      </c>
      <c r="P253">
        <v>1</v>
      </c>
      <c r="Q253" s="1" t="s">
        <v>45</v>
      </c>
      <c r="R253">
        <v>1</v>
      </c>
      <c r="S253" s="1" t="s">
        <v>40</v>
      </c>
      <c r="T253" s="1" t="s">
        <v>33</v>
      </c>
      <c r="U253" s="1" t="s">
        <v>34</v>
      </c>
      <c r="V253" s="1" t="str">
        <f>_xlfn.XLOOKUP(A253,Dictonary!$A$2:$A$5,Dictonary!$B$2:$B$5)</f>
        <v>Normal balance</v>
      </c>
      <c r="W253" s="1" t="str">
        <f>_xlfn.XLOOKUP(D253,Dictonary!$D$2:$D$12,Dictonary!$E$2:$E$12)</f>
        <v>furniture/equipment</v>
      </c>
      <c r="X253" s="1" t="str">
        <f>_xlfn.XLOOKUP(F253,Dictonary!$G$2:$G$6,Dictonary!$H$2:$H$6)</f>
        <v>Less 100</v>
      </c>
      <c r="Y253" s="1" t="str">
        <f>_xlfn.XLOOKUP(I253,Dictonary!$J$2:$J$6,Dictonary!$K$2:$K$6)</f>
        <v>female : divorced/separated/married</v>
      </c>
      <c r="Z253" s="1" t="str">
        <f>_xlfn.XLOOKUP(Q253,Dictonary!$M$2:$M$5,Dictonary!$N$2:$N$5)</f>
        <v>unskilled - resident</v>
      </c>
      <c r="AA253" s="1" t="str">
        <f>_xlfn.XLOOKUP(O253,Dictonary!$P$2:$P$4,Dictonary!$Q$2:$Q$4)</f>
        <v>own</v>
      </c>
    </row>
    <row r="254" spans="1:27" x14ac:dyDescent="0.3">
      <c r="A254" s="1" t="s">
        <v>35</v>
      </c>
      <c r="B254">
        <v>30</v>
      </c>
      <c r="C254" s="1" t="s">
        <v>36</v>
      </c>
      <c r="D254" s="1" t="s">
        <v>51</v>
      </c>
      <c r="E254">
        <v>2150</v>
      </c>
      <c r="F254" s="1" t="s">
        <v>37</v>
      </c>
      <c r="G254" s="1" t="s">
        <v>38</v>
      </c>
      <c r="H254">
        <v>4</v>
      </c>
      <c r="I254" s="1" t="s">
        <v>39</v>
      </c>
      <c r="J254" s="1" t="s">
        <v>47</v>
      </c>
      <c r="K254">
        <v>2</v>
      </c>
      <c r="L254" s="1" t="s">
        <v>52</v>
      </c>
      <c r="M254">
        <v>24</v>
      </c>
      <c r="N254" s="1" t="s">
        <v>66</v>
      </c>
      <c r="O254" s="1" t="s">
        <v>30</v>
      </c>
      <c r="P254">
        <v>1</v>
      </c>
      <c r="Q254" s="1" t="s">
        <v>31</v>
      </c>
      <c r="R254">
        <v>1</v>
      </c>
      <c r="S254" s="1" t="s">
        <v>40</v>
      </c>
      <c r="T254" s="1" t="s">
        <v>33</v>
      </c>
      <c r="U254" s="1" t="s">
        <v>41</v>
      </c>
      <c r="V254" s="1" t="str">
        <f>_xlfn.XLOOKUP(A254,Dictonary!$A$2:$A$5,Dictonary!$B$2:$B$5)</f>
        <v>Low balance</v>
      </c>
      <c r="W254" s="1" t="str">
        <f>_xlfn.XLOOKUP(D254,Dictonary!$D$2:$D$12,Dictonary!$E$2:$E$12)</f>
        <v>car (new)</v>
      </c>
      <c r="X254" s="1" t="str">
        <f>_xlfn.XLOOKUP(F254,Dictonary!$G$2:$G$6,Dictonary!$H$2:$H$6)</f>
        <v>Less 100</v>
      </c>
      <c r="Y254" s="1" t="str">
        <f>_xlfn.XLOOKUP(I254,Dictonary!$J$2:$J$6,Dictonary!$K$2:$K$6)</f>
        <v>female : divorced/separated/married</v>
      </c>
      <c r="Z254" s="1" t="str">
        <f>_xlfn.XLOOKUP(Q254,Dictonary!$M$2:$M$5,Dictonary!$N$2:$N$5)</f>
        <v>skilled employee / official</v>
      </c>
      <c r="AA254" s="1" t="str">
        <f>_xlfn.XLOOKUP(O254,Dictonary!$P$2:$P$4,Dictonary!$Q$2:$Q$4)</f>
        <v>own</v>
      </c>
    </row>
    <row r="255" spans="1:27" x14ac:dyDescent="0.3">
      <c r="A255" s="1" t="s">
        <v>42</v>
      </c>
      <c r="B255">
        <v>24</v>
      </c>
      <c r="C255" s="1" t="s">
        <v>50</v>
      </c>
      <c r="D255" s="1" t="s">
        <v>46</v>
      </c>
      <c r="E255">
        <v>4151</v>
      </c>
      <c r="F255" s="1" t="s">
        <v>64</v>
      </c>
      <c r="G255" s="1" t="s">
        <v>38</v>
      </c>
      <c r="H255">
        <v>2</v>
      </c>
      <c r="I255" s="1" t="s">
        <v>26</v>
      </c>
      <c r="J255" s="1" t="s">
        <v>27</v>
      </c>
      <c r="K255">
        <v>3</v>
      </c>
      <c r="L255" s="1" t="s">
        <v>48</v>
      </c>
      <c r="M255">
        <v>35</v>
      </c>
      <c r="N255" s="1" t="s">
        <v>29</v>
      </c>
      <c r="O255" s="1" t="s">
        <v>30</v>
      </c>
      <c r="P255">
        <v>2</v>
      </c>
      <c r="Q255" s="1" t="s">
        <v>31</v>
      </c>
      <c r="R255">
        <v>1</v>
      </c>
      <c r="S255" s="1" t="s">
        <v>40</v>
      </c>
      <c r="T255" s="1" t="s">
        <v>33</v>
      </c>
      <c r="U255" s="1" t="s">
        <v>34</v>
      </c>
      <c r="V255" s="1" t="str">
        <f>_xlfn.XLOOKUP(A255,Dictonary!$A$2:$A$5,Dictonary!$B$2:$B$5)</f>
        <v>No information</v>
      </c>
      <c r="W255" s="1" t="str">
        <f>_xlfn.XLOOKUP(D255,Dictonary!$D$2:$D$12,Dictonary!$E$2:$E$12)</f>
        <v>furniture/equipment</v>
      </c>
      <c r="X255" s="1" t="str">
        <f>_xlfn.XLOOKUP(F255,Dictonary!$G$2:$G$6,Dictonary!$H$2:$H$6)</f>
        <v>Up to 500</v>
      </c>
      <c r="Y255" s="1" t="str">
        <f>_xlfn.XLOOKUP(I255,Dictonary!$J$2:$J$6,Dictonary!$K$2:$K$6)</f>
        <v>male : single</v>
      </c>
      <c r="Z255" s="1" t="str">
        <f>_xlfn.XLOOKUP(Q255,Dictonary!$M$2:$M$5,Dictonary!$N$2:$N$5)</f>
        <v>skilled employee / official</v>
      </c>
      <c r="AA255" s="1" t="str">
        <f>_xlfn.XLOOKUP(O255,Dictonary!$P$2:$P$4,Dictonary!$Q$2:$Q$4)</f>
        <v>own</v>
      </c>
    </row>
    <row r="256" spans="1:27" x14ac:dyDescent="0.3">
      <c r="A256" s="1" t="s">
        <v>35</v>
      </c>
      <c r="B256">
        <v>9</v>
      </c>
      <c r="C256" s="1" t="s">
        <v>36</v>
      </c>
      <c r="D256" s="1" t="s">
        <v>46</v>
      </c>
      <c r="E256">
        <v>2030</v>
      </c>
      <c r="F256" s="1" t="s">
        <v>24</v>
      </c>
      <c r="G256" s="1" t="s">
        <v>44</v>
      </c>
      <c r="H256">
        <v>2</v>
      </c>
      <c r="I256" s="1" t="s">
        <v>26</v>
      </c>
      <c r="J256" s="1" t="s">
        <v>27</v>
      </c>
      <c r="K256">
        <v>1</v>
      </c>
      <c r="L256" s="1" t="s">
        <v>55</v>
      </c>
      <c r="M256">
        <v>24</v>
      </c>
      <c r="N256" s="1" t="s">
        <v>29</v>
      </c>
      <c r="O256" s="1" t="s">
        <v>30</v>
      </c>
      <c r="P256">
        <v>1</v>
      </c>
      <c r="Q256" s="1" t="s">
        <v>31</v>
      </c>
      <c r="R256">
        <v>1</v>
      </c>
      <c r="S256" s="1" t="s">
        <v>32</v>
      </c>
      <c r="T256" s="1" t="s">
        <v>33</v>
      </c>
      <c r="U256" s="1" t="s">
        <v>34</v>
      </c>
      <c r="V256" s="1" t="str">
        <f>_xlfn.XLOOKUP(A256,Dictonary!$A$2:$A$5,Dictonary!$B$2:$B$5)</f>
        <v>Low balance</v>
      </c>
      <c r="W256" s="1" t="str">
        <f>_xlfn.XLOOKUP(D256,Dictonary!$D$2:$D$12,Dictonary!$E$2:$E$12)</f>
        <v>furniture/equipment</v>
      </c>
      <c r="X256" s="1" t="str">
        <f>_xlfn.XLOOKUP(F256,Dictonary!$G$2:$G$6,Dictonary!$H$2:$H$6)</f>
        <v>No information</v>
      </c>
      <c r="Y256" s="1" t="str">
        <f>_xlfn.XLOOKUP(I256,Dictonary!$J$2:$J$6,Dictonary!$K$2:$K$6)</f>
        <v>male : single</v>
      </c>
      <c r="Z256" s="1" t="str">
        <f>_xlfn.XLOOKUP(Q256,Dictonary!$M$2:$M$5,Dictonary!$N$2:$N$5)</f>
        <v>skilled employee / official</v>
      </c>
      <c r="AA256" s="1" t="str">
        <f>_xlfn.XLOOKUP(O256,Dictonary!$P$2:$P$4,Dictonary!$Q$2:$Q$4)</f>
        <v>own</v>
      </c>
    </row>
    <row r="257" spans="1:27" x14ac:dyDescent="0.3">
      <c r="A257" s="1" t="s">
        <v>35</v>
      </c>
      <c r="B257">
        <v>60</v>
      </c>
      <c r="C257" s="1" t="s">
        <v>50</v>
      </c>
      <c r="D257" s="1" t="s">
        <v>23</v>
      </c>
      <c r="E257">
        <v>7418</v>
      </c>
      <c r="F257" s="1" t="s">
        <v>24</v>
      </c>
      <c r="G257" s="1" t="s">
        <v>38</v>
      </c>
      <c r="H257">
        <v>1</v>
      </c>
      <c r="I257" s="1" t="s">
        <v>26</v>
      </c>
      <c r="J257" s="1" t="s">
        <v>27</v>
      </c>
      <c r="K257">
        <v>1</v>
      </c>
      <c r="L257" s="1" t="s">
        <v>28</v>
      </c>
      <c r="M257">
        <v>27</v>
      </c>
      <c r="N257" s="1" t="s">
        <v>29</v>
      </c>
      <c r="O257" s="1" t="s">
        <v>30</v>
      </c>
      <c r="P257">
        <v>1</v>
      </c>
      <c r="Q257" s="1" t="s">
        <v>45</v>
      </c>
      <c r="R257">
        <v>1</v>
      </c>
      <c r="S257" s="1" t="s">
        <v>40</v>
      </c>
      <c r="T257" s="1" t="s">
        <v>33</v>
      </c>
      <c r="U257" s="1" t="s">
        <v>34</v>
      </c>
      <c r="V257" s="1" t="str">
        <f>_xlfn.XLOOKUP(A257,Dictonary!$A$2:$A$5,Dictonary!$B$2:$B$5)</f>
        <v>Low balance</v>
      </c>
      <c r="W257" s="1" t="str">
        <f>_xlfn.XLOOKUP(D257,Dictonary!$D$2:$D$12,Dictonary!$E$2:$E$12)</f>
        <v>radio/television</v>
      </c>
      <c r="X257" s="1" t="str">
        <f>_xlfn.XLOOKUP(F257,Dictonary!$G$2:$G$6,Dictonary!$H$2:$H$6)</f>
        <v>No information</v>
      </c>
      <c r="Y257" s="1" t="str">
        <f>_xlfn.XLOOKUP(I257,Dictonary!$J$2:$J$6,Dictonary!$K$2:$K$6)</f>
        <v>male : single</v>
      </c>
      <c r="Z257" s="1" t="str">
        <f>_xlfn.XLOOKUP(Q257,Dictonary!$M$2:$M$5,Dictonary!$N$2:$N$5)</f>
        <v>unskilled - resident</v>
      </c>
      <c r="AA257" s="1" t="str">
        <f>_xlfn.XLOOKUP(O257,Dictonary!$P$2:$P$4,Dictonary!$Q$2:$Q$4)</f>
        <v>own</v>
      </c>
    </row>
    <row r="258" spans="1:27" x14ac:dyDescent="0.3">
      <c r="A258" s="1" t="s">
        <v>42</v>
      </c>
      <c r="B258">
        <v>24</v>
      </c>
      <c r="C258" s="1" t="s">
        <v>22</v>
      </c>
      <c r="D258" s="1" t="s">
        <v>23</v>
      </c>
      <c r="E258">
        <v>2684</v>
      </c>
      <c r="F258" s="1" t="s">
        <v>37</v>
      </c>
      <c r="G258" s="1" t="s">
        <v>38</v>
      </c>
      <c r="H258">
        <v>4</v>
      </c>
      <c r="I258" s="1" t="s">
        <v>26</v>
      </c>
      <c r="J258" s="1" t="s">
        <v>27</v>
      </c>
      <c r="K258">
        <v>2</v>
      </c>
      <c r="L258" s="1" t="s">
        <v>28</v>
      </c>
      <c r="M258">
        <v>35</v>
      </c>
      <c r="N258" s="1" t="s">
        <v>29</v>
      </c>
      <c r="O258" s="1" t="s">
        <v>30</v>
      </c>
      <c r="P258">
        <v>2</v>
      </c>
      <c r="Q258" s="1" t="s">
        <v>45</v>
      </c>
      <c r="R258">
        <v>1</v>
      </c>
      <c r="S258" s="1" t="s">
        <v>40</v>
      </c>
      <c r="T258" s="1" t="s">
        <v>33</v>
      </c>
      <c r="U258" s="1" t="s">
        <v>34</v>
      </c>
      <c r="V258" s="1" t="str">
        <f>_xlfn.XLOOKUP(A258,Dictonary!$A$2:$A$5,Dictonary!$B$2:$B$5)</f>
        <v>No information</v>
      </c>
      <c r="W258" s="1" t="str">
        <f>_xlfn.XLOOKUP(D258,Dictonary!$D$2:$D$12,Dictonary!$E$2:$E$12)</f>
        <v>radio/television</v>
      </c>
      <c r="X258" s="1" t="str">
        <f>_xlfn.XLOOKUP(F258,Dictonary!$G$2:$G$6,Dictonary!$H$2:$H$6)</f>
        <v>Less 100</v>
      </c>
      <c r="Y258" s="1" t="str">
        <f>_xlfn.XLOOKUP(I258,Dictonary!$J$2:$J$6,Dictonary!$K$2:$K$6)</f>
        <v>male : single</v>
      </c>
      <c r="Z258" s="1" t="str">
        <f>_xlfn.XLOOKUP(Q258,Dictonary!$M$2:$M$5,Dictonary!$N$2:$N$5)</f>
        <v>unskilled - resident</v>
      </c>
      <c r="AA258" s="1" t="str">
        <f>_xlfn.XLOOKUP(O258,Dictonary!$P$2:$P$4,Dictonary!$Q$2:$Q$4)</f>
        <v>own</v>
      </c>
    </row>
    <row r="259" spans="1:27" x14ac:dyDescent="0.3">
      <c r="A259" s="1" t="s">
        <v>21</v>
      </c>
      <c r="B259">
        <v>12</v>
      </c>
      <c r="C259" s="1" t="s">
        <v>69</v>
      </c>
      <c r="D259" s="1" t="s">
        <v>23</v>
      </c>
      <c r="E259">
        <v>2149</v>
      </c>
      <c r="F259" s="1" t="s">
        <v>37</v>
      </c>
      <c r="G259" s="1" t="s">
        <v>38</v>
      </c>
      <c r="H259">
        <v>4</v>
      </c>
      <c r="I259" s="1" t="s">
        <v>59</v>
      </c>
      <c r="J259" s="1" t="s">
        <v>27</v>
      </c>
      <c r="K259">
        <v>1</v>
      </c>
      <c r="L259" s="1" t="s">
        <v>52</v>
      </c>
      <c r="M259">
        <v>29</v>
      </c>
      <c r="N259" s="1" t="s">
        <v>29</v>
      </c>
      <c r="O259" s="1" t="s">
        <v>49</v>
      </c>
      <c r="P259">
        <v>1</v>
      </c>
      <c r="Q259" s="1" t="s">
        <v>31</v>
      </c>
      <c r="R259">
        <v>1</v>
      </c>
      <c r="S259" s="1" t="s">
        <v>40</v>
      </c>
      <c r="T259" s="1" t="s">
        <v>33</v>
      </c>
      <c r="U259" s="1" t="s">
        <v>41</v>
      </c>
      <c r="V259" s="1" t="str">
        <f>_xlfn.XLOOKUP(A259,Dictonary!$A$2:$A$5,Dictonary!$B$2:$B$5)</f>
        <v>Negative balance</v>
      </c>
      <c r="W259" s="1" t="str">
        <f>_xlfn.XLOOKUP(D259,Dictonary!$D$2:$D$12,Dictonary!$E$2:$E$12)</f>
        <v>radio/television</v>
      </c>
      <c r="X259" s="1" t="str">
        <f>_xlfn.XLOOKUP(F259,Dictonary!$G$2:$G$6,Dictonary!$H$2:$H$6)</f>
        <v>Less 100</v>
      </c>
      <c r="Y259" s="1" t="str">
        <f>_xlfn.XLOOKUP(I259,Dictonary!$J$2:$J$6,Dictonary!$K$2:$K$6)</f>
        <v>male : divorced/separated</v>
      </c>
      <c r="Z259" s="1" t="str">
        <f>_xlfn.XLOOKUP(Q259,Dictonary!$M$2:$M$5,Dictonary!$N$2:$N$5)</f>
        <v>skilled employee / official</v>
      </c>
      <c r="AA259" s="1" t="str">
        <f>_xlfn.XLOOKUP(O259,Dictonary!$P$2:$P$4,Dictonary!$Q$2:$Q$4)</f>
        <v>for free</v>
      </c>
    </row>
    <row r="260" spans="1:27" x14ac:dyDescent="0.3">
      <c r="A260" s="1" t="s">
        <v>42</v>
      </c>
      <c r="B260">
        <v>15</v>
      </c>
      <c r="C260" s="1" t="s">
        <v>36</v>
      </c>
      <c r="D260" s="1" t="s">
        <v>54</v>
      </c>
      <c r="E260">
        <v>3812</v>
      </c>
      <c r="F260" s="1" t="s">
        <v>64</v>
      </c>
      <c r="G260" s="1" t="s">
        <v>62</v>
      </c>
      <c r="H260">
        <v>1</v>
      </c>
      <c r="I260" s="1" t="s">
        <v>39</v>
      </c>
      <c r="J260" s="1" t="s">
        <v>27</v>
      </c>
      <c r="K260">
        <v>4</v>
      </c>
      <c r="L260" s="1" t="s">
        <v>55</v>
      </c>
      <c r="M260">
        <v>23</v>
      </c>
      <c r="N260" s="1" t="s">
        <v>29</v>
      </c>
      <c r="O260" s="1" t="s">
        <v>30</v>
      </c>
      <c r="P260">
        <v>1</v>
      </c>
      <c r="Q260" s="1" t="s">
        <v>31</v>
      </c>
      <c r="R260">
        <v>1</v>
      </c>
      <c r="S260" s="1" t="s">
        <v>32</v>
      </c>
      <c r="T260" s="1" t="s">
        <v>33</v>
      </c>
      <c r="U260" s="1" t="s">
        <v>34</v>
      </c>
      <c r="V260" s="1" t="str">
        <f>_xlfn.XLOOKUP(A260,Dictonary!$A$2:$A$5,Dictonary!$B$2:$B$5)</f>
        <v>No information</v>
      </c>
      <c r="W260" s="1" t="str">
        <f>_xlfn.XLOOKUP(D260,Dictonary!$D$2:$D$12,Dictonary!$E$2:$E$12)</f>
        <v>car (used)</v>
      </c>
      <c r="X260" s="1" t="str">
        <f>_xlfn.XLOOKUP(F260,Dictonary!$G$2:$G$6,Dictonary!$H$2:$H$6)</f>
        <v>Up to 500</v>
      </c>
      <c r="Y260" s="1" t="str">
        <f>_xlfn.XLOOKUP(I260,Dictonary!$J$2:$J$6,Dictonary!$K$2:$K$6)</f>
        <v>female : divorced/separated/married</v>
      </c>
      <c r="Z260" s="1" t="str">
        <f>_xlfn.XLOOKUP(Q260,Dictonary!$M$2:$M$5,Dictonary!$N$2:$N$5)</f>
        <v>skilled employee / official</v>
      </c>
      <c r="AA260" s="1" t="str">
        <f>_xlfn.XLOOKUP(O260,Dictonary!$P$2:$P$4,Dictonary!$Q$2:$Q$4)</f>
        <v>own</v>
      </c>
    </row>
    <row r="261" spans="1:27" x14ac:dyDescent="0.3">
      <c r="A261" s="1" t="s">
        <v>42</v>
      </c>
      <c r="B261">
        <v>11</v>
      </c>
      <c r="C261" s="1" t="s">
        <v>22</v>
      </c>
      <c r="D261" s="1" t="s">
        <v>23</v>
      </c>
      <c r="E261">
        <v>1154</v>
      </c>
      <c r="F261" s="1" t="s">
        <v>64</v>
      </c>
      <c r="G261" s="1" t="s">
        <v>60</v>
      </c>
      <c r="H261">
        <v>4</v>
      </c>
      <c r="I261" s="1" t="s">
        <v>39</v>
      </c>
      <c r="J261" s="1" t="s">
        <v>27</v>
      </c>
      <c r="K261">
        <v>4</v>
      </c>
      <c r="L261" s="1" t="s">
        <v>28</v>
      </c>
      <c r="M261">
        <v>57</v>
      </c>
      <c r="N261" s="1" t="s">
        <v>29</v>
      </c>
      <c r="O261" s="1" t="s">
        <v>30</v>
      </c>
      <c r="P261">
        <v>3</v>
      </c>
      <c r="Q261" s="1" t="s">
        <v>45</v>
      </c>
      <c r="R261">
        <v>1</v>
      </c>
      <c r="S261" s="1" t="s">
        <v>40</v>
      </c>
      <c r="T261" s="1" t="s">
        <v>33</v>
      </c>
      <c r="U261" s="1" t="s">
        <v>34</v>
      </c>
      <c r="V261" s="1" t="str">
        <f>_xlfn.XLOOKUP(A261,Dictonary!$A$2:$A$5,Dictonary!$B$2:$B$5)</f>
        <v>No information</v>
      </c>
      <c r="W261" s="1" t="str">
        <f>_xlfn.XLOOKUP(D261,Dictonary!$D$2:$D$12,Dictonary!$E$2:$E$12)</f>
        <v>radio/television</v>
      </c>
      <c r="X261" s="1" t="str">
        <f>_xlfn.XLOOKUP(F261,Dictonary!$G$2:$G$6,Dictonary!$H$2:$H$6)</f>
        <v>Up to 500</v>
      </c>
      <c r="Y261" s="1" t="str">
        <f>_xlfn.XLOOKUP(I261,Dictonary!$J$2:$J$6,Dictonary!$K$2:$K$6)</f>
        <v>female : divorced/separated/married</v>
      </c>
      <c r="Z261" s="1" t="str">
        <f>_xlfn.XLOOKUP(Q261,Dictonary!$M$2:$M$5,Dictonary!$N$2:$N$5)</f>
        <v>unskilled - resident</v>
      </c>
      <c r="AA261" s="1" t="str">
        <f>_xlfn.XLOOKUP(O261,Dictonary!$P$2:$P$4,Dictonary!$Q$2:$Q$4)</f>
        <v>own</v>
      </c>
    </row>
    <row r="262" spans="1:27" x14ac:dyDescent="0.3">
      <c r="A262" s="1" t="s">
        <v>21</v>
      </c>
      <c r="B262">
        <v>12</v>
      </c>
      <c r="C262" s="1" t="s">
        <v>36</v>
      </c>
      <c r="D262" s="1" t="s">
        <v>46</v>
      </c>
      <c r="E262">
        <v>1657</v>
      </c>
      <c r="F262" s="1" t="s">
        <v>37</v>
      </c>
      <c r="G262" s="1" t="s">
        <v>38</v>
      </c>
      <c r="H262">
        <v>2</v>
      </c>
      <c r="I262" s="1" t="s">
        <v>26</v>
      </c>
      <c r="J262" s="1" t="s">
        <v>27</v>
      </c>
      <c r="K262">
        <v>2</v>
      </c>
      <c r="L262" s="1" t="s">
        <v>28</v>
      </c>
      <c r="M262">
        <v>27</v>
      </c>
      <c r="N262" s="1" t="s">
        <v>29</v>
      </c>
      <c r="O262" s="1" t="s">
        <v>30</v>
      </c>
      <c r="P262">
        <v>1</v>
      </c>
      <c r="Q262" s="1" t="s">
        <v>31</v>
      </c>
      <c r="R262">
        <v>1</v>
      </c>
      <c r="S262" s="1" t="s">
        <v>40</v>
      </c>
      <c r="T262" s="1" t="s">
        <v>33</v>
      </c>
      <c r="U262" s="1" t="s">
        <v>34</v>
      </c>
      <c r="V262" s="1" t="str">
        <f>_xlfn.XLOOKUP(A262,Dictonary!$A$2:$A$5,Dictonary!$B$2:$B$5)</f>
        <v>Negative balance</v>
      </c>
      <c r="W262" s="1" t="str">
        <f>_xlfn.XLOOKUP(D262,Dictonary!$D$2:$D$12,Dictonary!$E$2:$E$12)</f>
        <v>furniture/equipment</v>
      </c>
      <c r="X262" s="1" t="str">
        <f>_xlfn.XLOOKUP(F262,Dictonary!$G$2:$G$6,Dictonary!$H$2:$H$6)</f>
        <v>Less 100</v>
      </c>
      <c r="Y262" s="1" t="str">
        <f>_xlfn.XLOOKUP(I262,Dictonary!$J$2:$J$6,Dictonary!$K$2:$K$6)</f>
        <v>male : single</v>
      </c>
      <c r="Z262" s="1" t="str">
        <f>_xlfn.XLOOKUP(Q262,Dictonary!$M$2:$M$5,Dictonary!$N$2:$N$5)</f>
        <v>skilled employee / official</v>
      </c>
      <c r="AA262" s="1" t="str">
        <f>_xlfn.XLOOKUP(O262,Dictonary!$P$2:$P$4,Dictonary!$Q$2:$Q$4)</f>
        <v>own</v>
      </c>
    </row>
    <row r="263" spans="1:27" x14ac:dyDescent="0.3">
      <c r="A263" s="1" t="s">
        <v>21</v>
      </c>
      <c r="B263">
        <v>24</v>
      </c>
      <c r="C263" s="1" t="s">
        <v>36</v>
      </c>
      <c r="D263" s="1" t="s">
        <v>23</v>
      </c>
      <c r="E263">
        <v>1603</v>
      </c>
      <c r="F263" s="1" t="s">
        <v>37</v>
      </c>
      <c r="G263" s="1" t="s">
        <v>25</v>
      </c>
      <c r="H263">
        <v>4</v>
      </c>
      <c r="I263" s="1" t="s">
        <v>39</v>
      </c>
      <c r="J263" s="1" t="s">
        <v>27</v>
      </c>
      <c r="K263">
        <v>4</v>
      </c>
      <c r="L263" s="1" t="s">
        <v>55</v>
      </c>
      <c r="M263">
        <v>55</v>
      </c>
      <c r="N263" s="1" t="s">
        <v>29</v>
      </c>
      <c r="O263" s="1" t="s">
        <v>30</v>
      </c>
      <c r="P263">
        <v>1</v>
      </c>
      <c r="Q263" s="1" t="s">
        <v>31</v>
      </c>
      <c r="R263">
        <v>1</v>
      </c>
      <c r="S263" s="1" t="s">
        <v>40</v>
      </c>
      <c r="T263" s="1" t="s">
        <v>33</v>
      </c>
      <c r="U263" s="1" t="s">
        <v>34</v>
      </c>
      <c r="V263" s="1" t="str">
        <f>_xlfn.XLOOKUP(A263,Dictonary!$A$2:$A$5,Dictonary!$B$2:$B$5)</f>
        <v>Negative balance</v>
      </c>
      <c r="W263" s="1" t="str">
        <f>_xlfn.XLOOKUP(D263,Dictonary!$D$2:$D$12,Dictonary!$E$2:$E$12)</f>
        <v>radio/television</v>
      </c>
      <c r="X263" s="1" t="str">
        <f>_xlfn.XLOOKUP(F263,Dictonary!$G$2:$G$6,Dictonary!$H$2:$H$6)</f>
        <v>Less 100</v>
      </c>
      <c r="Y263" s="1" t="str">
        <f>_xlfn.XLOOKUP(I263,Dictonary!$J$2:$J$6,Dictonary!$K$2:$K$6)</f>
        <v>female : divorced/separated/married</v>
      </c>
      <c r="Z263" s="1" t="str">
        <f>_xlfn.XLOOKUP(Q263,Dictonary!$M$2:$M$5,Dictonary!$N$2:$N$5)</f>
        <v>skilled employee / official</v>
      </c>
      <c r="AA263" s="1" t="str">
        <f>_xlfn.XLOOKUP(O263,Dictonary!$P$2:$P$4,Dictonary!$Q$2:$Q$4)</f>
        <v>own</v>
      </c>
    </row>
    <row r="264" spans="1:27" x14ac:dyDescent="0.3">
      <c r="A264" s="1" t="s">
        <v>21</v>
      </c>
      <c r="B264">
        <v>18</v>
      </c>
      <c r="C264" s="1" t="s">
        <v>22</v>
      </c>
      <c r="D264" s="1" t="s">
        <v>51</v>
      </c>
      <c r="E264">
        <v>5302</v>
      </c>
      <c r="F264" s="1" t="s">
        <v>37</v>
      </c>
      <c r="G264" s="1" t="s">
        <v>25</v>
      </c>
      <c r="H264">
        <v>2</v>
      </c>
      <c r="I264" s="1" t="s">
        <v>26</v>
      </c>
      <c r="J264" s="1" t="s">
        <v>27</v>
      </c>
      <c r="K264">
        <v>4</v>
      </c>
      <c r="L264" s="1" t="s">
        <v>52</v>
      </c>
      <c r="M264">
        <v>36</v>
      </c>
      <c r="N264" s="1" t="s">
        <v>29</v>
      </c>
      <c r="O264" s="1" t="s">
        <v>49</v>
      </c>
      <c r="P264">
        <v>3</v>
      </c>
      <c r="Q264" s="1" t="s">
        <v>57</v>
      </c>
      <c r="R264">
        <v>1</v>
      </c>
      <c r="S264" s="1" t="s">
        <v>32</v>
      </c>
      <c r="T264" s="1" t="s">
        <v>33</v>
      </c>
      <c r="U264" s="1" t="s">
        <v>34</v>
      </c>
      <c r="V264" s="1" t="str">
        <f>_xlfn.XLOOKUP(A264,Dictonary!$A$2:$A$5,Dictonary!$B$2:$B$5)</f>
        <v>Negative balance</v>
      </c>
      <c r="W264" s="1" t="str">
        <f>_xlfn.XLOOKUP(D264,Dictonary!$D$2:$D$12,Dictonary!$E$2:$E$12)</f>
        <v>car (new)</v>
      </c>
      <c r="X264" s="1" t="str">
        <f>_xlfn.XLOOKUP(F264,Dictonary!$G$2:$G$6,Dictonary!$H$2:$H$6)</f>
        <v>Less 100</v>
      </c>
      <c r="Y264" s="1" t="str">
        <f>_xlfn.XLOOKUP(I264,Dictonary!$J$2:$J$6,Dictonary!$K$2:$K$6)</f>
        <v>male : single</v>
      </c>
      <c r="Z264" s="1" t="str">
        <f>_xlfn.XLOOKUP(Q264,Dictonary!$M$2:$M$5,Dictonary!$N$2:$N$5)</f>
        <v>management/ self-employed/ highly qualified employee/ officer</v>
      </c>
      <c r="AA264" s="1" t="str">
        <f>_xlfn.XLOOKUP(O264,Dictonary!$P$2:$P$4,Dictonary!$Q$2:$Q$4)</f>
        <v>for free</v>
      </c>
    </row>
    <row r="265" spans="1:27" x14ac:dyDescent="0.3">
      <c r="A265" s="1" t="s">
        <v>42</v>
      </c>
      <c r="B265">
        <v>12</v>
      </c>
      <c r="C265" s="1" t="s">
        <v>22</v>
      </c>
      <c r="D265" s="1" t="s">
        <v>43</v>
      </c>
      <c r="E265">
        <v>2748</v>
      </c>
      <c r="F265" s="1" t="s">
        <v>37</v>
      </c>
      <c r="G265" s="1" t="s">
        <v>25</v>
      </c>
      <c r="H265">
        <v>2</v>
      </c>
      <c r="I265" s="1" t="s">
        <v>39</v>
      </c>
      <c r="J265" s="1" t="s">
        <v>27</v>
      </c>
      <c r="K265">
        <v>4</v>
      </c>
      <c r="L265" s="1" t="s">
        <v>52</v>
      </c>
      <c r="M265">
        <v>57</v>
      </c>
      <c r="N265" s="1" t="s">
        <v>66</v>
      </c>
      <c r="O265" s="1" t="s">
        <v>49</v>
      </c>
      <c r="P265">
        <v>3</v>
      </c>
      <c r="Q265" s="1" t="s">
        <v>45</v>
      </c>
      <c r="R265">
        <v>1</v>
      </c>
      <c r="S265" s="1" t="s">
        <v>40</v>
      </c>
      <c r="T265" s="1" t="s">
        <v>33</v>
      </c>
      <c r="U265" s="1" t="s">
        <v>34</v>
      </c>
      <c r="V265" s="1" t="str">
        <f>_xlfn.XLOOKUP(A265,Dictonary!$A$2:$A$5,Dictonary!$B$2:$B$5)</f>
        <v>No information</v>
      </c>
      <c r="W265" s="1" t="str">
        <f>_xlfn.XLOOKUP(D265,Dictonary!$D$2:$D$12,Dictonary!$E$2:$E$12)</f>
        <v>education</v>
      </c>
      <c r="X265" s="1" t="str">
        <f>_xlfn.XLOOKUP(F265,Dictonary!$G$2:$G$6,Dictonary!$H$2:$H$6)</f>
        <v>Less 100</v>
      </c>
      <c r="Y265" s="1" t="str">
        <f>_xlfn.XLOOKUP(I265,Dictonary!$J$2:$J$6,Dictonary!$K$2:$K$6)</f>
        <v>female : divorced/separated/married</v>
      </c>
      <c r="Z265" s="1" t="str">
        <f>_xlfn.XLOOKUP(Q265,Dictonary!$M$2:$M$5,Dictonary!$N$2:$N$5)</f>
        <v>unskilled - resident</v>
      </c>
      <c r="AA265" s="1" t="str">
        <f>_xlfn.XLOOKUP(O265,Dictonary!$P$2:$P$4,Dictonary!$Q$2:$Q$4)</f>
        <v>for free</v>
      </c>
    </row>
    <row r="266" spans="1:27" x14ac:dyDescent="0.3">
      <c r="A266" s="1" t="s">
        <v>42</v>
      </c>
      <c r="B266">
        <v>10</v>
      </c>
      <c r="C266" s="1" t="s">
        <v>22</v>
      </c>
      <c r="D266" s="1" t="s">
        <v>51</v>
      </c>
      <c r="E266">
        <v>1231</v>
      </c>
      <c r="F266" s="1" t="s">
        <v>37</v>
      </c>
      <c r="G266" s="1" t="s">
        <v>25</v>
      </c>
      <c r="H266">
        <v>3</v>
      </c>
      <c r="I266" s="1" t="s">
        <v>26</v>
      </c>
      <c r="J266" s="1" t="s">
        <v>27</v>
      </c>
      <c r="K266">
        <v>4</v>
      </c>
      <c r="L266" s="1" t="s">
        <v>28</v>
      </c>
      <c r="M266">
        <v>32</v>
      </c>
      <c r="N266" s="1" t="s">
        <v>29</v>
      </c>
      <c r="O266" s="1" t="s">
        <v>30</v>
      </c>
      <c r="P266">
        <v>2</v>
      </c>
      <c r="Q266" s="1" t="s">
        <v>45</v>
      </c>
      <c r="R266">
        <v>2</v>
      </c>
      <c r="S266" s="1" t="s">
        <v>40</v>
      </c>
      <c r="T266" s="1" t="s">
        <v>67</v>
      </c>
      <c r="U266" s="1" t="s">
        <v>34</v>
      </c>
      <c r="V266" s="1" t="str">
        <f>_xlfn.XLOOKUP(A266,Dictonary!$A$2:$A$5,Dictonary!$B$2:$B$5)</f>
        <v>No information</v>
      </c>
      <c r="W266" s="1" t="str">
        <f>_xlfn.XLOOKUP(D266,Dictonary!$D$2:$D$12,Dictonary!$E$2:$E$12)</f>
        <v>car (new)</v>
      </c>
      <c r="X266" s="1" t="str">
        <f>_xlfn.XLOOKUP(F266,Dictonary!$G$2:$G$6,Dictonary!$H$2:$H$6)</f>
        <v>Less 100</v>
      </c>
      <c r="Y266" s="1" t="str">
        <f>_xlfn.XLOOKUP(I266,Dictonary!$J$2:$J$6,Dictonary!$K$2:$K$6)</f>
        <v>male : single</v>
      </c>
      <c r="Z266" s="1" t="str">
        <f>_xlfn.XLOOKUP(Q266,Dictonary!$M$2:$M$5,Dictonary!$N$2:$N$5)</f>
        <v>unskilled - resident</v>
      </c>
      <c r="AA266" s="1" t="str">
        <f>_xlfn.XLOOKUP(O266,Dictonary!$P$2:$P$4,Dictonary!$Q$2:$Q$4)</f>
        <v>own</v>
      </c>
    </row>
    <row r="267" spans="1:27" x14ac:dyDescent="0.3">
      <c r="A267" s="1" t="s">
        <v>35</v>
      </c>
      <c r="B267">
        <v>15</v>
      </c>
      <c r="C267" s="1" t="s">
        <v>36</v>
      </c>
      <c r="D267" s="1" t="s">
        <v>23</v>
      </c>
      <c r="E267">
        <v>802</v>
      </c>
      <c r="F267" s="1" t="s">
        <v>37</v>
      </c>
      <c r="G267" s="1" t="s">
        <v>25</v>
      </c>
      <c r="H267">
        <v>4</v>
      </c>
      <c r="I267" s="1" t="s">
        <v>26</v>
      </c>
      <c r="J267" s="1" t="s">
        <v>27</v>
      </c>
      <c r="K267">
        <v>3</v>
      </c>
      <c r="L267" s="1" t="s">
        <v>55</v>
      </c>
      <c r="M267">
        <v>37</v>
      </c>
      <c r="N267" s="1" t="s">
        <v>29</v>
      </c>
      <c r="O267" s="1" t="s">
        <v>30</v>
      </c>
      <c r="P267">
        <v>1</v>
      </c>
      <c r="Q267" s="1" t="s">
        <v>31</v>
      </c>
      <c r="R267">
        <v>2</v>
      </c>
      <c r="S267" s="1" t="s">
        <v>40</v>
      </c>
      <c r="T267" s="1" t="s">
        <v>33</v>
      </c>
      <c r="U267" s="1" t="s">
        <v>41</v>
      </c>
      <c r="V267" s="1" t="str">
        <f>_xlfn.XLOOKUP(A267,Dictonary!$A$2:$A$5,Dictonary!$B$2:$B$5)</f>
        <v>Low balance</v>
      </c>
      <c r="W267" s="1" t="str">
        <f>_xlfn.XLOOKUP(D267,Dictonary!$D$2:$D$12,Dictonary!$E$2:$E$12)</f>
        <v>radio/television</v>
      </c>
      <c r="X267" s="1" t="str">
        <f>_xlfn.XLOOKUP(F267,Dictonary!$G$2:$G$6,Dictonary!$H$2:$H$6)</f>
        <v>Less 100</v>
      </c>
      <c r="Y267" s="1" t="str">
        <f>_xlfn.XLOOKUP(I267,Dictonary!$J$2:$J$6,Dictonary!$K$2:$K$6)</f>
        <v>male : single</v>
      </c>
      <c r="Z267" s="1" t="str">
        <f>_xlfn.XLOOKUP(Q267,Dictonary!$M$2:$M$5,Dictonary!$N$2:$N$5)</f>
        <v>skilled employee / official</v>
      </c>
      <c r="AA267" s="1" t="str">
        <f>_xlfn.XLOOKUP(O267,Dictonary!$P$2:$P$4,Dictonary!$Q$2:$Q$4)</f>
        <v>own</v>
      </c>
    </row>
    <row r="268" spans="1:27" x14ac:dyDescent="0.3">
      <c r="A268" s="1" t="s">
        <v>42</v>
      </c>
      <c r="B268">
        <v>36</v>
      </c>
      <c r="C268" s="1" t="s">
        <v>22</v>
      </c>
      <c r="D268" s="1" t="s">
        <v>63</v>
      </c>
      <c r="E268">
        <v>6304</v>
      </c>
      <c r="F268" s="1" t="s">
        <v>24</v>
      </c>
      <c r="G268" s="1" t="s">
        <v>25</v>
      </c>
      <c r="H268">
        <v>4</v>
      </c>
      <c r="I268" s="1" t="s">
        <v>26</v>
      </c>
      <c r="J268" s="1" t="s">
        <v>27</v>
      </c>
      <c r="K268">
        <v>4</v>
      </c>
      <c r="L268" s="1" t="s">
        <v>28</v>
      </c>
      <c r="M268">
        <v>36</v>
      </c>
      <c r="N268" s="1" t="s">
        <v>29</v>
      </c>
      <c r="O268" s="1" t="s">
        <v>30</v>
      </c>
      <c r="P268">
        <v>2</v>
      </c>
      <c r="Q268" s="1" t="s">
        <v>31</v>
      </c>
      <c r="R268">
        <v>1</v>
      </c>
      <c r="S268" s="1" t="s">
        <v>40</v>
      </c>
      <c r="T268" s="1" t="s">
        <v>33</v>
      </c>
      <c r="U268" s="1" t="s">
        <v>34</v>
      </c>
      <c r="V268" s="1" t="str">
        <f>_xlfn.XLOOKUP(A268,Dictonary!$A$2:$A$5,Dictonary!$B$2:$B$5)</f>
        <v>No information</v>
      </c>
      <c r="W268" s="1" t="str">
        <f>_xlfn.XLOOKUP(D268,Dictonary!$D$2:$D$12,Dictonary!$E$2:$E$12)</f>
        <v>business</v>
      </c>
      <c r="X268" s="1" t="str">
        <f>_xlfn.XLOOKUP(F268,Dictonary!$G$2:$G$6,Dictonary!$H$2:$H$6)</f>
        <v>No information</v>
      </c>
      <c r="Y268" s="1" t="str">
        <f>_xlfn.XLOOKUP(I268,Dictonary!$J$2:$J$6,Dictonary!$K$2:$K$6)</f>
        <v>male : single</v>
      </c>
      <c r="Z268" s="1" t="str">
        <f>_xlfn.XLOOKUP(Q268,Dictonary!$M$2:$M$5,Dictonary!$N$2:$N$5)</f>
        <v>skilled employee / official</v>
      </c>
      <c r="AA268" s="1" t="str">
        <f>_xlfn.XLOOKUP(O268,Dictonary!$P$2:$P$4,Dictonary!$Q$2:$Q$4)</f>
        <v>own</v>
      </c>
    </row>
    <row r="269" spans="1:27" x14ac:dyDescent="0.3">
      <c r="A269" s="1" t="s">
        <v>42</v>
      </c>
      <c r="B269">
        <v>24</v>
      </c>
      <c r="C269" s="1" t="s">
        <v>36</v>
      </c>
      <c r="D269" s="1" t="s">
        <v>23</v>
      </c>
      <c r="E269">
        <v>1533</v>
      </c>
      <c r="F269" s="1" t="s">
        <v>37</v>
      </c>
      <c r="G269" s="1" t="s">
        <v>62</v>
      </c>
      <c r="H269">
        <v>4</v>
      </c>
      <c r="I269" s="1" t="s">
        <v>39</v>
      </c>
      <c r="J269" s="1" t="s">
        <v>27</v>
      </c>
      <c r="K269">
        <v>3</v>
      </c>
      <c r="L269" s="1" t="s">
        <v>55</v>
      </c>
      <c r="M269">
        <v>38</v>
      </c>
      <c r="N269" s="1" t="s">
        <v>70</v>
      </c>
      <c r="O269" s="1" t="s">
        <v>30</v>
      </c>
      <c r="P269">
        <v>1</v>
      </c>
      <c r="Q269" s="1" t="s">
        <v>31</v>
      </c>
      <c r="R269">
        <v>1</v>
      </c>
      <c r="S269" s="1" t="s">
        <v>32</v>
      </c>
      <c r="T269" s="1" t="s">
        <v>33</v>
      </c>
      <c r="U269" s="1" t="s">
        <v>34</v>
      </c>
      <c r="V269" s="1" t="str">
        <f>_xlfn.XLOOKUP(A269,Dictonary!$A$2:$A$5,Dictonary!$B$2:$B$5)</f>
        <v>No information</v>
      </c>
      <c r="W269" s="1" t="str">
        <f>_xlfn.XLOOKUP(D269,Dictonary!$D$2:$D$12,Dictonary!$E$2:$E$12)</f>
        <v>radio/television</v>
      </c>
      <c r="X269" s="1" t="str">
        <f>_xlfn.XLOOKUP(F269,Dictonary!$G$2:$G$6,Dictonary!$H$2:$H$6)</f>
        <v>Less 100</v>
      </c>
      <c r="Y269" s="1" t="str">
        <f>_xlfn.XLOOKUP(I269,Dictonary!$J$2:$J$6,Dictonary!$K$2:$K$6)</f>
        <v>female : divorced/separated/married</v>
      </c>
      <c r="Z269" s="1" t="str">
        <f>_xlfn.XLOOKUP(Q269,Dictonary!$M$2:$M$5,Dictonary!$N$2:$N$5)</f>
        <v>skilled employee / official</v>
      </c>
      <c r="AA269" s="1" t="str">
        <f>_xlfn.XLOOKUP(O269,Dictonary!$P$2:$P$4,Dictonary!$Q$2:$Q$4)</f>
        <v>own</v>
      </c>
    </row>
    <row r="270" spans="1:27" x14ac:dyDescent="0.3">
      <c r="A270" s="1" t="s">
        <v>21</v>
      </c>
      <c r="B270">
        <v>14</v>
      </c>
      <c r="C270" s="1" t="s">
        <v>36</v>
      </c>
      <c r="D270" s="1" t="s">
        <v>51</v>
      </c>
      <c r="E270">
        <v>8978</v>
      </c>
      <c r="F270" s="1" t="s">
        <v>37</v>
      </c>
      <c r="G270" s="1" t="s">
        <v>25</v>
      </c>
      <c r="H270">
        <v>1</v>
      </c>
      <c r="I270" s="1" t="s">
        <v>59</v>
      </c>
      <c r="J270" s="1" t="s">
        <v>27</v>
      </c>
      <c r="K270">
        <v>4</v>
      </c>
      <c r="L270" s="1" t="s">
        <v>48</v>
      </c>
      <c r="M270">
        <v>45</v>
      </c>
      <c r="N270" s="1" t="s">
        <v>29</v>
      </c>
      <c r="O270" s="1" t="s">
        <v>30</v>
      </c>
      <c r="P270">
        <v>1</v>
      </c>
      <c r="Q270" s="1" t="s">
        <v>57</v>
      </c>
      <c r="R270">
        <v>1</v>
      </c>
      <c r="S270" s="1" t="s">
        <v>32</v>
      </c>
      <c r="T270" s="1" t="s">
        <v>67</v>
      </c>
      <c r="U270" s="1" t="s">
        <v>41</v>
      </c>
      <c r="V270" s="1" t="str">
        <f>_xlfn.XLOOKUP(A270,Dictonary!$A$2:$A$5,Dictonary!$B$2:$B$5)</f>
        <v>Negative balance</v>
      </c>
      <c r="W270" s="1" t="str">
        <f>_xlfn.XLOOKUP(D270,Dictonary!$D$2:$D$12,Dictonary!$E$2:$E$12)</f>
        <v>car (new)</v>
      </c>
      <c r="X270" s="1" t="str">
        <f>_xlfn.XLOOKUP(F270,Dictonary!$G$2:$G$6,Dictonary!$H$2:$H$6)</f>
        <v>Less 100</v>
      </c>
      <c r="Y270" s="1" t="str">
        <f>_xlfn.XLOOKUP(I270,Dictonary!$J$2:$J$6,Dictonary!$K$2:$K$6)</f>
        <v>male : divorced/separated</v>
      </c>
      <c r="Z270" s="1" t="str">
        <f>_xlfn.XLOOKUP(Q270,Dictonary!$M$2:$M$5,Dictonary!$N$2:$N$5)</f>
        <v>management/ self-employed/ highly qualified employee/ officer</v>
      </c>
      <c r="AA270" s="1" t="str">
        <f>_xlfn.XLOOKUP(O270,Dictonary!$P$2:$P$4,Dictonary!$Q$2:$Q$4)</f>
        <v>own</v>
      </c>
    </row>
    <row r="271" spans="1:27" x14ac:dyDescent="0.3">
      <c r="A271" s="1" t="s">
        <v>42</v>
      </c>
      <c r="B271">
        <v>24</v>
      </c>
      <c r="C271" s="1" t="s">
        <v>36</v>
      </c>
      <c r="D271" s="1" t="s">
        <v>23</v>
      </c>
      <c r="E271">
        <v>999</v>
      </c>
      <c r="F271" s="1" t="s">
        <v>24</v>
      </c>
      <c r="G271" s="1" t="s">
        <v>25</v>
      </c>
      <c r="H271">
        <v>4</v>
      </c>
      <c r="I271" s="1" t="s">
        <v>26</v>
      </c>
      <c r="J271" s="1" t="s">
        <v>27</v>
      </c>
      <c r="K271">
        <v>2</v>
      </c>
      <c r="L271" s="1" t="s">
        <v>55</v>
      </c>
      <c r="M271">
        <v>25</v>
      </c>
      <c r="N271" s="1" t="s">
        <v>29</v>
      </c>
      <c r="O271" s="1" t="s">
        <v>30</v>
      </c>
      <c r="P271">
        <v>2</v>
      </c>
      <c r="Q271" s="1" t="s">
        <v>31</v>
      </c>
      <c r="R271">
        <v>1</v>
      </c>
      <c r="S271" s="1" t="s">
        <v>40</v>
      </c>
      <c r="T271" s="1" t="s">
        <v>33</v>
      </c>
      <c r="U271" s="1" t="s">
        <v>34</v>
      </c>
      <c r="V271" s="1" t="str">
        <f>_xlfn.XLOOKUP(A271,Dictonary!$A$2:$A$5,Dictonary!$B$2:$B$5)</f>
        <v>No information</v>
      </c>
      <c r="W271" s="1" t="str">
        <f>_xlfn.XLOOKUP(D271,Dictonary!$D$2:$D$12,Dictonary!$E$2:$E$12)</f>
        <v>radio/television</v>
      </c>
      <c r="X271" s="1" t="str">
        <f>_xlfn.XLOOKUP(F271,Dictonary!$G$2:$G$6,Dictonary!$H$2:$H$6)</f>
        <v>No information</v>
      </c>
      <c r="Y271" s="1" t="str">
        <f>_xlfn.XLOOKUP(I271,Dictonary!$J$2:$J$6,Dictonary!$K$2:$K$6)</f>
        <v>male : single</v>
      </c>
      <c r="Z271" s="1" t="str">
        <f>_xlfn.XLOOKUP(Q271,Dictonary!$M$2:$M$5,Dictonary!$N$2:$N$5)</f>
        <v>skilled employee / official</v>
      </c>
      <c r="AA271" s="1" t="str">
        <f>_xlfn.XLOOKUP(O271,Dictonary!$P$2:$P$4,Dictonary!$Q$2:$Q$4)</f>
        <v>own</v>
      </c>
    </row>
    <row r="272" spans="1:27" x14ac:dyDescent="0.3">
      <c r="A272" s="1" t="s">
        <v>42</v>
      </c>
      <c r="B272">
        <v>18</v>
      </c>
      <c r="C272" s="1" t="s">
        <v>36</v>
      </c>
      <c r="D272" s="1" t="s">
        <v>51</v>
      </c>
      <c r="E272">
        <v>2662</v>
      </c>
      <c r="F272" s="1" t="s">
        <v>24</v>
      </c>
      <c r="G272" s="1" t="s">
        <v>44</v>
      </c>
      <c r="H272">
        <v>4</v>
      </c>
      <c r="I272" s="1" t="s">
        <v>26</v>
      </c>
      <c r="J272" s="1" t="s">
        <v>27</v>
      </c>
      <c r="K272">
        <v>3</v>
      </c>
      <c r="L272" s="1" t="s">
        <v>48</v>
      </c>
      <c r="M272">
        <v>32</v>
      </c>
      <c r="N272" s="1" t="s">
        <v>29</v>
      </c>
      <c r="O272" s="1" t="s">
        <v>30</v>
      </c>
      <c r="P272">
        <v>1</v>
      </c>
      <c r="Q272" s="1" t="s">
        <v>31</v>
      </c>
      <c r="R272">
        <v>1</v>
      </c>
      <c r="S272" s="1" t="s">
        <v>40</v>
      </c>
      <c r="T272" s="1" t="s">
        <v>67</v>
      </c>
      <c r="U272" s="1" t="s">
        <v>34</v>
      </c>
      <c r="V272" s="1" t="str">
        <f>_xlfn.XLOOKUP(A272,Dictonary!$A$2:$A$5,Dictonary!$B$2:$B$5)</f>
        <v>No information</v>
      </c>
      <c r="W272" s="1" t="str">
        <f>_xlfn.XLOOKUP(D272,Dictonary!$D$2:$D$12,Dictonary!$E$2:$E$12)</f>
        <v>car (new)</v>
      </c>
      <c r="X272" s="1" t="str">
        <f>_xlfn.XLOOKUP(F272,Dictonary!$G$2:$G$6,Dictonary!$H$2:$H$6)</f>
        <v>No information</v>
      </c>
      <c r="Y272" s="1" t="str">
        <f>_xlfn.XLOOKUP(I272,Dictonary!$J$2:$J$6,Dictonary!$K$2:$K$6)</f>
        <v>male : single</v>
      </c>
      <c r="Z272" s="1" t="str">
        <f>_xlfn.XLOOKUP(Q272,Dictonary!$M$2:$M$5,Dictonary!$N$2:$N$5)</f>
        <v>skilled employee / official</v>
      </c>
      <c r="AA272" s="1" t="str">
        <f>_xlfn.XLOOKUP(O272,Dictonary!$P$2:$P$4,Dictonary!$Q$2:$Q$4)</f>
        <v>own</v>
      </c>
    </row>
    <row r="273" spans="1:27" x14ac:dyDescent="0.3">
      <c r="A273" s="1" t="s">
        <v>42</v>
      </c>
      <c r="B273">
        <v>12</v>
      </c>
      <c r="C273" s="1" t="s">
        <v>22</v>
      </c>
      <c r="D273" s="1" t="s">
        <v>46</v>
      </c>
      <c r="E273">
        <v>1402</v>
      </c>
      <c r="F273" s="1" t="s">
        <v>53</v>
      </c>
      <c r="G273" s="1" t="s">
        <v>44</v>
      </c>
      <c r="H273">
        <v>3</v>
      </c>
      <c r="I273" s="1" t="s">
        <v>39</v>
      </c>
      <c r="J273" s="1" t="s">
        <v>27</v>
      </c>
      <c r="K273">
        <v>4</v>
      </c>
      <c r="L273" s="1" t="s">
        <v>55</v>
      </c>
      <c r="M273">
        <v>37</v>
      </c>
      <c r="N273" s="1" t="s">
        <v>29</v>
      </c>
      <c r="O273" s="1" t="s">
        <v>56</v>
      </c>
      <c r="P273">
        <v>1</v>
      </c>
      <c r="Q273" s="1" t="s">
        <v>31</v>
      </c>
      <c r="R273">
        <v>1</v>
      </c>
      <c r="S273" s="1" t="s">
        <v>32</v>
      </c>
      <c r="T273" s="1" t="s">
        <v>33</v>
      </c>
      <c r="U273" s="1" t="s">
        <v>34</v>
      </c>
      <c r="V273" s="1" t="str">
        <f>_xlfn.XLOOKUP(A273,Dictonary!$A$2:$A$5,Dictonary!$B$2:$B$5)</f>
        <v>No information</v>
      </c>
      <c r="W273" s="1" t="str">
        <f>_xlfn.XLOOKUP(D273,Dictonary!$D$2:$D$12,Dictonary!$E$2:$E$12)</f>
        <v>furniture/equipment</v>
      </c>
      <c r="X273" s="1" t="str">
        <f>_xlfn.XLOOKUP(F273,Dictonary!$G$2:$G$6,Dictonary!$H$2:$H$6)</f>
        <v>Up to 1000</v>
      </c>
      <c r="Y273" s="1" t="str">
        <f>_xlfn.XLOOKUP(I273,Dictonary!$J$2:$J$6,Dictonary!$K$2:$K$6)</f>
        <v>female : divorced/separated/married</v>
      </c>
      <c r="Z273" s="1" t="str">
        <f>_xlfn.XLOOKUP(Q273,Dictonary!$M$2:$M$5,Dictonary!$N$2:$N$5)</f>
        <v>skilled employee / official</v>
      </c>
      <c r="AA273" s="1" t="str">
        <f>_xlfn.XLOOKUP(O273,Dictonary!$P$2:$P$4,Dictonary!$Q$2:$Q$4)</f>
        <v>rent</v>
      </c>
    </row>
    <row r="274" spans="1:27" x14ac:dyDescent="0.3">
      <c r="A274" s="1" t="s">
        <v>35</v>
      </c>
      <c r="B274">
        <v>48</v>
      </c>
      <c r="C274" s="1" t="s">
        <v>69</v>
      </c>
      <c r="D274" s="1" t="s">
        <v>51</v>
      </c>
      <c r="E274">
        <v>12169</v>
      </c>
      <c r="F274" s="1" t="s">
        <v>24</v>
      </c>
      <c r="G274" s="1" t="s">
        <v>60</v>
      </c>
      <c r="H274">
        <v>4</v>
      </c>
      <c r="I274" s="1" t="s">
        <v>26</v>
      </c>
      <c r="J274" s="1" t="s">
        <v>71</v>
      </c>
      <c r="K274">
        <v>4</v>
      </c>
      <c r="L274" s="1" t="s">
        <v>52</v>
      </c>
      <c r="M274">
        <v>36</v>
      </c>
      <c r="N274" s="1" t="s">
        <v>29</v>
      </c>
      <c r="O274" s="1" t="s">
        <v>49</v>
      </c>
      <c r="P274">
        <v>1</v>
      </c>
      <c r="Q274" s="1" t="s">
        <v>57</v>
      </c>
      <c r="R274">
        <v>1</v>
      </c>
      <c r="S274" s="1" t="s">
        <v>32</v>
      </c>
      <c r="T274" s="1" t="s">
        <v>33</v>
      </c>
      <c r="U274" s="1" t="s">
        <v>34</v>
      </c>
      <c r="V274" s="1" t="str">
        <f>_xlfn.XLOOKUP(A274,Dictonary!$A$2:$A$5,Dictonary!$B$2:$B$5)</f>
        <v>Low balance</v>
      </c>
      <c r="W274" s="1" t="str">
        <f>_xlfn.XLOOKUP(D274,Dictonary!$D$2:$D$12,Dictonary!$E$2:$E$12)</f>
        <v>car (new)</v>
      </c>
      <c r="X274" s="1" t="str">
        <f>_xlfn.XLOOKUP(F274,Dictonary!$G$2:$G$6,Dictonary!$H$2:$H$6)</f>
        <v>No information</v>
      </c>
      <c r="Y274" s="1" t="str">
        <f>_xlfn.XLOOKUP(I274,Dictonary!$J$2:$J$6,Dictonary!$K$2:$K$6)</f>
        <v>male : single</v>
      </c>
      <c r="Z274" s="1" t="str">
        <f>_xlfn.XLOOKUP(Q274,Dictonary!$M$2:$M$5,Dictonary!$N$2:$N$5)</f>
        <v>management/ self-employed/ highly qualified employee/ officer</v>
      </c>
      <c r="AA274" s="1" t="str">
        <f>_xlfn.XLOOKUP(O274,Dictonary!$P$2:$P$4,Dictonary!$Q$2:$Q$4)</f>
        <v>for free</v>
      </c>
    </row>
    <row r="275" spans="1:27" x14ac:dyDescent="0.3">
      <c r="A275" s="1" t="s">
        <v>35</v>
      </c>
      <c r="B275">
        <v>48</v>
      </c>
      <c r="C275" s="1" t="s">
        <v>36</v>
      </c>
      <c r="D275" s="1" t="s">
        <v>23</v>
      </c>
      <c r="E275">
        <v>3060</v>
      </c>
      <c r="F275" s="1" t="s">
        <v>37</v>
      </c>
      <c r="G275" s="1" t="s">
        <v>44</v>
      </c>
      <c r="H275">
        <v>4</v>
      </c>
      <c r="I275" s="1" t="s">
        <v>26</v>
      </c>
      <c r="J275" s="1" t="s">
        <v>27</v>
      </c>
      <c r="K275">
        <v>4</v>
      </c>
      <c r="L275" s="1" t="s">
        <v>28</v>
      </c>
      <c r="M275">
        <v>28</v>
      </c>
      <c r="N275" s="1" t="s">
        <v>29</v>
      </c>
      <c r="O275" s="1" t="s">
        <v>30</v>
      </c>
      <c r="P275">
        <v>2</v>
      </c>
      <c r="Q275" s="1" t="s">
        <v>31</v>
      </c>
      <c r="R275">
        <v>1</v>
      </c>
      <c r="S275" s="1" t="s">
        <v>40</v>
      </c>
      <c r="T275" s="1" t="s">
        <v>33</v>
      </c>
      <c r="U275" s="1" t="s">
        <v>41</v>
      </c>
      <c r="V275" s="1" t="str">
        <f>_xlfn.XLOOKUP(A275,Dictonary!$A$2:$A$5,Dictonary!$B$2:$B$5)</f>
        <v>Low balance</v>
      </c>
      <c r="W275" s="1" t="str">
        <f>_xlfn.XLOOKUP(D275,Dictonary!$D$2:$D$12,Dictonary!$E$2:$E$12)</f>
        <v>radio/television</v>
      </c>
      <c r="X275" s="1" t="str">
        <f>_xlfn.XLOOKUP(F275,Dictonary!$G$2:$G$6,Dictonary!$H$2:$H$6)</f>
        <v>Less 100</v>
      </c>
      <c r="Y275" s="1" t="str">
        <f>_xlfn.XLOOKUP(I275,Dictonary!$J$2:$J$6,Dictonary!$K$2:$K$6)</f>
        <v>male : single</v>
      </c>
      <c r="Z275" s="1" t="str">
        <f>_xlfn.XLOOKUP(Q275,Dictonary!$M$2:$M$5,Dictonary!$N$2:$N$5)</f>
        <v>skilled employee / official</v>
      </c>
      <c r="AA275" s="1" t="str">
        <f>_xlfn.XLOOKUP(O275,Dictonary!$P$2:$P$4,Dictonary!$Q$2:$Q$4)</f>
        <v>own</v>
      </c>
    </row>
    <row r="276" spans="1:27" x14ac:dyDescent="0.3">
      <c r="A276" s="1" t="s">
        <v>21</v>
      </c>
      <c r="B276">
        <v>30</v>
      </c>
      <c r="C276" s="1" t="s">
        <v>36</v>
      </c>
      <c r="D276" s="1" t="s">
        <v>73</v>
      </c>
      <c r="E276">
        <v>11998</v>
      </c>
      <c r="F276" s="1" t="s">
        <v>37</v>
      </c>
      <c r="G276" s="1" t="s">
        <v>62</v>
      </c>
      <c r="H276">
        <v>1</v>
      </c>
      <c r="I276" s="1" t="s">
        <v>59</v>
      </c>
      <c r="J276" s="1" t="s">
        <v>27</v>
      </c>
      <c r="K276">
        <v>1</v>
      </c>
      <c r="L276" s="1" t="s">
        <v>52</v>
      </c>
      <c r="M276">
        <v>34</v>
      </c>
      <c r="N276" s="1" t="s">
        <v>29</v>
      </c>
      <c r="O276" s="1" t="s">
        <v>30</v>
      </c>
      <c r="P276">
        <v>1</v>
      </c>
      <c r="Q276" s="1" t="s">
        <v>45</v>
      </c>
      <c r="R276">
        <v>1</v>
      </c>
      <c r="S276" s="1" t="s">
        <v>32</v>
      </c>
      <c r="T276" s="1" t="s">
        <v>33</v>
      </c>
      <c r="U276" s="1" t="s">
        <v>41</v>
      </c>
      <c r="V276" s="1" t="str">
        <f>_xlfn.XLOOKUP(A276,Dictonary!$A$2:$A$5,Dictonary!$B$2:$B$5)</f>
        <v>Negative balance</v>
      </c>
      <c r="W276" s="1" t="str">
        <f>_xlfn.XLOOKUP(D276,Dictonary!$D$2:$D$12,Dictonary!$E$2:$E$12)</f>
        <v>repairs</v>
      </c>
      <c r="X276" s="1" t="str">
        <f>_xlfn.XLOOKUP(F276,Dictonary!$G$2:$G$6,Dictonary!$H$2:$H$6)</f>
        <v>Less 100</v>
      </c>
      <c r="Y276" s="1" t="str">
        <f>_xlfn.XLOOKUP(I276,Dictonary!$J$2:$J$6,Dictonary!$K$2:$K$6)</f>
        <v>male : divorced/separated</v>
      </c>
      <c r="Z276" s="1" t="str">
        <f>_xlfn.XLOOKUP(Q276,Dictonary!$M$2:$M$5,Dictonary!$N$2:$N$5)</f>
        <v>unskilled - resident</v>
      </c>
      <c r="AA276" s="1" t="str">
        <f>_xlfn.XLOOKUP(O276,Dictonary!$P$2:$P$4,Dictonary!$Q$2:$Q$4)</f>
        <v>own</v>
      </c>
    </row>
    <row r="277" spans="1:27" x14ac:dyDescent="0.3">
      <c r="A277" s="1" t="s">
        <v>42</v>
      </c>
      <c r="B277">
        <v>9</v>
      </c>
      <c r="C277" s="1" t="s">
        <v>36</v>
      </c>
      <c r="D277" s="1" t="s">
        <v>23</v>
      </c>
      <c r="E277">
        <v>2697</v>
      </c>
      <c r="F277" s="1" t="s">
        <v>37</v>
      </c>
      <c r="G277" s="1" t="s">
        <v>38</v>
      </c>
      <c r="H277">
        <v>1</v>
      </c>
      <c r="I277" s="1" t="s">
        <v>26</v>
      </c>
      <c r="J277" s="1" t="s">
        <v>27</v>
      </c>
      <c r="K277">
        <v>2</v>
      </c>
      <c r="L277" s="1" t="s">
        <v>28</v>
      </c>
      <c r="M277">
        <v>32</v>
      </c>
      <c r="N277" s="1" t="s">
        <v>29</v>
      </c>
      <c r="O277" s="1" t="s">
        <v>30</v>
      </c>
      <c r="P277">
        <v>1</v>
      </c>
      <c r="Q277" s="1" t="s">
        <v>31</v>
      </c>
      <c r="R277">
        <v>2</v>
      </c>
      <c r="S277" s="1" t="s">
        <v>40</v>
      </c>
      <c r="T277" s="1" t="s">
        <v>33</v>
      </c>
      <c r="U277" s="1" t="s">
        <v>34</v>
      </c>
      <c r="V277" s="1" t="str">
        <f>_xlfn.XLOOKUP(A277,Dictonary!$A$2:$A$5,Dictonary!$B$2:$B$5)</f>
        <v>No information</v>
      </c>
      <c r="W277" s="1" t="str">
        <f>_xlfn.XLOOKUP(D277,Dictonary!$D$2:$D$12,Dictonary!$E$2:$E$12)</f>
        <v>radio/television</v>
      </c>
      <c r="X277" s="1" t="str">
        <f>_xlfn.XLOOKUP(F277,Dictonary!$G$2:$G$6,Dictonary!$H$2:$H$6)</f>
        <v>Less 100</v>
      </c>
      <c r="Y277" s="1" t="str">
        <f>_xlfn.XLOOKUP(I277,Dictonary!$J$2:$J$6,Dictonary!$K$2:$K$6)</f>
        <v>male : single</v>
      </c>
      <c r="Z277" s="1" t="str">
        <f>_xlfn.XLOOKUP(Q277,Dictonary!$M$2:$M$5,Dictonary!$N$2:$N$5)</f>
        <v>skilled employee / official</v>
      </c>
      <c r="AA277" s="1" t="str">
        <f>_xlfn.XLOOKUP(O277,Dictonary!$P$2:$P$4,Dictonary!$Q$2:$Q$4)</f>
        <v>own</v>
      </c>
    </row>
    <row r="278" spans="1:27" x14ac:dyDescent="0.3">
      <c r="A278" s="1" t="s">
        <v>42</v>
      </c>
      <c r="B278">
        <v>18</v>
      </c>
      <c r="C278" s="1" t="s">
        <v>22</v>
      </c>
      <c r="D278" s="1" t="s">
        <v>23</v>
      </c>
      <c r="E278">
        <v>2404</v>
      </c>
      <c r="F278" s="1" t="s">
        <v>37</v>
      </c>
      <c r="G278" s="1" t="s">
        <v>38</v>
      </c>
      <c r="H278">
        <v>2</v>
      </c>
      <c r="I278" s="1" t="s">
        <v>39</v>
      </c>
      <c r="J278" s="1" t="s">
        <v>27</v>
      </c>
      <c r="K278">
        <v>2</v>
      </c>
      <c r="L278" s="1" t="s">
        <v>55</v>
      </c>
      <c r="M278">
        <v>26</v>
      </c>
      <c r="N278" s="1" t="s">
        <v>29</v>
      </c>
      <c r="O278" s="1" t="s">
        <v>30</v>
      </c>
      <c r="P278">
        <v>2</v>
      </c>
      <c r="Q278" s="1" t="s">
        <v>31</v>
      </c>
      <c r="R278">
        <v>1</v>
      </c>
      <c r="S278" s="1" t="s">
        <v>40</v>
      </c>
      <c r="T278" s="1" t="s">
        <v>33</v>
      </c>
      <c r="U278" s="1" t="s">
        <v>34</v>
      </c>
      <c r="V278" s="1" t="str">
        <f>_xlfn.XLOOKUP(A278,Dictonary!$A$2:$A$5,Dictonary!$B$2:$B$5)</f>
        <v>No information</v>
      </c>
      <c r="W278" s="1" t="str">
        <f>_xlfn.XLOOKUP(D278,Dictonary!$D$2:$D$12,Dictonary!$E$2:$E$12)</f>
        <v>radio/television</v>
      </c>
      <c r="X278" s="1" t="str">
        <f>_xlfn.XLOOKUP(F278,Dictonary!$G$2:$G$6,Dictonary!$H$2:$H$6)</f>
        <v>Less 100</v>
      </c>
      <c r="Y278" s="1" t="str">
        <f>_xlfn.XLOOKUP(I278,Dictonary!$J$2:$J$6,Dictonary!$K$2:$K$6)</f>
        <v>female : divorced/separated/married</v>
      </c>
      <c r="Z278" s="1" t="str">
        <f>_xlfn.XLOOKUP(Q278,Dictonary!$M$2:$M$5,Dictonary!$N$2:$N$5)</f>
        <v>skilled employee / official</v>
      </c>
      <c r="AA278" s="1" t="str">
        <f>_xlfn.XLOOKUP(O278,Dictonary!$P$2:$P$4,Dictonary!$Q$2:$Q$4)</f>
        <v>own</v>
      </c>
    </row>
    <row r="279" spans="1:27" x14ac:dyDescent="0.3">
      <c r="A279" s="1" t="s">
        <v>21</v>
      </c>
      <c r="B279">
        <v>12</v>
      </c>
      <c r="C279" s="1" t="s">
        <v>36</v>
      </c>
      <c r="D279" s="1" t="s">
        <v>46</v>
      </c>
      <c r="E279">
        <v>1262</v>
      </c>
      <c r="F279" s="1" t="s">
        <v>24</v>
      </c>
      <c r="G279" s="1" t="s">
        <v>25</v>
      </c>
      <c r="H279">
        <v>2</v>
      </c>
      <c r="I279" s="1" t="s">
        <v>59</v>
      </c>
      <c r="J279" s="1" t="s">
        <v>27</v>
      </c>
      <c r="K279">
        <v>4</v>
      </c>
      <c r="L279" s="1" t="s">
        <v>48</v>
      </c>
      <c r="M279">
        <v>49</v>
      </c>
      <c r="N279" s="1" t="s">
        <v>29</v>
      </c>
      <c r="O279" s="1" t="s">
        <v>30</v>
      </c>
      <c r="P279">
        <v>1</v>
      </c>
      <c r="Q279" s="1" t="s">
        <v>45</v>
      </c>
      <c r="R279">
        <v>1</v>
      </c>
      <c r="S279" s="1" t="s">
        <v>32</v>
      </c>
      <c r="T279" s="1" t="s">
        <v>33</v>
      </c>
      <c r="U279" s="1" t="s">
        <v>34</v>
      </c>
      <c r="V279" s="1" t="str">
        <f>_xlfn.XLOOKUP(A279,Dictonary!$A$2:$A$5,Dictonary!$B$2:$B$5)</f>
        <v>Negative balance</v>
      </c>
      <c r="W279" s="1" t="str">
        <f>_xlfn.XLOOKUP(D279,Dictonary!$D$2:$D$12,Dictonary!$E$2:$E$12)</f>
        <v>furniture/equipment</v>
      </c>
      <c r="X279" s="1" t="str">
        <f>_xlfn.XLOOKUP(F279,Dictonary!$G$2:$G$6,Dictonary!$H$2:$H$6)</f>
        <v>No information</v>
      </c>
      <c r="Y279" s="1" t="str">
        <f>_xlfn.XLOOKUP(I279,Dictonary!$J$2:$J$6,Dictonary!$K$2:$K$6)</f>
        <v>male : divorced/separated</v>
      </c>
      <c r="Z279" s="1" t="str">
        <f>_xlfn.XLOOKUP(Q279,Dictonary!$M$2:$M$5,Dictonary!$N$2:$N$5)</f>
        <v>unskilled - resident</v>
      </c>
      <c r="AA279" s="1" t="str">
        <f>_xlfn.XLOOKUP(O279,Dictonary!$P$2:$P$4,Dictonary!$Q$2:$Q$4)</f>
        <v>own</v>
      </c>
    </row>
    <row r="280" spans="1:27" x14ac:dyDescent="0.3">
      <c r="A280" s="1" t="s">
        <v>42</v>
      </c>
      <c r="B280">
        <v>6</v>
      </c>
      <c r="C280" s="1" t="s">
        <v>36</v>
      </c>
      <c r="D280" s="1" t="s">
        <v>46</v>
      </c>
      <c r="E280">
        <v>4611</v>
      </c>
      <c r="F280" s="1" t="s">
        <v>37</v>
      </c>
      <c r="G280" s="1" t="s">
        <v>62</v>
      </c>
      <c r="H280">
        <v>1</v>
      </c>
      <c r="I280" s="1" t="s">
        <v>39</v>
      </c>
      <c r="J280" s="1" t="s">
        <v>27</v>
      </c>
      <c r="K280">
        <v>4</v>
      </c>
      <c r="L280" s="1" t="s">
        <v>48</v>
      </c>
      <c r="M280">
        <v>32</v>
      </c>
      <c r="N280" s="1" t="s">
        <v>29</v>
      </c>
      <c r="O280" s="1" t="s">
        <v>30</v>
      </c>
      <c r="P280">
        <v>1</v>
      </c>
      <c r="Q280" s="1" t="s">
        <v>31</v>
      </c>
      <c r="R280">
        <v>1</v>
      </c>
      <c r="S280" s="1" t="s">
        <v>40</v>
      </c>
      <c r="T280" s="1" t="s">
        <v>33</v>
      </c>
      <c r="U280" s="1" t="s">
        <v>41</v>
      </c>
      <c r="V280" s="1" t="str">
        <f>_xlfn.XLOOKUP(A280,Dictonary!$A$2:$A$5,Dictonary!$B$2:$B$5)</f>
        <v>No information</v>
      </c>
      <c r="W280" s="1" t="str">
        <f>_xlfn.XLOOKUP(D280,Dictonary!$D$2:$D$12,Dictonary!$E$2:$E$12)</f>
        <v>furniture/equipment</v>
      </c>
      <c r="X280" s="1" t="str">
        <f>_xlfn.XLOOKUP(F280,Dictonary!$G$2:$G$6,Dictonary!$H$2:$H$6)</f>
        <v>Less 100</v>
      </c>
      <c r="Y280" s="1" t="str">
        <f>_xlfn.XLOOKUP(I280,Dictonary!$J$2:$J$6,Dictonary!$K$2:$K$6)</f>
        <v>female : divorced/separated/married</v>
      </c>
      <c r="Z280" s="1" t="str">
        <f>_xlfn.XLOOKUP(Q280,Dictonary!$M$2:$M$5,Dictonary!$N$2:$N$5)</f>
        <v>skilled employee / official</v>
      </c>
      <c r="AA280" s="1" t="str">
        <f>_xlfn.XLOOKUP(O280,Dictonary!$P$2:$P$4,Dictonary!$Q$2:$Q$4)</f>
        <v>own</v>
      </c>
    </row>
    <row r="281" spans="1:27" x14ac:dyDescent="0.3">
      <c r="A281" s="1" t="s">
        <v>42</v>
      </c>
      <c r="B281">
        <v>24</v>
      </c>
      <c r="C281" s="1" t="s">
        <v>36</v>
      </c>
      <c r="D281" s="1" t="s">
        <v>23</v>
      </c>
      <c r="E281">
        <v>1901</v>
      </c>
      <c r="F281" s="1" t="s">
        <v>64</v>
      </c>
      <c r="G281" s="1" t="s">
        <v>38</v>
      </c>
      <c r="H281">
        <v>4</v>
      </c>
      <c r="I281" s="1" t="s">
        <v>26</v>
      </c>
      <c r="J281" s="1" t="s">
        <v>27</v>
      </c>
      <c r="K281">
        <v>4</v>
      </c>
      <c r="L281" s="1" t="s">
        <v>55</v>
      </c>
      <c r="M281">
        <v>29</v>
      </c>
      <c r="N281" s="1" t="s">
        <v>29</v>
      </c>
      <c r="O281" s="1" t="s">
        <v>56</v>
      </c>
      <c r="P281">
        <v>1</v>
      </c>
      <c r="Q281" s="1" t="s">
        <v>57</v>
      </c>
      <c r="R281">
        <v>1</v>
      </c>
      <c r="S281" s="1" t="s">
        <v>32</v>
      </c>
      <c r="T281" s="1" t="s">
        <v>33</v>
      </c>
      <c r="U281" s="1" t="s">
        <v>34</v>
      </c>
      <c r="V281" s="1" t="str">
        <f>_xlfn.XLOOKUP(A281,Dictonary!$A$2:$A$5,Dictonary!$B$2:$B$5)</f>
        <v>No information</v>
      </c>
      <c r="W281" s="1" t="str">
        <f>_xlfn.XLOOKUP(D281,Dictonary!$D$2:$D$12,Dictonary!$E$2:$E$12)</f>
        <v>radio/television</v>
      </c>
      <c r="X281" s="1" t="str">
        <f>_xlfn.XLOOKUP(F281,Dictonary!$G$2:$G$6,Dictonary!$H$2:$H$6)</f>
        <v>Up to 500</v>
      </c>
      <c r="Y281" s="1" t="str">
        <f>_xlfn.XLOOKUP(I281,Dictonary!$J$2:$J$6,Dictonary!$K$2:$K$6)</f>
        <v>male : single</v>
      </c>
      <c r="Z281" s="1" t="str">
        <f>_xlfn.XLOOKUP(Q281,Dictonary!$M$2:$M$5,Dictonary!$N$2:$N$5)</f>
        <v>management/ self-employed/ highly qualified employee/ officer</v>
      </c>
      <c r="AA281" s="1" t="str">
        <f>_xlfn.XLOOKUP(O281,Dictonary!$P$2:$P$4,Dictonary!$Q$2:$Q$4)</f>
        <v>rent</v>
      </c>
    </row>
    <row r="282" spans="1:27" x14ac:dyDescent="0.3">
      <c r="A282" s="1" t="s">
        <v>42</v>
      </c>
      <c r="B282">
        <v>15</v>
      </c>
      <c r="C282" s="1" t="s">
        <v>22</v>
      </c>
      <c r="D282" s="1" t="s">
        <v>54</v>
      </c>
      <c r="E282">
        <v>3368</v>
      </c>
      <c r="F282" s="1" t="s">
        <v>58</v>
      </c>
      <c r="G282" s="1" t="s">
        <v>25</v>
      </c>
      <c r="H282">
        <v>3</v>
      </c>
      <c r="I282" s="1" t="s">
        <v>26</v>
      </c>
      <c r="J282" s="1" t="s">
        <v>27</v>
      </c>
      <c r="K282">
        <v>4</v>
      </c>
      <c r="L282" s="1" t="s">
        <v>52</v>
      </c>
      <c r="M282">
        <v>23</v>
      </c>
      <c r="N282" s="1" t="s">
        <v>29</v>
      </c>
      <c r="O282" s="1" t="s">
        <v>56</v>
      </c>
      <c r="P282">
        <v>2</v>
      </c>
      <c r="Q282" s="1" t="s">
        <v>31</v>
      </c>
      <c r="R282">
        <v>1</v>
      </c>
      <c r="S282" s="1" t="s">
        <v>32</v>
      </c>
      <c r="T282" s="1" t="s">
        <v>33</v>
      </c>
      <c r="U282" s="1" t="s">
        <v>34</v>
      </c>
      <c r="V282" s="1" t="str">
        <f>_xlfn.XLOOKUP(A282,Dictonary!$A$2:$A$5,Dictonary!$B$2:$B$5)</f>
        <v>No information</v>
      </c>
      <c r="W282" s="1" t="str">
        <f>_xlfn.XLOOKUP(D282,Dictonary!$D$2:$D$12,Dictonary!$E$2:$E$12)</f>
        <v>car (used)</v>
      </c>
      <c r="X282" s="1" t="str">
        <f>_xlfn.XLOOKUP(F282,Dictonary!$G$2:$G$6,Dictonary!$H$2:$H$6)</f>
        <v>More 1000</v>
      </c>
      <c r="Y282" s="1" t="str">
        <f>_xlfn.XLOOKUP(I282,Dictonary!$J$2:$J$6,Dictonary!$K$2:$K$6)</f>
        <v>male : single</v>
      </c>
      <c r="Z282" s="1" t="str">
        <f>_xlfn.XLOOKUP(Q282,Dictonary!$M$2:$M$5,Dictonary!$N$2:$N$5)</f>
        <v>skilled employee / official</v>
      </c>
      <c r="AA282" s="1" t="str">
        <f>_xlfn.XLOOKUP(O282,Dictonary!$P$2:$P$4,Dictonary!$Q$2:$Q$4)</f>
        <v>rent</v>
      </c>
    </row>
    <row r="283" spans="1:27" x14ac:dyDescent="0.3">
      <c r="A283" s="1" t="s">
        <v>42</v>
      </c>
      <c r="B283">
        <v>12</v>
      </c>
      <c r="C283" s="1" t="s">
        <v>36</v>
      </c>
      <c r="D283" s="1" t="s">
        <v>46</v>
      </c>
      <c r="E283">
        <v>1574</v>
      </c>
      <c r="F283" s="1" t="s">
        <v>37</v>
      </c>
      <c r="G283" s="1" t="s">
        <v>38</v>
      </c>
      <c r="H283">
        <v>4</v>
      </c>
      <c r="I283" s="1" t="s">
        <v>26</v>
      </c>
      <c r="J283" s="1" t="s">
        <v>27</v>
      </c>
      <c r="K283">
        <v>2</v>
      </c>
      <c r="L283" s="1" t="s">
        <v>28</v>
      </c>
      <c r="M283">
        <v>50</v>
      </c>
      <c r="N283" s="1" t="s">
        <v>29</v>
      </c>
      <c r="O283" s="1" t="s">
        <v>30</v>
      </c>
      <c r="P283">
        <v>1</v>
      </c>
      <c r="Q283" s="1" t="s">
        <v>31</v>
      </c>
      <c r="R283">
        <v>1</v>
      </c>
      <c r="S283" s="1" t="s">
        <v>40</v>
      </c>
      <c r="T283" s="1" t="s">
        <v>33</v>
      </c>
      <c r="U283" s="1" t="s">
        <v>34</v>
      </c>
      <c r="V283" s="1" t="str">
        <f>_xlfn.XLOOKUP(A283,Dictonary!$A$2:$A$5,Dictonary!$B$2:$B$5)</f>
        <v>No information</v>
      </c>
      <c r="W283" s="1" t="str">
        <f>_xlfn.XLOOKUP(D283,Dictonary!$D$2:$D$12,Dictonary!$E$2:$E$12)</f>
        <v>furniture/equipment</v>
      </c>
      <c r="X283" s="1" t="str">
        <f>_xlfn.XLOOKUP(F283,Dictonary!$G$2:$G$6,Dictonary!$H$2:$H$6)</f>
        <v>Less 100</v>
      </c>
      <c r="Y283" s="1" t="str">
        <f>_xlfn.XLOOKUP(I283,Dictonary!$J$2:$J$6,Dictonary!$K$2:$K$6)</f>
        <v>male : single</v>
      </c>
      <c r="Z283" s="1" t="str">
        <f>_xlfn.XLOOKUP(Q283,Dictonary!$M$2:$M$5,Dictonary!$N$2:$N$5)</f>
        <v>skilled employee / official</v>
      </c>
      <c r="AA283" s="1" t="str">
        <f>_xlfn.XLOOKUP(O283,Dictonary!$P$2:$P$4,Dictonary!$Q$2:$Q$4)</f>
        <v>own</v>
      </c>
    </row>
    <row r="284" spans="1:27" x14ac:dyDescent="0.3">
      <c r="A284" s="1" t="s">
        <v>68</v>
      </c>
      <c r="B284">
        <v>18</v>
      </c>
      <c r="C284" s="1" t="s">
        <v>69</v>
      </c>
      <c r="D284" s="1" t="s">
        <v>23</v>
      </c>
      <c r="E284">
        <v>1445</v>
      </c>
      <c r="F284" s="1" t="s">
        <v>24</v>
      </c>
      <c r="G284" s="1" t="s">
        <v>44</v>
      </c>
      <c r="H284">
        <v>4</v>
      </c>
      <c r="I284" s="1" t="s">
        <v>26</v>
      </c>
      <c r="J284" s="1" t="s">
        <v>27</v>
      </c>
      <c r="K284">
        <v>4</v>
      </c>
      <c r="L284" s="1" t="s">
        <v>55</v>
      </c>
      <c r="M284">
        <v>49</v>
      </c>
      <c r="N284" s="1" t="s">
        <v>66</v>
      </c>
      <c r="O284" s="1" t="s">
        <v>30</v>
      </c>
      <c r="P284">
        <v>1</v>
      </c>
      <c r="Q284" s="1" t="s">
        <v>45</v>
      </c>
      <c r="R284">
        <v>1</v>
      </c>
      <c r="S284" s="1" t="s">
        <v>40</v>
      </c>
      <c r="T284" s="1" t="s">
        <v>33</v>
      </c>
      <c r="U284" s="1" t="s">
        <v>34</v>
      </c>
      <c r="V284" s="1" t="str">
        <f>_xlfn.XLOOKUP(A284,Dictonary!$A$2:$A$5,Dictonary!$B$2:$B$5)</f>
        <v>Normal balance</v>
      </c>
      <c r="W284" s="1" t="str">
        <f>_xlfn.XLOOKUP(D284,Dictonary!$D$2:$D$12,Dictonary!$E$2:$E$12)</f>
        <v>radio/television</v>
      </c>
      <c r="X284" s="1" t="str">
        <f>_xlfn.XLOOKUP(F284,Dictonary!$G$2:$G$6,Dictonary!$H$2:$H$6)</f>
        <v>No information</v>
      </c>
      <c r="Y284" s="1" t="str">
        <f>_xlfn.XLOOKUP(I284,Dictonary!$J$2:$J$6,Dictonary!$K$2:$K$6)</f>
        <v>male : single</v>
      </c>
      <c r="Z284" s="1" t="str">
        <f>_xlfn.XLOOKUP(Q284,Dictonary!$M$2:$M$5,Dictonary!$N$2:$N$5)</f>
        <v>unskilled - resident</v>
      </c>
      <c r="AA284" s="1" t="str">
        <f>_xlfn.XLOOKUP(O284,Dictonary!$P$2:$P$4,Dictonary!$Q$2:$Q$4)</f>
        <v>own</v>
      </c>
    </row>
    <row r="285" spans="1:27" x14ac:dyDescent="0.3">
      <c r="A285" s="1" t="s">
        <v>42</v>
      </c>
      <c r="B285">
        <v>15</v>
      </c>
      <c r="C285" s="1" t="s">
        <v>22</v>
      </c>
      <c r="D285" s="1" t="s">
        <v>46</v>
      </c>
      <c r="E285">
        <v>1520</v>
      </c>
      <c r="F285" s="1" t="s">
        <v>24</v>
      </c>
      <c r="G285" s="1" t="s">
        <v>25</v>
      </c>
      <c r="H285">
        <v>4</v>
      </c>
      <c r="I285" s="1" t="s">
        <v>26</v>
      </c>
      <c r="J285" s="1" t="s">
        <v>27</v>
      </c>
      <c r="K285">
        <v>4</v>
      </c>
      <c r="L285" s="1" t="s">
        <v>48</v>
      </c>
      <c r="M285">
        <v>63</v>
      </c>
      <c r="N285" s="1" t="s">
        <v>29</v>
      </c>
      <c r="O285" s="1" t="s">
        <v>30</v>
      </c>
      <c r="P285">
        <v>1</v>
      </c>
      <c r="Q285" s="1" t="s">
        <v>31</v>
      </c>
      <c r="R285">
        <v>1</v>
      </c>
      <c r="S285" s="1" t="s">
        <v>40</v>
      </c>
      <c r="T285" s="1" t="s">
        <v>33</v>
      </c>
      <c r="U285" s="1" t="s">
        <v>34</v>
      </c>
      <c r="V285" s="1" t="str">
        <f>_xlfn.XLOOKUP(A285,Dictonary!$A$2:$A$5,Dictonary!$B$2:$B$5)</f>
        <v>No information</v>
      </c>
      <c r="W285" s="1" t="str">
        <f>_xlfn.XLOOKUP(D285,Dictonary!$D$2:$D$12,Dictonary!$E$2:$E$12)</f>
        <v>furniture/equipment</v>
      </c>
      <c r="X285" s="1" t="str">
        <f>_xlfn.XLOOKUP(F285,Dictonary!$G$2:$G$6,Dictonary!$H$2:$H$6)</f>
        <v>No information</v>
      </c>
      <c r="Y285" s="1" t="str">
        <f>_xlfn.XLOOKUP(I285,Dictonary!$J$2:$J$6,Dictonary!$K$2:$K$6)</f>
        <v>male : single</v>
      </c>
      <c r="Z285" s="1" t="str">
        <f>_xlfn.XLOOKUP(Q285,Dictonary!$M$2:$M$5,Dictonary!$N$2:$N$5)</f>
        <v>skilled employee / official</v>
      </c>
      <c r="AA285" s="1" t="str">
        <f>_xlfn.XLOOKUP(O285,Dictonary!$P$2:$P$4,Dictonary!$Q$2:$Q$4)</f>
        <v>own</v>
      </c>
    </row>
    <row r="286" spans="1:27" x14ac:dyDescent="0.3">
      <c r="A286" s="1" t="s">
        <v>35</v>
      </c>
      <c r="B286">
        <v>24</v>
      </c>
      <c r="C286" s="1" t="s">
        <v>22</v>
      </c>
      <c r="D286" s="1" t="s">
        <v>51</v>
      </c>
      <c r="E286">
        <v>3878</v>
      </c>
      <c r="F286" s="1" t="s">
        <v>64</v>
      </c>
      <c r="G286" s="1" t="s">
        <v>62</v>
      </c>
      <c r="H286">
        <v>4</v>
      </c>
      <c r="I286" s="1" t="s">
        <v>59</v>
      </c>
      <c r="J286" s="1" t="s">
        <v>27</v>
      </c>
      <c r="K286">
        <v>2</v>
      </c>
      <c r="L286" s="1" t="s">
        <v>55</v>
      </c>
      <c r="M286">
        <v>37</v>
      </c>
      <c r="N286" s="1" t="s">
        <v>29</v>
      </c>
      <c r="O286" s="1" t="s">
        <v>30</v>
      </c>
      <c r="P286">
        <v>1</v>
      </c>
      <c r="Q286" s="1" t="s">
        <v>31</v>
      </c>
      <c r="R286">
        <v>1</v>
      </c>
      <c r="S286" s="1" t="s">
        <v>32</v>
      </c>
      <c r="T286" s="1" t="s">
        <v>33</v>
      </c>
      <c r="U286" s="1" t="s">
        <v>34</v>
      </c>
      <c r="V286" s="1" t="str">
        <f>_xlfn.XLOOKUP(A286,Dictonary!$A$2:$A$5,Dictonary!$B$2:$B$5)</f>
        <v>Low balance</v>
      </c>
      <c r="W286" s="1" t="str">
        <f>_xlfn.XLOOKUP(D286,Dictonary!$D$2:$D$12,Dictonary!$E$2:$E$12)</f>
        <v>car (new)</v>
      </c>
      <c r="X286" s="1" t="str">
        <f>_xlfn.XLOOKUP(F286,Dictonary!$G$2:$G$6,Dictonary!$H$2:$H$6)</f>
        <v>Up to 500</v>
      </c>
      <c r="Y286" s="1" t="str">
        <f>_xlfn.XLOOKUP(I286,Dictonary!$J$2:$J$6,Dictonary!$K$2:$K$6)</f>
        <v>male : divorced/separated</v>
      </c>
      <c r="Z286" s="1" t="str">
        <f>_xlfn.XLOOKUP(Q286,Dictonary!$M$2:$M$5,Dictonary!$N$2:$N$5)</f>
        <v>skilled employee / official</v>
      </c>
      <c r="AA286" s="1" t="str">
        <f>_xlfn.XLOOKUP(O286,Dictonary!$P$2:$P$4,Dictonary!$Q$2:$Q$4)</f>
        <v>own</v>
      </c>
    </row>
    <row r="287" spans="1:27" x14ac:dyDescent="0.3">
      <c r="A287" s="1" t="s">
        <v>21</v>
      </c>
      <c r="B287">
        <v>47</v>
      </c>
      <c r="C287" s="1" t="s">
        <v>36</v>
      </c>
      <c r="D287" s="1" t="s">
        <v>51</v>
      </c>
      <c r="E287">
        <v>10722</v>
      </c>
      <c r="F287" s="1" t="s">
        <v>37</v>
      </c>
      <c r="G287" s="1" t="s">
        <v>62</v>
      </c>
      <c r="H287">
        <v>1</v>
      </c>
      <c r="I287" s="1" t="s">
        <v>39</v>
      </c>
      <c r="J287" s="1" t="s">
        <v>27</v>
      </c>
      <c r="K287">
        <v>1</v>
      </c>
      <c r="L287" s="1" t="s">
        <v>28</v>
      </c>
      <c r="M287">
        <v>35</v>
      </c>
      <c r="N287" s="1" t="s">
        <v>29</v>
      </c>
      <c r="O287" s="1" t="s">
        <v>30</v>
      </c>
      <c r="P287">
        <v>1</v>
      </c>
      <c r="Q287" s="1" t="s">
        <v>45</v>
      </c>
      <c r="R287">
        <v>1</v>
      </c>
      <c r="S287" s="1" t="s">
        <v>32</v>
      </c>
      <c r="T287" s="1" t="s">
        <v>33</v>
      </c>
      <c r="U287" s="1" t="s">
        <v>34</v>
      </c>
      <c r="V287" s="1" t="str">
        <f>_xlfn.XLOOKUP(A287,Dictonary!$A$2:$A$5,Dictonary!$B$2:$B$5)</f>
        <v>Negative balance</v>
      </c>
      <c r="W287" s="1" t="str">
        <f>_xlfn.XLOOKUP(D287,Dictonary!$D$2:$D$12,Dictonary!$E$2:$E$12)</f>
        <v>car (new)</v>
      </c>
      <c r="X287" s="1" t="str">
        <f>_xlfn.XLOOKUP(F287,Dictonary!$G$2:$G$6,Dictonary!$H$2:$H$6)</f>
        <v>Less 100</v>
      </c>
      <c r="Y287" s="1" t="str">
        <f>_xlfn.XLOOKUP(I287,Dictonary!$J$2:$J$6,Dictonary!$K$2:$K$6)</f>
        <v>female : divorced/separated/married</v>
      </c>
      <c r="Z287" s="1" t="str">
        <f>_xlfn.XLOOKUP(Q287,Dictonary!$M$2:$M$5,Dictonary!$N$2:$N$5)</f>
        <v>unskilled - resident</v>
      </c>
      <c r="AA287" s="1" t="str">
        <f>_xlfn.XLOOKUP(O287,Dictonary!$P$2:$P$4,Dictonary!$Q$2:$Q$4)</f>
        <v>own</v>
      </c>
    </row>
    <row r="288" spans="1:27" x14ac:dyDescent="0.3">
      <c r="A288" s="1" t="s">
        <v>21</v>
      </c>
      <c r="B288">
        <v>48</v>
      </c>
      <c r="C288" s="1" t="s">
        <v>36</v>
      </c>
      <c r="D288" s="1" t="s">
        <v>54</v>
      </c>
      <c r="E288">
        <v>4788</v>
      </c>
      <c r="F288" s="1" t="s">
        <v>37</v>
      </c>
      <c r="G288" s="1" t="s">
        <v>44</v>
      </c>
      <c r="H288">
        <v>4</v>
      </c>
      <c r="I288" s="1" t="s">
        <v>26</v>
      </c>
      <c r="J288" s="1" t="s">
        <v>27</v>
      </c>
      <c r="K288">
        <v>3</v>
      </c>
      <c r="L288" s="1" t="s">
        <v>48</v>
      </c>
      <c r="M288">
        <v>26</v>
      </c>
      <c r="N288" s="1" t="s">
        <v>29</v>
      </c>
      <c r="O288" s="1" t="s">
        <v>30</v>
      </c>
      <c r="P288">
        <v>1</v>
      </c>
      <c r="Q288" s="1" t="s">
        <v>31</v>
      </c>
      <c r="R288">
        <v>2</v>
      </c>
      <c r="S288" s="1" t="s">
        <v>40</v>
      </c>
      <c r="T288" s="1" t="s">
        <v>33</v>
      </c>
      <c r="U288" s="1" t="s">
        <v>34</v>
      </c>
      <c r="V288" s="1" t="str">
        <f>_xlfn.XLOOKUP(A288,Dictonary!$A$2:$A$5,Dictonary!$B$2:$B$5)</f>
        <v>Negative balance</v>
      </c>
      <c r="W288" s="1" t="str">
        <f>_xlfn.XLOOKUP(D288,Dictonary!$D$2:$D$12,Dictonary!$E$2:$E$12)</f>
        <v>car (used)</v>
      </c>
      <c r="X288" s="1" t="str">
        <f>_xlfn.XLOOKUP(F288,Dictonary!$G$2:$G$6,Dictonary!$H$2:$H$6)</f>
        <v>Less 100</v>
      </c>
      <c r="Y288" s="1" t="str">
        <f>_xlfn.XLOOKUP(I288,Dictonary!$J$2:$J$6,Dictonary!$K$2:$K$6)</f>
        <v>male : single</v>
      </c>
      <c r="Z288" s="1" t="str">
        <f>_xlfn.XLOOKUP(Q288,Dictonary!$M$2:$M$5,Dictonary!$N$2:$N$5)</f>
        <v>skilled employee / official</v>
      </c>
      <c r="AA288" s="1" t="str">
        <f>_xlfn.XLOOKUP(O288,Dictonary!$P$2:$P$4,Dictonary!$Q$2:$Q$4)</f>
        <v>own</v>
      </c>
    </row>
    <row r="289" spans="1:27" x14ac:dyDescent="0.3">
      <c r="A289" s="1" t="s">
        <v>35</v>
      </c>
      <c r="B289">
        <v>48</v>
      </c>
      <c r="C289" s="1" t="s">
        <v>50</v>
      </c>
      <c r="D289" s="1" t="s">
        <v>75</v>
      </c>
      <c r="E289">
        <v>7582</v>
      </c>
      <c r="F289" s="1" t="s">
        <v>64</v>
      </c>
      <c r="G289" s="1" t="s">
        <v>60</v>
      </c>
      <c r="H289">
        <v>2</v>
      </c>
      <c r="I289" s="1" t="s">
        <v>26</v>
      </c>
      <c r="J289" s="1" t="s">
        <v>27</v>
      </c>
      <c r="K289">
        <v>4</v>
      </c>
      <c r="L289" s="1" t="s">
        <v>52</v>
      </c>
      <c r="M289">
        <v>31</v>
      </c>
      <c r="N289" s="1" t="s">
        <v>29</v>
      </c>
      <c r="O289" s="1" t="s">
        <v>49</v>
      </c>
      <c r="P289">
        <v>1</v>
      </c>
      <c r="Q289" s="1" t="s">
        <v>57</v>
      </c>
      <c r="R289">
        <v>1</v>
      </c>
      <c r="S289" s="1" t="s">
        <v>32</v>
      </c>
      <c r="T289" s="1" t="s">
        <v>33</v>
      </c>
      <c r="U289" s="1" t="s">
        <v>34</v>
      </c>
      <c r="V289" s="1" t="str">
        <f>_xlfn.XLOOKUP(A289,Dictonary!$A$2:$A$5,Dictonary!$B$2:$B$5)</f>
        <v>Low balance</v>
      </c>
      <c r="W289" s="1" t="str">
        <f>_xlfn.XLOOKUP(D289,Dictonary!$D$2:$D$12,Dictonary!$E$2:$E$12)</f>
        <v>others</v>
      </c>
      <c r="X289" s="1" t="str">
        <f>_xlfn.XLOOKUP(F289,Dictonary!$G$2:$G$6,Dictonary!$H$2:$H$6)</f>
        <v>Up to 500</v>
      </c>
      <c r="Y289" s="1" t="str">
        <f>_xlfn.XLOOKUP(I289,Dictonary!$J$2:$J$6,Dictonary!$K$2:$K$6)</f>
        <v>male : single</v>
      </c>
      <c r="Z289" s="1" t="str">
        <f>_xlfn.XLOOKUP(Q289,Dictonary!$M$2:$M$5,Dictonary!$N$2:$N$5)</f>
        <v>management/ self-employed/ highly qualified employee/ officer</v>
      </c>
      <c r="AA289" s="1" t="str">
        <f>_xlfn.XLOOKUP(O289,Dictonary!$P$2:$P$4,Dictonary!$Q$2:$Q$4)</f>
        <v>for free</v>
      </c>
    </row>
    <row r="290" spans="1:27" x14ac:dyDescent="0.3">
      <c r="A290" s="1" t="s">
        <v>35</v>
      </c>
      <c r="B290">
        <v>12</v>
      </c>
      <c r="C290" s="1" t="s">
        <v>36</v>
      </c>
      <c r="D290" s="1" t="s">
        <v>23</v>
      </c>
      <c r="E290">
        <v>1092</v>
      </c>
      <c r="F290" s="1" t="s">
        <v>37</v>
      </c>
      <c r="G290" s="1" t="s">
        <v>38</v>
      </c>
      <c r="H290">
        <v>4</v>
      </c>
      <c r="I290" s="1" t="s">
        <v>39</v>
      </c>
      <c r="J290" s="1" t="s">
        <v>47</v>
      </c>
      <c r="K290">
        <v>4</v>
      </c>
      <c r="L290" s="1" t="s">
        <v>28</v>
      </c>
      <c r="M290">
        <v>49</v>
      </c>
      <c r="N290" s="1" t="s">
        <v>29</v>
      </c>
      <c r="O290" s="1" t="s">
        <v>30</v>
      </c>
      <c r="P290">
        <v>2</v>
      </c>
      <c r="Q290" s="1" t="s">
        <v>31</v>
      </c>
      <c r="R290">
        <v>1</v>
      </c>
      <c r="S290" s="1" t="s">
        <v>32</v>
      </c>
      <c r="T290" s="1" t="s">
        <v>33</v>
      </c>
      <c r="U290" s="1" t="s">
        <v>34</v>
      </c>
      <c r="V290" s="1" t="str">
        <f>_xlfn.XLOOKUP(A290,Dictonary!$A$2:$A$5,Dictonary!$B$2:$B$5)</f>
        <v>Low balance</v>
      </c>
      <c r="W290" s="1" t="str">
        <f>_xlfn.XLOOKUP(D290,Dictonary!$D$2:$D$12,Dictonary!$E$2:$E$12)</f>
        <v>radio/television</v>
      </c>
      <c r="X290" s="1" t="str">
        <f>_xlfn.XLOOKUP(F290,Dictonary!$G$2:$G$6,Dictonary!$H$2:$H$6)</f>
        <v>Less 100</v>
      </c>
      <c r="Y290" s="1" t="str">
        <f>_xlfn.XLOOKUP(I290,Dictonary!$J$2:$J$6,Dictonary!$K$2:$K$6)</f>
        <v>female : divorced/separated/married</v>
      </c>
      <c r="Z290" s="1" t="str">
        <f>_xlfn.XLOOKUP(Q290,Dictonary!$M$2:$M$5,Dictonary!$N$2:$N$5)</f>
        <v>skilled employee / official</v>
      </c>
      <c r="AA290" s="1" t="str">
        <f>_xlfn.XLOOKUP(O290,Dictonary!$P$2:$P$4,Dictonary!$Q$2:$Q$4)</f>
        <v>own</v>
      </c>
    </row>
    <row r="291" spans="1:27" x14ac:dyDescent="0.3">
      <c r="A291" s="1" t="s">
        <v>21</v>
      </c>
      <c r="B291">
        <v>24</v>
      </c>
      <c r="C291" s="1" t="s">
        <v>50</v>
      </c>
      <c r="D291" s="1" t="s">
        <v>23</v>
      </c>
      <c r="E291">
        <v>1024</v>
      </c>
      <c r="F291" s="1" t="s">
        <v>37</v>
      </c>
      <c r="G291" s="1" t="s">
        <v>62</v>
      </c>
      <c r="H291">
        <v>4</v>
      </c>
      <c r="I291" s="1" t="s">
        <v>61</v>
      </c>
      <c r="J291" s="1" t="s">
        <v>27</v>
      </c>
      <c r="K291">
        <v>4</v>
      </c>
      <c r="L291" s="1" t="s">
        <v>28</v>
      </c>
      <c r="M291">
        <v>48</v>
      </c>
      <c r="N291" s="1" t="s">
        <v>70</v>
      </c>
      <c r="O291" s="1" t="s">
        <v>30</v>
      </c>
      <c r="P291">
        <v>1</v>
      </c>
      <c r="Q291" s="1" t="s">
        <v>31</v>
      </c>
      <c r="R291">
        <v>1</v>
      </c>
      <c r="S291" s="1" t="s">
        <v>40</v>
      </c>
      <c r="T291" s="1" t="s">
        <v>33</v>
      </c>
      <c r="U291" s="1" t="s">
        <v>41</v>
      </c>
      <c r="V291" s="1" t="str">
        <f>_xlfn.XLOOKUP(A291,Dictonary!$A$2:$A$5,Dictonary!$B$2:$B$5)</f>
        <v>Negative balance</v>
      </c>
      <c r="W291" s="1" t="str">
        <f>_xlfn.XLOOKUP(D291,Dictonary!$D$2:$D$12,Dictonary!$E$2:$E$12)</f>
        <v>radio/television</v>
      </c>
      <c r="X291" s="1" t="str">
        <f>_xlfn.XLOOKUP(F291,Dictonary!$G$2:$G$6,Dictonary!$H$2:$H$6)</f>
        <v>Less 100</v>
      </c>
      <c r="Y291" s="1" t="str">
        <f>_xlfn.XLOOKUP(I291,Dictonary!$J$2:$J$6,Dictonary!$K$2:$K$6)</f>
        <v>male : married/widowed</v>
      </c>
      <c r="Z291" s="1" t="str">
        <f>_xlfn.XLOOKUP(Q291,Dictonary!$M$2:$M$5,Dictonary!$N$2:$N$5)</f>
        <v>skilled employee / official</v>
      </c>
      <c r="AA291" s="1" t="str">
        <f>_xlfn.XLOOKUP(O291,Dictonary!$P$2:$P$4,Dictonary!$Q$2:$Q$4)</f>
        <v>own</v>
      </c>
    </row>
    <row r="292" spans="1:27" x14ac:dyDescent="0.3">
      <c r="A292" s="1" t="s">
        <v>42</v>
      </c>
      <c r="B292">
        <v>12</v>
      </c>
      <c r="C292" s="1" t="s">
        <v>36</v>
      </c>
      <c r="D292" s="1" t="s">
        <v>63</v>
      </c>
      <c r="E292">
        <v>1076</v>
      </c>
      <c r="F292" s="1" t="s">
        <v>37</v>
      </c>
      <c r="G292" s="1" t="s">
        <v>38</v>
      </c>
      <c r="H292">
        <v>2</v>
      </c>
      <c r="I292" s="1" t="s">
        <v>61</v>
      </c>
      <c r="J292" s="1" t="s">
        <v>27</v>
      </c>
      <c r="K292">
        <v>2</v>
      </c>
      <c r="L292" s="1" t="s">
        <v>28</v>
      </c>
      <c r="M292">
        <v>26</v>
      </c>
      <c r="N292" s="1" t="s">
        <v>29</v>
      </c>
      <c r="O292" s="1" t="s">
        <v>30</v>
      </c>
      <c r="P292">
        <v>1</v>
      </c>
      <c r="Q292" s="1" t="s">
        <v>31</v>
      </c>
      <c r="R292">
        <v>1</v>
      </c>
      <c r="S292" s="1" t="s">
        <v>32</v>
      </c>
      <c r="T292" s="1" t="s">
        <v>67</v>
      </c>
      <c r="U292" s="1" t="s">
        <v>34</v>
      </c>
      <c r="V292" s="1" t="str">
        <f>_xlfn.XLOOKUP(A292,Dictonary!$A$2:$A$5,Dictonary!$B$2:$B$5)</f>
        <v>No information</v>
      </c>
      <c r="W292" s="1" t="str">
        <f>_xlfn.XLOOKUP(D292,Dictonary!$D$2:$D$12,Dictonary!$E$2:$E$12)</f>
        <v>business</v>
      </c>
      <c r="X292" s="1" t="str">
        <f>_xlfn.XLOOKUP(F292,Dictonary!$G$2:$G$6,Dictonary!$H$2:$H$6)</f>
        <v>Less 100</v>
      </c>
      <c r="Y292" s="1" t="str">
        <f>_xlfn.XLOOKUP(I292,Dictonary!$J$2:$J$6,Dictonary!$K$2:$K$6)</f>
        <v>male : married/widowed</v>
      </c>
      <c r="Z292" s="1" t="str">
        <f>_xlfn.XLOOKUP(Q292,Dictonary!$M$2:$M$5,Dictonary!$N$2:$N$5)</f>
        <v>skilled employee / official</v>
      </c>
      <c r="AA292" s="1" t="str">
        <f>_xlfn.XLOOKUP(O292,Dictonary!$P$2:$P$4,Dictonary!$Q$2:$Q$4)</f>
        <v>own</v>
      </c>
    </row>
    <row r="293" spans="1:27" x14ac:dyDescent="0.3">
      <c r="A293" s="1" t="s">
        <v>35</v>
      </c>
      <c r="B293">
        <v>36</v>
      </c>
      <c r="C293" s="1" t="s">
        <v>36</v>
      </c>
      <c r="D293" s="1" t="s">
        <v>54</v>
      </c>
      <c r="E293">
        <v>9398</v>
      </c>
      <c r="F293" s="1" t="s">
        <v>37</v>
      </c>
      <c r="G293" s="1" t="s">
        <v>62</v>
      </c>
      <c r="H293">
        <v>1</v>
      </c>
      <c r="I293" s="1" t="s">
        <v>61</v>
      </c>
      <c r="J293" s="1" t="s">
        <v>27</v>
      </c>
      <c r="K293">
        <v>4</v>
      </c>
      <c r="L293" s="1" t="s">
        <v>55</v>
      </c>
      <c r="M293">
        <v>28</v>
      </c>
      <c r="N293" s="1" t="s">
        <v>29</v>
      </c>
      <c r="O293" s="1" t="s">
        <v>56</v>
      </c>
      <c r="P293">
        <v>1</v>
      </c>
      <c r="Q293" s="1" t="s">
        <v>57</v>
      </c>
      <c r="R293">
        <v>1</v>
      </c>
      <c r="S293" s="1" t="s">
        <v>32</v>
      </c>
      <c r="T293" s="1" t="s">
        <v>33</v>
      </c>
      <c r="U293" s="1" t="s">
        <v>41</v>
      </c>
      <c r="V293" s="1" t="str">
        <f>_xlfn.XLOOKUP(A293,Dictonary!$A$2:$A$5,Dictonary!$B$2:$B$5)</f>
        <v>Low balance</v>
      </c>
      <c r="W293" s="1" t="str">
        <f>_xlfn.XLOOKUP(D293,Dictonary!$D$2:$D$12,Dictonary!$E$2:$E$12)</f>
        <v>car (used)</v>
      </c>
      <c r="X293" s="1" t="str">
        <f>_xlfn.XLOOKUP(F293,Dictonary!$G$2:$G$6,Dictonary!$H$2:$H$6)</f>
        <v>Less 100</v>
      </c>
      <c r="Y293" s="1" t="str">
        <f>_xlfn.XLOOKUP(I293,Dictonary!$J$2:$J$6,Dictonary!$K$2:$K$6)</f>
        <v>male : married/widowed</v>
      </c>
      <c r="Z293" s="1" t="str">
        <f>_xlfn.XLOOKUP(Q293,Dictonary!$M$2:$M$5,Dictonary!$N$2:$N$5)</f>
        <v>management/ self-employed/ highly qualified employee/ officer</v>
      </c>
      <c r="AA293" s="1" t="str">
        <f>_xlfn.XLOOKUP(O293,Dictonary!$P$2:$P$4,Dictonary!$Q$2:$Q$4)</f>
        <v>rent</v>
      </c>
    </row>
    <row r="294" spans="1:27" x14ac:dyDescent="0.3">
      <c r="A294" s="1" t="s">
        <v>21</v>
      </c>
      <c r="B294">
        <v>24</v>
      </c>
      <c r="C294" s="1" t="s">
        <v>22</v>
      </c>
      <c r="D294" s="1" t="s">
        <v>54</v>
      </c>
      <c r="E294">
        <v>6419</v>
      </c>
      <c r="F294" s="1" t="s">
        <v>37</v>
      </c>
      <c r="G294" s="1" t="s">
        <v>25</v>
      </c>
      <c r="H294">
        <v>2</v>
      </c>
      <c r="I294" s="1" t="s">
        <v>39</v>
      </c>
      <c r="J294" s="1" t="s">
        <v>27</v>
      </c>
      <c r="K294">
        <v>4</v>
      </c>
      <c r="L294" s="1" t="s">
        <v>52</v>
      </c>
      <c r="M294">
        <v>44</v>
      </c>
      <c r="N294" s="1" t="s">
        <v>29</v>
      </c>
      <c r="O294" s="1" t="s">
        <v>49</v>
      </c>
      <c r="P294">
        <v>2</v>
      </c>
      <c r="Q294" s="1" t="s">
        <v>57</v>
      </c>
      <c r="R294">
        <v>2</v>
      </c>
      <c r="S294" s="1" t="s">
        <v>32</v>
      </c>
      <c r="T294" s="1" t="s">
        <v>33</v>
      </c>
      <c r="U294" s="1" t="s">
        <v>34</v>
      </c>
      <c r="V294" s="1" t="str">
        <f>_xlfn.XLOOKUP(A294,Dictonary!$A$2:$A$5,Dictonary!$B$2:$B$5)</f>
        <v>Negative balance</v>
      </c>
      <c r="W294" s="1" t="str">
        <f>_xlfn.XLOOKUP(D294,Dictonary!$D$2:$D$12,Dictonary!$E$2:$E$12)</f>
        <v>car (used)</v>
      </c>
      <c r="X294" s="1" t="str">
        <f>_xlfn.XLOOKUP(F294,Dictonary!$G$2:$G$6,Dictonary!$H$2:$H$6)</f>
        <v>Less 100</v>
      </c>
      <c r="Y294" s="1" t="str">
        <f>_xlfn.XLOOKUP(I294,Dictonary!$J$2:$J$6,Dictonary!$K$2:$K$6)</f>
        <v>female : divorced/separated/married</v>
      </c>
      <c r="Z294" s="1" t="str">
        <f>_xlfn.XLOOKUP(Q294,Dictonary!$M$2:$M$5,Dictonary!$N$2:$N$5)</f>
        <v>management/ self-employed/ highly qualified employee/ officer</v>
      </c>
      <c r="AA294" s="1" t="str">
        <f>_xlfn.XLOOKUP(O294,Dictonary!$P$2:$P$4,Dictonary!$Q$2:$Q$4)</f>
        <v>for free</v>
      </c>
    </row>
    <row r="295" spans="1:27" x14ac:dyDescent="0.3">
      <c r="A295" s="1" t="s">
        <v>68</v>
      </c>
      <c r="B295">
        <v>42</v>
      </c>
      <c r="C295" s="1" t="s">
        <v>22</v>
      </c>
      <c r="D295" s="1" t="s">
        <v>54</v>
      </c>
      <c r="E295">
        <v>4796</v>
      </c>
      <c r="F295" s="1" t="s">
        <v>37</v>
      </c>
      <c r="G295" s="1" t="s">
        <v>25</v>
      </c>
      <c r="H295">
        <v>4</v>
      </c>
      <c r="I295" s="1" t="s">
        <v>26</v>
      </c>
      <c r="J295" s="1" t="s">
        <v>27</v>
      </c>
      <c r="K295">
        <v>4</v>
      </c>
      <c r="L295" s="1" t="s">
        <v>52</v>
      </c>
      <c r="M295">
        <v>56</v>
      </c>
      <c r="N295" s="1" t="s">
        <v>29</v>
      </c>
      <c r="O295" s="1" t="s">
        <v>49</v>
      </c>
      <c r="P295">
        <v>1</v>
      </c>
      <c r="Q295" s="1" t="s">
        <v>31</v>
      </c>
      <c r="R295">
        <v>1</v>
      </c>
      <c r="S295" s="1" t="s">
        <v>40</v>
      </c>
      <c r="T295" s="1" t="s">
        <v>33</v>
      </c>
      <c r="U295" s="1" t="s">
        <v>34</v>
      </c>
      <c r="V295" s="1" t="str">
        <f>_xlfn.XLOOKUP(A295,Dictonary!$A$2:$A$5,Dictonary!$B$2:$B$5)</f>
        <v>Normal balance</v>
      </c>
      <c r="W295" s="1" t="str">
        <f>_xlfn.XLOOKUP(D295,Dictonary!$D$2:$D$12,Dictonary!$E$2:$E$12)</f>
        <v>car (used)</v>
      </c>
      <c r="X295" s="1" t="str">
        <f>_xlfn.XLOOKUP(F295,Dictonary!$G$2:$G$6,Dictonary!$H$2:$H$6)</f>
        <v>Less 100</v>
      </c>
      <c r="Y295" s="1" t="str">
        <f>_xlfn.XLOOKUP(I295,Dictonary!$J$2:$J$6,Dictonary!$K$2:$K$6)</f>
        <v>male : single</v>
      </c>
      <c r="Z295" s="1" t="str">
        <f>_xlfn.XLOOKUP(Q295,Dictonary!$M$2:$M$5,Dictonary!$N$2:$N$5)</f>
        <v>skilled employee / official</v>
      </c>
      <c r="AA295" s="1" t="str">
        <f>_xlfn.XLOOKUP(O295,Dictonary!$P$2:$P$4,Dictonary!$Q$2:$Q$4)</f>
        <v>for free</v>
      </c>
    </row>
    <row r="296" spans="1:27" x14ac:dyDescent="0.3">
      <c r="A296" s="1" t="s">
        <v>42</v>
      </c>
      <c r="B296">
        <v>48</v>
      </c>
      <c r="C296" s="1" t="s">
        <v>22</v>
      </c>
      <c r="D296" s="1" t="s">
        <v>63</v>
      </c>
      <c r="E296">
        <v>7629</v>
      </c>
      <c r="F296" s="1" t="s">
        <v>24</v>
      </c>
      <c r="G296" s="1" t="s">
        <v>25</v>
      </c>
      <c r="H296">
        <v>4</v>
      </c>
      <c r="I296" s="1" t="s">
        <v>59</v>
      </c>
      <c r="J296" s="1" t="s">
        <v>27</v>
      </c>
      <c r="K296">
        <v>2</v>
      </c>
      <c r="L296" s="1" t="s">
        <v>55</v>
      </c>
      <c r="M296">
        <v>46</v>
      </c>
      <c r="N296" s="1" t="s">
        <v>66</v>
      </c>
      <c r="O296" s="1" t="s">
        <v>30</v>
      </c>
      <c r="P296">
        <v>2</v>
      </c>
      <c r="Q296" s="1" t="s">
        <v>57</v>
      </c>
      <c r="R296">
        <v>2</v>
      </c>
      <c r="S296" s="1" t="s">
        <v>40</v>
      </c>
      <c r="T296" s="1" t="s">
        <v>33</v>
      </c>
      <c r="U296" s="1" t="s">
        <v>34</v>
      </c>
      <c r="V296" s="1" t="str">
        <f>_xlfn.XLOOKUP(A296,Dictonary!$A$2:$A$5,Dictonary!$B$2:$B$5)</f>
        <v>No information</v>
      </c>
      <c r="W296" s="1" t="str">
        <f>_xlfn.XLOOKUP(D296,Dictonary!$D$2:$D$12,Dictonary!$E$2:$E$12)</f>
        <v>business</v>
      </c>
      <c r="X296" s="1" t="str">
        <f>_xlfn.XLOOKUP(F296,Dictonary!$G$2:$G$6,Dictonary!$H$2:$H$6)</f>
        <v>No information</v>
      </c>
      <c r="Y296" s="1" t="str">
        <f>_xlfn.XLOOKUP(I296,Dictonary!$J$2:$J$6,Dictonary!$K$2:$K$6)</f>
        <v>male : divorced/separated</v>
      </c>
      <c r="Z296" s="1" t="str">
        <f>_xlfn.XLOOKUP(Q296,Dictonary!$M$2:$M$5,Dictonary!$N$2:$N$5)</f>
        <v>management/ self-employed/ highly qualified employee/ officer</v>
      </c>
      <c r="AA296" s="1" t="str">
        <f>_xlfn.XLOOKUP(O296,Dictonary!$P$2:$P$4,Dictonary!$Q$2:$Q$4)</f>
        <v>own</v>
      </c>
    </row>
    <row r="297" spans="1:27" x14ac:dyDescent="0.3">
      <c r="A297" s="1" t="s">
        <v>35</v>
      </c>
      <c r="B297">
        <v>48</v>
      </c>
      <c r="C297" s="1" t="s">
        <v>36</v>
      </c>
      <c r="D297" s="1" t="s">
        <v>46</v>
      </c>
      <c r="E297">
        <v>9960</v>
      </c>
      <c r="F297" s="1" t="s">
        <v>37</v>
      </c>
      <c r="G297" s="1" t="s">
        <v>62</v>
      </c>
      <c r="H297">
        <v>1</v>
      </c>
      <c r="I297" s="1" t="s">
        <v>39</v>
      </c>
      <c r="J297" s="1" t="s">
        <v>27</v>
      </c>
      <c r="K297">
        <v>2</v>
      </c>
      <c r="L297" s="1" t="s">
        <v>55</v>
      </c>
      <c r="M297">
        <v>26</v>
      </c>
      <c r="N297" s="1" t="s">
        <v>29</v>
      </c>
      <c r="O297" s="1" t="s">
        <v>30</v>
      </c>
      <c r="P297">
        <v>1</v>
      </c>
      <c r="Q297" s="1" t="s">
        <v>31</v>
      </c>
      <c r="R297">
        <v>1</v>
      </c>
      <c r="S297" s="1" t="s">
        <v>32</v>
      </c>
      <c r="T297" s="1" t="s">
        <v>33</v>
      </c>
      <c r="U297" s="1" t="s">
        <v>41</v>
      </c>
      <c r="V297" s="1" t="str">
        <f>_xlfn.XLOOKUP(A297,Dictonary!$A$2:$A$5,Dictonary!$B$2:$B$5)</f>
        <v>Low balance</v>
      </c>
      <c r="W297" s="1" t="str">
        <f>_xlfn.XLOOKUP(D297,Dictonary!$D$2:$D$12,Dictonary!$E$2:$E$12)</f>
        <v>furniture/equipment</v>
      </c>
      <c r="X297" s="1" t="str">
        <f>_xlfn.XLOOKUP(F297,Dictonary!$G$2:$G$6,Dictonary!$H$2:$H$6)</f>
        <v>Less 100</v>
      </c>
      <c r="Y297" s="1" t="str">
        <f>_xlfn.XLOOKUP(I297,Dictonary!$J$2:$J$6,Dictonary!$K$2:$K$6)</f>
        <v>female : divorced/separated/married</v>
      </c>
      <c r="Z297" s="1" t="str">
        <f>_xlfn.XLOOKUP(Q297,Dictonary!$M$2:$M$5,Dictonary!$N$2:$N$5)</f>
        <v>skilled employee / official</v>
      </c>
      <c r="AA297" s="1" t="str">
        <f>_xlfn.XLOOKUP(O297,Dictonary!$P$2:$P$4,Dictonary!$Q$2:$Q$4)</f>
        <v>own</v>
      </c>
    </row>
    <row r="298" spans="1:27" x14ac:dyDescent="0.3">
      <c r="A298" s="1" t="s">
        <v>42</v>
      </c>
      <c r="B298">
        <v>12</v>
      </c>
      <c r="C298" s="1" t="s">
        <v>36</v>
      </c>
      <c r="D298" s="1" t="s">
        <v>54</v>
      </c>
      <c r="E298">
        <v>4675</v>
      </c>
      <c r="F298" s="1" t="s">
        <v>24</v>
      </c>
      <c r="G298" s="1" t="s">
        <v>62</v>
      </c>
      <c r="H298">
        <v>1</v>
      </c>
      <c r="I298" s="1" t="s">
        <v>39</v>
      </c>
      <c r="J298" s="1" t="s">
        <v>27</v>
      </c>
      <c r="K298">
        <v>4</v>
      </c>
      <c r="L298" s="1" t="s">
        <v>55</v>
      </c>
      <c r="M298">
        <v>20</v>
      </c>
      <c r="N298" s="1" t="s">
        <v>29</v>
      </c>
      <c r="O298" s="1" t="s">
        <v>56</v>
      </c>
      <c r="P298">
        <v>1</v>
      </c>
      <c r="Q298" s="1" t="s">
        <v>31</v>
      </c>
      <c r="R298">
        <v>1</v>
      </c>
      <c r="S298" s="1" t="s">
        <v>40</v>
      </c>
      <c r="T298" s="1" t="s">
        <v>33</v>
      </c>
      <c r="U298" s="1" t="s">
        <v>34</v>
      </c>
      <c r="V298" s="1" t="str">
        <f>_xlfn.XLOOKUP(A298,Dictonary!$A$2:$A$5,Dictonary!$B$2:$B$5)</f>
        <v>No information</v>
      </c>
      <c r="W298" s="1" t="str">
        <f>_xlfn.XLOOKUP(D298,Dictonary!$D$2:$D$12,Dictonary!$E$2:$E$12)</f>
        <v>car (used)</v>
      </c>
      <c r="X298" s="1" t="str">
        <f>_xlfn.XLOOKUP(F298,Dictonary!$G$2:$G$6,Dictonary!$H$2:$H$6)</f>
        <v>No information</v>
      </c>
      <c r="Y298" s="1" t="str">
        <f>_xlfn.XLOOKUP(I298,Dictonary!$J$2:$J$6,Dictonary!$K$2:$K$6)</f>
        <v>female : divorced/separated/married</v>
      </c>
      <c r="Z298" s="1" t="str">
        <f>_xlfn.XLOOKUP(Q298,Dictonary!$M$2:$M$5,Dictonary!$N$2:$N$5)</f>
        <v>skilled employee / official</v>
      </c>
      <c r="AA298" s="1" t="str">
        <f>_xlfn.XLOOKUP(O298,Dictonary!$P$2:$P$4,Dictonary!$Q$2:$Q$4)</f>
        <v>rent</v>
      </c>
    </row>
    <row r="299" spans="1:27" x14ac:dyDescent="0.3">
      <c r="A299" s="1" t="s">
        <v>42</v>
      </c>
      <c r="B299">
        <v>10</v>
      </c>
      <c r="C299" s="1" t="s">
        <v>36</v>
      </c>
      <c r="D299" s="1" t="s">
        <v>51</v>
      </c>
      <c r="E299">
        <v>1287</v>
      </c>
      <c r="F299" s="1" t="s">
        <v>24</v>
      </c>
      <c r="G299" s="1" t="s">
        <v>25</v>
      </c>
      <c r="H299">
        <v>4</v>
      </c>
      <c r="I299" s="1" t="s">
        <v>26</v>
      </c>
      <c r="J299" s="1" t="s">
        <v>71</v>
      </c>
      <c r="K299">
        <v>2</v>
      </c>
      <c r="L299" s="1" t="s">
        <v>48</v>
      </c>
      <c r="M299">
        <v>45</v>
      </c>
      <c r="N299" s="1" t="s">
        <v>29</v>
      </c>
      <c r="O299" s="1" t="s">
        <v>30</v>
      </c>
      <c r="P299">
        <v>1</v>
      </c>
      <c r="Q299" s="1" t="s">
        <v>45</v>
      </c>
      <c r="R299">
        <v>1</v>
      </c>
      <c r="S299" s="1" t="s">
        <v>40</v>
      </c>
      <c r="T299" s="1" t="s">
        <v>67</v>
      </c>
      <c r="U299" s="1" t="s">
        <v>34</v>
      </c>
      <c r="V299" s="1" t="str">
        <f>_xlfn.XLOOKUP(A299,Dictonary!$A$2:$A$5,Dictonary!$B$2:$B$5)</f>
        <v>No information</v>
      </c>
      <c r="W299" s="1" t="str">
        <f>_xlfn.XLOOKUP(D299,Dictonary!$D$2:$D$12,Dictonary!$E$2:$E$12)</f>
        <v>car (new)</v>
      </c>
      <c r="X299" s="1" t="str">
        <f>_xlfn.XLOOKUP(F299,Dictonary!$G$2:$G$6,Dictonary!$H$2:$H$6)</f>
        <v>No information</v>
      </c>
      <c r="Y299" s="1" t="str">
        <f>_xlfn.XLOOKUP(I299,Dictonary!$J$2:$J$6,Dictonary!$K$2:$K$6)</f>
        <v>male : single</v>
      </c>
      <c r="Z299" s="1" t="str">
        <f>_xlfn.XLOOKUP(Q299,Dictonary!$M$2:$M$5,Dictonary!$N$2:$N$5)</f>
        <v>unskilled - resident</v>
      </c>
      <c r="AA299" s="1" t="str">
        <f>_xlfn.XLOOKUP(O299,Dictonary!$P$2:$P$4,Dictonary!$Q$2:$Q$4)</f>
        <v>own</v>
      </c>
    </row>
    <row r="300" spans="1:27" x14ac:dyDescent="0.3">
      <c r="A300" s="1" t="s">
        <v>42</v>
      </c>
      <c r="B300">
        <v>18</v>
      </c>
      <c r="C300" s="1" t="s">
        <v>36</v>
      </c>
      <c r="D300" s="1" t="s">
        <v>46</v>
      </c>
      <c r="E300">
        <v>2515</v>
      </c>
      <c r="F300" s="1" t="s">
        <v>37</v>
      </c>
      <c r="G300" s="1" t="s">
        <v>38</v>
      </c>
      <c r="H300">
        <v>3</v>
      </c>
      <c r="I300" s="1" t="s">
        <v>26</v>
      </c>
      <c r="J300" s="1" t="s">
        <v>27</v>
      </c>
      <c r="K300">
        <v>4</v>
      </c>
      <c r="L300" s="1" t="s">
        <v>28</v>
      </c>
      <c r="M300">
        <v>43</v>
      </c>
      <c r="N300" s="1" t="s">
        <v>29</v>
      </c>
      <c r="O300" s="1" t="s">
        <v>30</v>
      </c>
      <c r="P300">
        <v>1</v>
      </c>
      <c r="Q300" s="1" t="s">
        <v>31</v>
      </c>
      <c r="R300">
        <v>1</v>
      </c>
      <c r="S300" s="1" t="s">
        <v>32</v>
      </c>
      <c r="T300" s="1" t="s">
        <v>33</v>
      </c>
      <c r="U300" s="1" t="s">
        <v>34</v>
      </c>
      <c r="V300" s="1" t="str">
        <f>_xlfn.XLOOKUP(A300,Dictonary!$A$2:$A$5,Dictonary!$B$2:$B$5)</f>
        <v>No information</v>
      </c>
      <c r="W300" s="1" t="str">
        <f>_xlfn.XLOOKUP(D300,Dictonary!$D$2:$D$12,Dictonary!$E$2:$E$12)</f>
        <v>furniture/equipment</v>
      </c>
      <c r="X300" s="1" t="str">
        <f>_xlfn.XLOOKUP(F300,Dictonary!$G$2:$G$6,Dictonary!$H$2:$H$6)</f>
        <v>Less 100</v>
      </c>
      <c r="Y300" s="1" t="str">
        <f>_xlfn.XLOOKUP(I300,Dictonary!$J$2:$J$6,Dictonary!$K$2:$K$6)</f>
        <v>male : single</v>
      </c>
      <c r="Z300" s="1" t="str">
        <f>_xlfn.XLOOKUP(Q300,Dictonary!$M$2:$M$5,Dictonary!$N$2:$N$5)</f>
        <v>skilled employee / official</v>
      </c>
      <c r="AA300" s="1" t="str">
        <f>_xlfn.XLOOKUP(O300,Dictonary!$P$2:$P$4,Dictonary!$Q$2:$Q$4)</f>
        <v>own</v>
      </c>
    </row>
    <row r="301" spans="1:27" x14ac:dyDescent="0.3">
      <c r="A301" s="1" t="s">
        <v>35</v>
      </c>
      <c r="B301">
        <v>21</v>
      </c>
      <c r="C301" s="1" t="s">
        <v>22</v>
      </c>
      <c r="D301" s="1" t="s">
        <v>46</v>
      </c>
      <c r="E301">
        <v>2745</v>
      </c>
      <c r="F301" s="1" t="s">
        <v>58</v>
      </c>
      <c r="G301" s="1" t="s">
        <v>44</v>
      </c>
      <c r="H301">
        <v>3</v>
      </c>
      <c r="I301" s="1" t="s">
        <v>26</v>
      </c>
      <c r="J301" s="1" t="s">
        <v>27</v>
      </c>
      <c r="K301">
        <v>2</v>
      </c>
      <c r="L301" s="1" t="s">
        <v>55</v>
      </c>
      <c r="M301">
        <v>32</v>
      </c>
      <c r="N301" s="1" t="s">
        <v>29</v>
      </c>
      <c r="O301" s="1" t="s">
        <v>30</v>
      </c>
      <c r="P301">
        <v>2</v>
      </c>
      <c r="Q301" s="1" t="s">
        <v>31</v>
      </c>
      <c r="R301">
        <v>1</v>
      </c>
      <c r="S301" s="1" t="s">
        <v>32</v>
      </c>
      <c r="T301" s="1" t="s">
        <v>33</v>
      </c>
      <c r="U301" s="1" t="s">
        <v>34</v>
      </c>
      <c r="V301" s="1" t="str">
        <f>_xlfn.XLOOKUP(A301,Dictonary!$A$2:$A$5,Dictonary!$B$2:$B$5)</f>
        <v>Low balance</v>
      </c>
      <c r="W301" s="1" t="str">
        <f>_xlfn.XLOOKUP(D301,Dictonary!$D$2:$D$12,Dictonary!$E$2:$E$12)</f>
        <v>furniture/equipment</v>
      </c>
      <c r="X301" s="1" t="str">
        <f>_xlfn.XLOOKUP(F301,Dictonary!$G$2:$G$6,Dictonary!$H$2:$H$6)</f>
        <v>More 1000</v>
      </c>
      <c r="Y301" s="1" t="str">
        <f>_xlfn.XLOOKUP(I301,Dictonary!$J$2:$J$6,Dictonary!$K$2:$K$6)</f>
        <v>male : single</v>
      </c>
      <c r="Z301" s="1" t="str">
        <f>_xlfn.XLOOKUP(Q301,Dictonary!$M$2:$M$5,Dictonary!$N$2:$N$5)</f>
        <v>skilled employee / official</v>
      </c>
      <c r="AA301" s="1" t="str">
        <f>_xlfn.XLOOKUP(O301,Dictonary!$P$2:$P$4,Dictonary!$Q$2:$Q$4)</f>
        <v>own</v>
      </c>
    </row>
    <row r="302" spans="1:27" x14ac:dyDescent="0.3">
      <c r="A302" s="1" t="s">
        <v>42</v>
      </c>
      <c r="B302">
        <v>6</v>
      </c>
      <c r="C302" s="1" t="s">
        <v>36</v>
      </c>
      <c r="D302" s="1" t="s">
        <v>51</v>
      </c>
      <c r="E302">
        <v>672</v>
      </c>
      <c r="F302" s="1" t="s">
        <v>37</v>
      </c>
      <c r="G302" s="1" t="s">
        <v>60</v>
      </c>
      <c r="H302">
        <v>1</v>
      </c>
      <c r="I302" s="1" t="s">
        <v>39</v>
      </c>
      <c r="J302" s="1" t="s">
        <v>27</v>
      </c>
      <c r="K302">
        <v>4</v>
      </c>
      <c r="L302" s="1" t="s">
        <v>28</v>
      </c>
      <c r="M302">
        <v>54</v>
      </c>
      <c r="N302" s="1" t="s">
        <v>29</v>
      </c>
      <c r="O302" s="1" t="s">
        <v>30</v>
      </c>
      <c r="P302">
        <v>1</v>
      </c>
      <c r="Q302" s="1" t="s">
        <v>74</v>
      </c>
      <c r="R302">
        <v>1</v>
      </c>
      <c r="S302" s="1" t="s">
        <v>32</v>
      </c>
      <c r="T302" s="1" t="s">
        <v>33</v>
      </c>
      <c r="U302" s="1" t="s">
        <v>34</v>
      </c>
      <c r="V302" s="1" t="str">
        <f>_xlfn.XLOOKUP(A302,Dictonary!$A$2:$A$5,Dictonary!$B$2:$B$5)</f>
        <v>No information</v>
      </c>
      <c r="W302" s="1" t="str">
        <f>_xlfn.XLOOKUP(D302,Dictonary!$D$2:$D$12,Dictonary!$E$2:$E$12)</f>
        <v>car (new)</v>
      </c>
      <c r="X302" s="1" t="str">
        <f>_xlfn.XLOOKUP(F302,Dictonary!$G$2:$G$6,Dictonary!$H$2:$H$6)</f>
        <v>Less 100</v>
      </c>
      <c r="Y302" s="1" t="str">
        <f>_xlfn.XLOOKUP(I302,Dictonary!$J$2:$J$6,Dictonary!$K$2:$K$6)</f>
        <v>female : divorced/separated/married</v>
      </c>
      <c r="Z302" s="1" t="str">
        <f>_xlfn.XLOOKUP(Q302,Dictonary!$M$2:$M$5,Dictonary!$N$2:$N$5)</f>
        <v>unemployed/ unskilled  - non-resident</v>
      </c>
      <c r="AA302" s="1" t="str">
        <f>_xlfn.XLOOKUP(O302,Dictonary!$P$2:$P$4,Dictonary!$Q$2:$Q$4)</f>
        <v>own</v>
      </c>
    </row>
    <row r="303" spans="1:27" x14ac:dyDescent="0.3">
      <c r="A303" s="1" t="s">
        <v>35</v>
      </c>
      <c r="B303">
        <v>36</v>
      </c>
      <c r="C303" s="1" t="s">
        <v>65</v>
      </c>
      <c r="D303" s="1" t="s">
        <v>23</v>
      </c>
      <c r="E303">
        <v>3804</v>
      </c>
      <c r="F303" s="1" t="s">
        <v>37</v>
      </c>
      <c r="G303" s="1" t="s">
        <v>38</v>
      </c>
      <c r="H303">
        <v>4</v>
      </c>
      <c r="I303" s="1" t="s">
        <v>39</v>
      </c>
      <c r="J303" s="1" t="s">
        <v>27</v>
      </c>
      <c r="K303">
        <v>1</v>
      </c>
      <c r="L303" s="1" t="s">
        <v>55</v>
      </c>
      <c r="M303">
        <v>42</v>
      </c>
      <c r="N303" s="1" t="s">
        <v>29</v>
      </c>
      <c r="O303" s="1" t="s">
        <v>30</v>
      </c>
      <c r="P303">
        <v>1</v>
      </c>
      <c r="Q303" s="1" t="s">
        <v>31</v>
      </c>
      <c r="R303">
        <v>1</v>
      </c>
      <c r="S303" s="1" t="s">
        <v>32</v>
      </c>
      <c r="T303" s="1" t="s">
        <v>33</v>
      </c>
      <c r="U303" s="1" t="s">
        <v>41</v>
      </c>
      <c r="V303" s="1" t="str">
        <f>_xlfn.XLOOKUP(A303,Dictonary!$A$2:$A$5,Dictonary!$B$2:$B$5)</f>
        <v>Low balance</v>
      </c>
      <c r="W303" s="1" t="str">
        <f>_xlfn.XLOOKUP(D303,Dictonary!$D$2:$D$12,Dictonary!$E$2:$E$12)</f>
        <v>radio/television</v>
      </c>
      <c r="X303" s="1" t="str">
        <f>_xlfn.XLOOKUP(F303,Dictonary!$G$2:$G$6,Dictonary!$H$2:$H$6)</f>
        <v>Less 100</v>
      </c>
      <c r="Y303" s="1" t="str">
        <f>_xlfn.XLOOKUP(I303,Dictonary!$J$2:$J$6,Dictonary!$K$2:$K$6)</f>
        <v>female : divorced/separated/married</v>
      </c>
      <c r="Z303" s="1" t="str">
        <f>_xlfn.XLOOKUP(Q303,Dictonary!$M$2:$M$5,Dictonary!$N$2:$N$5)</f>
        <v>skilled employee / official</v>
      </c>
      <c r="AA303" s="1" t="str">
        <f>_xlfn.XLOOKUP(O303,Dictonary!$P$2:$P$4,Dictonary!$Q$2:$Q$4)</f>
        <v>own</v>
      </c>
    </row>
    <row r="304" spans="1:27" x14ac:dyDescent="0.3">
      <c r="A304" s="1" t="s">
        <v>68</v>
      </c>
      <c r="B304">
        <v>24</v>
      </c>
      <c r="C304" s="1" t="s">
        <v>22</v>
      </c>
      <c r="D304" s="1" t="s">
        <v>51</v>
      </c>
      <c r="E304">
        <v>1344</v>
      </c>
      <c r="F304" s="1" t="s">
        <v>24</v>
      </c>
      <c r="G304" s="1" t="s">
        <v>44</v>
      </c>
      <c r="H304">
        <v>4</v>
      </c>
      <c r="I304" s="1" t="s">
        <v>26</v>
      </c>
      <c r="J304" s="1" t="s">
        <v>27</v>
      </c>
      <c r="K304">
        <v>2</v>
      </c>
      <c r="L304" s="1" t="s">
        <v>28</v>
      </c>
      <c r="M304">
        <v>37</v>
      </c>
      <c r="N304" s="1" t="s">
        <v>66</v>
      </c>
      <c r="O304" s="1" t="s">
        <v>30</v>
      </c>
      <c r="P304">
        <v>2</v>
      </c>
      <c r="Q304" s="1" t="s">
        <v>45</v>
      </c>
      <c r="R304">
        <v>2</v>
      </c>
      <c r="S304" s="1" t="s">
        <v>40</v>
      </c>
      <c r="T304" s="1" t="s">
        <v>33</v>
      </c>
      <c r="U304" s="1" t="s">
        <v>41</v>
      </c>
      <c r="V304" s="1" t="str">
        <f>_xlfn.XLOOKUP(A304,Dictonary!$A$2:$A$5,Dictonary!$B$2:$B$5)</f>
        <v>Normal balance</v>
      </c>
      <c r="W304" s="1" t="str">
        <f>_xlfn.XLOOKUP(D304,Dictonary!$D$2:$D$12,Dictonary!$E$2:$E$12)</f>
        <v>car (new)</v>
      </c>
      <c r="X304" s="1" t="str">
        <f>_xlfn.XLOOKUP(F304,Dictonary!$G$2:$G$6,Dictonary!$H$2:$H$6)</f>
        <v>No information</v>
      </c>
      <c r="Y304" s="1" t="str">
        <f>_xlfn.XLOOKUP(I304,Dictonary!$J$2:$J$6,Dictonary!$K$2:$K$6)</f>
        <v>male : single</v>
      </c>
      <c r="Z304" s="1" t="str">
        <f>_xlfn.XLOOKUP(Q304,Dictonary!$M$2:$M$5,Dictonary!$N$2:$N$5)</f>
        <v>unskilled - resident</v>
      </c>
      <c r="AA304" s="1" t="str">
        <f>_xlfn.XLOOKUP(O304,Dictonary!$P$2:$P$4,Dictonary!$Q$2:$Q$4)</f>
        <v>own</v>
      </c>
    </row>
    <row r="305" spans="1:27" x14ac:dyDescent="0.3">
      <c r="A305" s="1" t="s">
        <v>21</v>
      </c>
      <c r="B305">
        <v>10</v>
      </c>
      <c r="C305" s="1" t="s">
        <v>22</v>
      </c>
      <c r="D305" s="1" t="s">
        <v>51</v>
      </c>
      <c r="E305">
        <v>1038</v>
      </c>
      <c r="F305" s="1" t="s">
        <v>37</v>
      </c>
      <c r="G305" s="1" t="s">
        <v>44</v>
      </c>
      <c r="H305">
        <v>4</v>
      </c>
      <c r="I305" s="1" t="s">
        <v>26</v>
      </c>
      <c r="J305" s="1" t="s">
        <v>71</v>
      </c>
      <c r="K305">
        <v>3</v>
      </c>
      <c r="L305" s="1" t="s">
        <v>48</v>
      </c>
      <c r="M305">
        <v>49</v>
      </c>
      <c r="N305" s="1" t="s">
        <v>29</v>
      </c>
      <c r="O305" s="1" t="s">
        <v>30</v>
      </c>
      <c r="P305">
        <v>2</v>
      </c>
      <c r="Q305" s="1" t="s">
        <v>31</v>
      </c>
      <c r="R305">
        <v>1</v>
      </c>
      <c r="S305" s="1" t="s">
        <v>32</v>
      </c>
      <c r="T305" s="1" t="s">
        <v>33</v>
      </c>
      <c r="U305" s="1" t="s">
        <v>34</v>
      </c>
      <c r="V305" s="1" t="str">
        <f>_xlfn.XLOOKUP(A305,Dictonary!$A$2:$A$5,Dictonary!$B$2:$B$5)</f>
        <v>Negative balance</v>
      </c>
      <c r="W305" s="1" t="str">
        <f>_xlfn.XLOOKUP(D305,Dictonary!$D$2:$D$12,Dictonary!$E$2:$E$12)</f>
        <v>car (new)</v>
      </c>
      <c r="X305" s="1" t="str">
        <f>_xlfn.XLOOKUP(F305,Dictonary!$G$2:$G$6,Dictonary!$H$2:$H$6)</f>
        <v>Less 100</v>
      </c>
      <c r="Y305" s="1" t="str">
        <f>_xlfn.XLOOKUP(I305,Dictonary!$J$2:$J$6,Dictonary!$K$2:$K$6)</f>
        <v>male : single</v>
      </c>
      <c r="Z305" s="1" t="str">
        <f>_xlfn.XLOOKUP(Q305,Dictonary!$M$2:$M$5,Dictonary!$N$2:$N$5)</f>
        <v>skilled employee / official</v>
      </c>
      <c r="AA305" s="1" t="str">
        <f>_xlfn.XLOOKUP(O305,Dictonary!$P$2:$P$4,Dictonary!$Q$2:$Q$4)</f>
        <v>own</v>
      </c>
    </row>
    <row r="306" spans="1:27" x14ac:dyDescent="0.3">
      <c r="A306" s="1" t="s">
        <v>42</v>
      </c>
      <c r="B306">
        <v>48</v>
      </c>
      <c r="C306" s="1" t="s">
        <v>22</v>
      </c>
      <c r="D306" s="1" t="s">
        <v>51</v>
      </c>
      <c r="E306">
        <v>10127</v>
      </c>
      <c r="F306" s="1" t="s">
        <v>53</v>
      </c>
      <c r="G306" s="1" t="s">
        <v>38</v>
      </c>
      <c r="H306">
        <v>2</v>
      </c>
      <c r="I306" s="1" t="s">
        <v>26</v>
      </c>
      <c r="J306" s="1" t="s">
        <v>27</v>
      </c>
      <c r="K306">
        <v>2</v>
      </c>
      <c r="L306" s="1" t="s">
        <v>52</v>
      </c>
      <c r="M306">
        <v>44</v>
      </c>
      <c r="N306" s="1" t="s">
        <v>66</v>
      </c>
      <c r="O306" s="1" t="s">
        <v>49</v>
      </c>
      <c r="P306">
        <v>1</v>
      </c>
      <c r="Q306" s="1" t="s">
        <v>31</v>
      </c>
      <c r="R306">
        <v>1</v>
      </c>
      <c r="S306" s="1" t="s">
        <v>40</v>
      </c>
      <c r="T306" s="1" t="s">
        <v>33</v>
      </c>
      <c r="U306" s="1" t="s">
        <v>41</v>
      </c>
      <c r="V306" s="1" t="str">
        <f>_xlfn.XLOOKUP(A306,Dictonary!$A$2:$A$5,Dictonary!$B$2:$B$5)</f>
        <v>No information</v>
      </c>
      <c r="W306" s="1" t="str">
        <f>_xlfn.XLOOKUP(D306,Dictonary!$D$2:$D$12,Dictonary!$E$2:$E$12)</f>
        <v>car (new)</v>
      </c>
      <c r="X306" s="1" t="str">
        <f>_xlfn.XLOOKUP(F306,Dictonary!$G$2:$G$6,Dictonary!$H$2:$H$6)</f>
        <v>Up to 1000</v>
      </c>
      <c r="Y306" s="1" t="str">
        <f>_xlfn.XLOOKUP(I306,Dictonary!$J$2:$J$6,Dictonary!$K$2:$K$6)</f>
        <v>male : single</v>
      </c>
      <c r="Z306" s="1" t="str">
        <f>_xlfn.XLOOKUP(Q306,Dictonary!$M$2:$M$5,Dictonary!$N$2:$N$5)</f>
        <v>skilled employee / official</v>
      </c>
      <c r="AA306" s="1" t="str">
        <f>_xlfn.XLOOKUP(O306,Dictonary!$P$2:$P$4,Dictonary!$Q$2:$Q$4)</f>
        <v>for free</v>
      </c>
    </row>
    <row r="307" spans="1:27" x14ac:dyDescent="0.3">
      <c r="A307" s="1" t="s">
        <v>42</v>
      </c>
      <c r="B307">
        <v>6</v>
      </c>
      <c r="C307" s="1" t="s">
        <v>36</v>
      </c>
      <c r="D307" s="1" t="s">
        <v>46</v>
      </c>
      <c r="E307">
        <v>1543</v>
      </c>
      <c r="F307" s="1" t="s">
        <v>58</v>
      </c>
      <c r="G307" s="1" t="s">
        <v>38</v>
      </c>
      <c r="H307">
        <v>4</v>
      </c>
      <c r="I307" s="1" t="s">
        <v>59</v>
      </c>
      <c r="J307" s="1" t="s">
        <v>27</v>
      </c>
      <c r="K307">
        <v>2</v>
      </c>
      <c r="L307" s="1" t="s">
        <v>28</v>
      </c>
      <c r="M307">
        <v>33</v>
      </c>
      <c r="N307" s="1" t="s">
        <v>29</v>
      </c>
      <c r="O307" s="1" t="s">
        <v>30</v>
      </c>
      <c r="P307">
        <v>1</v>
      </c>
      <c r="Q307" s="1" t="s">
        <v>31</v>
      </c>
      <c r="R307">
        <v>1</v>
      </c>
      <c r="S307" s="1" t="s">
        <v>40</v>
      </c>
      <c r="T307" s="1" t="s">
        <v>33</v>
      </c>
      <c r="U307" s="1" t="s">
        <v>34</v>
      </c>
      <c r="V307" s="1" t="str">
        <f>_xlfn.XLOOKUP(A307,Dictonary!$A$2:$A$5,Dictonary!$B$2:$B$5)</f>
        <v>No information</v>
      </c>
      <c r="W307" s="1" t="str">
        <f>_xlfn.XLOOKUP(D307,Dictonary!$D$2:$D$12,Dictonary!$E$2:$E$12)</f>
        <v>furniture/equipment</v>
      </c>
      <c r="X307" s="1" t="str">
        <f>_xlfn.XLOOKUP(F307,Dictonary!$G$2:$G$6,Dictonary!$H$2:$H$6)</f>
        <v>More 1000</v>
      </c>
      <c r="Y307" s="1" t="str">
        <f>_xlfn.XLOOKUP(I307,Dictonary!$J$2:$J$6,Dictonary!$K$2:$K$6)</f>
        <v>male : divorced/separated</v>
      </c>
      <c r="Z307" s="1" t="str">
        <f>_xlfn.XLOOKUP(Q307,Dictonary!$M$2:$M$5,Dictonary!$N$2:$N$5)</f>
        <v>skilled employee / official</v>
      </c>
      <c r="AA307" s="1" t="str">
        <f>_xlfn.XLOOKUP(O307,Dictonary!$P$2:$P$4,Dictonary!$Q$2:$Q$4)</f>
        <v>own</v>
      </c>
    </row>
    <row r="308" spans="1:27" x14ac:dyDescent="0.3">
      <c r="A308" s="1" t="s">
        <v>42</v>
      </c>
      <c r="B308">
        <v>30</v>
      </c>
      <c r="C308" s="1" t="s">
        <v>36</v>
      </c>
      <c r="D308" s="1" t="s">
        <v>54</v>
      </c>
      <c r="E308">
        <v>4811</v>
      </c>
      <c r="F308" s="1" t="s">
        <v>24</v>
      </c>
      <c r="G308" s="1" t="s">
        <v>44</v>
      </c>
      <c r="H308">
        <v>2</v>
      </c>
      <c r="I308" s="1" t="s">
        <v>39</v>
      </c>
      <c r="J308" s="1" t="s">
        <v>27</v>
      </c>
      <c r="K308">
        <v>4</v>
      </c>
      <c r="L308" s="1" t="s">
        <v>48</v>
      </c>
      <c r="M308">
        <v>24</v>
      </c>
      <c r="N308" s="1" t="s">
        <v>70</v>
      </c>
      <c r="O308" s="1" t="s">
        <v>56</v>
      </c>
      <c r="P308">
        <v>1</v>
      </c>
      <c r="Q308" s="1" t="s">
        <v>45</v>
      </c>
      <c r="R308">
        <v>1</v>
      </c>
      <c r="S308" s="1" t="s">
        <v>40</v>
      </c>
      <c r="T308" s="1" t="s">
        <v>33</v>
      </c>
      <c r="U308" s="1" t="s">
        <v>34</v>
      </c>
      <c r="V308" s="1" t="str">
        <f>_xlfn.XLOOKUP(A308,Dictonary!$A$2:$A$5,Dictonary!$B$2:$B$5)</f>
        <v>No information</v>
      </c>
      <c r="W308" s="1" t="str">
        <f>_xlfn.XLOOKUP(D308,Dictonary!$D$2:$D$12,Dictonary!$E$2:$E$12)</f>
        <v>car (used)</v>
      </c>
      <c r="X308" s="1" t="str">
        <f>_xlfn.XLOOKUP(F308,Dictonary!$G$2:$G$6,Dictonary!$H$2:$H$6)</f>
        <v>No information</v>
      </c>
      <c r="Y308" s="1" t="str">
        <f>_xlfn.XLOOKUP(I308,Dictonary!$J$2:$J$6,Dictonary!$K$2:$K$6)</f>
        <v>female : divorced/separated/married</v>
      </c>
      <c r="Z308" s="1" t="str">
        <f>_xlfn.XLOOKUP(Q308,Dictonary!$M$2:$M$5,Dictonary!$N$2:$N$5)</f>
        <v>unskilled - resident</v>
      </c>
      <c r="AA308" s="1" t="str">
        <f>_xlfn.XLOOKUP(O308,Dictonary!$P$2:$P$4,Dictonary!$Q$2:$Q$4)</f>
        <v>rent</v>
      </c>
    </row>
    <row r="309" spans="1:27" x14ac:dyDescent="0.3">
      <c r="A309" s="1" t="s">
        <v>21</v>
      </c>
      <c r="B309">
        <v>12</v>
      </c>
      <c r="C309" s="1" t="s">
        <v>36</v>
      </c>
      <c r="D309" s="1" t="s">
        <v>23</v>
      </c>
      <c r="E309">
        <v>727</v>
      </c>
      <c r="F309" s="1" t="s">
        <v>64</v>
      </c>
      <c r="G309" s="1" t="s">
        <v>62</v>
      </c>
      <c r="H309">
        <v>4</v>
      </c>
      <c r="I309" s="1" t="s">
        <v>61</v>
      </c>
      <c r="J309" s="1" t="s">
        <v>27</v>
      </c>
      <c r="K309">
        <v>3</v>
      </c>
      <c r="L309" s="1" t="s">
        <v>52</v>
      </c>
      <c r="M309">
        <v>33</v>
      </c>
      <c r="N309" s="1" t="s">
        <v>29</v>
      </c>
      <c r="O309" s="1" t="s">
        <v>30</v>
      </c>
      <c r="P309">
        <v>1</v>
      </c>
      <c r="Q309" s="1" t="s">
        <v>45</v>
      </c>
      <c r="R309">
        <v>1</v>
      </c>
      <c r="S309" s="1" t="s">
        <v>32</v>
      </c>
      <c r="T309" s="1" t="s">
        <v>33</v>
      </c>
      <c r="U309" s="1" t="s">
        <v>41</v>
      </c>
      <c r="V309" s="1" t="str">
        <f>_xlfn.XLOOKUP(A309,Dictonary!$A$2:$A$5,Dictonary!$B$2:$B$5)</f>
        <v>Negative balance</v>
      </c>
      <c r="W309" s="1" t="str">
        <f>_xlfn.XLOOKUP(D309,Dictonary!$D$2:$D$12,Dictonary!$E$2:$E$12)</f>
        <v>radio/television</v>
      </c>
      <c r="X309" s="1" t="str">
        <f>_xlfn.XLOOKUP(F309,Dictonary!$G$2:$G$6,Dictonary!$H$2:$H$6)</f>
        <v>Up to 500</v>
      </c>
      <c r="Y309" s="1" t="str">
        <f>_xlfn.XLOOKUP(I309,Dictonary!$J$2:$J$6,Dictonary!$K$2:$K$6)</f>
        <v>male : married/widowed</v>
      </c>
      <c r="Z309" s="1" t="str">
        <f>_xlfn.XLOOKUP(Q309,Dictonary!$M$2:$M$5,Dictonary!$N$2:$N$5)</f>
        <v>unskilled - resident</v>
      </c>
      <c r="AA309" s="1" t="str">
        <f>_xlfn.XLOOKUP(O309,Dictonary!$P$2:$P$4,Dictonary!$Q$2:$Q$4)</f>
        <v>own</v>
      </c>
    </row>
    <row r="310" spans="1:27" x14ac:dyDescent="0.3">
      <c r="A310" s="1" t="s">
        <v>35</v>
      </c>
      <c r="B310">
        <v>8</v>
      </c>
      <c r="C310" s="1" t="s">
        <v>36</v>
      </c>
      <c r="D310" s="1" t="s">
        <v>46</v>
      </c>
      <c r="E310">
        <v>1237</v>
      </c>
      <c r="F310" s="1" t="s">
        <v>37</v>
      </c>
      <c r="G310" s="1" t="s">
        <v>38</v>
      </c>
      <c r="H310">
        <v>3</v>
      </c>
      <c r="I310" s="1" t="s">
        <v>39</v>
      </c>
      <c r="J310" s="1" t="s">
        <v>27</v>
      </c>
      <c r="K310">
        <v>4</v>
      </c>
      <c r="L310" s="1" t="s">
        <v>28</v>
      </c>
      <c r="M310">
        <v>24</v>
      </c>
      <c r="N310" s="1" t="s">
        <v>29</v>
      </c>
      <c r="O310" s="1" t="s">
        <v>30</v>
      </c>
      <c r="P310">
        <v>1</v>
      </c>
      <c r="Q310" s="1" t="s">
        <v>31</v>
      </c>
      <c r="R310">
        <v>1</v>
      </c>
      <c r="S310" s="1" t="s">
        <v>40</v>
      </c>
      <c r="T310" s="1" t="s">
        <v>33</v>
      </c>
      <c r="U310" s="1" t="s">
        <v>41</v>
      </c>
      <c r="V310" s="1" t="str">
        <f>_xlfn.XLOOKUP(A310,Dictonary!$A$2:$A$5,Dictonary!$B$2:$B$5)</f>
        <v>Low balance</v>
      </c>
      <c r="W310" s="1" t="str">
        <f>_xlfn.XLOOKUP(D310,Dictonary!$D$2:$D$12,Dictonary!$E$2:$E$12)</f>
        <v>furniture/equipment</v>
      </c>
      <c r="X310" s="1" t="str">
        <f>_xlfn.XLOOKUP(F310,Dictonary!$G$2:$G$6,Dictonary!$H$2:$H$6)</f>
        <v>Less 100</v>
      </c>
      <c r="Y310" s="1" t="str">
        <f>_xlfn.XLOOKUP(I310,Dictonary!$J$2:$J$6,Dictonary!$K$2:$K$6)</f>
        <v>female : divorced/separated/married</v>
      </c>
      <c r="Z310" s="1" t="str">
        <f>_xlfn.XLOOKUP(Q310,Dictonary!$M$2:$M$5,Dictonary!$N$2:$N$5)</f>
        <v>skilled employee / official</v>
      </c>
      <c r="AA310" s="1" t="str">
        <f>_xlfn.XLOOKUP(O310,Dictonary!$P$2:$P$4,Dictonary!$Q$2:$Q$4)</f>
        <v>own</v>
      </c>
    </row>
    <row r="311" spans="1:27" x14ac:dyDescent="0.3">
      <c r="A311" s="1" t="s">
        <v>35</v>
      </c>
      <c r="B311">
        <v>9</v>
      </c>
      <c r="C311" s="1" t="s">
        <v>36</v>
      </c>
      <c r="D311" s="1" t="s">
        <v>51</v>
      </c>
      <c r="E311">
        <v>276</v>
      </c>
      <c r="F311" s="1" t="s">
        <v>37</v>
      </c>
      <c r="G311" s="1" t="s">
        <v>38</v>
      </c>
      <c r="H311">
        <v>4</v>
      </c>
      <c r="I311" s="1" t="s">
        <v>61</v>
      </c>
      <c r="J311" s="1" t="s">
        <v>27</v>
      </c>
      <c r="K311">
        <v>4</v>
      </c>
      <c r="L311" s="1" t="s">
        <v>28</v>
      </c>
      <c r="M311">
        <v>22</v>
      </c>
      <c r="N311" s="1" t="s">
        <v>29</v>
      </c>
      <c r="O311" s="1" t="s">
        <v>56</v>
      </c>
      <c r="P311">
        <v>1</v>
      </c>
      <c r="Q311" s="1" t="s">
        <v>45</v>
      </c>
      <c r="R311">
        <v>1</v>
      </c>
      <c r="S311" s="1" t="s">
        <v>40</v>
      </c>
      <c r="T311" s="1" t="s">
        <v>33</v>
      </c>
      <c r="U311" s="1" t="s">
        <v>34</v>
      </c>
      <c r="V311" s="1" t="str">
        <f>_xlfn.XLOOKUP(A311,Dictonary!$A$2:$A$5,Dictonary!$B$2:$B$5)</f>
        <v>Low balance</v>
      </c>
      <c r="W311" s="1" t="str">
        <f>_xlfn.XLOOKUP(D311,Dictonary!$D$2:$D$12,Dictonary!$E$2:$E$12)</f>
        <v>car (new)</v>
      </c>
      <c r="X311" s="1" t="str">
        <f>_xlfn.XLOOKUP(F311,Dictonary!$G$2:$G$6,Dictonary!$H$2:$H$6)</f>
        <v>Less 100</v>
      </c>
      <c r="Y311" s="1" t="str">
        <f>_xlfn.XLOOKUP(I311,Dictonary!$J$2:$J$6,Dictonary!$K$2:$K$6)</f>
        <v>male : married/widowed</v>
      </c>
      <c r="Z311" s="1" t="str">
        <f>_xlfn.XLOOKUP(Q311,Dictonary!$M$2:$M$5,Dictonary!$N$2:$N$5)</f>
        <v>unskilled - resident</v>
      </c>
      <c r="AA311" s="1" t="str">
        <f>_xlfn.XLOOKUP(O311,Dictonary!$P$2:$P$4,Dictonary!$Q$2:$Q$4)</f>
        <v>rent</v>
      </c>
    </row>
    <row r="312" spans="1:27" x14ac:dyDescent="0.3">
      <c r="A312" s="1" t="s">
        <v>35</v>
      </c>
      <c r="B312">
        <v>48</v>
      </c>
      <c r="C312" s="1" t="s">
        <v>36</v>
      </c>
      <c r="D312" s="1" t="s">
        <v>75</v>
      </c>
      <c r="E312">
        <v>5381</v>
      </c>
      <c r="F312" s="1" t="s">
        <v>24</v>
      </c>
      <c r="G312" s="1" t="s">
        <v>60</v>
      </c>
      <c r="H312">
        <v>3</v>
      </c>
      <c r="I312" s="1" t="s">
        <v>26</v>
      </c>
      <c r="J312" s="1" t="s">
        <v>27</v>
      </c>
      <c r="K312">
        <v>4</v>
      </c>
      <c r="L312" s="1" t="s">
        <v>52</v>
      </c>
      <c r="M312">
        <v>40</v>
      </c>
      <c r="N312" s="1" t="s">
        <v>66</v>
      </c>
      <c r="O312" s="1" t="s">
        <v>49</v>
      </c>
      <c r="P312">
        <v>1</v>
      </c>
      <c r="Q312" s="1" t="s">
        <v>74</v>
      </c>
      <c r="R312">
        <v>1</v>
      </c>
      <c r="S312" s="1" t="s">
        <v>32</v>
      </c>
      <c r="T312" s="1" t="s">
        <v>33</v>
      </c>
      <c r="U312" s="1" t="s">
        <v>34</v>
      </c>
      <c r="V312" s="1" t="str">
        <f>_xlfn.XLOOKUP(A312,Dictonary!$A$2:$A$5,Dictonary!$B$2:$B$5)</f>
        <v>Low balance</v>
      </c>
      <c r="W312" s="1" t="str">
        <f>_xlfn.XLOOKUP(D312,Dictonary!$D$2:$D$12,Dictonary!$E$2:$E$12)</f>
        <v>others</v>
      </c>
      <c r="X312" s="1" t="str">
        <f>_xlfn.XLOOKUP(F312,Dictonary!$G$2:$G$6,Dictonary!$H$2:$H$6)</f>
        <v>No information</v>
      </c>
      <c r="Y312" s="1" t="str">
        <f>_xlfn.XLOOKUP(I312,Dictonary!$J$2:$J$6,Dictonary!$K$2:$K$6)</f>
        <v>male : single</v>
      </c>
      <c r="Z312" s="1" t="str">
        <f>_xlfn.XLOOKUP(Q312,Dictonary!$M$2:$M$5,Dictonary!$N$2:$N$5)</f>
        <v>unemployed/ unskilled  - non-resident</v>
      </c>
      <c r="AA312" s="1" t="str">
        <f>_xlfn.XLOOKUP(O312,Dictonary!$P$2:$P$4,Dictonary!$Q$2:$Q$4)</f>
        <v>for free</v>
      </c>
    </row>
    <row r="313" spans="1:27" x14ac:dyDescent="0.3">
      <c r="A313" s="1" t="s">
        <v>42</v>
      </c>
      <c r="B313">
        <v>24</v>
      </c>
      <c r="C313" s="1" t="s">
        <v>36</v>
      </c>
      <c r="D313" s="1" t="s">
        <v>46</v>
      </c>
      <c r="E313">
        <v>5511</v>
      </c>
      <c r="F313" s="1" t="s">
        <v>64</v>
      </c>
      <c r="G313" s="1" t="s">
        <v>38</v>
      </c>
      <c r="H313">
        <v>4</v>
      </c>
      <c r="I313" s="1" t="s">
        <v>26</v>
      </c>
      <c r="J313" s="1" t="s">
        <v>27</v>
      </c>
      <c r="K313">
        <v>1</v>
      </c>
      <c r="L313" s="1" t="s">
        <v>55</v>
      </c>
      <c r="M313">
        <v>25</v>
      </c>
      <c r="N313" s="1" t="s">
        <v>70</v>
      </c>
      <c r="O313" s="1" t="s">
        <v>30</v>
      </c>
      <c r="P313">
        <v>1</v>
      </c>
      <c r="Q313" s="1" t="s">
        <v>31</v>
      </c>
      <c r="R313">
        <v>1</v>
      </c>
      <c r="S313" s="1" t="s">
        <v>40</v>
      </c>
      <c r="T313" s="1" t="s">
        <v>33</v>
      </c>
      <c r="U313" s="1" t="s">
        <v>34</v>
      </c>
      <c r="V313" s="1" t="str">
        <f>_xlfn.XLOOKUP(A313,Dictonary!$A$2:$A$5,Dictonary!$B$2:$B$5)</f>
        <v>No information</v>
      </c>
      <c r="W313" s="1" t="str">
        <f>_xlfn.XLOOKUP(D313,Dictonary!$D$2:$D$12,Dictonary!$E$2:$E$12)</f>
        <v>furniture/equipment</v>
      </c>
      <c r="X313" s="1" t="str">
        <f>_xlfn.XLOOKUP(F313,Dictonary!$G$2:$G$6,Dictonary!$H$2:$H$6)</f>
        <v>Up to 500</v>
      </c>
      <c r="Y313" s="1" t="str">
        <f>_xlfn.XLOOKUP(I313,Dictonary!$J$2:$J$6,Dictonary!$K$2:$K$6)</f>
        <v>male : single</v>
      </c>
      <c r="Z313" s="1" t="str">
        <f>_xlfn.XLOOKUP(Q313,Dictonary!$M$2:$M$5,Dictonary!$N$2:$N$5)</f>
        <v>skilled employee / official</v>
      </c>
      <c r="AA313" s="1" t="str">
        <f>_xlfn.XLOOKUP(O313,Dictonary!$P$2:$P$4,Dictonary!$Q$2:$Q$4)</f>
        <v>own</v>
      </c>
    </row>
    <row r="314" spans="1:27" x14ac:dyDescent="0.3">
      <c r="A314" s="1" t="s">
        <v>68</v>
      </c>
      <c r="B314">
        <v>24</v>
      </c>
      <c r="C314" s="1" t="s">
        <v>36</v>
      </c>
      <c r="D314" s="1" t="s">
        <v>46</v>
      </c>
      <c r="E314">
        <v>3749</v>
      </c>
      <c r="F314" s="1" t="s">
        <v>37</v>
      </c>
      <c r="G314" s="1" t="s">
        <v>62</v>
      </c>
      <c r="H314">
        <v>2</v>
      </c>
      <c r="I314" s="1" t="s">
        <v>39</v>
      </c>
      <c r="J314" s="1" t="s">
        <v>27</v>
      </c>
      <c r="K314">
        <v>4</v>
      </c>
      <c r="L314" s="1" t="s">
        <v>55</v>
      </c>
      <c r="M314">
        <v>26</v>
      </c>
      <c r="N314" s="1" t="s">
        <v>29</v>
      </c>
      <c r="O314" s="1" t="s">
        <v>30</v>
      </c>
      <c r="P314">
        <v>1</v>
      </c>
      <c r="Q314" s="1" t="s">
        <v>31</v>
      </c>
      <c r="R314">
        <v>1</v>
      </c>
      <c r="S314" s="1" t="s">
        <v>40</v>
      </c>
      <c r="T314" s="1" t="s">
        <v>33</v>
      </c>
      <c r="U314" s="1" t="s">
        <v>34</v>
      </c>
      <c r="V314" s="1" t="str">
        <f>_xlfn.XLOOKUP(A314,Dictonary!$A$2:$A$5,Dictonary!$B$2:$B$5)</f>
        <v>Normal balance</v>
      </c>
      <c r="W314" s="1" t="str">
        <f>_xlfn.XLOOKUP(D314,Dictonary!$D$2:$D$12,Dictonary!$E$2:$E$12)</f>
        <v>furniture/equipment</v>
      </c>
      <c r="X314" s="1" t="str">
        <f>_xlfn.XLOOKUP(F314,Dictonary!$G$2:$G$6,Dictonary!$H$2:$H$6)</f>
        <v>Less 100</v>
      </c>
      <c r="Y314" s="1" t="str">
        <f>_xlfn.XLOOKUP(I314,Dictonary!$J$2:$J$6,Dictonary!$K$2:$K$6)</f>
        <v>female : divorced/separated/married</v>
      </c>
      <c r="Z314" s="1" t="str">
        <f>_xlfn.XLOOKUP(Q314,Dictonary!$M$2:$M$5,Dictonary!$N$2:$N$5)</f>
        <v>skilled employee / official</v>
      </c>
      <c r="AA314" s="1" t="str">
        <f>_xlfn.XLOOKUP(O314,Dictonary!$P$2:$P$4,Dictonary!$Q$2:$Q$4)</f>
        <v>own</v>
      </c>
    </row>
    <row r="315" spans="1:27" x14ac:dyDescent="0.3">
      <c r="A315" s="1" t="s">
        <v>35</v>
      </c>
      <c r="B315">
        <v>12</v>
      </c>
      <c r="C315" s="1" t="s">
        <v>36</v>
      </c>
      <c r="D315" s="1" t="s">
        <v>51</v>
      </c>
      <c r="E315">
        <v>685</v>
      </c>
      <c r="F315" s="1" t="s">
        <v>37</v>
      </c>
      <c r="G315" s="1" t="s">
        <v>44</v>
      </c>
      <c r="H315">
        <v>2</v>
      </c>
      <c r="I315" s="1" t="s">
        <v>61</v>
      </c>
      <c r="J315" s="1" t="s">
        <v>27</v>
      </c>
      <c r="K315">
        <v>3</v>
      </c>
      <c r="L315" s="1" t="s">
        <v>55</v>
      </c>
      <c r="M315">
        <v>25</v>
      </c>
      <c r="N315" s="1" t="s">
        <v>66</v>
      </c>
      <c r="O315" s="1" t="s">
        <v>30</v>
      </c>
      <c r="P315">
        <v>1</v>
      </c>
      <c r="Q315" s="1" t="s">
        <v>45</v>
      </c>
      <c r="R315">
        <v>1</v>
      </c>
      <c r="S315" s="1" t="s">
        <v>40</v>
      </c>
      <c r="T315" s="1" t="s">
        <v>33</v>
      </c>
      <c r="U315" s="1" t="s">
        <v>41</v>
      </c>
      <c r="V315" s="1" t="str">
        <f>_xlfn.XLOOKUP(A315,Dictonary!$A$2:$A$5,Dictonary!$B$2:$B$5)</f>
        <v>Low balance</v>
      </c>
      <c r="W315" s="1" t="str">
        <f>_xlfn.XLOOKUP(D315,Dictonary!$D$2:$D$12,Dictonary!$E$2:$E$12)</f>
        <v>car (new)</v>
      </c>
      <c r="X315" s="1" t="str">
        <f>_xlfn.XLOOKUP(F315,Dictonary!$G$2:$G$6,Dictonary!$H$2:$H$6)</f>
        <v>Less 100</v>
      </c>
      <c r="Y315" s="1" t="str">
        <f>_xlfn.XLOOKUP(I315,Dictonary!$J$2:$J$6,Dictonary!$K$2:$K$6)</f>
        <v>male : married/widowed</v>
      </c>
      <c r="Z315" s="1" t="str">
        <f>_xlfn.XLOOKUP(Q315,Dictonary!$M$2:$M$5,Dictonary!$N$2:$N$5)</f>
        <v>unskilled - resident</v>
      </c>
      <c r="AA315" s="1" t="str">
        <f>_xlfn.XLOOKUP(O315,Dictonary!$P$2:$P$4,Dictonary!$Q$2:$Q$4)</f>
        <v>own</v>
      </c>
    </row>
    <row r="316" spans="1:27" x14ac:dyDescent="0.3">
      <c r="A316" s="1" t="s">
        <v>68</v>
      </c>
      <c r="B316">
        <v>4</v>
      </c>
      <c r="C316" s="1" t="s">
        <v>36</v>
      </c>
      <c r="D316" s="1" t="s">
        <v>51</v>
      </c>
      <c r="E316">
        <v>1494</v>
      </c>
      <c r="F316" s="1" t="s">
        <v>24</v>
      </c>
      <c r="G316" s="1" t="s">
        <v>62</v>
      </c>
      <c r="H316">
        <v>1</v>
      </c>
      <c r="I316" s="1" t="s">
        <v>26</v>
      </c>
      <c r="J316" s="1" t="s">
        <v>27</v>
      </c>
      <c r="K316">
        <v>2</v>
      </c>
      <c r="L316" s="1" t="s">
        <v>28</v>
      </c>
      <c r="M316">
        <v>29</v>
      </c>
      <c r="N316" s="1" t="s">
        <v>29</v>
      </c>
      <c r="O316" s="1" t="s">
        <v>30</v>
      </c>
      <c r="P316">
        <v>1</v>
      </c>
      <c r="Q316" s="1" t="s">
        <v>45</v>
      </c>
      <c r="R316">
        <v>2</v>
      </c>
      <c r="S316" s="1" t="s">
        <v>40</v>
      </c>
      <c r="T316" s="1" t="s">
        <v>67</v>
      </c>
      <c r="U316" s="1" t="s">
        <v>34</v>
      </c>
      <c r="V316" s="1" t="str">
        <f>_xlfn.XLOOKUP(A316,Dictonary!$A$2:$A$5,Dictonary!$B$2:$B$5)</f>
        <v>Normal balance</v>
      </c>
      <c r="W316" s="1" t="str">
        <f>_xlfn.XLOOKUP(D316,Dictonary!$D$2:$D$12,Dictonary!$E$2:$E$12)</f>
        <v>car (new)</v>
      </c>
      <c r="X316" s="1" t="str">
        <f>_xlfn.XLOOKUP(F316,Dictonary!$G$2:$G$6,Dictonary!$H$2:$H$6)</f>
        <v>No information</v>
      </c>
      <c r="Y316" s="1" t="str">
        <f>_xlfn.XLOOKUP(I316,Dictonary!$J$2:$J$6,Dictonary!$K$2:$K$6)</f>
        <v>male : single</v>
      </c>
      <c r="Z316" s="1" t="str">
        <f>_xlfn.XLOOKUP(Q316,Dictonary!$M$2:$M$5,Dictonary!$N$2:$N$5)</f>
        <v>unskilled - resident</v>
      </c>
      <c r="AA316" s="1" t="str">
        <f>_xlfn.XLOOKUP(O316,Dictonary!$P$2:$P$4,Dictonary!$Q$2:$Q$4)</f>
        <v>own</v>
      </c>
    </row>
    <row r="317" spans="1:27" x14ac:dyDescent="0.3">
      <c r="A317" s="1" t="s">
        <v>21</v>
      </c>
      <c r="B317">
        <v>36</v>
      </c>
      <c r="C317" s="1" t="s">
        <v>69</v>
      </c>
      <c r="D317" s="1" t="s">
        <v>46</v>
      </c>
      <c r="E317">
        <v>2746</v>
      </c>
      <c r="F317" s="1" t="s">
        <v>37</v>
      </c>
      <c r="G317" s="1" t="s">
        <v>25</v>
      </c>
      <c r="H317">
        <v>4</v>
      </c>
      <c r="I317" s="1" t="s">
        <v>26</v>
      </c>
      <c r="J317" s="1" t="s">
        <v>27</v>
      </c>
      <c r="K317">
        <v>4</v>
      </c>
      <c r="L317" s="1" t="s">
        <v>55</v>
      </c>
      <c r="M317">
        <v>31</v>
      </c>
      <c r="N317" s="1" t="s">
        <v>66</v>
      </c>
      <c r="O317" s="1" t="s">
        <v>30</v>
      </c>
      <c r="P317">
        <v>1</v>
      </c>
      <c r="Q317" s="1" t="s">
        <v>31</v>
      </c>
      <c r="R317">
        <v>1</v>
      </c>
      <c r="S317" s="1" t="s">
        <v>40</v>
      </c>
      <c r="T317" s="1" t="s">
        <v>33</v>
      </c>
      <c r="U317" s="1" t="s">
        <v>41</v>
      </c>
      <c r="V317" s="1" t="str">
        <f>_xlfn.XLOOKUP(A317,Dictonary!$A$2:$A$5,Dictonary!$B$2:$B$5)</f>
        <v>Negative balance</v>
      </c>
      <c r="W317" s="1" t="str">
        <f>_xlfn.XLOOKUP(D317,Dictonary!$D$2:$D$12,Dictonary!$E$2:$E$12)</f>
        <v>furniture/equipment</v>
      </c>
      <c r="X317" s="1" t="str">
        <f>_xlfn.XLOOKUP(F317,Dictonary!$G$2:$G$6,Dictonary!$H$2:$H$6)</f>
        <v>Less 100</v>
      </c>
      <c r="Y317" s="1" t="str">
        <f>_xlfn.XLOOKUP(I317,Dictonary!$J$2:$J$6,Dictonary!$K$2:$K$6)</f>
        <v>male : single</v>
      </c>
      <c r="Z317" s="1" t="str">
        <f>_xlfn.XLOOKUP(Q317,Dictonary!$M$2:$M$5,Dictonary!$N$2:$N$5)</f>
        <v>skilled employee / official</v>
      </c>
      <c r="AA317" s="1" t="str">
        <f>_xlfn.XLOOKUP(O317,Dictonary!$P$2:$P$4,Dictonary!$Q$2:$Q$4)</f>
        <v>own</v>
      </c>
    </row>
    <row r="318" spans="1:27" x14ac:dyDescent="0.3">
      <c r="A318" s="1" t="s">
        <v>21</v>
      </c>
      <c r="B318">
        <v>12</v>
      </c>
      <c r="C318" s="1" t="s">
        <v>36</v>
      </c>
      <c r="D318" s="1" t="s">
        <v>46</v>
      </c>
      <c r="E318">
        <v>708</v>
      </c>
      <c r="F318" s="1" t="s">
        <v>37</v>
      </c>
      <c r="G318" s="1" t="s">
        <v>38</v>
      </c>
      <c r="H318">
        <v>2</v>
      </c>
      <c r="I318" s="1" t="s">
        <v>26</v>
      </c>
      <c r="J318" s="1" t="s">
        <v>47</v>
      </c>
      <c r="K318">
        <v>3</v>
      </c>
      <c r="L318" s="1" t="s">
        <v>48</v>
      </c>
      <c r="M318">
        <v>38</v>
      </c>
      <c r="N318" s="1" t="s">
        <v>29</v>
      </c>
      <c r="O318" s="1" t="s">
        <v>30</v>
      </c>
      <c r="P318">
        <v>1</v>
      </c>
      <c r="Q318" s="1" t="s">
        <v>45</v>
      </c>
      <c r="R318">
        <v>2</v>
      </c>
      <c r="S318" s="1" t="s">
        <v>40</v>
      </c>
      <c r="T318" s="1" t="s">
        <v>33</v>
      </c>
      <c r="U318" s="1" t="s">
        <v>34</v>
      </c>
      <c r="V318" s="1" t="str">
        <f>_xlfn.XLOOKUP(A318,Dictonary!$A$2:$A$5,Dictonary!$B$2:$B$5)</f>
        <v>Negative balance</v>
      </c>
      <c r="W318" s="1" t="str">
        <f>_xlfn.XLOOKUP(D318,Dictonary!$D$2:$D$12,Dictonary!$E$2:$E$12)</f>
        <v>furniture/equipment</v>
      </c>
      <c r="X318" s="1" t="str">
        <f>_xlfn.XLOOKUP(F318,Dictonary!$G$2:$G$6,Dictonary!$H$2:$H$6)</f>
        <v>Less 100</v>
      </c>
      <c r="Y318" s="1" t="str">
        <f>_xlfn.XLOOKUP(I318,Dictonary!$J$2:$J$6,Dictonary!$K$2:$K$6)</f>
        <v>male : single</v>
      </c>
      <c r="Z318" s="1" t="str">
        <f>_xlfn.XLOOKUP(Q318,Dictonary!$M$2:$M$5,Dictonary!$N$2:$N$5)</f>
        <v>unskilled - resident</v>
      </c>
      <c r="AA318" s="1" t="str">
        <f>_xlfn.XLOOKUP(O318,Dictonary!$P$2:$P$4,Dictonary!$Q$2:$Q$4)</f>
        <v>own</v>
      </c>
    </row>
    <row r="319" spans="1:27" x14ac:dyDescent="0.3">
      <c r="A319" s="1" t="s">
        <v>35</v>
      </c>
      <c r="B319">
        <v>24</v>
      </c>
      <c r="C319" s="1" t="s">
        <v>36</v>
      </c>
      <c r="D319" s="1" t="s">
        <v>46</v>
      </c>
      <c r="E319">
        <v>4351</v>
      </c>
      <c r="F319" s="1" t="s">
        <v>24</v>
      </c>
      <c r="G319" s="1" t="s">
        <v>38</v>
      </c>
      <c r="H319">
        <v>1</v>
      </c>
      <c r="I319" s="1" t="s">
        <v>39</v>
      </c>
      <c r="J319" s="1" t="s">
        <v>27</v>
      </c>
      <c r="K319">
        <v>4</v>
      </c>
      <c r="L319" s="1" t="s">
        <v>48</v>
      </c>
      <c r="M319">
        <v>48</v>
      </c>
      <c r="N319" s="1" t="s">
        <v>29</v>
      </c>
      <c r="O319" s="1" t="s">
        <v>30</v>
      </c>
      <c r="P319">
        <v>1</v>
      </c>
      <c r="Q319" s="1" t="s">
        <v>45</v>
      </c>
      <c r="R319">
        <v>1</v>
      </c>
      <c r="S319" s="1" t="s">
        <v>32</v>
      </c>
      <c r="T319" s="1" t="s">
        <v>33</v>
      </c>
      <c r="U319" s="1" t="s">
        <v>34</v>
      </c>
      <c r="V319" s="1" t="str">
        <f>_xlfn.XLOOKUP(A319,Dictonary!$A$2:$A$5,Dictonary!$B$2:$B$5)</f>
        <v>Low balance</v>
      </c>
      <c r="W319" s="1" t="str">
        <f>_xlfn.XLOOKUP(D319,Dictonary!$D$2:$D$12,Dictonary!$E$2:$E$12)</f>
        <v>furniture/equipment</v>
      </c>
      <c r="X319" s="1" t="str">
        <f>_xlfn.XLOOKUP(F319,Dictonary!$G$2:$G$6,Dictonary!$H$2:$H$6)</f>
        <v>No information</v>
      </c>
      <c r="Y319" s="1" t="str">
        <f>_xlfn.XLOOKUP(I319,Dictonary!$J$2:$J$6,Dictonary!$K$2:$K$6)</f>
        <v>female : divorced/separated/married</v>
      </c>
      <c r="Z319" s="1" t="str">
        <f>_xlfn.XLOOKUP(Q319,Dictonary!$M$2:$M$5,Dictonary!$N$2:$N$5)</f>
        <v>unskilled - resident</v>
      </c>
      <c r="AA319" s="1" t="str">
        <f>_xlfn.XLOOKUP(O319,Dictonary!$P$2:$P$4,Dictonary!$Q$2:$Q$4)</f>
        <v>own</v>
      </c>
    </row>
    <row r="320" spans="1:27" x14ac:dyDescent="0.3">
      <c r="A320" s="1" t="s">
        <v>42</v>
      </c>
      <c r="B320">
        <v>12</v>
      </c>
      <c r="C320" s="1" t="s">
        <v>22</v>
      </c>
      <c r="D320" s="1" t="s">
        <v>43</v>
      </c>
      <c r="E320">
        <v>701</v>
      </c>
      <c r="F320" s="1" t="s">
        <v>37</v>
      </c>
      <c r="G320" s="1" t="s">
        <v>38</v>
      </c>
      <c r="H320">
        <v>4</v>
      </c>
      <c r="I320" s="1" t="s">
        <v>26</v>
      </c>
      <c r="J320" s="1" t="s">
        <v>27</v>
      </c>
      <c r="K320">
        <v>2</v>
      </c>
      <c r="L320" s="1" t="s">
        <v>55</v>
      </c>
      <c r="M320">
        <v>32</v>
      </c>
      <c r="N320" s="1" t="s">
        <v>29</v>
      </c>
      <c r="O320" s="1" t="s">
        <v>30</v>
      </c>
      <c r="P320">
        <v>2</v>
      </c>
      <c r="Q320" s="1" t="s">
        <v>31</v>
      </c>
      <c r="R320">
        <v>1</v>
      </c>
      <c r="S320" s="1" t="s">
        <v>40</v>
      </c>
      <c r="T320" s="1" t="s">
        <v>33</v>
      </c>
      <c r="U320" s="1" t="s">
        <v>34</v>
      </c>
      <c r="V320" s="1" t="str">
        <f>_xlfn.XLOOKUP(A320,Dictonary!$A$2:$A$5,Dictonary!$B$2:$B$5)</f>
        <v>No information</v>
      </c>
      <c r="W320" s="1" t="str">
        <f>_xlfn.XLOOKUP(D320,Dictonary!$D$2:$D$12,Dictonary!$E$2:$E$12)</f>
        <v>education</v>
      </c>
      <c r="X320" s="1" t="str">
        <f>_xlfn.XLOOKUP(F320,Dictonary!$G$2:$G$6,Dictonary!$H$2:$H$6)</f>
        <v>Less 100</v>
      </c>
      <c r="Y320" s="1" t="str">
        <f>_xlfn.XLOOKUP(I320,Dictonary!$J$2:$J$6,Dictonary!$K$2:$K$6)</f>
        <v>male : single</v>
      </c>
      <c r="Z320" s="1" t="str">
        <f>_xlfn.XLOOKUP(Q320,Dictonary!$M$2:$M$5,Dictonary!$N$2:$N$5)</f>
        <v>skilled employee / official</v>
      </c>
      <c r="AA320" s="1" t="str">
        <f>_xlfn.XLOOKUP(O320,Dictonary!$P$2:$P$4,Dictonary!$Q$2:$Q$4)</f>
        <v>own</v>
      </c>
    </row>
    <row r="321" spans="1:27" x14ac:dyDescent="0.3">
      <c r="A321" s="1" t="s">
        <v>21</v>
      </c>
      <c r="B321">
        <v>15</v>
      </c>
      <c r="C321" s="1" t="s">
        <v>50</v>
      </c>
      <c r="D321" s="1" t="s">
        <v>46</v>
      </c>
      <c r="E321">
        <v>3643</v>
      </c>
      <c r="F321" s="1" t="s">
        <v>37</v>
      </c>
      <c r="G321" s="1" t="s">
        <v>25</v>
      </c>
      <c r="H321">
        <v>1</v>
      </c>
      <c r="I321" s="1" t="s">
        <v>39</v>
      </c>
      <c r="J321" s="1" t="s">
        <v>27</v>
      </c>
      <c r="K321">
        <v>4</v>
      </c>
      <c r="L321" s="1" t="s">
        <v>48</v>
      </c>
      <c r="M321">
        <v>27</v>
      </c>
      <c r="N321" s="1" t="s">
        <v>29</v>
      </c>
      <c r="O321" s="1" t="s">
        <v>30</v>
      </c>
      <c r="P321">
        <v>2</v>
      </c>
      <c r="Q321" s="1" t="s">
        <v>45</v>
      </c>
      <c r="R321">
        <v>1</v>
      </c>
      <c r="S321" s="1" t="s">
        <v>40</v>
      </c>
      <c r="T321" s="1" t="s">
        <v>33</v>
      </c>
      <c r="U321" s="1" t="s">
        <v>34</v>
      </c>
      <c r="V321" s="1" t="str">
        <f>_xlfn.XLOOKUP(A321,Dictonary!$A$2:$A$5,Dictonary!$B$2:$B$5)</f>
        <v>Negative balance</v>
      </c>
      <c r="W321" s="1" t="str">
        <f>_xlfn.XLOOKUP(D321,Dictonary!$D$2:$D$12,Dictonary!$E$2:$E$12)</f>
        <v>furniture/equipment</v>
      </c>
      <c r="X321" s="1" t="str">
        <f>_xlfn.XLOOKUP(F321,Dictonary!$G$2:$G$6,Dictonary!$H$2:$H$6)</f>
        <v>Less 100</v>
      </c>
      <c r="Y321" s="1" t="str">
        <f>_xlfn.XLOOKUP(I321,Dictonary!$J$2:$J$6,Dictonary!$K$2:$K$6)</f>
        <v>female : divorced/separated/married</v>
      </c>
      <c r="Z321" s="1" t="str">
        <f>_xlfn.XLOOKUP(Q321,Dictonary!$M$2:$M$5,Dictonary!$N$2:$N$5)</f>
        <v>unskilled - resident</v>
      </c>
      <c r="AA321" s="1" t="str">
        <f>_xlfn.XLOOKUP(O321,Dictonary!$P$2:$P$4,Dictonary!$Q$2:$Q$4)</f>
        <v>own</v>
      </c>
    </row>
    <row r="322" spans="1:27" x14ac:dyDescent="0.3">
      <c r="A322" s="1" t="s">
        <v>35</v>
      </c>
      <c r="B322">
        <v>30</v>
      </c>
      <c r="C322" s="1" t="s">
        <v>22</v>
      </c>
      <c r="D322" s="1" t="s">
        <v>51</v>
      </c>
      <c r="E322">
        <v>4249</v>
      </c>
      <c r="F322" s="1" t="s">
        <v>37</v>
      </c>
      <c r="G322" s="1" t="s">
        <v>60</v>
      </c>
      <c r="H322">
        <v>4</v>
      </c>
      <c r="I322" s="1" t="s">
        <v>61</v>
      </c>
      <c r="J322" s="1" t="s">
        <v>27</v>
      </c>
      <c r="K322">
        <v>2</v>
      </c>
      <c r="L322" s="1" t="s">
        <v>55</v>
      </c>
      <c r="M322">
        <v>28</v>
      </c>
      <c r="N322" s="1" t="s">
        <v>29</v>
      </c>
      <c r="O322" s="1" t="s">
        <v>30</v>
      </c>
      <c r="P322">
        <v>2</v>
      </c>
      <c r="Q322" s="1" t="s">
        <v>57</v>
      </c>
      <c r="R322">
        <v>1</v>
      </c>
      <c r="S322" s="1" t="s">
        <v>40</v>
      </c>
      <c r="T322" s="1" t="s">
        <v>33</v>
      </c>
      <c r="U322" s="1" t="s">
        <v>41</v>
      </c>
      <c r="V322" s="1" t="str">
        <f>_xlfn.XLOOKUP(A322,Dictonary!$A$2:$A$5,Dictonary!$B$2:$B$5)</f>
        <v>Low balance</v>
      </c>
      <c r="W322" s="1" t="str">
        <f>_xlfn.XLOOKUP(D322,Dictonary!$D$2:$D$12,Dictonary!$E$2:$E$12)</f>
        <v>car (new)</v>
      </c>
      <c r="X322" s="1" t="str">
        <f>_xlfn.XLOOKUP(F322,Dictonary!$G$2:$G$6,Dictonary!$H$2:$H$6)</f>
        <v>Less 100</v>
      </c>
      <c r="Y322" s="1" t="str">
        <f>_xlfn.XLOOKUP(I322,Dictonary!$J$2:$J$6,Dictonary!$K$2:$K$6)</f>
        <v>male : married/widowed</v>
      </c>
      <c r="Z322" s="1" t="str">
        <f>_xlfn.XLOOKUP(Q322,Dictonary!$M$2:$M$5,Dictonary!$N$2:$N$5)</f>
        <v>management/ self-employed/ highly qualified employee/ officer</v>
      </c>
      <c r="AA322" s="1" t="str">
        <f>_xlfn.XLOOKUP(O322,Dictonary!$P$2:$P$4,Dictonary!$Q$2:$Q$4)</f>
        <v>own</v>
      </c>
    </row>
    <row r="323" spans="1:27" x14ac:dyDescent="0.3">
      <c r="A323" s="1" t="s">
        <v>21</v>
      </c>
      <c r="B323">
        <v>24</v>
      </c>
      <c r="C323" s="1" t="s">
        <v>36</v>
      </c>
      <c r="D323" s="1" t="s">
        <v>23</v>
      </c>
      <c r="E323">
        <v>1938</v>
      </c>
      <c r="F323" s="1" t="s">
        <v>37</v>
      </c>
      <c r="G323" s="1" t="s">
        <v>62</v>
      </c>
      <c r="H323">
        <v>4</v>
      </c>
      <c r="I323" s="1" t="s">
        <v>59</v>
      </c>
      <c r="J323" s="1" t="s">
        <v>27</v>
      </c>
      <c r="K323">
        <v>3</v>
      </c>
      <c r="L323" s="1" t="s">
        <v>48</v>
      </c>
      <c r="M323">
        <v>32</v>
      </c>
      <c r="N323" s="1" t="s">
        <v>29</v>
      </c>
      <c r="O323" s="1" t="s">
        <v>30</v>
      </c>
      <c r="P323">
        <v>1</v>
      </c>
      <c r="Q323" s="1" t="s">
        <v>31</v>
      </c>
      <c r="R323">
        <v>1</v>
      </c>
      <c r="S323" s="1" t="s">
        <v>40</v>
      </c>
      <c r="T323" s="1" t="s">
        <v>33</v>
      </c>
      <c r="U323" s="1" t="s">
        <v>41</v>
      </c>
      <c r="V323" s="1" t="str">
        <f>_xlfn.XLOOKUP(A323,Dictonary!$A$2:$A$5,Dictonary!$B$2:$B$5)</f>
        <v>Negative balance</v>
      </c>
      <c r="W323" s="1" t="str">
        <f>_xlfn.XLOOKUP(D323,Dictonary!$D$2:$D$12,Dictonary!$E$2:$E$12)</f>
        <v>radio/television</v>
      </c>
      <c r="X323" s="1" t="str">
        <f>_xlfn.XLOOKUP(F323,Dictonary!$G$2:$G$6,Dictonary!$H$2:$H$6)</f>
        <v>Less 100</v>
      </c>
      <c r="Y323" s="1" t="str">
        <f>_xlfn.XLOOKUP(I323,Dictonary!$J$2:$J$6,Dictonary!$K$2:$K$6)</f>
        <v>male : divorced/separated</v>
      </c>
      <c r="Z323" s="1" t="str">
        <f>_xlfn.XLOOKUP(Q323,Dictonary!$M$2:$M$5,Dictonary!$N$2:$N$5)</f>
        <v>skilled employee / official</v>
      </c>
      <c r="AA323" s="1" t="str">
        <f>_xlfn.XLOOKUP(O323,Dictonary!$P$2:$P$4,Dictonary!$Q$2:$Q$4)</f>
        <v>own</v>
      </c>
    </row>
    <row r="324" spans="1:27" x14ac:dyDescent="0.3">
      <c r="A324" s="1" t="s">
        <v>21</v>
      </c>
      <c r="B324">
        <v>24</v>
      </c>
      <c r="C324" s="1" t="s">
        <v>36</v>
      </c>
      <c r="D324" s="1" t="s">
        <v>54</v>
      </c>
      <c r="E324">
        <v>2910</v>
      </c>
      <c r="F324" s="1" t="s">
        <v>37</v>
      </c>
      <c r="G324" s="1" t="s">
        <v>44</v>
      </c>
      <c r="H324">
        <v>2</v>
      </c>
      <c r="I324" s="1" t="s">
        <v>26</v>
      </c>
      <c r="J324" s="1" t="s">
        <v>27</v>
      </c>
      <c r="K324">
        <v>1</v>
      </c>
      <c r="L324" s="1" t="s">
        <v>52</v>
      </c>
      <c r="M324">
        <v>34</v>
      </c>
      <c r="N324" s="1" t="s">
        <v>29</v>
      </c>
      <c r="O324" s="1" t="s">
        <v>49</v>
      </c>
      <c r="P324">
        <v>1</v>
      </c>
      <c r="Q324" s="1" t="s">
        <v>57</v>
      </c>
      <c r="R324">
        <v>1</v>
      </c>
      <c r="S324" s="1" t="s">
        <v>32</v>
      </c>
      <c r="T324" s="1" t="s">
        <v>33</v>
      </c>
      <c r="U324" s="1" t="s">
        <v>34</v>
      </c>
      <c r="V324" s="1" t="str">
        <f>_xlfn.XLOOKUP(A324,Dictonary!$A$2:$A$5,Dictonary!$B$2:$B$5)</f>
        <v>Negative balance</v>
      </c>
      <c r="W324" s="1" t="str">
        <f>_xlfn.XLOOKUP(D324,Dictonary!$D$2:$D$12,Dictonary!$E$2:$E$12)</f>
        <v>car (used)</v>
      </c>
      <c r="X324" s="1" t="str">
        <f>_xlfn.XLOOKUP(F324,Dictonary!$G$2:$G$6,Dictonary!$H$2:$H$6)</f>
        <v>Less 100</v>
      </c>
      <c r="Y324" s="1" t="str">
        <f>_xlfn.XLOOKUP(I324,Dictonary!$J$2:$J$6,Dictonary!$K$2:$K$6)</f>
        <v>male : single</v>
      </c>
      <c r="Z324" s="1" t="str">
        <f>_xlfn.XLOOKUP(Q324,Dictonary!$M$2:$M$5,Dictonary!$N$2:$N$5)</f>
        <v>management/ self-employed/ highly qualified employee/ officer</v>
      </c>
      <c r="AA324" s="1" t="str">
        <f>_xlfn.XLOOKUP(O324,Dictonary!$P$2:$P$4,Dictonary!$Q$2:$Q$4)</f>
        <v>for free</v>
      </c>
    </row>
    <row r="325" spans="1:27" x14ac:dyDescent="0.3">
      <c r="A325" s="1" t="s">
        <v>21</v>
      </c>
      <c r="B325">
        <v>18</v>
      </c>
      <c r="C325" s="1" t="s">
        <v>36</v>
      </c>
      <c r="D325" s="1" t="s">
        <v>46</v>
      </c>
      <c r="E325">
        <v>2659</v>
      </c>
      <c r="F325" s="1" t="s">
        <v>58</v>
      </c>
      <c r="G325" s="1" t="s">
        <v>38</v>
      </c>
      <c r="H325">
        <v>4</v>
      </c>
      <c r="I325" s="1" t="s">
        <v>26</v>
      </c>
      <c r="J325" s="1" t="s">
        <v>27</v>
      </c>
      <c r="K325">
        <v>2</v>
      </c>
      <c r="L325" s="1" t="s">
        <v>55</v>
      </c>
      <c r="M325">
        <v>28</v>
      </c>
      <c r="N325" s="1" t="s">
        <v>29</v>
      </c>
      <c r="O325" s="1" t="s">
        <v>30</v>
      </c>
      <c r="P325">
        <v>1</v>
      </c>
      <c r="Q325" s="1" t="s">
        <v>31</v>
      </c>
      <c r="R325">
        <v>1</v>
      </c>
      <c r="S325" s="1" t="s">
        <v>40</v>
      </c>
      <c r="T325" s="1" t="s">
        <v>33</v>
      </c>
      <c r="U325" s="1" t="s">
        <v>34</v>
      </c>
      <c r="V325" s="1" t="str">
        <f>_xlfn.XLOOKUP(A325,Dictonary!$A$2:$A$5,Dictonary!$B$2:$B$5)</f>
        <v>Negative balance</v>
      </c>
      <c r="W325" s="1" t="str">
        <f>_xlfn.XLOOKUP(D325,Dictonary!$D$2:$D$12,Dictonary!$E$2:$E$12)</f>
        <v>furniture/equipment</v>
      </c>
      <c r="X325" s="1" t="str">
        <f>_xlfn.XLOOKUP(F325,Dictonary!$G$2:$G$6,Dictonary!$H$2:$H$6)</f>
        <v>More 1000</v>
      </c>
      <c r="Y325" s="1" t="str">
        <f>_xlfn.XLOOKUP(I325,Dictonary!$J$2:$J$6,Dictonary!$K$2:$K$6)</f>
        <v>male : single</v>
      </c>
      <c r="Z325" s="1" t="str">
        <f>_xlfn.XLOOKUP(Q325,Dictonary!$M$2:$M$5,Dictonary!$N$2:$N$5)</f>
        <v>skilled employee / official</v>
      </c>
      <c r="AA325" s="1" t="str">
        <f>_xlfn.XLOOKUP(O325,Dictonary!$P$2:$P$4,Dictonary!$Q$2:$Q$4)</f>
        <v>own</v>
      </c>
    </row>
    <row r="326" spans="1:27" x14ac:dyDescent="0.3">
      <c r="A326" s="1" t="s">
        <v>42</v>
      </c>
      <c r="B326">
        <v>18</v>
      </c>
      <c r="C326" s="1" t="s">
        <v>22</v>
      </c>
      <c r="D326" s="1" t="s">
        <v>51</v>
      </c>
      <c r="E326">
        <v>1028</v>
      </c>
      <c r="F326" s="1" t="s">
        <v>37</v>
      </c>
      <c r="G326" s="1" t="s">
        <v>38</v>
      </c>
      <c r="H326">
        <v>4</v>
      </c>
      <c r="I326" s="1" t="s">
        <v>39</v>
      </c>
      <c r="J326" s="1" t="s">
        <v>27</v>
      </c>
      <c r="K326">
        <v>3</v>
      </c>
      <c r="L326" s="1" t="s">
        <v>28</v>
      </c>
      <c r="M326">
        <v>36</v>
      </c>
      <c r="N326" s="1" t="s">
        <v>29</v>
      </c>
      <c r="O326" s="1" t="s">
        <v>30</v>
      </c>
      <c r="P326">
        <v>2</v>
      </c>
      <c r="Q326" s="1" t="s">
        <v>31</v>
      </c>
      <c r="R326">
        <v>1</v>
      </c>
      <c r="S326" s="1" t="s">
        <v>40</v>
      </c>
      <c r="T326" s="1" t="s">
        <v>33</v>
      </c>
      <c r="U326" s="1" t="s">
        <v>34</v>
      </c>
      <c r="V326" s="1" t="str">
        <f>_xlfn.XLOOKUP(A326,Dictonary!$A$2:$A$5,Dictonary!$B$2:$B$5)</f>
        <v>No information</v>
      </c>
      <c r="W326" s="1" t="str">
        <f>_xlfn.XLOOKUP(D326,Dictonary!$D$2:$D$12,Dictonary!$E$2:$E$12)</f>
        <v>car (new)</v>
      </c>
      <c r="X326" s="1" t="str">
        <f>_xlfn.XLOOKUP(F326,Dictonary!$G$2:$G$6,Dictonary!$H$2:$H$6)</f>
        <v>Less 100</v>
      </c>
      <c r="Y326" s="1" t="str">
        <f>_xlfn.XLOOKUP(I326,Dictonary!$J$2:$J$6,Dictonary!$K$2:$K$6)</f>
        <v>female : divorced/separated/married</v>
      </c>
      <c r="Z326" s="1" t="str">
        <f>_xlfn.XLOOKUP(Q326,Dictonary!$M$2:$M$5,Dictonary!$N$2:$N$5)</f>
        <v>skilled employee / official</v>
      </c>
      <c r="AA326" s="1" t="str">
        <f>_xlfn.XLOOKUP(O326,Dictonary!$P$2:$P$4,Dictonary!$Q$2:$Q$4)</f>
        <v>own</v>
      </c>
    </row>
    <row r="327" spans="1:27" x14ac:dyDescent="0.3">
      <c r="A327" s="1" t="s">
        <v>21</v>
      </c>
      <c r="B327">
        <v>8</v>
      </c>
      <c r="C327" s="1" t="s">
        <v>22</v>
      </c>
      <c r="D327" s="1" t="s">
        <v>51</v>
      </c>
      <c r="E327">
        <v>3398</v>
      </c>
      <c r="F327" s="1" t="s">
        <v>37</v>
      </c>
      <c r="G327" s="1" t="s">
        <v>44</v>
      </c>
      <c r="H327">
        <v>1</v>
      </c>
      <c r="I327" s="1" t="s">
        <v>26</v>
      </c>
      <c r="J327" s="1" t="s">
        <v>27</v>
      </c>
      <c r="K327">
        <v>4</v>
      </c>
      <c r="L327" s="1" t="s">
        <v>28</v>
      </c>
      <c r="M327">
        <v>39</v>
      </c>
      <c r="N327" s="1" t="s">
        <v>29</v>
      </c>
      <c r="O327" s="1" t="s">
        <v>30</v>
      </c>
      <c r="P327">
        <v>2</v>
      </c>
      <c r="Q327" s="1" t="s">
        <v>45</v>
      </c>
      <c r="R327">
        <v>1</v>
      </c>
      <c r="S327" s="1" t="s">
        <v>40</v>
      </c>
      <c r="T327" s="1" t="s">
        <v>67</v>
      </c>
      <c r="U327" s="1" t="s">
        <v>34</v>
      </c>
      <c r="V327" s="1" t="str">
        <f>_xlfn.XLOOKUP(A327,Dictonary!$A$2:$A$5,Dictonary!$B$2:$B$5)</f>
        <v>Negative balance</v>
      </c>
      <c r="W327" s="1" t="str">
        <f>_xlfn.XLOOKUP(D327,Dictonary!$D$2:$D$12,Dictonary!$E$2:$E$12)</f>
        <v>car (new)</v>
      </c>
      <c r="X327" s="1" t="str">
        <f>_xlfn.XLOOKUP(F327,Dictonary!$G$2:$G$6,Dictonary!$H$2:$H$6)</f>
        <v>Less 100</v>
      </c>
      <c r="Y327" s="1" t="str">
        <f>_xlfn.XLOOKUP(I327,Dictonary!$J$2:$J$6,Dictonary!$K$2:$K$6)</f>
        <v>male : single</v>
      </c>
      <c r="Z327" s="1" t="str">
        <f>_xlfn.XLOOKUP(Q327,Dictonary!$M$2:$M$5,Dictonary!$N$2:$N$5)</f>
        <v>unskilled - resident</v>
      </c>
      <c r="AA327" s="1" t="str">
        <f>_xlfn.XLOOKUP(O327,Dictonary!$P$2:$P$4,Dictonary!$Q$2:$Q$4)</f>
        <v>own</v>
      </c>
    </row>
    <row r="328" spans="1:27" x14ac:dyDescent="0.3">
      <c r="A328" s="1" t="s">
        <v>42</v>
      </c>
      <c r="B328">
        <v>12</v>
      </c>
      <c r="C328" s="1" t="s">
        <v>22</v>
      </c>
      <c r="D328" s="1" t="s">
        <v>46</v>
      </c>
      <c r="E328">
        <v>5801</v>
      </c>
      <c r="F328" s="1" t="s">
        <v>24</v>
      </c>
      <c r="G328" s="1" t="s">
        <v>25</v>
      </c>
      <c r="H328">
        <v>2</v>
      </c>
      <c r="I328" s="1" t="s">
        <v>26</v>
      </c>
      <c r="J328" s="1" t="s">
        <v>27</v>
      </c>
      <c r="K328">
        <v>4</v>
      </c>
      <c r="L328" s="1" t="s">
        <v>48</v>
      </c>
      <c r="M328">
        <v>49</v>
      </c>
      <c r="N328" s="1" t="s">
        <v>29</v>
      </c>
      <c r="O328" s="1" t="s">
        <v>56</v>
      </c>
      <c r="P328">
        <v>1</v>
      </c>
      <c r="Q328" s="1" t="s">
        <v>31</v>
      </c>
      <c r="R328">
        <v>1</v>
      </c>
      <c r="S328" s="1" t="s">
        <v>32</v>
      </c>
      <c r="T328" s="1" t="s">
        <v>33</v>
      </c>
      <c r="U328" s="1" t="s">
        <v>34</v>
      </c>
      <c r="V328" s="1" t="str">
        <f>_xlfn.XLOOKUP(A328,Dictonary!$A$2:$A$5,Dictonary!$B$2:$B$5)</f>
        <v>No information</v>
      </c>
      <c r="W328" s="1" t="str">
        <f>_xlfn.XLOOKUP(D328,Dictonary!$D$2:$D$12,Dictonary!$E$2:$E$12)</f>
        <v>furniture/equipment</v>
      </c>
      <c r="X328" s="1" t="str">
        <f>_xlfn.XLOOKUP(F328,Dictonary!$G$2:$G$6,Dictonary!$H$2:$H$6)</f>
        <v>No information</v>
      </c>
      <c r="Y328" s="1" t="str">
        <f>_xlfn.XLOOKUP(I328,Dictonary!$J$2:$J$6,Dictonary!$K$2:$K$6)</f>
        <v>male : single</v>
      </c>
      <c r="Z328" s="1" t="str">
        <f>_xlfn.XLOOKUP(Q328,Dictonary!$M$2:$M$5,Dictonary!$N$2:$N$5)</f>
        <v>skilled employee / official</v>
      </c>
      <c r="AA328" s="1" t="str">
        <f>_xlfn.XLOOKUP(O328,Dictonary!$P$2:$P$4,Dictonary!$Q$2:$Q$4)</f>
        <v>rent</v>
      </c>
    </row>
    <row r="329" spans="1:27" x14ac:dyDescent="0.3">
      <c r="A329" s="1" t="s">
        <v>42</v>
      </c>
      <c r="B329">
        <v>24</v>
      </c>
      <c r="C329" s="1" t="s">
        <v>36</v>
      </c>
      <c r="D329" s="1" t="s">
        <v>51</v>
      </c>
      <c r="E329">
        <v>1525</v>
      </c>
      <c r="F329" s="1" t="s">
        <v>58</v>
      </c>
      <c r="G329" s="1" t="s">
        <v>44</v>
      </c>
      <c r="H329">
        <v>4</v>
      </c>
      <c r="I329" s="1" t="s">
        <v>39</v>
      </c>
      <c r="J329" s="1" t="s">
        <v>27</v>
      </c>
      <c r="K329">
        <v>3</v>
      </c>
      <c r="L329" s="1" t="s">
        <v>55</v>
      </c>
      <c r="M329">
        <v>34</v>
      </c>
      <c r="N329" s="1" t="s">
        <v>29</v>
      </c>
      <c r="O329" s="1" t="s">
        <v>30</v>
      </c>
      <c r="P329">
        <v>1</v>
      </c>
      <c r="Q329" s="1" t="s">
        <v>31</v>
      </c>
      <c r="R329">
        <v>2</v>
      </c>
      <c r="S329" s="1" t="s">
        <v>32</v>
      </c>
      <c r="T329" s="1" t="s">
        <v>33</v>
      </c>
      <c r="U329" s="1" t="s">
        <v>34</v>
      </c>
      <c r="V329" s="1" t="str">
        <f>_xlfn.XLOOKUP(A329,Dictonary!$A$2:$A$5,Dictonary!$B$2:$B$5)</f>
        <v>No information</v>
      </c>
      <c r="W329" s="1" t="str">
        <f>_xlfn.XLOOKUP(D329,Dictonary!$D$2:$D$12,Dictonary!$E$2:$E$12)</f>
        <v>car (new)</v>
      </c>
      <c r="X329" s="1" t="str">
        <f>_xlfn.XLOOKUP(F329,Dictonary!$G$2:$G$6,Dictonary!$H$2:$H$6)</f>
        <v>More 1000</v>
      </c>
      <c r="Y329" s="1" t="str">
        <f>_xlfn.XLOOKUP(I329,Dictonary!$J$2:$J$6,Dictonary!$K$2:$K$6)</f>
        <v>female : divorced/separated/married</v>
      </c>
      <c r="Z329" s="1" t="str">
        <f>_xlfn.XLOOKUP(Q329,Dictonary!$M$2:$M$5,Dictonary!$N$2:$N$5)</f>
        <v>skilled employee / official</v>
      </c>
      <c r="AA329" s="1" t="str">
        <f>_xlfn.XLOOKUP(O329,Dictonary!$P$2:$P$4,Dictonary!$Q$2:$Q$4)</f>
        <v>own</v>
      </c>
    </row>
    <row r="330" spans="1:27" x14ac:dyDescent="0.3">
      <c r="A330" s="1" t="s">
        <v>68</v>
      </c>
      <c r="B330">
        <v>36</v>
      </c>
      <c r="C330" s="1" t="s">
        <v>36</v>
      </c>
      <c r="D330" s="1" t="s">
        <v>23</v>
      </c>
      <c r="E330">
        <v>4473</v>
      </c>
      <c r="F330" s="1" t="s">
        <v>37</v>
      </c>
      <c r="G330" s="1" t="s">
        <v>25</v>
      </c>
      <c r="H330">
        <v>4</v>
      </c>
      <c r="I330" s="1" t="s">
        <v>26</v>
      </c>
      <c r="J330" s="1" t="s">
        <v>27</v>
      </c>
      <c r="K330">
        <v>2</v>
      </c>
      <c r="L330" s="1" t="s">
        <v>55</v>
      </c>
      <c r="M330">
        <v>31</v>
      </c>
      <c r="N330" s="1" t="s">
        <v>29</v>
      </c>
      <c r="O330" s="1" t="s">
        <v>30</v>
      </c>
      <c r="P330">
        <v>1</v>
      </c>
      <c r="Q330" s="1" t="s">
        <v>31</v>
      </c>
      <c r="R330">
        <v>1</v>
      </c>
      <c r="S330" s="1" t="s">
        <v>40</v>
      </c>
      <c r="T330" s="1" t="s">
        <v>33</v>
      </c>
      <c r="U330" s="1" t="s">
        <v>34</v>
      </c>
      <c r="V330" s="1" t="str">
        <f>_xlfn.XLOOKUP(A330,Dictonary!$A$2:$A$5,Dictonary!$B$2:$B$5)</f>
        <v>Normal balance</v>
      </c>
      <c r="W330" s="1" t="str">
        <f>_xlfn.XLOOKUP(D330,Dictonary!$D$2:$D$12,Dictonary!$E$2:$E$12)</f>
        <v>radio/television</v>
      </c>
      <c r="X330" s="1" t="str">
        <f>_xlfn.XLOOKUP(F330,Dictonary!$G$2:$G$6,Dictonary!$H$2:$H$6)</f>
        <v>Less 100</v>
      </c>
      <c r="Y330" s="1" t="str">
        <f>_xlfn.XLOOKUP(I330,Dictonary!$J$2:$J$6,Dictonary!$K$2:$K$6)</f>
        <v>male : single</v>
      </c>
      <c r="Z330" s="1" t="str">
        <f>_xlfn.XLOOKUP(Q330,Dictonary!$M$2:$M$5,Dictonary!$N$2:$N$5)</f>
        <v>skilled employee / official</v>
      </c>
      <c r="AA330" s="1" t="str">
        <f>_xlfn.XLOOKUP(O330,Dictonary!$P$2:$P$4,Dictonary!$Q$2:$Q$4)</f>
        <v>own</v>
      </c>
    </row>
    <row r="331" spans="1:27" x14ac:dyDescent="0.3">
      <c r="A331" s="1" t="s">
        <v>35</v>
      </c>
      <c r="B331">
        <v>6</v>
      </c>
      <c r="C331" s="1" t="s">
        <v>36</v>
      </c>
      <c r="D331" s="1" t="s">
        <v>23</v>
      </c>
      <c r="E331">
        <v>1068</v>
      </c>
      <c r="F331" s="1" t="s">
        <v>37</v>
      </c>
      <c r="G331" s="1" t="s">
        <v>25</v>
      </c>
      <c r="H331">
        <v>4</v>
      </c>
      <c r="I331" s="1" t="s">
        <v>26</v>
      </c>
      <c r="J331" s="1" t="s">
        <v>27</v>
      </c>
      <c r="K331">
        <v>4</v>
      </c>
      <c r="L331" s="1" t="s">
        <v>55</v>
      </c>
      <c r="M331">
        <v>28</v>
      </c>
      <c r="N331" s="1" t="s">
        <v>29</v>
      </c>
      <c r="O331" s="1" t="s">
        <v>30</v>
      </c>
      <c r="P331">
        <v>1</v>
      </c>
      <c r="Q331" s="1" t="s">
        <v>31</v>
      </c>
      <c r="R331">
        <v>2</v>
      </c>
      <c r="S331" s="1" t="s">
        <v>40</v>
      </c>
      <c r="T331" s="1" t="s">
        <v>33</v>
      </c>
      <c r="U331" s="1" t="s">
        <v>34</v>
      </c>
      <c r="V331" s="1" t="str">
        <f>_xlfn.XLOOKUP(A331,Dictonary!$A$2:$A$5,Dictonary!$B$2:$B$5)</f>
        <v>Low balance</v>
      </c>
      <c r="W331" s="1" t="str">
        <f>_xlfn.XLOOKUP(D331,Dictonary!$D$2:$D$12,Dictonary!$E$2:$E$12)</f>
        <v>radio/television</v>
      </c>
      <c r="X331" s="1" t="str">
        <f>_xlfn.XLOOKUP(F331,Dictonary!$G$2:$G$6,Dictonary!$H$2:$H$6)</f>
        <v>Less 100</v>
      </c>
      <c r="Y331" s="1" t="str">
        <f>_xlfn.XLOOKUP(I331,Dictonary!$J$2:$J$6,Dictonary!$K$2:$K$6)</f>
        <v>male : single</v>
      </c>
      <c r="Z331" s="1" t="str">
        <f>_xlfn.XLOOKUP(Q331,Dictonary!$M$2:$M$5,Dictonary!$N$2:$N$5)</f>
        <v>skilled employee / official</v>
      </c>
      <c r="AA331" s="1" t="str">
        <f>_xlfn.XLOOKUP(O331,Dictonary!$P$2:$P$4,Dictonary!$Q$2:$Q$4)</f>
        <v>own</v>
      </c>
    </row>
    <row r="332" spans="1:27" x14ac:dyDescent="0.3">
      <c r="A332" s="1" t="s">
        <v>21</v>
      </c>
      <c r="B332">
        <v>24</v>
      </c>
      <c r="C332" s="1" t="s">
        <v>22</v>
      </c>
      <c r="D332" s="1" t="s">
        <v>54</v>
      </c>
      <c r="E332">
        <v>6615</v>
      </c>
      <c r="F332" s="1" t="s">
        <v>37</v>
      </c>
      <c r="G332" s="1" t="s">
        <v>60</v>
      </c>
      <c r="H332">
        <v>2</v>
      </c>
      <c r="I332" s="1" t="s">
        <v>26</v>
      </c>
      <c r="J332" s="1" t="s">
        <v>27</v>
      </c>
      <c r="K332">
        <v>4</v>
      </c>
      <c r="L332" s="1" t="s">
        <v>52</v>
      </c>
      <c r="M332">
        <v>75</v>
      </c>
      <c r="N332" s="1" t="s">
        <v>29</v>
      </c>
      <c r="O332" s="1" t="s">
        <v>49</v>
      </c>
      <c r="P332">
        <v>2</v>
      </c>
      <c r="Q332" s="1" t="s">
        <v>57</v>
      </c>
      <c r="R332">
        <v>1</v>
      </c>
      <c r="S332" s="1" t="s">
        <v>32</v>
      </c>
      <c r="T332" s="1" t="s">
        <v>33</v>
      </c>
      <c r="U332" s="1" t="s">
        <v>34</v>
      </c>
      <c r="V332" s="1" t="str">
        <f>_xlfn.XLOOKUP(A332,Dictonary!$A$2:$A$5,Dictonary!$B$2:$B$5)</f>
        <v>Negative balance</v>
      </c>
      <c r="W332" s="1" t="str">
        <f>_xlfn.XLOOKUP(D332,Dictonary!$D$2:$D$12,Dictonary!$E$2:$E$12)</f>
        <v>car (used)</v>
      </c>
      <c r="X332" s="1" t="str">
        <f>_xlfn.XLOOKUP(F332,Dictonary!$G$2:$G$6,Dictonary!$H$2:$H$6)</f>
        <v>Less 100</v>
      </c>
      <c r="Y332" s="1" t="str">
        <f>_xlfn.XLOOKUP(I332,Dictonary!$J$2:$J$6,Dictonary!$K$2:$K$6)</f>
        <v>male : single</v>
      </c>
      <c r="Z332" s="1" t="str">
        <f>_xlfn.XLOOKUP(Q332,Dictonary!$M$2:$M$5,Dictonary!$N$2:$N$5)</f>
        <v>management/ self-employed/ highly qualified employee/ officer</v>
      </c>
      <c r="AA332" s="1" t="str">
        <f>_xlfn.XLOOKUP(O332,Dictonary!$P$2:$P$4,Dictonary!$Q$2:$Q$4)</f>
        <v>for free</v>
      </c>
    </row>
    <row r="333" spans="1:27" x14ac:dyDescent="0.3">
      <c r="A333" s="1" t="s">
        <v>42</v>
      </c>
      <c r="B333">
        <v>18</v>
      </c>
      <c r="C333" s="1" t="s">
        <v>22</v>
      </c>
      <c r="D333" s="1" t="s">
        <v>43</v>
      </c>
      <c r="E333">
        <v>1864</v>
      </c>
      <c r="F333" s="1" t="s">
        <v>64</v>
      </c>
      <c r="G333" s="1" t="s">
        <v>38</v>
      </c>
      <c r="H333">
        <v>4</v>
      </c>
      <c r="I333" s="1" t="s">
        <v>39</v>
      </c>
      <c r="J333" s="1" t="s">
        <v>27</v>
      </c>
      <c r="K333">
        <v>2</v>
      </c>
      <c r="L333" s="1" t="s">
        <v>28</v>
      </c>
      <c r="M333">
        <v>30</v>
      </c>
      <c r="N333" s="1" t="s">
        <v>29</v>
      </c>
      <c r="O333" s="1" t="s">
        <v>30</v>
      </c>
      <c r="P333">
        <v>2</v>
      </c>
      <c r="Q333" s="1" t="s">
        <v>31</v>
      </c>
      <c r="R333">
        <v>1</v>
      </c>
      <c r="S333" s="1" t="s">
        <v>40</v>
      </c>
      <c r="T333" s="1" t="s">
        <v>33</v>
      </c>
      <c r="U333" s="1" t="s">
        <v>41</v>
      </c>
      <c r="V333" s="1" t="str">
        <f>_xlfn.XLOOKUP(A333,Dictonary!$A$2:$A$5,Dictonary!$B$2:$B$5)</f>
        <v>No information</v>
      </c>
      <c r="W333" s="1" t="str">
        <f>_xlfn.XLOOKUP(D333,Dictonary!$D$2:$D$12,Dictonary!$E$2:$E$12)</f>
        <v>education</v>
      </c>
      <c r="X333" s="1" t="str">
        <f>_xlfn.XLOOKUP(F333,Dictonary!$G$2:$G$6,Dictonary!$H$2:$H$6)</f>
        <v>Up to 500</v>
      </c>
      <c r="Y333" s="1" t="str">
        <f>_xlfn.XLOOKUP(I333,Dictonary!$J$2:$J$6,Dictonary!$K$2:$K$6)</f>
        <v>female : divorced/separated/married</v>
      </c>
      <c r="Z333" s="1" t="str">
        <f>_xlfn.XLOOKUP(Q333,Dictonary!$M$2:$M$5,Dictonary!$N$2:$N$5)</f>
        <v>skilled employee / official</v>
      </c>
      <c r="AA333" s="1" t="str">
        <f>_xlfn.XLOOKUP(O333,Dictonary!$P$2:$P$4,Dictonary!$Q$2:$Q$4)</f>
        <v>own</v>
      </c>
    </row>
    <row r="334" spans="1:27" x14ac:dyDescent="0.3">
      <c r="A334" s="1" t="s">
        <v>35</v>
      </c>
      <c r="B334">
        <v>60</v>
      </c>
      <c r="C334" s="1" t="s">
        <v>36</v>
      </c>
      <c r="D334" s="1" t="s">
        <v>51</v>
      </c>
      <c r="E334">
        <v>7408</v>
      </c>
      <c r="F334" s="1" t="s">
        <v>64</v>
      </c>
      <c r="G334" s="1" t="s">
        <v>62</v>
      </c>
      <c r="H334">
        <v>4</v>
      </c>
      <c r="I334" s="1" t="s">
        <v>39</v>
      </c>
      <c r="J334" s="1" t="s">
        <v>27</v>
      </c>
      <c r="K334">
        <v>2</v>
      </c>
      <c r="L334" s="1" t="s">
        <v>48</v>
      </c>
      <c r="M334">
        <v>24</v>
      </c>
      <c r="N334" s="1" t="s">
        <v>29</v>
      </c>
      <c r="O334" s="1" t="s">
        <v>30</v>
      </c>
      <c r="P334">
        <v>1</v>
      </c>
      <c r="Q334" s="1" t="s">
        <v>57</v>
      </c>
      <c r="R334">
        <v>1</v>
      </c>
      <c r="S334" s="1" t="s">
        <v>40</v>
      </c>
      <c r="T334" s="1" t="s">
        <v>33</v>
      </c>
      <c r="U334" s="1" t="s">
        <v>41</v>
      </c>
      <c r="V334" s="1" t="str">
        <f>_xlfn.XLOOKUP(A334,Dictonary!$A$2:$A$5,Dictonary!$B$2:$B$5)</f>
        <v>Low balance</v>
      </c>
      <c r="W334" s="1" t="str">
        <f>_xlfn.XLOOKUP(D334,Dictonary!$D$2:$D$12,Dictonary!$E$2:$E$12)</f>
        <v>car (new)</v>
      </c>
      <c r="X334" s="1" t="str">
        <f>_xlfn.XLOOKUP(F334,Dictonary!$G$2:$G$6,Dictonary!$H$2:$H$6)</f>
        <v>Up to 500</v>
      </c>
      <c r="Y334" s="1" t="str">
        <f>_xlfn.XLOOKUP(I334,Dictonary!$J$2:$J$6,Dictonary!$K$2:$K$6)</f>
        <v>female : divorced/separated/married</v>
      </c>
      <c r="Z334" s="1" t="str">
        <f>_xlfn.XLOOKUP(Q334,Dictonary!$M$2:$M$5,Dictonary!$N$2:$N$5)</f>
        <v>management/ self-employed/ highly qualified employee/ officer</v>
      </c>
      <c r="AA334" s="1" t="str">
        <f>_xlfn.XLOOKUP(O334,Dictonary!$P$2:$P$4,Dictonary!$Q$2:$Q$4)</f>
        <v>own</v>
      </c>
    </row>
    <row r="335" spans="1:27" x14ac:dyDescent="0.3">
      <c r="A335" s="1" t="s">
        <v>42</v>
      </c>
      <c r="B335">
        <v>48</v>
      </c>
      <c r="C335" s="1" t="s">
        <v>22</v>
      </c>
      <c r="D335" s="1" t="s">
        <v>54</v>
      </c>
      <c r="E335">
        <v>11590</v>
      </c>
      <c r="F335" s="1" t="s">
        <v>64</v>
      </c>
      <c r="G335" s="1" t="s">
        <v>38</v>
      </c>
      <c r="H335">
        <v>2</v>
      </c>
      <c r="I335" s="1" t="s">
        <v>39</v>
      </c>
      <c r="J335" s="1" t="s">
        <v>27</v>
      </c>
      <c r="K335">
        <v>4</v>
      </c>
      <c r="L335" s="1" t="s">
        <v>55</v>
      </c>
      <c r="M335">
        <v>24</v>
      </c>
      <c r="N335" s="1" t="s">
        <v>66</v>
      </c>
      <c r="O335" s="1" t="s">
        <v>56</v>
      </c>
      <c r="P335">
        <v>2</v>
      </c>
      <c r="Q335" s="1" t="s">
        <v>45</v>
      </c>
      <c r="R335">
        <v>1</v>
      </c>
      <c r="S335" s="1" t="s">
        <v>40</v>
      </c>
      <c r="T335" s="1" t="s">
        <v>33</v>
      </c>
      <c r="U335" s="1" t="s">
        <v>41</v>
      </c>
      <c r="V335" s="1" t="str">
        <f>_xlfn.XLOOKUP(A335,Dictonary!$A$2:$A$5,Dictonary!$B$2:$B$5)</f>
        <v>No information</v>
      </c>
      <c r="W335" s="1" t="str">
        <f>_xlfn.XLOOKUP(D335,Dictonary!$D$2:$D$12,Dictonary!$E$2:$E$12)</f>
        <v>car (used)</v>
      </c>
      <c r="X335" s="1" t="str">
        <f>_xlfn.XLOOKUP(F335,Dictonary!$G$2:$G$6,Dictonary!$H$2:$H$6)</f>
        <v>Up to 500</v>
      </c>
      <c r="Y335" s="1" t="str">
        <f>_xlfn.XLOOKUP(I335,Dictonary!$J$2:$J$6,Dictonary!$K$2:$K$6)</f>
        <v>female : divorced/separated/married</v>
      </c>
      <c r="Z335" s="1" t="str">
        <f>_xlfn.XLOOKUP(Q335,Dictonary!$M$2:$M$5,Dictonary!$N$2:$N$5)</f>
        <v>unskilled - resident</v>
      </c>
      <c r="AA335" s="1" t="str">
        <f>_xlfn.XLOOKUP(O335,Dictonary!$P$2:$P$4,Dictonary!$Q$2:$Q$4)</f>
        <v>rent</v>
      </c>
    </row>
    <row r="336" spans="1:27" x14ac:dyDescent="0.3">
      <c r="A336" s="1" t="s">
        <v>21</v>
      </c>
      <c r="B336">
        <v>24</v>
      </c>
      <c r="C336" s="1" t="s">
        <v>65</v>
      </c>
      <c r="D336" s="1" t="s">
        <v>46</v>
      </c>
      <c r="E336">
        <v>4110</v>
      </c>
      <c r="F336" s="1" t="s">
        <v>37</v>
      </c>
      <c r="G336" s="1" t="s">
        <v>25</v>
      </c>
      <c r="H336">
        <v>3</v>
      </c>
      <c r="I336" s="1" t="s">
        <v>26</v>
      </c>
      <c r="J336" s="1" t="s">
        <v>27</v>
      </c>
      <c r="K336">
        <v>4</v>
      </c>
      <c r="L336" s="1" t="s">
        <v>52</v>
      </c>
      <c r="M336">
        <v>23</v>
      </c>
      <c r="N336" s="1" t="s">
        <v>66</v>
      </c>
      <c r="O336" s="1" t="s">
        <v>56</v>
      </c>
      <c r="P336">
        <v>2</v>
      </c>
      <c r="Q336" s="1" t="s">
        <v>31</v>
      </c>
      <c r="R336">
        <v>2</v>
      </c>
      <c r="S336" s="1" t="s">
        <v>40</v>
      </c>
      <c r="T336" s="1" t="s">
        <v>33</v>
      </c>
      <c r="U336" s="1" t="s">
        <v>41</v>
      </c>
      <c r="V336" s="1" t="str">
        <f>_xlfn.XLOOKUP(A336,Dictonary!$A$2:$A$5,Dictonary!$B$2:$B$5)</f>
        <v>Negative balance</v>
      </c>
      <c r="W336" s="1" t="str">
        <f>_xlfn.XLOOKUP(D336,Dictonary!$D$2:$D$12,Dictonary!$E$2:$E$12)</f>
        <v>furniture/equipment</v>
      </c>
      <c r="X336" s="1" t="str">
        <f>_xlfn.XLOOKUP(F336,Dictonary!$G$2:$G$6,Dictonary!$H$2:$H$6)</f>
        <v>Less 100</v>
      </c>
      <c r="Y336" s="1" t="str">
        <f>_xlfn.XLOOKUP(I336,Dictonary!$J$2:$J$6,Dictonary!$K$2:$K$6)</f>
        <v>male : single</v>
      </c>
      <c r="Z336" s="1" t="str">
        <f>_xlfn.XLOOKUP(Q336,Dictonary!$M$2:$M$5,Dictonary!$N$2:$N$5)</f>
        <v>skilled employee / official</v>
      </c>
      <c r="AA336" s="1" t="str">
        <f>_xlfn.XLOOKUP(O336,Dictonary!$P$2:$P$4,Dictonary!$Q$2:$Q$4)</f>
        <v>rent</v>
      </c>
    </row>
    <row r="337" spans="1:27" x14ac:dyDescent="0.3">
      <c r="A337" s="1" t="s">
        <v>21</v>
      </c>
      <c r="B337">
        <v>6</v>
      </c>
      <c r="C337" s="1" t="s">
        <v>22</v>
      </c>
      <c r="D337" s="1" t="s">
        <v>46</v>
      </c>
      <c r="E337">
        <v>3384</v>
      </c>
      <c r="F337" s="1" t="s">
        <v>37</v>
      </c>
      <c r="G337" s="1" t="s">
        <v>38</v>
      </c>
      <c r="H337">
        <v>1</v>
      </c>
      <c r="I337" s="1" t="s">
        <v>59</v>
      </c>
      <c r="J337" s="1" t="s">
        <v>27</v>
      </c>
      <c r="K337">
        <v>4</v>
      </c>
      <c r="L337" s="1" t="s">
        <v>28</v>
      </c>
      <c r="M337">
        <v>44</v>
      </c>
      <c r="N337" s="1" t="s">
        <v>29</v>
      </c>
      <c r="O337" s="1" t="s">
        <v>56</v>
      </c>
      <c r="P337">
        <v>1</v>
      </c>
      <c r="Q337" s="1" t="s">
        <v>57</v>
      </c>
      <c r="R337">
        <v>1</v>
      </c>
      <c r="S337" s="1" t="s">
        <v>32</v>
      </c>
      <c r="T337" s="1" t="s">
        <v>33</v>
      </c>
      <c r="U337" s="1" t="s">
        <v>41</v>
      </c>
      <c r="V337" s="1" t="str">
        <f>_xlfn.XLOOKUP(A337,Dictonary!$A$2:$A$5,Dictonary!$B$2:$B$5)</f>
        <v>Negative balance</v>
      </c>
      <c r="W337" s="1" t="str">
        <f>_xlfn.XLOOKUP(D337,Dictonary!$D$2:$D$12,Dictonary!$E$2:$E$12)</f>
        <v>furniture/equipment</v>
      </c>
      <c r="X337" s="1" t="str">
        <f>_xlfn.XLOOKUP(F337,Dictonary!$G$2:$G$6,Dictonary!$H$2:$H$6)</f>
        <v>Less 100</v>
      </c>
      <c r="Y337" s="1" t="str">
        <f>_xlfn.XLOOKUP(I337,Dictonary!$J$2:$J$6,Dictonary!$K$2:$K$6)</f>
        <v>male : divorced/separated</v>
      </c>
      <c r="Z337" s="1" t="str">
        <f>_xlfn.XLOOKUP(Q337,Dictonary!$M$2:$M$5,Dictonary!$N$2:$N$5)</f>
        <v>management/ self-employed/ highly qualified employee/ officer</v>
      </c>
      <c r="AA337" s="1" t="str">
        <f>_xlfn.XLOOKUP(O337,Dictonary!$P$2:$P$4,Dictonary!$Q$2:$Q$4)</f>
        <v>rent</v>
      </c>
    </row>
    <row r="338" spans="1:27" x14ac:dyDescent="0.3">
      <c r="A338" s="1" t="s">
        <v>35</v>
      </c>
      <c r="B338">
        <v>13</v>
      </c>
      <c r="C338" s="1" t="s">
        <v>36</v>
      </c>
      <c r="D338" s="1" t="s">
        <v>23</v>
      </c>
      <c r="E338">
        <v>2101</v>
      </c>
      <c r="F338" s="1" t="s">
        <v>37</v>
      </c>
      <c r="G338" s="1" t="s">
        <v>62</v>
      </c>
      <c r="H338">
        <v>2</v>
      </c>
      <c r="I338" s="1" t="s">
        <v>39</v>
      </c>
      <c r="J338" s="1" t="s">
        <v>47</v>
      </c>
      <c r="K338">
        <v>4</v>
      </c>
      <c r="L338" s="1" t="s">
        <v>48</v>
      </c>
      <c r="M338">
        <v>23</v>
      </c>
      <c r="N338" s="1" t="s">
        <v>29</v>
      </c>
      <c r="O338" s="1" t="s">
        <v>30</v>
      </c>
      <c r="P338">
        <v>1</v>
      </c>
      <c r="Q338" s="1" t="s">
        <v>45</v>
      </c>
      <c r="R338">
        <v>1</v>
      </c>
      <c r="S338" s="1" t="s">
        <v>40</v>
      </c>
      <c r="T338" s="1" t="s">
        <v>33</v>
      </c>
      <c r="U338" s="1" t="s">
        <v>34</v>
      </c>
      <c r="V338" s="1" t="str">
        <f>_xlfn.XLOOKUP(A338,Dictonary!$A$2:$A$5,Dictonary!$B$2:$B$5)</f>
        <v>Low balance</v>
      </c>
      <c r="W338" s="1" t="str">
        <f>_xlfn.XLOOKUP(D338,Dictonary!$D$2:$D$12,Dictonary!$E$2:$E$12)</f>
        <v>radio/television</v>
      </c>
      <c r="X338" s="1" t="str">
        <f>_xlfn.XLOOKUP(F338,Dictonary!$G$2:$G$6,Dictonary!$H$2:$H$6)</f>
        <v>Less 100</v>
      </c>
      <c r="Y338" s="1" t="str">
        <f>_xlfn.XLOOKUP(I338,Dictonary!$J$2:$J$6,Dictonary!$K$2:$K$6)</f>
        <v>female : divorced/separated/married</v>
      </c>
      <c r="Z338" s="1" t="str">
        <f>_xlfn.XLOOKUP(Q338,Dictonary!$M$2:$M$5,Dictonary!$N$2:$N$5)</f>
        <v>unskilled - resident</v>
      </c>
      <c r="AA338" s="1" t="str">
        <f>_xlfn.XLOOKUP(O338,Dictonary!$P$2:$P$4,Dictonary!$Q$2:$Q$4)</f>
        <v>own</v>
      </c>
    </row>
    <row r="339" spans="1:27" x14ac:dyDescent="0.3">
      <c r="A339" s="1" t="s">
        <v>21</v>
      </c>
      <c r="B339">
        <v>15</v>
      </c>
      <c r="C339" s="1" t="s">
        <v>36</v>
      </c>
      <c r="D339" s="1" t="s">
        <v>72</v>
      </c>
      <c r="E339">
        <v>1275</v>
      </c>
      <c r="F339" s="1" t="s">
        <v>24</v>
      </c>
      <c r="G339" s="1" t="s">
        <v>38</v>
      </c>
      <c r="H339">
        <v>4</v>
      </c>
      <c r="I339" s="1" t="s">
        <v>39</v>
      </c>
      <c r="J339" s="1" t="s">
        <v>27</v>
      </c>
      <c r="K339">
        <v>2</v>
      </c>
      <c r="L339" s="1" t="s">
        <v>55</v>
      </c>
      <c r="M339">
        <v>24</v>
      </c>
      <c r="N339" s="1" t="s">
        <v>29</v>
      </c>
      <c r="O339" s="1" t="s">
        <v>56</v>
      </c>
      <c r="P339">
        <v>1</v>
      </c>
      <c r="Q339" s="1" t="s">
        <v>31</v>
      </c>
      <c r="R339">
        <v>1</v>
      </c>
      <c r="S339" s="1" t="s">
        <v>40</v>
      </c>
      <c r="T339" s="1" t="s">
        <v>33</v>
      </c>
      <c r="U339" s="1" t="s">
        <v>41</v>
      </c>
      <c r="V339" s="1" t="str">
        <f>_xlfn.XLOOKUP(A339,Dictonary!$A$2:$A$5,Dictonary!$B$2:$B$5)</f>
        <v>Negative balance</v>
      </c>
      <c r="W339" s="1" t="str">
        <f>_xlfn.XLOOKUP(D339,Dictonary!$D$2:$D$12,Dictonary!$E$2:$E$12)</f>
        <v>domestic appliances</v>
      </c>
      <c r="X339" s="1" t="str">
        <f>_xlfn.XLOOKUP(F339,Dictonary!$G$2:$G$6,Dictonary!$H$2:$H$6)</f>
        <v>No information</v>
      </c>
      <c r="Y339" s="1" t="str">
        <f>_xlfn.XLOOKUP(I339,Dictonary!$J$2:$J$6,Dictonary!$K$2:$K$6)</f>
        <v>female : divorced/separated/married</v>
      </c>
      <c r="Z339" s="1" t="str">
        <f>_xlfn.XLOOKUP(Q339,Dictonary!$M$2:$M$5,Dictonary!$N$2:$N$5)</f>
        <v>skilled employee / official</v>
      </c>
      <c r="AA339" s="1" t="str">
        <f>_xlfn.XLOOKUP(O339,Dictonary!$P$2:$P$4,Dictonary!$Q$2:$Q$4)</f>
        <v>rent</v>
      </c>
    </row>
    <row r="340" spans="1:27" x14ac:dyDescent="0.3">
      <c r="A340" s="1" t="s">
        <v>21</v>
      </c>
      <c r="B340">
        <v>24</v>
      </c>
      <c r="C340" s="1" t="s">
        <v>36</v>
      </c>
      <c r="D340" s="1" t="s">
        <v>46</v>
      </c>
      <c r="E340">
        <v>4169</v>
      </c>
      <c r="F340" s="1" t="s">
        <v>37</v>
      </c>
      <c r="G340" s="1" t="s">
        <v>38</v>
      </c>
      <c r="H340">
        <v>4</v>
      </c>
      <c r="I340" s="1" t="s">
        <v>26</v>
      </c>
      <c r="J340" s="1" t="s">
        <v>27</v>
      </c>
      <c r="K340">
        <v>4</v>
      </c>
      <c r="L340" s="1" t="s">
        <v>48</v>
      </c>
      <c r="M340">
        <v>28</v>
      </c>
      <c r="N340" s="1" t="s">
        <v>29</v>
      </c>
      <c r="O340" s="1" t="s">
        <v>30</v>
      </c>
      <c r="P340">
        <v>1</v>
      </c>
      <c r="Q340" s="1" t="s">
        <v>31</v>
      </c>
      <c r="R340">
        <v>1</v>
      </c>
      <c r="S340" s="1" t="s">
        <v>40</v>
      </c>
      <c r="T340" s="1" t="s">
        <v>33</v>
      </c>
      <c r="U340" s="1" t="s">
        <v>34</v>
      </c>
      <c r="V340" s="1" t="str">
        <f>_xlfn.XLOOKUP(A340,Dictonary!$A$2:$A$5,Dictonary!$B$2:$B$5)</f>
        <v>Negative balance</v>
      </c>
      <c r="W340" s="1" t="str">
        <f>_xlfn.XLOOKUP(D340,Dictonary!$D$2:$D$12,Dictonary!$E$2:$E$12)</f>
        <v>furniture/equipment</v>
      </c>
      <c r="X340" s="1" t="str">
        <f>_xlfn.XLOOKUP(F340,Dictonary!$G$2:$G$6,Dictonary!$H$2:$H$6)</f>
        <v>Less 100</v>
      </c>
      <c r="Y340" s="1" t="str">
        <f>_xlfn.XLOOKUP(I340,Dictonary!$J$2:$J$6,Dictonary!$K$2:$K$6)</f>
        <v>male : single</v>
      </c>
      <c r="Z340" s="1" t="str">
        <f>_xlfn.XLOOKUP(Q340,Dictonary!$M$2:$M$5,Dictonary!$N$2:$N$5)</f>
        <v>skilled employee / official</v>
      </c>
      <c r="AA340" s="1" t="str">
        <f>_xlfn.XLOOKUP(O340,Dictonary!$P$2:$P$4,Dictonary!$Q$2:$Q$4)</f>
        <v>own</v>
      </c>
    </row>
    <row r="341" spans="1:27" x14ac:dyDescent="0.3">
      <c r="A341" s="1" t="s">
        <v>35</v>
      </c>
      <c r="B341">
        <v>10</v>
      </c>
      <c r="C341" s="1" t="s">
        <v>36</v>
      </c>
      <c r="D341" s="1" t="s">
        <v>46</v>
      </c>
      <c r="E341">
        <v>1521</v>
      </c>
      <c r="F341" s="1" t="s">
        <v>37</v>
      </c>
      <c r="G341" s="1" t="s">
        <v>38</v>
      </c>
      <c r="H341">
        <v>4</v>
      </c>
      <c r="I341" s="1" t="s">
        <v>59</v>
      </c>
      <c r="J341" s="1" t="s">
        <v>27</v>
      </c>
      <c r="K341">
        <v>2</v>
      </c>
      <c r="L341" s="1" t="s">
        <v>55</v>
      </c>
      <c r="M341">
        <v>31</v>
      </c>
      <c r="N341" s="1" t="s">
        <v>29</v>
      </c>
      <c r="O341" s="1" t="s">
        <v>30</v>
      </c>
      <c r="P341">
        <v>1</v>
      </c>
      <c r="Q341" s="1" t="s">
        <v>45</v>
      </c>
      <c r="R341">
        <v>1</v>
      </c>
      <c r="S341" s="1" t="s">
        <v>40</v>
      </c>
      <c r="T341" s="1" t="s">
        <v>33</v>
      </c>
      <c r="U341" s="1" t="s">
        <v>34</v>
      </c>
      <c r="V341" s="1" t="str">
        <f>_xlfn.XLOOKUP(A341,Dictonary!$A$2:$A$5,Dictonary!$B$2:$B$5)</f>
        <v>Low balance</v>
      </c>
      <c r="W341" s="1" t="str">
        <f>_xlfn.XLOOKUP(D341,Dictonary!$D$2:$D$12,Dictonary!$E$2:$E$12)</f>
        <v>furniture/equipment</v>
      </c>
      <c r="X341" s="1" t="str">
        <f>_xlfn.XLOOKUP(F341,Dictonary!$G$2:$G$6,Dictonary!$H$2:$H$6)</f>
        <v>Less 100</v>
      </c>
      <c r="Y341" s="1" t="str">
        <f>_xlfn.XLOOKUP(I341,Dictonary!$J$2:$J$6,Dictonary!$K$2:$K$6)</f>
        <v>male : divorced/separated</v>
      </c>
      <c r="Z341" s="1" t="str">
        <f>_xlfn.XLOOKUP(Q341,Dictonary!$M$2:$M$5,Dictonary!$N$2:$N$5)</f>
        <v>unskilled - resident</v>
      </c>
      <c r="AA341" s="1" t="str">
        <f>_xlfn.XLOOKUP(O341,Dictonary!$P$2:$P$4,Dictonary!$Q$2:$Q$4)</f>
        <v>own</v>
      </c>
    </row>
    <row r="342" spans="1:27" x14ac:dyDescent="0.3">
      <c r="A342" s="1" t="s">
        <v>35</v>
      </c>
      <c r="B342">
        <v>24</v>
      </c>
      <c r="C342" s="1" t="s">
        <v>22</v>
      </c>
      <c r="D342" s="1" t="s">
        <v>43</v>
      </c>
      <c r="E342">
        <v>5743</v>
      </c>
      <c r="F342" s="1" t="s">
        <v>37</v>
      </c>
      <c r="G342" s="1" t="s">
        <v>62</v>
      </c>
      <c r="H342">
        <v>2</v>
      </c>
      <c r="I342" s="1" t="s">
        <v>39</v>
      </c>
      <c r="J342" s="1" t="s">
        <v>27</v>
      </c>
      <c r="K342">
        <v>4</v>
      </c>
      <c r="L342" s="1" t="s">
        <v>52</v>
      </c>
      <c r="M342">
        <v>24</v>
      </c>
      <c r="N342" s="1" t="s">
        <v>29</v>
      </c>
      <c r="O342" s="1" t="s">
        <v>49</v>
      </c>
      <c r="P342">
        <v>2</v>
      </c>
      <c r="Q342" s="1" t="s">
        <v>31</v>
      </c>
      <c r="R342">
        <v>1</v>
      </c>
      <c r="S342" s="1" t="s">
        <v>32</v>
      </c>
      <c r="T342" s="1" t="s">
        <v>33</v>
      </c>
      <c r="U342" s="1" t="s">
        <v>34</v>
      </c>
      <c r="V342" s="1" t="str">
        <f>_xlfn.XLOOKUP(A342,Dictonary!$A$2:$A$5,Dictonary!$B$2:$B$5)</f>
        <v>Low balance</v>
      </c>
      <c r="W342" s="1" t="str">
        <f>_xlfn.XLOOKUP(D342,Dictonary!$D$2:$D$12,Dictonary!$E$2:$E$12)</f>
        <v>education</v>
      </c>
      <c r="X342" s="1" t="str">
        <f>_xlfn.XLOOKUP(F342,Dictonary!$G$2:$G$6,Dictonary!$H$2:$H$6)</f>
        <v>Less 100</v>
      </c>
      <c r="Y342" s="1" t="str">
        <f>_xlfn.XLOOKUP(I342,Dictonary!$J$2:$J$6,Dictonary!$K$2:$K$6)</f>
        <v>female : divorced/separated/married</v>
      </c>
      <c r="Z342" s="1" t="str">
        <f>_xlfn.XLOOKUP(Q342,Dictonary!$M$2:$M$5,Dictonary!$N$2:$N$5)</f>
        <v>skilled employee / official</v>
      </c>
      <c r="AA342" s="1" t="str">
        <f>_xlfn.XLOOKUP(O342,Dictonary!$P$2:$P$4,Dictonary!$Q$2:$Q$4)</f>
        <v>for free</v>
      </c>
    </row>
    <row r="343" spans="1:27" x14ac:dyDescent="0.3">
      <c r="A343" s="1" t="s">
        <v>21</v>
      </c>
      <c r="B343">
        <v>21</v>
      </c>
      <c r="C343" s="1" t="s">
        <v>36</v>
      </c>
      <c r="D343" s="1" t="s">
        <v>46</v>
      </c>
      <c r="E343">
        <v>3599</v>
      </c>
      <c r="F343" s="1" t="s">
        <v>37</v>
      </c>
      <c r="G343" s="1" t="s">
        <v>44</v>
      </c>
      <c r="H343">
        <v>1</v>
      </c>
      <c r="I343" s="1" t="s">
        <v>39</v>
      </c>
      <c r="J343" s="1" t="s">
        <v>27</v>
      </c>
      <c r="K343">
        <v>4</v>
      </c>
      <c r="L343" s="1" t="s">
        <v>55</v>
      </c>
      <c r="M343">
        <v>26</v>
      </c>
      <c r="N343" s="1" t="s">
        <v>29</v>
      </c>
      <c r="O343" s="1" t="s">
        <v>56</v>
      </c>
      <c r="P343">
        <v>1</v>
      </c>
      <c r="Q343" s="1" t="s">
        <v>45</v>
      </c>
      <c r="R343">
        <v>1</v>
      </c>
      <c r="S343" s="1" t="s">
        <v>40</v>
      </c>
      <c r="T343" s="1" t="s">
        <v>33</v>
      </c>
      <c r="U343" s="1" t="s">
        <v>34</v>
      </c>
      <c r="V343" s="1" t="str">
        <f>_xlfn.XLOOKUP(A343,Dictonary!$A$2:$A$5,Dictonary!$B$2:$B$5)</f>
        <v>Negative balance</v>
      </c>
      <c r="W343" s="1" t="str">
        <f>_xlfn.XLOOKUP(D343,Dictonary!$D$2:$D$12,Dictonary!$E$2:$E$12)</f>
        <v>furniture/equipment</v>
      </c>
      <c r="X343" s="1" t="str">
        <f>_xlfn.XLOOKUP(F343,Dictonary!$G$2:$G$6,Dictonary!$H$2:$H$6)</f>
        <v>Less 100</v>
      </c>
      <c r="Y343" s="1" t="str">
        <f>_xlfn.XLOOKUP(I343,Dictonary!$J$2:$J$6,Dictonary!$K$2:$K$6)</f>
        <v>female : divorced/separated/married</v>
      </c>
      <c r="Z343" s="1" t="str">
        <f>_xlfn.XLOOKUP(Q343,Dictonary!$M$2:$M$5,Dictonary!$N$2:$N$5)</f>
        <v>unskilled - resident</v>
      </c>
      <c r="AA343" s="1" t="str">
        <f>_xlfn.XLOOKUP(O343,Dictonary!$P$2:$P$4,Dictonary!$Q$2:$Q$4)</f>
        <v>rent</v>
      </c>
    </row>
    <row r="344" spans="1:27" x14ac:dyDescent="0.3">
      <c r="A344" s="1" t="s">
        <v>35</v>
      </c>
      <c r="B344">
        <v>18</v>
      </c>
      <c r="C344" s="1" t="s">
        <v>36</v>
      </c>
      <c r="D344" s="1" t="s">
        <v>23</v>
      </c>
      <c r="E344">
        <v>3213</v>
      </c>
      <c r="F344" s="1" t="s">
        <v>53</v>
      </c>
      <c r="G344" s="1" t="s">
        <v>62</v>
      </c>
      <c r="H344">
        <v>1</v>
      </c>
      <c r="I344" s="1" t="s">
        <v>61</v>
      </c>
      <c r="J344" s="1" t="s">
        <v>27</v>
      </c>
      <c r="K344">
        <v>3</v>
      </c>
      <c r="L344" s="1" t="s">
        <v>28</v>
      </c>
      <c r="M344">
        <v>25</v>
      </c>
      <c r="N344" s="1" t="s">
        <v>29</v>
      </c>
      <c r="O344" s="1" t="s">
        <v>56</v>
      </c>
      <c r="P344">
        <v>1</v>
      </c>
      <c r="Q344" s="1" t="s">
        <v>31</v>
      </c>
      <c r="R344">
        <v>1</v>
      </c>
      <c r="S344" s="1" t="s">
        <v>40</v>
      </c>
      <c r="T344" s="1" t="s">
        <v>33</v>
      </c>
      <c r="U344" s="1" t="s">
        <v>34</v>
      </c>
      <c r="V344" s="1" t="str">
        <f>_xlfn.XLOOKUP(A344,Dictonary!$A$2:$A$5,Dictonary!$B$2:$B$5)</f>
        <v>Low balance</v>
      </c>
      <c r="W344" s="1" t="str">
        <f>_xlfn.XLOOKUP(D344,Dictonary!$D$2:$D$12,Dictonary!$E$2:$E$12)</f>
        <v>radio/television</v>
      </c>
      <c r="X344" s="1" t="str">
        <f>_xlfn.XLOOKUP(F344,Dictonary!$G$2:$G$6,Dictonary!$H$2:$H$6)</f>
        <v>Up to 1000</v>
      </c>
      <c r="Y344" s="1" t="str">
        <f>_xlfn.XLOOKUP(I344,Dictonary!$J$2:$J$6,Dictonary!$K$2:$K$6)</f>
        <v>male : married/widowed</v>
      </c>
      <c r="Z344" s="1" t="str">
        <f>_xlfn.XLOOKUP(Q344,Dictonary!$M$2:$M$5,Dictonary!$N$2:$N$5)</f>
        <v>skilled employee / official</v>
      </c>
      <c r="AA344" s="1" t="str">
        <f>_xlfn.XLOOKUP(O344,Dictonary!$P$2:$P$4,Dictonary!$Q$2:$Q$4)</f>
        <v>rent</v>
      </c>
    </row>
    <row r="345" spans="1:27" x14ac:dyDescent="0.3">
      <c r="A345" s="1" t="s">
        <v>35</v>
      </c>
      <c r="B345">
        <v>18</v>
      </c>
      <c r="C345" s="1" t="s">
        <v>36</v>
      </c>
      <c r="D345" s="1" t="s">
        <v>63</v>
      </c>
      <c r="E345">
        <v>4439</v>
      </c>
      <c r="F345" s="1" t="s">
        <v>37</v>
      </c>
      <c r="G345" s="1" t="s">
        <v>25</v>
      </c>
      <c r="H345">
        <v>1</v>
      </c>
      <c r="I345" s="1" t="s">
        <v>26</v>
      </c>
      <c r="J345" s="1" t="s">
        <v>71</v>
      </c>
      <c r="K345">
        <v>1</v>
      </c>
      <c r="L345" s="1" t="s">
        <v>28</v>
      </c>
      <c r="M345">
        <v>33</v>
      </c>
      <c r="N345" s="1" t="s">
        <v>66</v>
      </c>
      <c r="O345" s="1" t="s">
        <v>30</v>
      </c>
      <c r="P345">
        <v>1</v>
      </c>
      <c r="Q345" s="1" t="s">
        <v>57</v>
      </c>
      <c r="R345">
        <v>1</v>
      </c>
      <c r="S345" s="1" t="s">
        <v>32</v>
      </c>
      <c r="T345" s="1" t="s">
        <v>33</v>
      </c>
      <c r="U345" s="1" t="s">
        <v>34</v>
      </c>
      <c r="V345" s="1" t="str">
        <f>_xlfn.XLOOKUP(A345,Dictonary!$A$2:$A$5,Dictonary!$B$2:$B$5)</f>
        <v>Low balance</v>
      </c>
      <c r="W345" s="1" t="str">
        <f>_xlfn.XLOOKUP(D345,Dictonary!$D$2:$D$12,Dictonary!$E$2:$E$12)</f>
        <v>business</v>
      </c>
      <c r="X345" s="1" t="str">
        <f>_xlfn.XLOOKUP(F345,Dictonary!$G$2:$G$6,Dictonary!$H$2:$H$6)</f>
        <v>Less 100</v>
      </c>
      <c r="Y345" s="1" t="str">
        <f>_xlfn.XLOOKUP(I345,Dictonary!$J$2:$J$6,Dictonary!$K$2:$K$6)</f>
        <v>male : single</v>
      </c>
      <c r="Z345" s="1" t="str">
        <f>_xlfn.XLOOKUP(Q345,Dictonary!$M$2:$M$5,Dictonary!$N$2:$N$5)</f>
        <v>management/ self-employed/ highly qualified employee/ officer</v>
      </c>
      <c r="AA345" s="1" t="str">
        <f>_xlfn.XLOOKUP(O345,Dictonary!$P$2:$P$4,Dictonary!$Q$2:$Q$4)</f>
        <v>own</v>
      </c>
    </row>
    <row r="346" spans="1:27" x14ac:dyDescent="0.3">
      <c r="A346" s="1" t="s">
        <v>68</v>
      </c>
      <c r="B346">
        <v>10</v>
      </c>
      <c r="C346" s="1" t="s">
        <v>36</v>
      </c>
      <c r="D346" s="1" t="s">
        <v>51</v>
      </c>
      <c r="E346">
        <v>3949</v>
      </c>
      <c r="F346" s="1" t="s">
        <v>37</v>
      </c>
      <c r="G346" s="1" t="s">
        <v>62</v>
      </c>
      <c r="H346">
        <v>1</v>
      </c>
      <c r="I346" s="1" t="s">
        <v>26</v>
      </c>
      <c r="J346" s="1" t="s">
        <v>47</v>
      </c>
      <c r="K346">
        <v>1</v>
      </c>
      <c r="L346" s="1" t="s">
        <v>48</v>
      </c>
      <c r="M346">
        <v>37</v>
      </c>
      <c r="N346" s="1" t="s">
        <v>29</v>
      </c>
      <c r="O346" s="1" t="s">
        <v>30</v>
      </c>
      <c r="P346">
        <v>1</v>
      </c>
      <c r="Q346" s="1" t="s">
        <v>45</v>
      </c>
      <c r="R346">
        <v>2</v>
      </c>
      <c r="S346" s="1" t="s">
        <v>40</v>
      </c>
      <c r="T346" s="1" t="s">
        <v>33</v>
      </c>
      <c r="U346" s="1" t="s">
        <v>34</v>
      </c>
      <c r="V346" s="1" t="str">
        <f>_xlfn.XLOOKUP(A346,Dictonary!$A$2:$A$5,Dictonary!$B$2:$B$5)</f>
        <v>Normal balance</v>
      </c>
      <c r="W346" s="1" t="str">
        <f>_xlfn.XLOOKUP(D346,Dictonary!$D$2:$D$12,Dictonary!$E$2:$E$12)</f>
        <v>car (new)</v>
      </c>
      <c r="X346" s="1" t="str">
        <f>_xlfn.XLOOKUP(F346,Dictonary!$G$2:$G$6,Dictonary!$H$2:$H$6)</f>
        <v>Less 100</v>
      </c>
      <c r="Y346" s="1" t="str">
        <f>_xlfn.XLOOKUP(I346,Dictonary!$J$2:$J$6,Dictonary!$K$2:$K$6)</f>
        <v>male : single</v>
      </c>
      <c r="Z346" s="1" t="str">
        <f>_xlfn.XLOOKUP(Q346,Dictonary!$M$2:$M$5,Dictonary!$N$2:$N$5)</f>
        <v>unskilled - resident</v>
      </c>
      <c r="AA346" s="1" t="str">
        <f>_xlfn.XLOOKUP(O346,Dictonary!$P$2:$P$4,Dictonary!$Q$2:$Q$4)</f>
        <v>own</v>
      </c>
    </row>
    <row r="347" spans="1:27" x14ac:dyDescent="0.3">
      <c r="A347" s="1" t="s">
        <v>42</v>
      </c>
      <c r="B347">
        <v>15</v>
      </c>
      <c r="C347" s="1" t="s">
        <v>22</v>
      </c>
      <c r="D347" s="1" t="s">
        <v>23</v>
      </c>
      <c r="E347">
        <v>1459</v>
      </c>
      <c r="F347" s="1" t="s">
        <v>37</v>
      </c>
      <c r="G347" s="1" t="s">
        <v>38</v>
      </c>
      <c r="H347">
        <v>4</v>
      </c>
      <c r="I347" s="1" t="s">
        <v>39</v>
      </c>
      <c r="J347" s="1" t="s">
        <v>27</v>
      </c>
      <c r="K347">
        <v>2</v>
      </c>
      <c r="L347" s="1" t="s">
        <v>55</v>
      </c>
      <c r="M347">
        <v>43</v>
      </c>
      <c r="N347" s="1" t="s">
        <v>29</v>
      </c>
      <c r="O347" s="1" t="s">
        <v>30</v>
      </c>
      <c r="P347">
        <v>1</v>
      </c>
      <c r="Q347" s="1" t="s">
        <v>45</v>
      </c>
      <c r="R347">
        <v>1</v>
      </c>
      <c r="S347" s="1" t="s">
        <v>40</v>
      </c>
      <c r="T347" s="1" t="s">
        <v>33</v>
      </c>
      <c r="U347" s="1" t="s">
        <v>34</v>
      </c>
      <c r="V347" s="1" t="str">
        <f>_xlfn.XLOOKUP(A347,Dictonary!$A$2:$A$5,Dictonary!$B$2:$B$5)</f>
        <v>No information</v>
      </c>
      <c r="W347" s="1" t="str">
        <f>_xlfn.XLOOKUP(D347,Dictonary!$D$2:$D$12,Dictonary!$E$2:$E$12)</f>
        <v>radio/television</v>
      </c>
      <c r="X347" s="1" t="str">
        <f>_xlfn.XLOOKUP(F347,Dictonary!$G$2:$G$6,Dictonary!$H$2:$H$6)</f>
        <v>Less 100</v>
      </c>
      <c r="Y347" s="1" t="str">
        <f>_xlfn.XLOOKUP(I347,Dictonary!$J$2:$J$6,Dictonary!$K$2:$K$6)</f>
        <v>female : divorced/separated/married</v>
      </c>
      <c r="Z347" s="1" t="str">
        <f>_xlfn.XLOOKUP(Q347,Dictonary!$M$2:$M$5,Dictonary!$N$2:$N$5)</f>
        <v>unskilled - resident</v>
      </c>
      <c r="AA347" s="1" t="str">
        <f>_xlfn.XLOOKUP(O347,Dictonary!$P$2:$P$4,Dictonary!$Q$2:$Q$4)</f>
        <v>own</v>
      </c>
    </row>
    <row r="348" spans="1:27" x14ac:dyDescent="0.3">
      <c r="A348" s="1" t="s">
        <v>35</v>
      </c>
      <c r="B348">
        <v>13</v>
      </c>
      <c r="C348" s="1" t="s">
        <v>22</v>
      </c>
      <c r="D348" s="1" t="s">
        <v>23</v>
      </c>
      <c r="E348">
        <v>882</v>
      </c>
      <c r="F348" s="1" t="s">
        <v>37</v>
      </c>
      <c r="G348" s="1" t="s">
        <v>62</v>
      </c>
      <c r="H348">
        <v>4</v>
      </c>
      <c r="I348" s="1" t="s">
        <v>26</v>
      </c>
      <c r="J348" s="1" t="s">
        <v>47</v>
      </c>
      <c r="K348">
        <v>4</v>
      </c>
      <c r="L348" s="1" t="s">
        <v>28</v>
      </c>
      <c r="M348">
        <v>23</v>
      </c>
      <c r="N348" s="1" t="s">
        <v>29</v>
      </c>
      <c r="O348" s="1" t="s">
        <v>30</v>
      </c>
      <c r="P348">
        <v>2</v>
      </c>
      <c r="Q348" s="1" t="s">
        <v>31</v>
      </c>
      <c r="R348">
        <v>1</v>
      </c>
      <c r="S348" s="1" t="s">
        <v>40</v>
      </c>
      <c r="T348" s="1" t="s">
        <v>33</v>
      </c>
      <c r="U348" s="1" t="s">
        <v>34</v>
      </c>
      <c r="V348" s="1" t="str">
        <f>_xlfn.XLOOKUP(A348,Dictonary!$A$2:$A$5,Dictonary!$B$2:$B$5)</f>
        <v>Low balance</v>
      </c>
      <c r="W348" s="1" t="str">
        <f>_xlfn.XLOOKUP(D348,Dictonary!$D$2:$D$12,Dictonary!$E$2:$E$12)</f>
        <v>radio/television</v>
      </c>
      <c r="X348" s="1" t="str">
        <f>_xlfn.XLOOKUP(F348,Dictonary!$G$2:$G$6,Dictonary!$H$2:$H$6)</f>
        <v>Less 100</v>
      </c>
      <c r="Y348" s="1" t="str">
        <f>_xlfn.XLOOKUP(I348,Dictonary!$J$2:$J$6,Dictonary!$K$2:$K$6)</f>
        <v>male : single</v>
      </c>
      <c r="Z348" s="1" t="str">
        <f>_xlfn.XLOOKUP(Q348,Dictonary!$M$2:$M$5,Dictonary!$N$2:$N$5)</f>
        <v>skilled employee / official</v>
      </c>
      <c r="AA348" s="1" t="str">
        <f>_xlfn.XLOOKUP(O348,Dictonary!$P$2:$P$4,Dictonary!$Q$2:$Q$4)</f>
        <v>own</v>
      </c>
    </row>
    <row r="349" spans="1:27" x14ac:dyDescent="0.3">
      <c r="A349" s="1" t="s">
        <v>35</v>
      </c>
      <c r="B349">
        <v>24</v>
      </c>
      <c r="C349" s="1" t="s">
        <v>36</v>
      </c>
      <c r="D349" s="1" t="s">
        <v>23</v>
      </c>
      <c r="E349">
        <v>3758</v>
      </c>
      <c r="F349" s="1" t="s">
        <v>53</v>
      </c>
      <c r="G349" s="1" t="s">
        <v>60</v>
      </c>
      <c r="H349">
        <v>1</v>
      </c>
      <c r="I349" s="1" t="s">
        <v>39</v>
      </c>
      <c r="J349" s="1" t="s">
        <v>27</v>
      </c>
      <c r="K349">
        <v>4</v>
      </c>
      <c r="L349" s="1" t="s">
        <v>52</v>
      </c>
      <c r="M349">
        <v>23</v>
      </c>
      <c r="N349" s="1" t="s">
        <v>29</v>
      </c>
      <c r="O349" s="1" t="s">
        <v>56</v>
      </c>
      <c r="P349">
        <v>1</v>
      </c>
      <c r="Q349" s="1" t="s">
        <v>74</v>
      </c>
      <c r="R349">
        <v>1</v>
      </c>
      <c r="S349" s="1" t="s">
        <v>40</v>
      </c>
      <c r="T349" s="1" t="s">
        <v>33</v>
      </c>
      <c r="U349" s="1" t="s">
        <v>34</v>
      </c>
      <c r="V349" s="1" t="str">
        <f>_xlfn.XLOOKUP(A349,Dictonary!$A$2:$A$5,Dictonary!$B$2:$B$5)</f>
        <v>Low balance</v>
      </c>
      <c r="W349" s="1" t="str">
        <f>_xlfn.XLOOKUP(D349,Dictonary!$D$2:$D$12,Dictonary!$E$2:$E$12)</f>
        <v>radio/television</v>
      </c>
      <c r="X349" s="1" t="str">
        <f>_xlfn.XLOOKUP(F349,Dictonary!$G$2:$G$6,Dictonary!$H$2:$H$6)</f>
        <v>Up to 1000</v>
      </c>
      <c r="Y349" s="1" t="str">
        <f>_xlfn.XLOOKUP(I349,Dictonary!$J$2:$J$6,Dictonary!$K$2:$K$6)</f>
        <v>female : divorced/separated/married</v>
      </c>
      <c r="Z349" s="1" t="str">
        <f>_xlfn.XLOOKUP(Q349,Dictonary!$M$2:$M$5,Dictonary!$N$2:$N$5)</f>
        <v>unemployed/ unskilled  - non-resident</v>
      </c>
      <c r="AA349" s="1" t="str">
        <f>_xlfn.XLOOKUP(O349,Dictonary!$P$2:$P$4,Dictonary!$Q$2:$Q$4)</f>
        <v>rent</v>
      </c>
    </row>
    <row r="350" spans="1:27" x14ac:dyDescent="0.3">
      <c r="A350" s="1" t="s">
        <v>42</v>
      </c>
      <c r="B350">
        <v>6</v>
      </c>
      <c r="C350" s="1" t="s">
        <v>50</v>
      </c>
      <c r="D350" s="1" t="s">
        <v>63</v>
      </c>
      <c r="E350">
        <v>1743</v>
      </c>
      <c r="F350" s="1" t="s">
        <v>64</v>
      </c>
      <c r="G350" s="1" t="s">
        <v>38</v>
      </c>
      <c r="H350">
        <v>1</v>
      </c>
      <c r="I350" s="1" t="s">
        <v>26</v>
      </c>
      <c r="J350" s="1" t="s">
        <v>27</v>
      </c>
      <c r="K350">
        <v>2</v>
      </c>
      <c r="L350" s="1" t="s">
        <v>28</v>
      </c>
      <c r="M350">
        <v>34</v>
      </c>
      <c r="N350" s="1" t="s">
        <v>29</v>
      </c>
      <c r="O350" s="1" t="s">
        <v>30</v>
      </c>
      <c r="P350">
        <v>2</v>
      </c>
      <c r="Q350" s="1" t="s">
        <v>45</v>
      </c>
      <c r="R350">
        <v>1</v>
      </c>
      <c r="S350" s="1" t="s">
        <v>40</v>
      </c>
      <c r="T350" s="1" t="s">
        <v>33</v>
      </c>
      <c r="U350" s="1" t="s">
        <v>34</v>
      </c>
      <c r="V350" s="1" t="str">
        <f>_xlfn.XLOOKUP(A350,Dictonary!$A$2:$A$5,Dictonary!$B$2:$B$5)</f>
        <v>No information</v>
      </c>
      <c r="W350" s="1" t="str">
        <f>_xlfn.XLOOKUP(D350,Dictonary!$D$2:$D$12,Dictonary!$E$2:$E$12)</f>
        <v>business</v>
      </c>
      <c r="X350" s="1" t="str">
        <f>_xlfn.XLOOKUP(F350,Dictonary!$G$2:$G$6,Dictonary!$H$2:$H$6)</f>
        <v>Up to 500</v>
      </c>
      <c r="Y350" s="1" t="str">
        <f>_xlfn.XLOOKUP(I350,Dictonary!$J$2:$J$6,Dictonary!$K$2:$K$6)</f>
        <v>male : single</v>
      </c>
      <c r="Z350" s="1" t="str">
        <f>_xlfn.XLOOKUP(Q350,Dictonary!$M$2:$M$5,Dictonary!$N$2:$N$5)</f>
        <v>unskilled - resident</v>
      </c>
      <c r="AA350" s="1" t="str">
        <f>_xlfn.XLOOKUP(O350,Dictonary!$P$2:$P$4,Dictonary!$Q$2:$Q$4)</f>
        <v>own</v>
      </c>
    </row>
    <row r="351" spans="1:27" x14ac:dyDescent="0.3">
      <c r="A351" s="1" t="s">
        <v>35</v>
      </c>
      <c r="B351">
        <v>9</v>
      </c>
      <c r="C351" s="1" t="s">
        <v>22</v>
      </c>
      <c r="D351" s="1" t="s">
        <v>43</v>
      </c>
      <c r="E351">
        <v>1136</v>
      </c>
      <c r="F351" s="1" t="s">
        <v>58</v>
      </c>
      <c r="G351" s="1" t="s">
        <v>25</v>
      </c>
      <c r="H351">
        <v>4</v>
      </c>
      <c r="I351" s="1" t="s">
        <v>26</v>
      </c>
      <c r="J351" s="1" t="s">
        <v>27</v>
      </c>
      <c r="K351">
        <v>3</v>
      </c>
      <c r="L351" s="1" t="s">
        <v>52</v>
      </c>
      <c r="M351">
        <v>32</v>
      </c>
      <c r="N351" s="1" t="s">
        <v>29</v>
      </c>
      <c r="O351" s="1" t="s">
        <v>49</v>
      </c>
      <c r="P351">
        <v>2</v>
      </c>
      <c r="Q351" s="1" t="s">
        <v>31</v>
      </c>
      <c r="R351">
        <v>2</v>
      </c>
      <c r="S351" s="1" t="s">
        <v>40</v>
      </c>
      <c r="T351" s="1" t="s">
        <v>33</v>
      </c>
      <c r="U351" s="1" t="s">
        <v>41</v>
      </c>
      <c r="V351" s="1" t="str">
        <f>_xlfn.XLOOKUP(A351,Dictonary!$A$2:$A$5,Dictonary!$B$2:$B$5)</f>
        <v>Low balance</v>
      </c>
      <c r="W351" s="1" t="str">
        <f>_xlfn.XLOOKUP(D351,Dictonary!$D$2:$D$12,Dictonary!$E$2:$E$12)</f>
        <v>education</v>
      </c>
      <c r="X351" s="1" t="str">
        <f>_xlfn.XLOOKUP(F351,Dictonary!$G$2:$G$6,Dictonary!$H$2:$H$6)</f>
        <v>More 1000</v>
      </c>
      <c r="Y351" s="1" t="str">
        <f>_xlfn.XLOOKUP(I351,Dictonary!$J$2:$J$6,Dictonary!$K$2:$K$6)</f>
        <v>male : single</v>
      </c>
      <c r="Z351" s="1" t="str">
        <f>_xlfn.XLOOKUP(Q351,Dictonary!$M$2:$M$5,Dictonary!$N$2:$N$5)</f>
        <v>skilled employee / official</v>
      </c>
      <c r="AA351" s="1" t="str">
        <f>_xlfn.XLOOKUP(O351,Dictonary!$P$2:$P$4,Dictonary!$Q$2:$Q$4)</f>
        <v>for free</v>
      </c>
    </row>
    <row r="352" spans="1:27" x14ac:dyDescent="0.3">
      <c r="A352" s="1" t="s">
        <v>42</v>
      </c>
      <c r="B352">
        <v>9</v>
      </c>
      <c r="C352" s="1" t="s">
        <v>36</v>
      </c>
      <c r="D352" s="1" t="s">
        <v>72</v>
      </c>
      <c r="E352">
        <v>1236</v>
      </c>
      <c r="F352" s="1" t="s">
        <v>37</v>
      </c>
      <c r="G352" s="1" t="s">
        <v>62</v>
      </c>
      <c r="H352">
        <v>1</v>
      </c>
      <c r="I352" s="1" t="s">
        <v>39</v>
      </c>
      <c r="J352" s="1" t="s">
        <v>27</v>
      </c>
      <c r="K352">
        <v>4</v>
      </c>
      <c r="L352" s="1" t="s">
        <v>28</v>
      </c>
      <c r="M352">
        <v>23</v>
      </c>
      <c r="N352" s="1" t="s">
        <v>29</v>
      </c>
      <c r="O352" s="1" t="s">
        <v>56</v>
      </c>
      <c r="P352">
        <v>1</v>
      </c>
      <c r="Q352" s="1" t="s">
        <v>31</v>
      </c>
      <c r="R352">
        <v>1</v>
      </c>
      <c r="S352" s="1" t="s">
        <v>32</v>
      </c>
      <c r="T352" s="1" t="s">
        <v>33</v>
      </c>
      <c r="U352" s="1" t="s">
        <v>34</v>
      </c>
      <c r="V352" s="1" t="str">
        <f>_xlfn.XLOOKUP(A352,Dictonary!$A$2:$A$5,Dictonary!$B$2:$B$5)</f>
        <v>No information</v>
      </c>
      <c r="W352" s="1" t="str">
        <f>_xlfn.XLOOKUP(D352,Dictonary!$D$2:$D$12,Dictonary!$E$2:$E$12)</f>
        <v>domestic appliances</v>
      </c>
      <c r="X352" s="1" t="str">
        <f>_xlfn.XLOOKUP(F352,Dictonary!$G$2:$G$6,Dictonary!$H$2:$H$6)</f>
        <v>Less 100</v>
      </c>
      <c r="Y352" s="1" t="str">
        <f>_xlfn.XLOOKUP(I352,Dictonary!$J$2:$J$6,Dictonary!$K$2:$K$6)</f>
        <v>female : divorced/separated/married</v>
      </c>
      <c r="Z352" s="1" t="str">
        <f>_xlfn.XLOOKUP(Q352,Dictonary!$M$2:$M$5,Dictonary!$N$2:$N$5)</f>
        <v>skilled employee / official</v>
      </c>
      <c r="AA352" s="1" t="str">
        <f>_xlfn.XLOOKUP(O352,Dictonary!$P$2:$P$4,Dictonary!$Q$2:$Q$4)</f>
        <v>rent</v>
      </c>
    </row>
    <row r="353" spans="1:27" x14ac:dyDescent="0.3">
      <c r="A353" s="1" t="s">
        <v>35</v>
      </c>
      <c r="B353">
        <v>9</v>
      </c>
      <c r="C353" s="1" t="s">
        <v>36</v>
      </c>
      <c r="D353" s="1" t="s">
        <v>46</v>
      </c>
      <c r="E353">
        <v>959</v>
      </c>
      <c r="F353" s="1" t="s">
        <v>37</v>
      </c>
      <c r="G353" s="1" t="s">
        <v>38</v>
      </c>
      <c r="H353">
        <v>1</v>
      </c>
      <c r="I353" s="1" t="s">
        <v>39</v>
      </c>
      <c r="J353" s="1" t="s">
        <v>27</v>
      </c>
      <c r="K353">
        <v>2</v>
      </c>
      <c r="L353" s="1" t="s">
        <v>55</v>
      </c>
      <c r="M353">
        <v>29</v>
      </c>
      <c r="N353" s="1" t="s">
        <v>29</v>
      </c>
      <c r="O353" s="1" t="s">
        <v>30</v>
      </c>
      <c r="P353">
        <v>1</v>
      </c>
      <c r="Q353" s="1" t="s">
        <v>31</v>
      </c>
      <c r="R353">
        <v>1</v>
      </c>
      <c r="S353" s="1" t="s">
        <v>40</v>
      </c>
      <c r="T353" s="1" t="s">
        <v>67</v>
      </c>
      <c r="U353" s="1" t="s">
        <v>41</v>
      </c>
      <c r="V353" s="1" t="str">
        <f>_xlfn.XLOOKUP(A353,Dictonary!$A$2:$A$5,Dictonary!$B$2:$B$5)</f>
        <v>Low balance</v>
      </c>
      <c r="W353" s="1" t="str">
        <f>_xlfn.XLOOKUP(D353,Dictonary!$D$2:$D$12,Dictonary!$E$2:$E$12)</f>
        <v>furniture/equipment</v>
      </c>
      <c r="X353" s="1" t="str">
        <f>_xlfn.XLOOKUP(F353,Dictonary!$G$2:$G$6,Dictonary!$H$2:$H$6)</f>
        <v>Less 100</v>
      </c>
      <c r="Y353" s="1" t="str">
        <f>_xlfn.XLOOKUP(I353,Dictonary!$J$2:$J$6,Dictonary!$K$2:$K$6)</f>
        <v>female : divorced/separated/married</v>
      </c>
      <c r="Z353" s="1" t="str">
        <f>_xlfn.XLOOKUP(Q353,Dictonary!$M$2:$M$5,Dictonary!$N$2:$N$5)</f>
        <v>skilled employee / official</v>
      </c>
      <c r="AA353" s="1" t="str">
        <f>_xlfn.XLOOKUP(O353,Dictonary!$P$2:$P$4,Dictonary!$Q$2:$Q$4)</f>
        <v>own</v>
      </c>
    </row>
    <row r="354" spans="1:27" x14ac:dyDescent="0.3">
      <c r="A354" s="1" t="s">
        <v>42</v>
      </c>
      <c r="B354">
        <v>18</v>
      </c>
      <c r="C354" s="1" t="s">
        <v>22</v>
      </c>
      <c r="D354" s="1" t="s">
        <v>54</v>
      </c>
      <c r="E354">
        <v>3229</v>
      </c>
      <c r="F354" s="1" t="s">
        <v>24</v>
      </c>
      <c r="G354" s="1" t="s">
        <v>60</v>
      </c>
      <c r="H354">
        <v>2</v>
      </c>
      <c r="I354" s="1" t="s">
        <v>26</v>
      </c>
      <c r="J354" s="1" t="s">
        <v>27</v>
      </c>
      <c r="K354">
        <v>4</v>
      </c>
      <c r="L354" s="1" t="s">
        <v>52</v>
      </c>
      <c r="M354">
        <v>38</v>
      </c>
      <c r="N354" s="1" t="s">
        <v>29</v>
      </c>
      <c r="O354" s="1" t="s">
        <v>30</v>
      </c>
      <c r="P354">
        <v>1</v>
      </c>
      <c r="Q354" s="1" t="s">
        <v>57</v>
      </c>
      <c r="R354">
        <v>1</v>
      </c>
      <c r="S354" s="1" t="s">
        <v>32</v>
      </c>
      <c r="T354" s="1" t="s">
        <v>33</v>
      </c>
      <c r="U354" s="1" t="s">
        <v>34</v>
      </c>
      <c r="V354" s="1" t="str">
        <f>_xlfn.XLOOKUP(A354,Dictonary!$A$2:$A$5,Dictonary!$B$2:$B$5)</f>
        <v>No information</v>
      </c>
      <c r="W354" s="1" t="str">
        <f>_xlfn.XLOOKUP(D354,Dictonary!$D$2:$D$12,Dictonary!$E$2:$E$12)</f>
        <v>car (used)</v>
      </c>
      <c r="X354" s="1" t="str">
        <f>_xlfn.XLOOKUP(F354,Dictonary!$G$2:$G$6,Dictonary!$H$2:$H$6)</f>
        <v>No information</v>
      </c>
      <c r="Y354" s="1" t="str">
        <f>_xlfn.XLOOKUP(I354,Dictonary!$J$2:$J$6,Dictonary!$K$2:$K$6)</f>
        <v>male : single</v>
      </c>
      <c r="Z354" s="1" t="str">
        <f>_xlfn.XLOOKUP(Q354,Dictonary!$M$2:$M$5,Dictonary!$N$2:$N$5)</f>
        <v>management/ self-employed/ highly qualified employee/ officer</v>
      </c>
      <c r="AA354" s="1" t="str">
        <f>_xlfn.XLOOKUP(O354,Dictonary!$P$2:$P$4,Dictonary!$Q$2:$Q$4)</f>
        <v>own</v>
      </c>
    </row>
    <row r="355" spans="1:27" x14ac:dyDescent="0.3">
      <c r="A355" s="1" t="s">
        <v>21</v>
      </c>
      <c r="B355">
        <v>12</v>
      </c>
      <c r="C355" s="1" t="s">
        <v>65</v>
      </c>
      <c r="D355" s="1" t="s">
        <v>23</v>
      </c>
      <c r="E355">
        <v>6199</v>
      </c>
      <c r="F355" s="1" t="s">
        <v>37</v>
      </c>
      <c r="G355" s="1" t="s">
        <v>38</v>
      </c>
      <c r="H355">
        <v>4</v>
      </c>
      <c r="I355" s="1" t="s">
        <v>26</v>
      </c>
      <c r="J355" s="1" t="s">
        <v>27</v>
      </c>
      <c r="K355">
        <v>2</v>
      </c>
      <c r="L355" s="1" t="s">
        <v>48</v>
      </c>
      <c r="M355">
        <v>28</v>
      </c>
      <c r="N355" s="1" t="s">
        <v>29</v>
      </c>
      <c r="O355" s="1" t="s">
        <v>56</v>
      </c>
      <c r="P355">
        <v>2</v>
      </c>
      <c r="Q355" s="1" t="s">
        <v>31</v>
      </c>
      <c r="R355">
        <v>1</v>
      </c>
      <c r="S355" s="1" t="s">
        <v>32</v>
      </c>
      <c r="T355" s="1" t="s">
        <v>33</v>
      </c>
      <c r="U355" s="1" t="s">
        <v>41</v>
      </c>
      <c r="V355" s="1" t="str">
        <f>_xlfn.XLOOKUP(A355,Dictonary!$A$2:$A$5,Dictonary!$B$2:$B$5)</f>
        <v>Negative balance</v>
      </c>
      <c r="W355" s="1" t="str">
        <f>_xlfn.XLOOKUP(D355,Dictonary!$D$2:$D$12,Dictonary!$E$2:$E$12)</f>
        <v>radio/television</v>
      </c>
      <c r="X355" s="1" t="str">
        <f>_xlfn.XLOOKUP(F355,Dictonary!$G$2:$G$6,Dictonary!$H$2:$H$6)</f>
        <v>Less 100</v>
      </c>
      <c r="Y355" s="1" t="str">
        <f>_xlfn.XLOOKUP(I355,Dictonary!$J$2:$J$6,Dictonary!$K$2:$K$6)</f>
        <v>male : single</v>
      </c>
      <c r="Z355" s="1" t="str">
        <f>_xlfn.XLOOKUP(Q355,Dictonary!$M$2:$M$5,Dictonary!$N$2:$N$5)</f>
        <v>skilled employee / official</v>
      </c>
      <c r="AA355" s="1" t="str">
        <f>_xlfn.XLOOKUP(O355,Dictonary!$P$2:$P$4,Dictonary!$Q$2:$Q$4)</f>
        <v>rent</v>
      </c>
    </row>
    <row r="356" spans="1:27" x14ac:dyDescent="0.3">
      <c r="A356" s="1" t="s">
        <v>42</v>
      </c>
      <c r="B356">
        <v>10</v>
      </c>
      <c r="C356" s="1" t="s">
        <v>36</v>
      </c>
      <c r="D356" s="1" t="s">
        <v>43</v>
      </c>
      <c r="E356">
        <v>727</v>
      </c>
      <c r="F356" s="1" t="s">
        <v>53</v>
      </c>
      <c r="G356" s="1" t="s">
        <v>25</v>
      </c>
      <c r="H356">
        <v>4</v>
      </c>
      <c r="I356" s="1" t="s">
        <v>26</v>
      </c>
      <c r="J356" s="1" t="s">
        <v>27</v>
      </c>
      <c r="K356">
        <v>4</v>
      </c>
      <c r="L356" s="1" t="s">
        <v>52</v>
      </c>
      <c r="M356">
        <v>46</v>
      </c>
      <c r="N356" s="1" t="s">
        <v>29</v>
      </c>
      <c r="O356" s="1" t="s">
        <v>49</v>
      </c>
      <c r="P356">
        <v>1</v>
      </c>
      <c r="Q356" s="1" t="s">
        <v>31</v>
      </c>
      <c r="R356">
        <v>1</v>
      </c>
      <c r="S356" s="1" t="s">
        <v>32</v>
      </c>
      <c r="T356" s="1" t="s">
        <v>33</v>
      </c>
      <c r="U356" s="1" t="s">
        <v>34</v>
      </c>
      <c r="V356" s="1" t="str">
        <f>_xlfn.XLOOKUP(A356,Dictonary!$A$2:$A$5,Dictonary!$B$2:$B$5)</f>
        <v>No information</v>
      </c>
      <c r="W356" s="1" t="str">
        <f>_xlfn.XLOOKUP(D356,Dictonary!$D$2:$D$12,Dictonary!$E$2:$E$12)</f>
        <v>education</v>
      </c>
      <c r="X356" s="1" t="str">
        <f>_xlfn.XLOOKUP(F356,Dictonary!$G$2:$G$6,Dictonary!$H$2:$H$6)</f>
        <v>Up to 1000</v>
      </c>
      <c r="Y356" s="1" t="str">
        <f>_xlfn.XLOOKUP(I356,Dictonary!$J$2:$J$6,Dictonary!$K$2:$K$6)</f>
        <v>male : single</v>
      </c>
      <c r="Z356" s="1" t="str">
        <f>_xlfn.XLOOKUP(Q356,Dictonary!$M$2:$M$5,Dictonary!$N$2:$N$5)</f>
        <v>skilled employee / official</v>
      </c>
      <c r="AA356" s="1" t="str">
        <f>_xlfn.XLOOKUP(O356,Dictonary!$P$2:$P$4,Dictonary!$Q$2:$Q$4)</f>
        <v>for free</v>
      </c>
    </row>
    <row r="357" spans="1:27" x14ac:dyDescent="0.3">
      <c r="A357" s="1" t="s">
        <v>35</v>
      </c>
      <c r="B357">
        <v>24</v>
      </c>
      <c r="C357" s="1" t="s">
        <v>36</v>
      </c>
      <c r="D357" s="1" t="s">
        <v>51</v>
      </c>
      <c r="E357">
        <v>1246</v>
      </c>
      <c r="F357" s="1" t="s">
        <v>37</v>
      </c>
      <c r="G357" s="1" t="s">
        <v>62</v>
      </c>
      <c r="H357">
        <v>4</v>
      </c>
      <c r="I357" s="1" t="s">
        <v>26</v>
      </c>
      <c r="J357" s="1" t="s">
        <v>27</v>
      </c>
      <c r="K357">
        <v>2</v>
      </c>
      <c r="L357" s="1" t="s">
        <v>28</v>
      </c>
      <c r="M357">
        <v>23</v>
      </c>
      <c r="N357" s="1" t="s">
        <v>70</v>
      </c>
      <c r="O357" s="1" t="s">
        <v>30</v>
      </c>
      <c r="P357">
        <v>1</v>
      </c>
      <c r="Q357" s="1" t="s">
        <v>45</v>
      </c>
      <c r="R357">
        <v>1</v>
      </c>
      <c r="S357" s="1" t="s">
        <v>40</v>
      </c>
      <c r="T357" s="1" t="s">
        <v>33</v>
      </c>
      <c r="U357" s="1" t="s">
        <v>41</v>
      </c>
      <c r="V357" s="1" t="str">
        <f>_xlfn.XLOOKUP(A357,Dictonary!$A$2:$A$5,Dictonary!$B$2:$B$5)</f>
        <v>Low balance</v>
      </c>
      <c r="W357" s="1" t="str">
        <f>_xlfn.XLOOKUP(D357,Dictonary!$D$2:$D$12,Dictonary!$E$2:$E$12)</f>
        <v>car (new)</v>
      </c>
      <c r="X357" s="1" t="str">
        <f>_xlfn.XLOOKUP(F357,Dictonary!$G$2:$G$6,Dictonary!$H$2:$H$6)</f>
        <v>Less 100</v>
      </c>
      <c r="Y357" s="1" t="str">
        <f>_xlfn.XLOOKUP(I357,Dictonary!$J$2:$J$6,Dictonary!$K$2:$K$6)</f>
        <v>male : single</v>
      </c>
      <c r="Z357" s="1" t="str">
        <f>_xlfn.XLOOKUP(Q357,Dictonary!$M$2:$M$5,Dictonary!$N$2:$N$5)</f>
        <v>unskilled - resident</v>
      </c>
      <c r="AA357" s="1" t="str">
        <f>_xlfn.XLOOKUP(O357,Dictonary!$P$2:$P$4,Dictonary!$Q$2:$Q$4)</f>
        <v>own</v>
      </c>
    </row>
    <row r="358" spans="1:27" x14ac:dyDescent="0.3">
      <c r="A358" s="1" t="s">
        <v>42</v>
      </c>
      <c r="B358">
        <v>12</v>
      </c>
      <c r="C358" s="1" t="s">
        <v>22</v>
      </c>
      <c r="D358" s="1" t="s">
        <v>23</v>
      </c>
      <c r="E358">
        <v>2331</v>
      </c>
      <c r="F358" s="1" t="s">
        <v>24</v>
      </c>
      <c r="G358" s="1" t="s">
        <v>25</v>
      </c>
      <c r="H358">
        <v>1</v>
      </c>
      <c r="I358" s="1" t="s">
        <v>26</v>
      </c>
      <c r="J358" s="1" t="s">
        <v>71</v>
      </c>
      <c r="K358">
        <v>4</v>
      </c>
      <c r="L358" s="1" t="s">
        <v>28</v>
      </c>
      <c r="M358">
        <v>49</v>
      </c>
      <c r="N358" s="1" t="s">
        <v>29</v>
      </c>
      <c r="O358" s="1" t="s">
        <v>30</v>
      </c>
      <c r="P358">
        <v>1</v>
      </c>
      <c r="Q358" s="1" t="s">
        <v>31</v>
      </c>
      <c r="R358">
        <v>1</v>
      </c>
      <c r="S358" s="1" t="s">
        <v>32</v>
      </c>
      <c r="T358" s="1" t="s">
        <v>33</v>
      </c>
      <c r="U358" s="1" t="s">
        <v>34</v>
      </c>
      <c r="V358" s="1" t="str">
        <f>_xlfn.XLOOKUP(A358,Dictonary!$A$2:$A$5,Dictonary!$B$2:$B$5)</f>
        <v>No information</v>
      </c>
      <c r="W358" s="1" t="str">
        <f>_xlfn.XLOOKUP(D358,Dictonary!$D$2:$D$12,Dictonary!$E$2:$E$12)</f>
        <v>radio/television</v>
      </c>
      <c r="X358" s="1" t="str">
        <f>_xlfn.XLOOKUP(F358,Dictonary!$G$2:$G$6,Dictonary!$H$2:$H$6)</f>
        <v>No information</v>
      </c>
      <c r="Y358" s="1" t="str">
        <f>_xlfn.XLOOKUP(I358,Dictonary!$J$2:$J$6,Dictonary!$K$2:$K$6)</f>
        <v>male : single</v>
      </c>
      <c r="Z358" s="1" t="str">
        <f>_xlfn.XLOOKUP(Q358,Dictonary!$M$2:$M$5,Dictonary!$N$2:$N$5)</f>
        <v>skilled employee / official</v>
      </c>
      <c r="AA358" s="1" t="str">
        <f>_xlfn.XLOOKUP(O358,Dictonary!$P$2:$P$4,Dictonary!$Q$2:$Q$4)</f>
        <v>own</v>
      </c>
    </row>
    <row r="359" spans="1:27" x14ac:dyDescent="0.3">
      <c r="A359" s="1" t="s">
        <v>42</v>
      </c>
      <c r="B359">
        <v>36</v>
      </c>
      <c r="C359" s="1" t="s">
        <v>50</v>
      </c>
      <c r="D359" s="1" t="s">
        <v>23</v>
      </c>
      <c r="E359">
        <v>4463</v>
      </c>
      <c r="F359" s="1" t="s">
        <v>37</v>
      </c>
      <c r="G359" s="1" t="s">
        <v>38</v>
      </c>
      <c r="H359">
        <v>4</v>
      </c>
      <c r="I359" s="1" t="s">
        <v>26</v>
      </c>
      <c r="J359" s="1" t="s">
        <v>27</v>
      </c>
      <c r="K359">
        <v>2</v>
      </c>
      <c r="L359" s="1" t="s">
        <v>55</v>
      </c>
      <c r="M359">
        <v>26</v>
      </c>
      <c r="N359" s="1" t="s">
        <v>29</v>
      </c>
      <c r="O359" s="1" t="s">
        <v>30</v>
      </c>
      <c r="P359">
        <v>2</v>
      </c>
      <c r="Q359" s="1" t="s">
        <v>57</v>
      </c>
      <c r="R359">
        <v>1</v>
      </c>
      <c r="S359" s="1" t="s">
        <v>32</v>
      </c>
      <c r="T359" s="1" t="s">
        <v>33</v>
      </c>
      <c r="U359" s="1" t="s">
        <v>41</v>
      </c>
      <c r="V359" s="1" t="str">
        <f>_xlfn.XLOOKUP(A359,Dictonary!$A$2:$A$5,Dictonary!$B$2:$B$5)</f>
        <v>No information</v>
      </c>
      <c r="W359" s="1" t="str">
        <f>_xlfn.XLOOKUP(D359,Dictonary!$D$2:$D$12,Dictonary!$E$2:$E$12)</f>
        <v>radio/television</v>
      </c>
      <c r="X359" s="1" t="str">
        <f>_xlfn.XLOOKUP(F359,Dictonary!$G$2:$G$6,Dictonary!$H$2:$H$6)</f>
        <v>Less 100</v>
      </c>
      <c r="Y359" s="1" t="str">
        <f>_xlfn.XLOOKUP(I359,Dictonary!$J$2:$J$6,Dictonary!$K$2:$K$6)</f>
        <v>male : single</v>
      </c>
      <c r="Z359" s="1" t="str">
        <f>_xlfn.XLOOKUP(Q359,Dictonary!$M$2:$M$5,Dictonary!$N$2:$N$5)</f>
        <v>management/ self-employed/ highly qualified employee/ officer</v>
      </c>
      <c r="AA359" s="1" t="str">
        <f>_xlfn.XLOOKUP(O359,Dictonary!$P$2:$P$4,Dictonary!$Q$2:$Q$4)</f>
        <v>own</v>
      </c>
    </row>
    <row r="360" spans="1:27" x14ac:dyDescent="0.3">
      <c r="A360" s="1" t="s">
        <v>42</v>
      </c>
      <c r="B360">
        <v>12</v>
      </c>
      <c r="C360" s="1" t="s">
        <v>36</v>
      </c>
      <c r="D360" s="1" t="s">
        <v>23</v>
      </c>
      <c r="E360">
        <v>776</v>
      </c>
      <c r="F360" s="1" t="s">
        <v>37</v>
      </c>
      <c r="G360" s="1" t="s">
        <v>38</v>
      </c>
      <c r="H360">
        <v>4</v>
      </c>
      <c r="I360" s="1" t="s">
        <v>61</v>
      </c>
      <c r="J360" s="1" t="s">
        <v>27</v>
      </c>
      <c r="K360">
        <v>2</v>
      </c>
      <c r="L360" s="1" t="s">
        <v>28</v>
      </c>
      <c r="M360">
        <v>28</v>
      </c>
      <c r="N360" s="1" t="s">
        <v>29</v>
      </c>
      <c r="O360" s="1" t="s">
        <v>30</v>
      </c>
      <c r="P360">
        <v>1</v>
      </c>
      <c r="Q360" s="1" t="s">
        <v>31</v>
      </c>
      <c r="R360">
        <v>1</v>
      </c>
      <c r="S360" s="1" t="s">
        <v>40</v>
      </c>
      <c r="T360" s="1" t="s">
        <v>33</v>
      </c>
      <c r="U360" s="1" t="s">
        <v>34</v>
      </c>
      <c r="V360" s="1" t="str">
        <f>_xlfn.XLOOKUP(A360,Dictonary!$A$2:$A$5,Dictonary!$B$2:$B$5)</f>
        <v>No information</v>
      </c>
      <c r="W360" s="1" t="str">
        <f>_xlfn.XLOOKUP(D360,Dictonary!$D$2:$D$12,Dictonary!$E$2:$E$12)</f>
        <v>radio/television</v>
      </c>
      <c r="X360" s="1" t="str">
        <f>_xlfn.XLOOKUP(F360,Dictonary!$G$2:$G$6,Dictonary!$H$2:$H$6)</f>
        <v>Less 100</v>
      </c>
      <c r="Y360" s="1" t="str">
        <f>_xlfn.XLOOKUP(I360,Dictonary!$J$2:$J$6,Dictonary!$K$2:$K$6)</f>
        <v>male : married/widowed</v>
      </c>
      <c r="Z360" s="1" t="str">
        <f>_xlfn.XLOOKUP(Q360,Dictonary!$M$2:$M$5,Dictonary!$N$2:$N$5)</f>
        <v>skilled employee / official</v>
      </c>
      <c r="AA360" s="1" t="str">
        <f>_xlfn.XLOOKUP(O360,Dictonary!$P$2:$P$4,Dictonary!$Q$2:$Q$4)</f>
        <v>own</v>
      </c>
    </row>
    <row r="361" spans="1:27" x14ac:dyDescent="0.3">
      <c r="A361" s="1" t="s">
        <v>21</v>
      </c>
      <c r="B361">
        <v>30</v>
      </c>
      <c r="C361" s="1" t="s">
        <v>36</v>
      </c>
      <c r="D361" s="1" t="s">
        <v>46</v>
      </c>
      <c r="E361">
        <v>2406</v>
      </c>
      <c r="F361" s="1" t="s">
        <v>37</v>
      </c>
      <c r="G361" s="1" t="s">
        <v>44</v>
      </c>
      <c r="H361">
        <v>4</v>
      </c>
      <c r="I361" s="1" t="s">
        <v>39</v>
      </c>
      <c r="J361" s="1" t="s">
        <v>27</v>
      </c>
      <c r="K361">
        <v>4</v>
      </c>
      <c r="L361" s="1" t="s">
        <v>28</v>
      </c>
      <c r="M361">
        <v>23</v>
      </c>
      <c r="N361" s="1" t="s">
        <v>29</v>
      </c>
      <c r="O361" s="1" t="s">
        <v>56</v>
      </c>
      <c r="P361">
        <v>1</v>
      </c>
      <c r="Q361" s="1" t="s">
        <v>31</v>
      </c>
      <c r="R361">
        <v>1</v>
      </c>
      <c r="S361" s="1" t="s">
        <v>40</v>
      </c>
      <c r="T361" s="1" t="s">
        <v>33</v>
      </c>
      <c r="U361" s="1" t="s">
        <v>41</v>
      </c>
      <c r="V361" s="1" t="str">
        <f>_xlfn.XLOOKUP(A361,Dictonary!$A$2:$A$5,Dictonary!$B$2:$B$5)</f>
        <v>Negative balance</v>
      </c>
      <c r="W361" s="1" t="str">
        <f>_xlfn.XLOOKUP(D361,Dictonary!$D$2:$D$12,Dictonary!$E$2:$E$12)</f>
        <v>furniture/equipment</v>
      </c>
      <c r="X361" s="1" t="str">
        <f>_xlfn.XLOOKUP(F361,Dictonary!$G$2:$G$6,Dictonary!$H$2:$H$6)</f>
        <v>Less 100</v>
      </c>
      <c r="Y361" s="1" t="str">
        <f>_xlfn.XLOOKUP(I361,Dictonary!$J$2:$J$6,Dictonary!$K$2:$K$6)</f>
        <v>female : divorced/separated/married</v>
      </c>
      <c r="Z361" s="1" t="str">
        <f>_xlfn.XLOOKUP(Q361,Dictonary!$M$2:$M$5,Dictonary!$N$2:$N$5)</f>
        <v>skilled employee / official</v>
      </c>
      <c r="AA361" s="1" t="str">
        <f>_xlfn.XLOOKUP(O361,Dictonary!$P$2:$P$4,Dictonary!$Q$2:$Q$4)</f>
        <v>rent</v>
      </c>
    </row>
    <row r="362" spans="1:27" x14ac:dyDescent="0.3">
      <c r="A362" s="1" t="s">
        <v>35</v>
      </c>
      <c r="B362">
        <v>18</v>
      </c>
      <c r="C362" s="1" t="s">
        <v>36</v>
      </c>
      <c r="D362" s="1" t="s">
        <v>43</v>
      </c>
      <c r="E362">
        <v>1239</v>
      </c>
      <c r="F362" s="1" t="s">
        <v>24</v>
      </c>
      <c r="G362" s="1" t="s">
        <v>38</v>
      </c>
      <c r="H362">
        <v>4</v>
      </c>
      <c r="I362" s="1" t="s">
        <v>26</v>
      </c>
      <c r="J362" s="1" t="s">
        <v>27</v>
      </c>
      <c r="K362">
        <v>4</v>
      </c>
      <c r="L362" s="1" t="s">
        <v>52</v>
      </c>
      <c r="M362">
        <v>61</v>
      </c>
      <c r="N362" s="1" t="s">
        <v>29</v>
      </c>
      <c r="O362" s="1" t="s">
        <v>49</v>
      </c>
      <c r="P362">
        <v>1</v>
      </c>
      <c r="Q362" s="1" t="s">
        <v>31</v>
      </c>
      <c r="R362">
        <v>1</v>
      </c>
      <c r="S362" s="1" t="s">
        <v>40</v>
      </c>
      <c r="T362" s="1" t="s">
        <v>33</v>
      </c>
      <c r="U362" s="1" t="s">
        <v>34</v>
      </c>
      <c r="V362" s="1" t="str">
        <f>_xlfn.XLOOKUP(A362,Dictonary!$A$2:$A$5,Dictonary!$B$2:$B$5)</f>
        <v>Low balance</v>
      </c>
      <c r="W362" s="1" t="str">
        <f>_xlfn.XLOOKUP(D362,Dictonary!$D$2:$D$12,Dictonary!$E$2:$E$12)</f>
        <v>education</v>
      </c>
      <c r="X362" s="1" t="str">
        <f>_xlfn.XLOOKUP(F362,Dictonary!$G$2:$G$6,Dictonary!$H$2:$H$6)</f>
        <v>No information</v>
      </c>
      <c r="Y362" s="1" t="str">
        <f>_xlfn.XLOOKUP(I362,Dictonary!$J$2:$J$6,Dictonary!$K$2:$K$6)</f>
        <v>male : single</v>
      </c>
      <c r="Z362" s="1" t="str">
        <f>_xlfn.XLOOKUP(Q362,Dictonary!$M$2:$M$5,Dictonary!$N$2:$N$5)</f>
        <v>skilled employee / official</v>
      </c>
      <c r="AA362" s="1" t="str">
        <f>_xlfn.XLOOKUP(O362,Dictonary!$P$2:$P$4,Dictonary!$Q$2:$Q$4)</f>
        <v>for free</v>
      </c>
    </row>
    <row r="363" spans="1:27" x14ac:dyDescent="0.3">
      <c r="A363" s="1" t="s">
        <v>68</v>
      </c>
      <c r="B363">
        <v>12</v>
      </c>
      <c r="C363" s="1" t="s">
        <v>36</v>
      </c>
      <c r="D363" s="1" t="s">
        <v>23</v>
      </c>
      <c r="E363">
        <v>3399</v>
      </c>
      <c r="F363" s="1" t="s">
        <v>24</v>
      </c>
      <c r="G363" s="1" t="s">
        <v>25</v>
      </c>
      <c r="H363">
        <v>2</v>
      </c>
      <c r="I363" s="1" t="s">
        <v>26</v>
      </c>
      <c r="J363" s="1" t="s">
        <v>27</v>
      </c>
      <c r="K363">
        <v>3</v>
      </c>
      <c r="L363" s="1" t="s">
        <v>55</v>
      </c>
      <c r="M363">
        <v>37</v>
      </c>
      <c r="N363" s="1" t="s">
        <v>29</v>
      </c>
      <c r="O363" s="1" t="s">
        <v>30</v>
      </c>
      <c r="P363">
        <v>1</v>
      </c>
      <c r="Q363" s="1" t="s">
        <v>57</v>
      </c>
      <c r="R363">
        <v>1</v>
      </c>
      <c r="S363" s="1" t="s">
        <v>40</v>
      </c>
      <c r="T363" s="1" t="s">
        <v>33</v>
      </c>
      <c r="U363" s="1" t="s">
        <v>34</v>
      </c>
      <c r="V363" s="1" t="str">
        <f>_xlfn.XLOOKUP(A363,Dictonary!$A$2:$A$5,Dictonary!$B$2:$B$5)</f>
        <v>Normal balance</v>
      </c>
      <c r="W363" s="1" t="str">
        <f>_xlfn.XLOOKUP(D363,Dictonary!$D$2:$D$12,Dictonary!$E$2:$E$12)</f>
        <v>radio/television</v>
      </c>
      <c r="X363" s="1" t="str">
        <f>_xlfn.XLOOKUP(F363,Dictonary!$G$2:$G$6,Dictonary!$H$2:$H$6)</f>
        <v>No information</v>
      </c>
      <c r="Y363" s="1" t="str">
        <f>_xlfn.XLOOKUP(I363,Dictonary!$J$2:$J$6,Dictonary!$K$2:$K$6)</f>
        <v>male : single</v>
      </c>
      <c r="Z363" s="1" t="str">
        <f>_xlfn.XLOOKUP(Q363,Dictonary!$M$2:$M$5,Dictonary!$N$2:$N$5)</f>
        <v>management/ self-employed/ highly qualified employee/ officer</v>
      </c>
      <c r="AA363" s="1" t="str">
        <f>_xlfn.XLOOKUP(O363,Dictonary!$P$2:$P$4,Dictonary!$Q$2:$Q$4)</f>
        <v>own</v>
      </c>
    </row>
    <row r="364" spans="1:27" x14ac:dyDescent="0.3">
      <c r="A364" s="1" t="s">
        <v>68</v>
      </c>
      <c r="B364">
        <v>12</v>
      </c>
      <c r="C364" s="1" t="s">
        <v>50</v>
      </c>
      <c r="D364" s="1" t="s">
        <v>51</v>
      </c>
      <c r="E364">
        <v>2247</v>
      </c>
      <c r="F364" s="1" t="s">
        <v>37</v>
      </c>
      <c r="G364" s="1" t="s">
        <v>38</v>
      </c>
      <c r="H364">
        <v>2</v>
      </c>
      <c r="I364" s="1" t="s">
        <v>39</v>
      </c>
      <c r="J364" s="1" t="s">
        <v>27</v>
      </c>
      <c r="K364">
        <v>2</v>
      </c>
      <c r="L364" s="1" t="s">
        <v>55</v>
      </c>
      <c r="M364">
        <v>36</v>
      </c>
      <c r="N364" s="1" t="s">
        <v>70</v>
      </c>
      <c r="O364" s="1" t="s">
        <v>30</v>
      </c>
      <c r="P364">
        <v>2</v>
      </c>
      <c r="Q364" s="1" t="s">
        <v>31</v>
      </c>
      <c r="R364">
        <v>1</v>
      </c>
      <c r="S364" s="1" t="s">
        <v>32</v>
      </c>
      <c r="T364" s="1" t="s">
        <v>33</v>
      </c>
      <c r="U364" s="1" t="s">
        <v>34</v>
      </c>
      <c r="V364" s="1" t="str">
        <f>_xlfn.XLOOKUP(A364,Dictonary!$A$2:$A$5,Dictonary!$B$2:$B$5)</f>
        <v>Normal balance</v>
      </c>
      <c r="W364" s="1" t="str">
        <f>_xlfn.XLOOKUP(D364,Dictonary!$D$2:$D$12,Dictonary!$E$2:$E$12)</f>
        <v>car (new)</v>
      </c>
      <c r="X364" s="1" t="str">
        <f>_xlfn.XLOOKUP(F364,Dictonary!$G$2:$G$6,Dictonary!$H$2:$H$6)</f>
        <v>Less 100</v>
      </c>
      <c r="Y364" s="1" t="str">
        <f>_xlfn.XLOOKUP(I364,Dictonary!$J$2:$J$6,Dictonary!$K$2:$K$6)</f>
        <v>female : divorced/separated/married</v>
      </c>
      <c r="Z364" s="1" t="str">
        <f>_xlfn.XLOOKUP(Q364,Dictonary!$M$2:$M$5,Dictonary!$N$2:$N$5)</f>
        <v>skilled employee / official</v>
      </c>
      <c r="AA364" s="1" t="str">
        <f>_xlfn.XLOOKUP(O364,Dictonary!$P$2:$P$4,Dictonary!$Q$2:$Q$4)</f>
        <v>own</v>
      </c>
    </row>
    <row r="365" spans="1:27" x14ac:dyDescent="0.3">
      <c r="A365" s="1" t="s">
        <v>42</v>
      </c>
      <c r="B365">
        <v>6</v>
      </c>
      <c r="C365" s="1" t="s">
        <v>36</v>
      </c>
      <c r="D365" s="1" t="s">
        <v>46</v>
      </c>
      <c r="E365">
        <v>1766</v>
      </c>
      <c r="F365" s="1" t="s">
        <v>37</v>
      </c>
      <c r="G365" s="1" t="s">
        <v>38</v>
      </c>
      <c r="H365">
        <v>1</v>
      </c>
      <c r="I365" s="1" t="s">
        <v>61</v>
      </c>
      <c r="J365" s="1" t="s">
        <v>27</v>
      </c>
      <c r="K365">
        <v>2</v>
      </c>
      <c r="L365" s="1" t="s">
        <v>48</v>
      </c>
      <c r="M365">
        <v>21</v>
      </c>
      <c r="N365" s="1" t="s">
        <v>29</v>
      </c>
      <c r="O365" s="1" t="s">
        <v>56</v>
      </c>
      <c r="P365">
        <v>1</v>
      </c>
      <c r="Q365" s="1" t="s">
        <v>31</v>
      </c>
      <c r="R365">
        <v>1</v>
      </c>
      <c r="S365" s="1" t="s">
        <v>40</v>
      </c>
      <c r="T365" s="1" t="s">
        <v>33</v>
      </c>
      <c r="U365" s="1" t="s">
        <v>34</v>
      </c>
      <c r="V365" s="1" t="str">
        <f>_xlfn.XLOOKUP(A365,Dictonary!$A$2:$A$5,Dictonary!$B$2:$B$5)</f>
        <v>No information</v>
      </c>
      <c r="W365" s="1" t="str">
        <f>_xlfn.XLOOKUP(D365,Dictonary!$D$2:$D$12,Dictonary!$E$2:$E$12)</f>
        <v>furniture/equipment</v>
      </c>
      <c r="X365" s="1" t="str">
        <f>_xlfn.XLOOKUP(F365,Dictonary!$G$2:$G$6,Dictonary!$H$2:$H$6)</f>
        <v>Less 100</v>
      </c>
      <c r="Y365" s="1" t="str">
        <f>_xlfn.XLOOKUP(I365,Dictonary!$J$2:$J$6,Dictonary!$K$2:$K$6)</f>
        <v>male : married/widowed</v>
      </c>
      <c r="Z365" s="1" t="str">
        <f>_xlfn.XLOOKUP(Q365,Dictonary!$M$2:$M$5,Dictonary!$N$2:$N$5)</f>
        <v>skilled employee / official</v>
      </c>
      <c r="AA365" s="1" t="str">
        <f>_xlfn.XLOOKUP(O365,Dictonary!$P$2:$P$4,Dictonary!$Q$2:$Q$4)</f>
        <v>rent</v>
      </c>
    </row>
    <row r="366" spans="1:27" x14ac:dyDescent="0.3">
      <c r="A366" s="1" t="s">
        <v>21</v>
      </c>
      <c r="B366">
        <v>18</v>
      </c>
      <c r="C366" s="1" t="s">
        <v>36</v>
      </c>
      <c r="D366" s="1" t="s">
        <v>46</v>
      </c>
      <c r="E366">
        <v>2473</v>
      </c>
      <c r="F366" s="1" t="s">
        <v>37</v>
      </c>
      <c r="G366" s="1" t="s">
        <v>60</v>
      </c>
      <c r="H366">
        <v>4</v>
      </c>
      <c r="I366" s="1" t="s">
        <v>26</v>
      </c>
      <c r="J366" s="1" t="s">
        <v>27</v>
      </c>
      <c r="K366">
        <v>1</v>
      </c>
      <c r="L366" s="1" t="s">
        <v>55</v>
      </c>
      <c r="M366">
        <v>25</v>
      </c>
      <c r="N366" s="1" t="s">
        <v>29</v>
      </c>
      <c r="O366" s="1" t="s">
        <v>30</v>
      </c>
      <c r="P366">
        <v>1</v>
      </c>
      <c r="Q366" s="1" t="s">
        <v>74</v>
      </c>
      <c r="R366">
        <v>1</v>
      </c>
      <c r="S366" s="1" t="s">
        <v>40</v>
      </c>
      <c r="T366" s="1" t="s">
        <v>33</v>
      </c>
      <c r="U366" s="1" t="s">
        <v>41</v>
      </c>
      <c r="V366" s="1" t="str">
        <f>_xlfn.XLOOKUP(A366,Dictonary!$A$2:$A$5,Dictonary!$B$2:$B$5)</f>
        <v>Negative balance</v>
      </c>
      <c r="W366" s="1" t="str">
        <f>_xlfn.XLOOKUP(D366,Dictonary!$D$2:$D$12,Dictonary!$E$2:$E$12)</f>
        <v>furniture/equipment</v>
      </c>
      <c r="X366" s="1" t="str">
        <f>_xlfn.XLOOKUP(F366,Dictonary!$G$2:$G$6,Dictonary!$H$2:$H$6)</f>
        <v>Less 100</v>
      </c>
      <c r="Y366" s="1" t="str">
        <f>_xlfn.XLOOKUP(I366,Dictonary!$J$2:$J$6,Dictonary!$K$2:$K$6)</f>
        <v>male : single</v>
      </c>
      <c r="Z366" s="1" t="str">
        <f>_xlfn.XLOOKUP(Q366,Dictonary!$M$2:$M$5,Dictonary!$N$2:$N$5)</f>
        <v>unemployed/ unskilled  - non-resident</v>
      </c>
      <c r="AA366" s="1" t="str">
        <f>_xlfn.XLOOKUP(O366,Dictonary!$P$2:$P$4,Dictonary!$Q$2:$Q$4)</f>
        <v>own</v>
      </c>
    </row>
    <row r="367" spans="1:27" x14ac:dyDescent="0.3">
      <c r="A367" s="1" t="s">
        <v>42</v>
      </c>
      <c r="B367">
        <v>12</v>
      </c>
      <c r="C367" s="1" t="s">
        <v>36</v>
      </c>
      <c r="D367" s="1" t="s">
        <v>63</v>
      </c>
      <c r="E367">
        <v>1542</v>
      </c>
      <c r="F367" s="1" t="s">
        <v>37</v>
      </c>
      <c r="G367" s="1" t="s">
        <v>44</v>
      </c>
      <c r="H367">
        <v>2</v>
      </c>
      <c r="I367" s="1" t="s">
        <v>26</v>
      </c>
      <c r="J367" s="1" t="s">
        <v>27</v>
      </c>
      <c r="K367">
        <v>4</v>
      </c>
      <c r="L367" s="1" t="s">
        <v>55</v>
      </c>
      <c r="M367">
        <v>36</v>
      </c>
      <c r="N367" s="1" t="s">
        <v>29</v>
      </c>
      <c r="O367" s="1" t="s">
        <v>30</v>
      </c>
      <c r="P367">
        <v>1</v>
      </c>
      <c r="Q367" s="1" t="s">
        <v>31</v>
      </c>
      <c r="R367">
        <v>1</v>
      </c>
      <c r="S367" s="1" t="s">
        <v>32</v>
      </c>
      <c r="T367" s="1" t="s">
        <v>33</v>
      </c>
      <c r="U367" s="1" t="s">
        <v>34</v>
      </c>
      <c r="V367" s="1" t="str">
        <f>_xlfn.XLOOKUP(A367,Dictonary!$A$2:$A$5,Dictonary!$B$2:$B$5)</f>
        <v>No information</v>
      </c>
      <c r="W367" s="1" t="str">
        <f>_xlfn.XLOOKUP(D367,Dictonary!$D$2:$D$12,Dictonary!$E$2:$E$12)</f>
        <v>business</v>
      </c>
      <c r="X367" s="1" t="str">
        <f>_xlfn.XLOOKUP(F367,Dictonary!$G$2:$G$6,Dictonary!$H$2:$H$6)</f>
        <v>Less 100</v>
      </c>
      <c r="Y367" s="1" t="str">
        <f>_xlfn.XLOOKUP(I367,Dictonary!$J$2:$J$6,Dictonary!$K$2:$K$6)</f>
        <v>male : single</v>
      </c>
      <c r="Z367" s="1" t="str">
        <f>_xlfn.XLOOKUP(Q367,Dictonary!$M$2:$M$5,Dictonary!$N$2:$N$5)</f>
        <v>skilled employee / official</v>
      </c>
      <c r="AA367" s="1" t="str">
        <f>_xlfn.XLOOKUP(O367,Dictonary!$P$2:$P$4,Dictonary!$Q$2:$Q$4)</f>
        <v>own</v>
      </c>
    </row>
    <row r="368" spans="1:27" x14ac:dyDescent="0.3">
      <c r="A368" s="1" t="s">
        <v>42</v>
      </c>
      <c r="B368">
        <v>18</v>
      </c>
      <c r="C368" s="1" t="s">
        <v>22</v>
      </c>
      <c r="D368" s="1" t="s">
        <v>54</v>
      </c>
      <c r="E368">
        <v>3850</v>
      </c>
      <c r="F368" s="1" t="s">
        <v>37</v>
      </c>
      <c r="G368" s="1" t="s">
        <v>44</v>
      </c>
      <c r="H368">
        <v>3</v>
      </c>
      <c r="I368" s="1" t="s">
        <v>26</v>
      </c>
      <c r="J368" s="1" t="s">
        <v>27</v>
      </c>
      <c r="K368">
        <v>1</v>
      </c>
      <c r="L368" s="1" t="s">
        <v>55</v>
      </c>
      <c r="M368">
        <v>27</v>
      </c>
      <c r="N368" s="1" t="s">
        <v>29</v>
      </c>
      <c r="O368" s="1" t="s">
        <v>30</v>
      </c>
      <c r="P368">
        <v>2</v>
      </c>
      <c r="Q368" s="1" t="s">
        <v>31</v>
      </c>
      <c r="R368">
        <v>1</v>
      </c>
      <c r="S368" s="1" t="s">
        <v>40</v>
      </c>
      <c r="T368" s="1" t="s">
        <v>33</v>
      </c>
      <c r="U368" s="1" t="s">
        <v>34</v>
      </c>
      <c r="V368" s="1" t="str">
        <f>_xlfn.XLOOKUP(A368,Dictonary!$A$2:$A$5,Dictonary!$B$2:$B$5)</f>
        <v>No information</v>
      </c>
      <c r="W368" s="1" t="str">
        <f>_xlfn.XLOOKUP(D368,Dictonary!$D$2:$D$12,Dictonary!$E$2:$E$12)</f>
        <v>car (used)</v>
      </c>
      <c r="X368" s="1" t="str">
        <f>_xlfn.XLOOKUP(F368,Dictonary!$G$2:$G$6,Dictonary!$H$2:$H$6)</f>
        <v>Less 100</v>
      </c>
      <c r="Y368" s="1" t="str">
        <f>_xlfn.XLOOKUP(I368,Dictonary!$J$2:$J$6,Dictonary!$K$2:$K$6)</f>
        <v>male : single</v>
      </c>
      <c r="Z368" s="1" t="str">
        <f>_xlfn.XLOOKUP(Q368,Dictonary!$M$2:$M$5,Dictonary!$N$2:$N$5)</f>
        <v>skilled employee / official</v>
      </c>
      <c r="AA368" s="1" t="str">
        <f>_xlfn.XLOOKUP(O368,Dictonary!$P$2:$P$4,Dictonary!$Q$2:$Q$4)</f>
        <v>own</v>
      </c>
    </row>
    <row r="369" spans="1:27" x14ac:dyDescent="0.3">
      <c r="A369" s="1" t="s">
        <v>21</v>
      </c>
      <c r="B369">
        <v>18</v>
      </c>
      <c r="C369" s="1" t="s">
        <v>36</v>
      </c>
      <c r="D369" s="1" t="s">
        <v>46</v>
      </c>
      <c r="E369">
        <v>3650</v>
      </c>
      <c r="F369" s="1" t="s">
        <v>37</v>
      </c>
      <c r="G369" s="1" t="s">
        <v>62</v>
      </c>
      <c r="H369">
        <v>1</v>
      </c>
      <c r="I369" s="1" t="s">
        <v>39</v>
      </c>
      <c r="J369" s="1" t="s">
        <v>27</v>
      </c>
      <c r="K369">
        <v>4</v>
      </c>
      <c r="L369" s="1" t="s">
        <v>55</v>
      </c>
      <c r="M369">
        <v>22</v>
      </c>
      <c r="N369" s="1" t="s">
        <v>29</v>
      </c>
      <c r="O369" s="1" t="s">
        <v>56</v>
      </c>
      <c r="P369">
        <v>1</v>
      </c>
      <c r="Q369" s="1" t="s">
        <v>31</v>
      </c>
      <c r="R369">
        <v>1</v>
      </c>
      <c r="S369" s="1" t="s">
        <v>40</v>
      </c>
      <c r="T369" s="1" t="s">
        <v>33</v>
      </c>
      <c r="U369" s="1" t="s">
        <v>34</v>
      </c>
      <c r="V369" s="1" t="str">
        <f>_xlfn.XLOOKUP(A369,Dictonary!$A$2:$A$5,Dictonary!$B$2:$B$5)</f>
        <v>Negative balance</v>
      </c>
      <c r="W369" s="1" t="str">
        <f>_xlfn.XLOOKUP(D369,Dictonary!$D$2:$D$12,Dictonary!$E$2:$E$12)</f>
        <v>furniture/equipment</v>
      </c>
      <c r="X369" s="1" t="str">
        <f>_xlfn.XLOOKUP(F369,Dictonary!$G$2:$G$6,Dictonary!$H$2:$H$6)</f>
        <v>Less 100</v>
      </c>
      <c r="Y369" s="1" t="str">
        <f>_xlfn.XLOOKUP(I369,Dictonary!$J$2:$J$6,Dictonary!$K$2:$K$6)</f>
        <v>female : divorced/separated/married</v>
      </c>
      <c r="Z369" s="1" t="str">
        <f>_xlfn.XLOOKUP(Q369,Dictonary!$M$2:$M$5,Dictonary!$N$2:$N$5)</f>
        <v>skilled employee / official</v>
      </c>
      <c r="AA369" s="1" t="str">
        <f>_xlfn.XLOOKUP(O369,Dictonary!$P$2:$P$4,Dictonary!$Q$2:$Q$4)</f>
        <v>rent</v>
      </c>
    </row>
    <row r="370" spans="1:27" x14ac:dyDescent="0.3">
      <c r="A370" s="1" t="s">
        <v>21</v>
      </c>
      <c r="B370">
        <v>36</v>
      </c>
      <c r="C370" s="1" t="s">
        <v>36</v>
      </c>
      <c r="D370" s="1" t="s">
        <v>46</v>
      </c>
      <c r="E370">
        <v>3446</v>
      </c>
      <c r="F370" s="1" t="s">
        <v>37</v>
      </c>
      <c r="G370" s="1" t="s">
        <v>25</v>
      </c>
      <c r="H370">
        <v>4</v>
      </c>
      <c r="I370" s="1" t="s">
        <v>26</v>
      </c>
      <c r="J370" s="1" t="s">
        <v>27</v>
      </c>
      <c r="K370">
        <v>2</v>
      </c>
      <c r="L370" s="1" t="s">
        <v>55</v>
      </c>
      <c r="M370">
        <v>42</v>
      </c>
      <c r="N370" s="1" t="s">
        <v>29</v>
      </c>
      <c r="O370" s="1" t="s">
        <v>30</v>
      </c>
      <c r="P370">
        <v>1</v>
      </c>
      <c r="Q370" s="1" t="s">
        <v>31</v>
      </c>
      <c r="R370">
        <v>2</v>
      </c>
      <c r="S370" s="1" t="s">
        <v>40</v>
      </c>
      <c r="T370" s="1" t="s">
        <v>33</v>
      </c>
      <c r="U370" s="1" t="s">
        <v>41</v>
      </c>
      <c r="V370" s="1" t="str">
        <f>_xlfn.XLOOKUP(A370,Dictonary!$A$2:$A$5,Dictonary!$B$2:$B$5)</f>
        <v>Negative balance</v>
      </c>
      <c r="W370" s="1" t="str">
        <f>_xlfn.XLOOKUP(D370,Dictonary!$D$2:$D$12,Dictonary!$E$2:$E$12)</f>
        <v>furniture/equipment</v>
      </c>
      <c r="X370" s="1" t="str">
        <f>_xlfn.XLOOKUP(F370,Dictonary!$G$2:$G$6,Dictonary!$H$2:$H$6)</f>
        <v>Less 100</v>
      </c>
      <c r="Y370" s="1" t="str">
        <f>_xlfn.XLOOKUP(I370,Dictonary!$J$2:$J$6,Dictonary!$K$2:$K$6)</f>
        <v>male : single</v>
      </c>
      <c r="Z370" s="1" t="str">
        <f>_xlfn.XLOOKUP(Q370,Dictonary!$M$2:$M$5,Dictonary!$N$2:$N$5)</f>
        <v>skilled employee / official</v>
      </c>
      <c r="AA370" s="1" t="str">
        <f>_xlfn.XLOOKUP(O370,Dictonary!$P$2:$P$4,Dictonary!$Q$2:$Q$4)</f>
        <v>own</v>
      </c>
    </row>
    <row r="371" spans="1:27" x14ac:dyDescent="0.3">
      <c r="A371" s="1" t="s">
        <v>35</v>
      </c>
      <c r="B371">
        <v>18</v>
      </c>
      <c r="C371" s="1" t="s">
        <v>36</v>
      </c>
      <c r="D371" s="1" t="s">
        <v>46</v>
      </c>
      <c r="E371">
        <v>3001</v>
      </c>
      <c r="F371" s="1" t="s">
        <v>37</v>
      </c>
      <c r="G371" s="1" t="s">
        <v>44</v>
      </c>
      <c r="H371">
        <v>2</v>
      </c>
      <c r="I371" s="1" t="s">
        <v>39</v>
      </c>
      <c r="J371" s="1" t="s">
        <v>27</v>
      </c>
      <c r="K371">
        <v>4</v>
      </c>
      <c r="L371" s="1" t="s">
        <v>28</v>
      </c>
      <c r="M371">
        <v>40</v>
      </c>
      <c r="N371" s="1" t="s">
        <v>29</v>
      </c>
      <c r="O371" s="1" t="s">
        <v>56</v>
      </c>
      <c r="P371">
        <v>1</v>
      </c>
      <c r="Q371" s="1" t="s">
        <v>31</v>
      </c>
      <c r="R371">
        <v>1</v>
      </c>
      <c r="S371" s="1" t="s">
        <v>40</v>
      </c>
      <c r="T371" s="1" t="s">
        <v>33</v>
      </c>
      <c r="U371" s="1" t="s">
        <v>34</v>
      </c>
      <c r="V371" s="1" t="str">
        <f>_xlfn.XLOOKUP(A371,Dictonary!$A$2:$A$5,Dictonary!$B$2:$B$5)</f>
        <v>Low balance</v>
      </c>
      <c r="W371" s="1" t="str">
        <f>_xlfn.XLOOKUP(D371,Dictonary!$D$2:$D$12,Dictonary!$E$2:$E$12)</f>
        <v>furniture/equipment</v>
      </c>
      <c r="X371" s="1" t="str">
        <f>_xlfn.XLOOKUP(F371,Dictonary!$G$2:$G$6,Dictonary!$H$2:$H$6)</f>
        <v>Less 100</v>
      </c>
      <c r="Y371" s="1" t="str">
        <f>_xlfn.XLOOKUP(I371,Dictonary!$J$2:$J$6,Dictonary!$K$2:$K$6)</f>
        <v>female : divorced/separated/married</v>
      </c>
      <c r="Z371" s="1" t="str">
        <f>_xlfn.XLOOKUP(Q371,Dictonary!$M$2:$M$5,Dictonary!$N$2:$N$5)</f>
        <v>skilled employee / official</v>
      </c>
      <c r="AA371" s="1" t="str">
        <f>_xlfn.XLOOKUP(O371,Dictonary!$P$2:$P$4,Dictonary!$Q$2:$Q$4)</f>
        <v>rent</v>
      </c>
    </row>
    <row r="372" spans="1:27" x14ac:dyDescent="0.3">
      <c r="A372" s="1" t="s">
        <v>42</v>
      </c>
      <c r="B372">
        <v>36</v>
      </c>
      <c r="C372" s="1" t="s">
        <v>36</v>
      </c>
      <c r="D372" s="1" t="s">
        <v>51</v>
      </c>
      <c r="E372">
        <v>3079</v>
      </c>
      <c r="F372" s="1" t="s">
        <v>24</v>
      </c>
      <c r="G372" s="1" t="s">
        <v>38</v>
      </c>
      <c r="H372">
        <v>4</v>
      </c>
      <c r="I372" s="1" t="s">
        <v>26</v>
      </c>
      <c r="J372" s="1" t="s">
        <v>27</v>
      </c>
      <c r="K372">
        <v>4</v>
      </c>
      <c r="L372" s="1" t="s">
        <v>28</v>
      </c>
      <c r="M372">
        <v>36</v>
      </c>
      <c r="N372" s="1" t="s">
        <v>29</v>
      </c>
      <c r="O372" s="1" t="s">
        <v>30</v>
      </c>
      <c r="P372">
        <v>1</v>
      </c>
      <c r="Q372" s="1" t="s">
        <v>31</v>
      </c>
      <c r="R372">
        <v>1</v>
      </c>
      <c r="S372" s="1" t="s">
        <v>40</v>
      </c>
      <c r="T372" s="1" t="s">
        <v>33</v>
      </c>
      <c r="U372" s="1" t="s">
        <v>34</v>
      </c>
      <c r="V372" s="1" t="str">
        <f>_xlfn.XLOOKUP(A372,Dictonary!$A$2:$A$5,Dictonary!$B$2:$B$5)</f>
        <v>No information</v>
      </c>
      <c r="W372" s="1" t="str">
        <f>_xlfn.XLOOKUP(D372,Dictonary!$D$2:$D$12,Dictonary!$E$2:$E$12)</f>
        <v>car (new)</v>
      </c>
      <c r="X372" s="1" t="str">
        <f>_xlfn.XLOOKUP(F372,Dictonary!$G$2:$G$6,Dictonary!$H$2:$H$6)</f>
        <v>No information</v>
      </c>
      <c r="Y372" s="1" t="str">
        <f>_xlfn.XLOOKUP(I372,Dictonary!$J$2:$J$6,Dictonary!$K$2:$K$6)</f>
        <v>male : single</v>
      </c>
      <c r="Z372" s="1" t="str">
        <f>_xlfn.XLOOKUP(Q372,Dictonary!$M$2:$M$5,Dictonary!$N$2:$N$5)</f>
        <v>skilled employee / official</v>
      </c>
      <c r="AA372" s="1" t="str">
        <f>_xlfn.XLOOKUP(O372,Dictonary!$P$2:$P$4,Dictonary!$Q$2:$Q$4)</f>
        <v>own</v>
      </c>
    </row>
    <row r="373" spans="1:27" x14ac:dyDescent="0.3">
      <c r="A373" s="1" t="s">
        <v>42</v>
      </c>
      <c r="B373">
        <v>18</v>
      </c>
      <c r="C373" s="1" t="s">
        <v>22</v>
      </c>
      <c r="D373" s="1" t="s">
        <v>23</v>
      </c>
      <c r="E373">
        <v>6070</v>
      </c>
      <c r="F373" s="1" t="s">
        <v>37</v>
      </c>
      <c r="G373" s="1" t="s">
        <v>25</v>
      </c>
      <c r="H373">
        <v>3</v>
      </c>
      <c r="I373" s="1" t="s">
        <v>26</v>
      </c>
      <c r="J373" s="1" t="s">
        <v>27</v>
      </c>
      <c r="K373">
        <v>4</v>
      </c>
      <c r="L373" s="1" t="s">
        <v>55</v>
      </c>
      <c r="M373">
        <v>33</v>
      </c>
      <c r="N373" s="1" t="s">
        <v>29</v>
      </c>
      <c r="O373" s="1" t="s">
        <v>30</v>
      </c>
      <c r="P373">
        <v>2</v>
      </c>
      <c r="Q373" s="1" t="s">
        <v>31</v>
      </c>
      <c r="R373">
        <v>1</v>
      </c>
      <c r="S373" s="1" t="s">
        <v>32</v>
      </c>
      <c r="T373" s="1" t="s">
        <v>33</v>
      </c>
      <c r="U373" s="1" t="s">
        <v>34</v>
      </c>
      <c r="V373" s="1" t="str">
        <f>_xlfn.XLOOKUP(A373,Dictonary!$A$2:$A$5,Dictonary!$B$2:$B$5)</f>
        <v>No information</v>
      </c>
      <c r="W373" s="1" t="str">
        <f>_xlfn.XLOOKUP(D373,Dictonary!$D$2:$D$12,Dictonary!$E$2:$E$12)</f>
        <v>radio/television</v>
      </c>
      <c r="X373" s="1" t="str">
        <f>_xlfn.XLOOKUP(F373,Dictonary!$G$2:$G$6,Dictonary!$H$2:$H$6)</f>
        <v>Less 100</v>
      </c>
      <c r="Y373" s="1" t="str">
        <f>_xlfn.XLOOKUP(I373,Dictonary!$J$2:$J$6,Dictonary!$K$2:$K$6)</f>
        <v>male : single</v>
      </c>
      <c r="Z373" s="1" t="str">
        <f>_xlfn.XLOOKUP(Q373,Dictonary!$M$2:$M$5,Dictonary!$N$2:$N$5)</f>
        <v>skilled employee / official</v>
      </c>
      <c r="AA373" s="1" t="str">
        <f>_xlfn.XLOOKUP(O373,Dictonary!$P$2:$P$4,Dictonary!$Q$2:$Q$4)</f>
        <v>own</v>
      </c>
    </row>
    <row r="374" spans="1:27" x14ac:dyDescent="0.3">
      <c r="A374" s="1" t="s">
        <v>42</v>
      </c>
      <c r="B374">
        <v>10</v>
      </c>
      <c r="C374" s="1" t="s">
        <v>22</v>
      </c>
      <c r="D374" s="1" t="s">
        <v>46</v>
      </c>
      <c r="E374">
        <v>2146</v>
      </c>
      <c r="F374" s="1" t="s">
        <v>37</v>
      </c>
      <c r="G374" s="1" t="s">
        <v>62</v>
      </c>
      <c r="H374">
        <v>1</v>
      </c>
      <c r="I374" s="1" t="s">
        <v>39</v>
      </c>
      <c r="J374" s="1" t="s">
        <v>27</v>
      </c>
      <c r="K374">
        <v>3</v>
      </c>
      <c r="L374" s="1" t="s">
        <v>28</v>
      </c>
      <c r="M374">
        <v>23</v>
      </c>
      <c r="N374" s="1" t="s">
        <v>29</v>
      </c>
      <c r="O374" s="1" t="s">
        <v>56</v>
      </c>
      <c r="P374">
        <v>2</v>
      </c>
      <c r="Q374" s="1" t="s">
        <v>31</v>
      </c>
      <c r="R374">
        <v>1</v>
      </c>
      <c r="S374" s="1" t="s">
        <v>40</v>
      </c>
      <c r="T374" s="1" t="s">
        <v>33</v>
      </c>
      <c r="U374" s="1" t="s">
        <v>34</v>
      </c>
      <c r="V374" s="1" t="str">
        <f>_xlfn.XLOOKUP(A374,Dictonary!$A$2:$A$5,Dictonary!$B$2:$B$5)</f>
        <v>No information</v>
      </c>
      <c r="W374" s="1" t="str">
        <f>_xlfn.XLOOKUP(D374,Dictonary!$D$2:$D$12,Dictonary!$E$2:$E$12)</f>
        <v>furniture/equipment</v>
      </c>
      <c r="X374" s="1" t="str">
        <f>_xlfn.XLOOKUP(F374,Dictonary!$G$2:$G$6,Dictonary!$H$2:$H$6)</f>
        <v>Less 100</v>
      </c>
      <c r="Y374" s="1" t="str">
        <f>_xlfn.XLOOKUP(I374,Dictonary!$J$2:$J$6,Dictonary!$K$2:$K$6)</f>
        <v>female : divorced/separated/married</v>
      </c>
      <c r="Z374" s="1" t="str">
        <f>_xlfn.XLOOKUP(Q374,Dictonary!$M$2:$M$5,Dictonary!$N$2:$N$5)</f>
        <v>skilled employee / official</v>
      </c>
      <c r="AA374" s="1" t="str">
        <f>_xlfn.XLOOKUP(O374,Dictonary!$P$2:$P$4,Dictonary!$Q$2:$Q$4)</f>
        <v>rent</v>
      </c>
    </row>
    <row r="375" spans="1:27" x14ac:dyDescent="0.3">
      <c r="A375" s="1" t="s">
        <v>42</v>
      </c>
      <c r="B375">
        <v>60</v>
      </c>
      <c r="C375" s="1" t="s">
        <v>22</v>
      </c>
      <c r="D375" s="1" t="s">
        <v>51</v>
      </c>
      <c r="E375">
        <v>13756</v>
      </c>
      <c r="F375" s="1" t="s">
        <v>24</v>
      </c>
      <c r="G375" s="1" t="s">
        <v>25</v>
      </c>
      <c r="H375">
        <v>2</v>
      </c>
      <c r="I375" s="1" t="s">
        <v>26</v>
      </c>
      <c r="J375" s="1" t="s">
        <v>27</v>
      </c>
      <c r="K375">
        <v>4</v>
      </c>
      <c r="L375" s="1" t="s">
        <v>52</v>
      </c>
      <c r="M375">
        <v>63</v>
      </c>
      <c r="N375" s="1" t="s">
        <v>66</v>
      </c>
      <c r="O375" s="1" t="s">
        <v>49</v>
      </c>
      <c r="P375">
        <v>1</v>
      </c>
      <c r="Q375" s="1" t="s">
        <v>57</v>
      </c>
      <c r="R375">
        <v>1</v>
      </c>
      <c r="S375" s="1" t="s">
        <v>32</v>
      </c>
      <c r="T375" s="1" t="s">
        <v>33</v>
      </c>
      <c r="U375" s="1" t="s">
        <v>34</v>
      </c>
      <c r="V375" s="1" t="str">
        <f>_xlfn.XLOOKUP(A375,Dictonary!$A$2:$A$5,Dictonary!$B$2:$B$5)</f>
        <v>No information</v>
      </c>
      <c r="W375" s="1" t="str">
        <f>_xlfn.XLOOKUP(D375,Dictonary!$D$2:$D$12,Dictonary!$E$2:$E$12)</f>
        <v>car (new)</v>
      </c>
      <c r="X375" s="1" t="str">
        <f>_xlfn.XLOOKUP(F375,Dictonary!$G$2:$G$6,Dictonary!$H$2:$H$6)</f>
        <v>No information</v>
      </c>
      <c r="Y375" s="1" t="str">
        <f>_xlfn.XLOOKUP(I375,Dictonary!$J$2:$J$6,Dictonary!$K$2:$K$6)</f>
        <v>male : single</v>
      </c>
      <c r="Z375" s="1" t="str">
        <f>_xlfn.XLOOKUP(Q375,Dictonary!$M$2:$M$5,Dictonary!$N$2:$N$5)</f>
        <v>management/ self-employed/ highly qualified employee/ officer</v>
      </c>
      <c r="AA375" s="1" t="str">
        <f>_xlfn.XLOOKUP(O375,Dictonary!$P$2:$P$4,Dictonary!$Q$2:$Q$4)</f>
        <v>for free</v>
      </c>
    </row>
    <row r="376" spans="1:27" x14ac:dyDescent="0.3">
      <c r="A376" s="1" t="s">
        <v>35</v>
      </c>
      <c r="B376">
        <v>60</v>
      </c>
      <c r="C376" s="1" t="s">
        <v>69</v>
      </c>
      <c r="D376" s="1" t="s">
        <v>75</v>
      </c>
      <c r="E376">
        <v>14782</v>
      </c>
      <c r="F376" s="1" t="s">
        <v>64</v>
      </c>
      <c r="G376" s="1" t="s">
        <v>25</v>
      </c>
      <c r="H376">
        <v>3</v>
      </c>
      <c r="I376" s="1" t="s">
        <v>39</v>
      </c>
      <c r="J376" s="1" t="s">
        <v>27</v>
      </c>
      <c r="K376">
        <v>4</v>
      </c>
      <c r="L376" s="1" t="s">
        <v>52</v>
      </c>
      <c r="M376">
        <v>60</v>
      </c>
      <c r="N376" s="1" t="s">
        <v>66</v>
      </c>
      <c r="O376" s="1" t="s">
        <v>49</v>
      </c>
      <c r="P376">
        <v>2</v>
      </c>
      <c r="Q376" s="1" t="s">
        <v>57</v>
      </c>
      <c r="R376">
        <v>1</v>
      </c>
      <c r="S376" s="1" t="s">
        <v>32</v>
      </c>
      <c r="T376" s="1" t="s">
        <v>33</v>
      </c>
      <c r="U376" s="1" t="s">
        <v>41</v>
      </c>
      <c r="V376" s="1" t="str">
        <f>_xlfn.XLOOKUP(A376,Dictonary!$A$2:$A$5,Dictonary!$B$2:$B$5)</f>
        <v>Low balance</v>
      </c>
      <c r="W376" s="1" t="str">
        <f>_xlfn.XLOOKUP(D376,Dictonary!$D$2:$D$12,Dictonary!$E$2:$E$12)</f>
        <v>others</v>
      </c>
      <c r="X376" s="1" t="str">
        <f>_xlfn.XLOOKUP(F376,Dictonary!$G$2:$G$6,Dictonary!$H$2:$H$6)</f>
        <v>Up to 500</v>
      </c>
      <c r="Y376" s="1" t="str">
        <f>_xlfn.XLOOKUP(I376,Dictonary!$J$2:$J$6,Dictonary!$K$2:$K$6)</f>
        <v>female : divorced/separated/married</v>
      </c>
      <c r="Z376" s="1" t="str">
        <f>_xlfn.XLOOKUP(Q376,Dictonary!$M$2:$M$5,Dictonary!$N$2:$N$5)</f>
        <v>management/ self-employed/ highly qualified employee/ officer</v>
      </c>
      <c r="AA376" s="1" t="str">
        <f>_xlfn.XLOOKUP(O376,Dictonary!$P$2:$P$4,Dictonary!$Q$2:$Q$4)</f>
        <v>for free</v>
      </c>
    </row>
    <row r="377" spans="1:27" x14ac:dyDescent="0.3">
      <c r="A377" s="1" t="s">
        <v>21</v>
      </c>
      <c r="B377">
        <v>48</v>
      </c>
      <c r="C377" s="1" t="s">
        <v>69</v>
      </c>
      <c r="D377" s="1" t="s">
        <v>63</v>
      </c>
      <c r="E377">
        <v>7685</v>
      </c>
      <c r="F377" s="1" t="s">
        <v>37</v>
      </c>
      <c r="G377" s="1" t="s">
        <v>44</v>
      </c>
      <c r="H377">
        <v>2</v>
      </c>
      <c r="I377" s="1" t="s">
        <v>39</v>
      </c>
      <c r="J377" s="1" t="s">
        <v>47</v>
      </c>
      <c r="K377">
        <v>4</v>
      </c>
      <c r="L377" s="1" t="s">
        <v>55</v>
      </c>
      <c r="M377">
        <v>37</v>
      </c>
      <c r="N377" s="1" t="s">
        <v>29</v>
      </c>
      <c r="O377" s="1" t="s">
        <v>56</v>
      </c>
      <c r="P377">
        <v>1</v>
      </c>
      <c r="Q377" s="1" t="s">
        <v>31</v>
      </c>
      <c r="R377">
        <v>1</v>
      </c>
      <c r="S377" s="1" t="s">
        <v>40</v>
      </c>
      <c r="T377" s="1" t="s">
        <v>33</v>
      </c>
      <c r="U377" s="1" t="s">
        <v>41</v>
      </c>
      <c r="V377" s="1" t="str">
        <f>_xlfn.XLOOKUP(A377,Dictonary!$A$2:$A$5,Dictonary!$B$2:$B$5)</f>
        <v>Negative balance</v>
      </c>
      <c r="W377" s="1" t="str">
        <f>_xlfn.XLOOKUP(D377,Dictonary!$D$2:$D$12,Dictonary!$E$2:$E$12)</f>
        <v>business</v>
      </c>
      <c r="X377" s="1" t="str">
        <f>_xlfn.XLOOKUP(F377,Dictonary!$G$2:$G$6,Dictonary!$H$2:$H$6)</f>
        <v>Less 100</v>
      </c>
      <c r="Y377" s="1" t="str">
        <f>_xlfn.XLOOKUP(I377,Dictonary!$J$2:$J$6,Dictonary!$K$2:$K$6)</f>
        <v>female : divorced/separated/married</v>
      </c>
      <c r="Z377" s="1" t="str">
        <f>_xlfn.XLOOKUP(Q377,Dictonary!$M$2:$M$5,Dictonary!$N$2:$N$5)</f>
        <v>skilled employee / official</v>
      </c>
      <c r="AA377" s="1" t="str">
        <f>_xlfn.XLOOKUP(O377,Dictonary!$P$2:$P$4,Dictonary!$Q$2:$Q$4)</f>
        <v>rent</v>
      </c>
    </row>
    <row r="378" spans="1:27" x14ac:dyDescent="0.3">
      <c r="A378" s="1" t="s">
        <v>42</v>
      </c>
      <c r="B378">
        <v>18</v>
      </c>
      <c r="C378" s="1" t="s">
        <v>50</v>
      </c>
      <c r="D378" s="1" t="s">
        <v>23</v>
      </c>
      <c r="E378">
        <v>2320</v>
      </c>
      <c r="F378" s="1" t="s">
        <v>37</v>
      </c>
      <c r="G378" s="1" t="s">
        <v>60</v>
      </c>
      <c r="H378">
        <v>2</v>
      </c>
      <c r="I378" s="1" t="s">
        <v>61</v>
      </c>
      <c r="J378" s="1" t="s">
        <v>27</v>
      </c>
      <c r="K378">
        <v>3</v>
      </c>
      <c r="L378" s="1" t="s">
        <v>28</v>
      </c>
      <c r="M378">
        <v>34</v>
      </c>
      <c r="N378" s="1" t="s">
        <v>29</v>
      </c>
      <c r="O378" s="1" t="s">
        <v>30</v>
      </c>
      <c r="P378">
        <v>2</v>
      </c>
      <c r="Q378" s="1" t="s">
        <v>31</v>
      </c>
      <c r="R378">
        <v>1</v>
      </c>
      <c r="S378" s="1" t="s">
        <v>40</v>
      </c>
      <c r="T378" s="1" t="s">
        <v>33</v>
      </c>
      <c r="U378" s="1" t="s">
        <v>34</v>
      </c>
      <c r="V378" s="1" t="str">
        <f>_xlfn.XLOOKUP(A378,Dictonary!$A$2:$A$5,Dictonary!$B$2:$B$5)</f>
        <v>No information</v>
      </c>
      <c r="W378" s="1" t="str">
        <f>_xlfn.XLOOKUP(D378,Dictonary!$D$2:$D$12,Dictonary!$E$2:$E$12)</f>
        <v>radio/television</v>
      </c>
      <c r="X378" s="1" t="str">
        <f>_xlfn.XLOOKUP(F378,Dictonary!$G$2:$G$6,Dictonary!$H$2:$H$6)</f>
        <v>Less 100</v>
      </c>
      <c r="Y378" s="1" t="str">
        <f>_xlfn.XLOOKUP(I378,Dictonary!$J$2:$J$6,Dictonary!$K$2:$K$6)</f>
        <v>male : married/widowed</v>
      </c>
      <c r="Z378" s="1" t="str">
        <f>_xlfn.XLOOKUP(Q378,Dictonary!$M$2:$M$5,Dictonary!$N$2:$N$5)</f>
        <v>skilled employee / official</v>
      </c>
      <c r="AA378" s="1" t="str">
        <f>_xlfn.XLOOKUP(O378,Dictonary!$P$2:$P$4,Dictonary!$Q$2:$Q$4)</f>
        <v>own</v>
      </c>
    </row>
    <row r="379" spans="1:27" x14ac:dyDescent="0.3">
      <c r="A379" s="1" t="s">
        <v>42</v>
      </c>
      <c r="B379">
        <v>7</v>
      </c>
      <c r="C379" s="1" t="s">
        <v>50</v>
      </c>
      <c r="D379" s="1" t="s">
        <v>23</v>
      </c>
      <c r="E379">
        <v>846</v>
      </c>
      <c r="F379" s="1" t="s">
        <v>24</v>
      </c>
      <c r="G379" s="1" t="s">
        <v>25</v>
      </c>
      <c r="H379">
        <v>3</v>
      </c>
      <c r="I379" s="1" t="s">
        <v>26</v>
      </c>
      <c r="J379" s="1" t="s">
        <v>27</v>
      </c>
      <c r="K379">
        <v>4</v>
      </c>
      <c r="L379" s="1" t="s">
        <v>52</v>
      </c>
      <c r="M379">
        <v>36</v>
      </c>
      <c r="N379" s="1" t="s">
        <v>29</v>
      </c>
      <c r="O379" s="1" t="s">
        <v>49</v>
      </c>
      <c r="P379">
        <v>1</v>
      </c>
      <c r="Q379" s="1" t="s">
        <v>31</v>
      </c>
      <c r="R379">
        <v>1</v>
      </c>
      <c r="S379" s="1" t="s">
        <v>40</v>
      </c>
      <c r="T379" s="1" t="s">
        <v>33</v>
      </c>
      <c r="U379" s="1" t="s">
        <v>34</v>
      </c>
      <c r="V379" s="1" t="str">
        <f>_xlfn.XLOOKUP(A379,Dictonary!$A$2:$A$5,Dictonary!$B$2:$B$5)</f>
        <v>No information</v>
      </c>
      <c r="W379" s="1" t="str">
        <f>_xlfn.XLOOKUP(D379,Dictonary!$D$2:$D$12,Dictonary!$E$2:$E$12)</f>
        <v>radio/television</v>
      </c>
      <c r="X379" s="1" t="str">
        <f>_xlfn.XLOOKUP(F379,Dictonary!$G$2:$G$6,Dictonary!$H$2:$H$6)</f>
        <v>No information</v>
      </c>
      <c r="Y379" s="1" t="str">
        <f>_xlfn.XLOOKUP(I379,Dictonary!$J$2:$J$6,Dictonary!$K$2:$K$6)</f>
        <v>male : single</v>
      </c>
      <c r="Z379" s="1" t="str">
        <f>_xlfn.XLOOKUP(Q379,Dictonary!$M$2:$M$5,Dictonary!$N$2:$N$5)</f>
        <v>skilled employee / official</v>
      </c>
      <c r="AA379" s="1" t="str">
        <f>_xlfn.XLOOKUP(O379,Dictonary!$P$2:$P$4,Dictonary!$Q$2:$Q$4)</f>
        <v>for free</v>
      </c>
    </row>
    <row r="380" spans="1:27" x14ac:dyDescent="0.3">
      <c r="A380" s="1" t="s">
        <v>35</v>
      </c>
      <c r="B380">
        <v>36</v>
      </c>
      <c r="C380" s="1" t="s">
        <v>36</v>
      </c>
      <c r="D380" s="1" t="s">
        <v>51</v>
      </c>
      <c r="E380">
        <v>14318</v>
      </c>
      <c r="F380" s="1" t="s">
        <v>37</v>
      </c>
      <c r="G380" s="1" t="s">
        <v>25</v>
      </c>
      <c r="H380">
        <v>4</v>
      </c>
      <c r="I380" s="1" t="s">
        <v>26</v>
      </c>
      <c r="J380" s="1" t="s">
        <v>27</v>
      </c>
      <c r="K380">
        <v>2</v>
      </c>
      <c r="L380" s="1" t="s">
        <v>52</v>
      </c>
      <c r="M380">
        <v>57</v>
      </c>
      <c r="N380" s="1" t="s">
        <v>29</v>
      </c>
      <c r="O380" s="1" t="s">
        <v>49</v>
      </c>
      <c r="P380">
        <v>1</v>
      </c>
      <c r="Q380" s="1" t="s">
        <v>57</v>
      </c>
      <c r="R380">
        <v>1</v>
      </c>
      <c r="S380" s="1" t="s">
        <v>32</v>
      </c>
      <c r="T380" s="1" t="s">
        <v>33</v>
      </c>
      <c r="U380" s="1" t="s">
        <v>41</v>
      </c>
      <c r="V380" s="1" t="str">
        <f>_xlfn.XLOOKUP(A380,Dictonary!$A$2:$A$5,Dictonary!$B$2:$B$5)</f>
        <v>Low balance</v>
      </c>
      <c r="W380" s="1" t="str">
        <f>_xlfn.XLOOKUP(D380,Dictonary!$D$2:$D$12,Dictonary!$E$2:$E$12)</f>
        <v>car (new)</v>
      </c>
      <c r="X380" s="1" t="str">
        <f>_xlfn.XLOOKUP(F380,Dictonary!$G$2:$G$6,Dictonary!$H$2:$H$6)</f>
        <v>Less 100</v>
      </c>
      <c r="Y380" s="1" t="str">
        <f>_xlfn.XLOOKUP(I380,Dictonary!$J$2:$J$6,Dictonary!$K$2:$K$6)</f>
        <v>male : single</v>
      </c>
      <c r="Z380" s="1" t="str">
        <f>_xlfn.XLOOKUP(Q380,Dictonary!$M$2:$M$5,Dictonary!$N$2:$N$5)</f>
        <v>management/ self-employed/ highly qualified employee/ officer</v>
      </c>
      <c r="AA380" s="1" t="str">
        <f>_xlfn.XLOOKUP(O380,Dictonary!$P$2:$P$4,Dictonary!$Q$2:$Q$4)</f>
        <v>for free</v>
      </c>
    </row>
    <row r="381" spans="1:27" x14ac:dyDescent="0.3">
      <c r="A381" s="1" t="s">
        <v>42</v>
      </c>
      <c r="B381">
        <v>6</v>
      </c>
      <c r="C381" s="1" t="s">
        <v>22</v>
      </c>
      <c r="D381" s="1" t="s">
        <v>51</v>
      </c>
      <c r="E381">
        <v>362</v>
      </c>
      <c r="F381" s="1" t="s">
        <v>64</v>
      </c>
      <c r="G381" s="1" t="s">
        <v>38</v>
      </c>
      <c r="H381">
        <v>4</v>
      </c>
      <c r="I381" s="1" t="s">
        <v>39</v>
      </c>
      <c r="J381" s="1" t="s">
        <v>27</v>
      </c>
      <c r="K381">
        <v>4</v>
      </c>
      <c r="L381" s="1" t="s">
        <v>55</v>
      </c>
      <c r="M381">
        <v>52</v>
      </c>
      <c r="N381" s="1" t="s">
        <v>29</v>
      </c>
      <c r="O381" s="1" t="s">
        <v>30</v>
      </c>
      <c r="P381">
        <v>2</v>
      </c>
      <c r="Q381" s="1" t="s">
        <v>45</v>
      </c>
      <c r="R381">
        <v>1</v>
      </c>
      <c r="S381" s="1" t="s">
        <v>40</v>
      </c>
      <c r="T381" s="1" t="s">
        <v>33</v>
      </c>
      <c r="U381" s="1" t="s">
        <v>34</v>
      </c>
      <c r="V381" s="1" t="str">
        <f>_xlfn.XLOOKUP(A381,Dictonary!$A$2:$A$5,Dictonary!$B$2:$B$5)</f>
        <v>No information</v>
      </c>
      <c r="W381" s="1" t="str">
        <f>_xlfn.XLOOKUP(D381,Dictonary!$D$2:$D$12,Dictonary!$E$2:$E$12)</f>
        <v>car (new)</v>
      </c>
      <c r="X381" s="1" t="str">
        <f>_xlfn.XLOOKUP(F381,Dictonary!$G$2:$G$6,Dictonary!$H$2:$H$6)</f>
        <v>Up to 500</v>
      </c>
      <c r="Y381" s="1" t="str">
        <f>_xlfn.XLOOKUP(I381,Dictonary!$J$2:$J$6,Dictonary!$K$2:$K$6)</f>
        <v>female : divorced/separated/married</v>
      </c>
      <c r="Z381" s="1" t="str">
        <f>_xlfn.XLOOKUP(Q381,Dictonary!$M$2:$M$5,Dictonary!$N$2:$N$5)</f>
        <v>unskilled - resident</v>
      </c>
      <c r="AA381" s="1" t="str">
        <f>_xlfn.XLOOKUP(O381,Dictonary!$P$2:$P$4,Dictonary!$Q$2:$Q$4)</f>
        <v>own</v>
      </c>
    </row>
    <row r="382" spans="1:27" x14ac:dyDescent="0.3">
      <c r="A382" s="1" t="s">
        <v>21</v>
      </c>
      <c r="B382">
        <v>20</v>
      </c>
      <c r="C382" s="1" t="s">
        <v>36</v>
      </c>
      <c r="D382" s="1" t="s">
        <v>46</v>
      </c>
      <c r="E382">
        <v>2212</v>
      </c>
      <c r="F382" s="1" t="s">
        <v>24</v>
      </c>
      <c r="G382" s="1" t="s">
        <v>44</v>
      </c>
      <c r="H382">
        <v>4</v>
      </c>
      <c r="I382" s="1" t="s">
        <v>26</v>
      </c>
      <c r="J382" s="1" t="s">
        <v>27</v>
      </c>
      <c r="K382">
        <v>4</v>
      </c>
      <c r="L382" s="1" t="s">
        <v>55</v>
      </c>
      <c r="M382">
        <v>39</v>
      </c>
      <c r="N382" s="1" t="s">
        <v>29</v>
      </c>
      <c r="O382" s="1" t="s">
        <v>30</v>
      </c>
      <c r="P382">
        <v>1</v>
      </c>
      <c r="Q382" s="1" t="s">
        <v>31</v>
      </c>
      <c r="R382">
        <v>1</v>
      </c>
      <c r="S382" s="1" t="s">
        <v>32</v>
      </c>
      <c r="T382" s="1" t="s">
        <v>33</v>
      </c>
      <c r="U382" s="1" t="s">
        <v>34</v>
      </c>
      <c r="V382" s="1" t="str">
        <f>_xlfn.XLOOKUP(A382,Dictonary!$A$2:$A$5,Dictonary!$B$2:$B$5)</f>
        <v>Negative balance</v>
      </c>
      <c r="W382" s="1" t="str">
        <f>_xlfn.XLOOKUP(D382,Dictonary!$D$2:$D$12,Dictonary!$E$2:$E$12)</f>
        <v>furniture/equipment</v>
      </c>
      <c r="X382" s="1" t="str">
        <f>_xlfn.XLOOKUP(F382,Dictonary!$G$2:$G$6,Dictonary!$H$2:$H$6)</f>
        <v>No information</v>
      </c>
      <c r="Y382" s="1" t="str">
        <f>_xlfn.XLOOKUP(I382,Dictonary!$J$2:$J$6,Dictonary!$K$2:$K$6)</f>
        <v>male : single</v>
      </c>
      <c r="Z382" s="1" t="str">
        <f>_xlfn.XLOOKUP(Q382,Dictonary!$M$2:$M$5,Dictonary!$N$2:$N$5)</f>
        <v>skilled employee / official</v>
      </c>
      <c r="AA382" s="1" t="str">
        <f>_xlfn.XLOOKUP(O382,Dictonary!$P$2:$P$4,Dictonary!$Q$2:$Q$4)</f>
        <v>own</v>
      </c>
    </row>
    <row r="383" spans="1:27" x14ac:dyDescent="0.3">
      <c r="A383" s="1" t="s">
        <v>35</v>
      </c>
      <c r="B383">
        <v>18</v>
      </c>
      <c r="C383" s="1" t="s">
        <v>36</v>
      </c>
      <c r="D383" s="1" t="s">
        <v>54</v>
      </c>
      <c r="E383">
        <v>12976</v>
      </c>
      <c r="F383" s="1" t="s">
        <v>37</v>
      </c>
      <c r="G383" s="1" t="s">
        <v>60</v>
      </c>
      <c r="H383">
        <v>3</v>
      </c>
      <c r="I383" s="1" t="s">
        <v>39</v>
      </c>
      <c r="J383" s="1" t="s">
        <v>27</v>
      </c>
      <c r="K383">
        <v>4</v>
      </c>
      <c r="L383" s="1" t="s">
        <v>52</v>
      </c>
      <c r="M383">
        <v>38</v>
      </c>
      <c r="N383" s="1" t="s">
        <v>29</v>
      </c>
      <c r="O383" s="1" t="s">
        <v>49</v>
      </c>
      <c r="P383">
        <v>1</v>
      </c>
      <c r="Q383" s="1" t="s">
        <v>57</v>
      </c>
      <c r="R383">
        <v>1</v>
      </c>
      <c r="S383" s="1" t="s">
        <v>32</v>
      </c>
      <c r="T383" s="1" t="s">
        <v>33</v>
      </c>
      <c r="U383" s="1" t="s">
        <v>41</v>
      </c>
      <c r="V383" s="1" t="str">
        <f>_xlfn.XLOOKUP(A383,Dictonary!$A$2:$A$5,Dictonary!$B$2:$B$5)</f>
        <v>Low balance</v>
      </c>
      <c r="W383" s="1" t="str">
        <f>_xlfn.XLOOKUP(D383,Dictonary!$D$2:$D$12,Dictonary!$E$2:$E$12)</f>
        <v>car (used)</v>
      </c>
      <c r="X383" s="1" t="str">
        <f>_xlfn.XLOOKUP(F383,Dictonary!$G$2:$G$6,Dictonary!$H$2:$H$6)</f>
        <v>Less 100</v>
      </c>
      <c r="Y383" s="1" t="str">
        <f>_xlfn.XLOOKUP(I383,Dictonary!$J$2:$J$6,Dictonary!$K$2:$K$6)</f>
        <v>female : divorced/separated/married</v>
      </c>
      <c r="Z383" s="1" t="str">
        <f>_xlfn.XLOOKUP(Q383,Dictonary!$M$2:$M$5,Dictonary!$N$2:$N$5)</f>
        <v>management/ self-employed/ highly qualified employee/ officer</v>
      </c>
      <c r="AA383" s="1" t="str">
        <f>_xlfn.XLOOKUP(O383,Dictonary!$P$2:$P$4,Dictonary!$Q$2:$Q$4)</f>
        <v>for free</v>
      </c>
    </row>
    <row r="384" spans="1:27" x14ac:dyDescent="0.3">
      <c r="A384" s="1" t="s">
        <v>42</v>
      </c>
      <c r="B384">
        <v>22</v>
      </c>
      <c r="C384" s="1" t="s">
        <v>36</v>
      </c>
      <c r="D384" s="1" t="s">
        <v>51</v>
      </c>
      <c r="E384">
        <v>1283</v>
      </c>
      <c r="F384" s="1" t="s">
        <v>24</v>
      </c>
      <c r="G384" s="1" t="s">
        <v>44</v>
      </c>
      <c r="H384">
        <v>4</v>
      </c>
      <c r="I384" s="1" t="s">
        <v>39</v>
      </c>
      <c r="J384" s="1" t="s">
        <v>27</v>
      </c>
      <c r="K384">
        <v>4</v>
      </c>
      <c r="L384" s="1" t="s">
        <v>48</v>
      </c>
      <c r="M384">
        <v>25</v>
      </c>
      <c r="N384" s="1" t="s">
        <v>29</v>
      </c>
      <c r="O384" s="1" t="s">
        <v>56</v>
      </c>
      <c r="P384">
        <v>1</v>
      </c>
      <c r="Q384" s="1" t="s">
        <v>31</v>
      </c>
      <c r="R384">
        <v>1</v>
      </c>
      <c r="S384" s="1" t="s">
        <v>40</v>
      </c>
      <c r="T384" s="1" t="s">
        <v>33</v>
      </c>
      <c r="U384" s="1" t="s">
        <v>34</v>
      </c>
      <c r="V384" s="1" t="str">
        <f>_xlfn.XLOOKUP(A384,Dictonary!$A$2:$A$5,Dictonary!$B$2:$B$5)</f>
        <v>No information</v>
      </c>
      <c r="W384" s="1" t="str">
        <f>_xlfn.XLOOKUP(D384,Dictonary!$D$2:$D$12,Dictonary!$E$2:$E$12)</f>
        <v>car (new)</v>
      </c>
      <c r="X384" s="1" t="str">
        <f>_xlfn.XLOOKUP(F384,Dictonary!$G$2:$G$6,Dictonary!$H$2:$H$6)</f>
        <v>No information</v>
      </c>
      <c r="Y384" s="1" t="str">
        <f>_xlfn.XLOOKUP(I384,Dictonary!$J$2:$J$6,Dictonary!$K$2:$K$6)</f>
        <v>female : divorced/separated/married</v>
      </c>
      <c r="Z384" s="1" t="str">
        <f>_xlfn.XLOOKUP(Q384,Dictonary!$M$2:$M$5,Dictonary!$N$2:$N$5)</f>
        <v>skilled employee / official</v>
      </c>
      <c r="AA384" s="1" t="str">
        <f>_xlfn.XLOOKUP(O384,Dictonary!$P$2:$P$4,Dictonary!$Q$2:$Q$4)</f>
        <v>rent</v>
      </c>
    </row>
    <row r="385" spans="1:27" x14ac:dyDescent="0.3">
      <c r="A385" s="1" t="s">
        <v>68</v>
      </c>
      <c r="B385">
        <v>12</v>
      </c>
      <c r="C385" s="1" t="s">
        <v>36</v>
      </c>
      <c r="D385" s="1" t="s">
        <v>51</v>
      </c>
      <c r="E385">
        <v>1330</v>
      </c>
      <c r="F385" s="1" t="s">
        <v>37</v>
      </c>
      <c r="G385" s="1" t="s">
        <v>62</v>
      </c>
      <c r="H385">
        <v>4</v>
      </c>
      <c r="I385" s="1" t="s">
        <v>26</v>
      </c>
      <c r="J385" s="1" t="s">
        <v>27</v>
      </c>
      <c r="K385">
        <v>1</v>
      </c>
      <c r="L385" s="1" t="s">
        <v>28</v>
      </c>
      <c r="M385">
        <v>26</v>
      </c>
      <c r="N385" s="1" t="s">
        <v>29</v>
      </c>
      <c r="O385" s="1" t="s">
        <v>30</v>
      </c>
      <c r="P385">
        <v>1</v>
      </c>
      <c r="Q385" s="1" t="s">
        <v>31</v>
      </c>
      <c r="R385">
        <v>1</v>
      </c>
      <c r="S385" s="1" t="s">
        <v>40</v>
      </c>
      <c r="T385" s="1" t="s">
        <v>33</v>
      </c>
      <c r="U385" s="1" t="s">
        <v>34</v>
      </c>
      <c r="V385" s="1" t="str">
        <f>_xlfn.XLOOKUP(A385,Dictonary!$A$2:$A$5,Dictonary!$B$2:$B$5)</f>
        <v>Normal balance</v>
      </c>
      <c r="W385" s="1" t="str">
        <f>_xlfn.XLOOKUP(D385,Dictonary!$D$2:$D$12,Dictonary!$E$2:$E$12)</f>
        <v>car (new)</v>
      </c>
      <c r="X385" s="1" t="str">
        <f>_xlfn.XLOOKUP(F385,Dictonary!$G$2:$G$6,Dictonary!$H$2:$H$6)</f>
        <v>Less 100</v>
      </c>
      <c r="Y385" s="1" t="str">
        <f>_xlfn.XLOOKUP(I385,Dictonary!$J$2:$J$6,Dictonary!$K$2:$K$6)</f>
        <v>male : single</v>
      </c>
      <c r="Z385" s="1" t="str">
        <f>_xlfn.XLOOKUP(Q385,Dictonary!$M$2:$M$5,Dictonary!$N$2:$N$5)</f>
        <v>skilled employee / official</v>
      </c>
      <c r="AA385" s="1" t="str">
        <f>_xlfn.XLOOKUP(O385,Dictonary!$P$2:$P$4,Dictonary!$Q$2:$Q$4)</f>
        <v>own</v>
      </c>
    </row>
    <row r="386" spans="1:27" x14ac:dyDescent="0.3">
      <c r="A386" s="1" t="s">
        <v>42</v>
      </c>
      <c r="B386">
        <v>30</v>
      </c>
      <c r="C386" s="1" t="s">
        <v>50</v>
      </c>
      <c r="D386" s="1" t="s">
        <v>63</v>
      </c>
      <c r="E386">
        <v>4272</v>
      </c>
      <c r="F386" s="1" t="s">
        <v>64</v>
      </c>
      <c r="G386" s="1" t="s">
        <v>38</v>
      </c>
      <c r="H386">
        <v>2</v>
      </c>
      <c r="I386" s="1" t="s">
        <v>26</v>
      </c>
      <c r="J386" s="1" t="s">
        <v>27</v>
      </c>
      <c r="K386">
        <v>2</v>
      </c>
      <c r="L386" s="1" t="s">
        <v>48</v>
      </c>
      <c r="M386">
        <v>26</v>
      </c>
      <c r="N386" s="1" t="s">
        <v>29</v>
      </c>
      <c r="O386" s="1" t="s">
        <v>30</v>
      </c>
      <c r="P386">
        <v>2</v>
      </c>
      <c r="Q386" s="1" t="s">
        <v>45</v>
      </c>
      <c r="R386">
        <v>1</v>
      </c>
      <c r="S386" s="1" t="s">
        <v>40</v>
      </c>
      <c r="T386" s="1" t="s">
        <v>33</v>
      </c>
      <c r="U386" s="1" t="s">
        <v>34</v>
      </c>
      <c r="V386" s="1" t="str">
        <f>_xlfn.XLOOKUP(A386,Dictonary!$A$2:$A$5,Dictonary!$B$2:$B$5)</f>
        <v>No information</v>
      </c>
      <c r="W386" s="1" t="str">
        <f>_xlfn.XLOOKUP(D386,Dictonary!$D$2:$D$12,Dictonary!$E$2:$E$12)</f>
        <v>business</v>
      </c>
      <c r="X386" s="1" t="str">
        <f>_xlfn.XLOOKUP(F386,Dictonary!$G$2:$G$6,Dictonary!$H$2:$H$6)</f>
        <v>Up to 500</v>
      </c>
      <c r="Y386" s="1" t="str">
        <f>_xlfn.XLOOKUP(I386,Dictonary!$J$2:$J$6,Dictonary!$K$2:$K$6)</f>
        <v>male : single</v>
      </c>
      <c r="Z386" s="1" t="str">
        <f>_xlfn.XLOOKUP(Q386,Dictonary!$M$2:$M$5,Dictonary!$N$2:$N$5)</f>
        <v>unskilled - resident</v>
      </c>
      <c r="AA386" s="1" t="str">
        <f>_xlfn.XLOOKUP(O386,Dictonary!$P$2:$P$4,Dictonary!$Q$2:$Q$4)</f>
        <v>own</v>
      </c>
    </row>
    <row r="387" spans="1:27" x14ac:dyDescent="0.3">
      <c r="A387" s="1" t="s">
        <v>42</v>
      </c>
      <c r="B387">
        <v>18</v>
      </c>
      <c r="C387" s="1" t="s">
        <v>22</v>
      </c>
      <c r="D387" s="1" t="s">
        <v>23</v>
      </c>
      <c r="E387">
        <v>2238</v>
      </c>
      <c r="F387" s="1" t="s">
        <v>37</v>
      </c>
      <c r="G387" s="1" t="s">
        <v>38</v>
      </c>
      <c r="H387">
        <v>2</v>
      </c>
      <c r="I387" s="1" t="s">
        <v>39</v>
      </c>
      <c r="J387" s="1" t="s">
        <v>27</v>
      </c>
      <c r="K387">
        <v>1</v>
      </c>
      <c r="L387" s="1" t="s">
        <v>55</v>
      </c>
      <c r="M387">
        <v>25</v>
      </c>
      <c r="N387" s="1" t="s">
        <v>29</v>
      </c>
      <c r="O387" s="1" t="s">
        <v>30</v>
      </c>
      <c r="P387">
        <v>2</v>
      </c>
      <c r="Q387" s="1" t="s">
        <v>31</v>
      </c>
      <c r="R387">
        <v>1</v>
      </c>
      <c r="S387" s="1" t="s">
        <v>40</v>
      </c>
      <c r="T387" s="1" t="s">
        <v>33</v>
      </c>
      <c r="U387" s="1" t="s">
        <v>34</v>
      </c>
      <c r="V387" s="1" t="str">
        <f>_xlfn.XLOOKUP(A387,Dictonary!$A$2:$A$5,Dictonary!$B$2:$B$5)</f>
        <v>No information</v>
      </c>
      <c r="W387" s="1" t="str">
        <f>_xlfn.XLOOKUP(D387,Dictonary!$D$2:$D$12,Dictonary!$E$2:$E$12)</f>
        <v>radio/television</v>
      </c>
      <c r="X387" s="1" t="str">
        <f>_xlfn.XLOOKUP(F387,Dictonary!$G$2:$G$6,Dictonary!$H$2:$H$6)</f>
        <v>Less 100</v>
      </c>
      <c r="Y387" s="1" t="str">
        <f>_xlfn.XLOOKUP(I387,Dictonary!$J$2:$J$6,Dictonary!$K$2:$K$6)</f>
        <v>female : divorced/separated/married</v>
      </c>
      <c r="Z387" s="1" t="str">
        <f>_xlfn.XLOOKUP(Q387,Dictonary!$M$2:$M$5,Dictonary!$N$2:$N$5)</f>
        <v>skilled employee / official</v>
      </c>
      <c r="AA387" s="1" t="str">
        <f>_xlfn.XLOOKUP(O387,Dictonary!$P$2:$P$4,Dictonary!$Q$2:$Q$4)</f>
        <v>own</v>
      </c>
    </row>
    <row r="388" spans="1:27" x14ac:dyDescent="0.3">
      <c r="A388" s="1" t="s">
        <v>42</v>
      </c>
      <c r="B388">
        <v>18</v>
      </c>
      <c r="C388" s="1" t="s">
        <v>36</v>
      </c>
      <c r="D388" s="1" t="s">
        <v>23</v>
      </c>
      <c r="E388">
        <v>1126</v>
      </c>
      <c r="F388" s="1" t="s">
        <v>24</v>
      </c>
      <c r="G388" s="1" t="s">
        <v>62</v>
      </c>
      <c r="H388">
        <v>4</v>
      </c>
      <c r="I388" s="1" t="s">
        <v>39</v>
      </c>
      <c r="J388" s="1" t="s">
        <v>27</v>
      </c>
      <c r="K388">
        <v>2</v>
      </c>
      <c r="L388" s="1" t="s">
        <v>28</v>
      </c>
      <c r="M388">
        <v>21</v>
      </c>
      <c r="N388" s="1" t="s">
        <v>29</v>
      </c>
      <c r="O388" s="1" t="s">
        <v>56</v>
      </c>
      <c r="P388">
        <v>1</v>
      </c>
      <c r="Q388" s="1" t="s">
        <v>31</v>
      </c>
      <c r="R388">
        <v>1</v>
      </c>
      <c r="S388" s="1" t="s">
        <v>32</v>
      </c>
      <c r="T388" s="1" t="s">
        <v>33</v>
      </c>
      <c r="U388" s="1" t="s">
        <v>34</v>
      </c>
      <c r="V388" s="1" t="str">
        <f>_xlfn.XLOOKUP(A388,Dictonary!$A$2:$A$5,Dictonary!$B$2:$B$5)</f>
        <v>No information</v>
      </c>
      <c r="W388" s="1" t="str">
        <f>_xlfn.XLOOKUP(D388,Dictonary!$D$2:$D$12,Dictonary!$E$2:$E$12)</f>
        <v>radio/television</v>
      </c>
      <c r="X388" s="1" t="str">
        <f>_xlfn.XLOOKUP(F388,Dictonary!$G$2:$G$6,Dictonary!$H$2:$H$6)</f>
        <v>No information</v>
      </c>
      <c r="Y388" s="1" t="str">
        <f>_xlfn.XLOOKUP(I388,Dictonary!$J$2:$J$6,Dictonary!$K$2:$K$6)</f>
        <v>female : divorced/separated/married</v>
      </c>
      <c r="Z388" s="1" t="str">
        <f>_xlfn.XLOOKUP(Q388,Dictonary!$M$2:$M$5,Dictonary!$N$2:$N$5)</f>
        <v>skilled employee / official</v>
      </c>
      <c r="AA388" s="1" t="str">
        <f>_xlfn.XLOOKUP(O388,Dictonary!$P$2:$P$4,Dictonary!$Q$2:$Q$4)</f>
        <v>rent</v>
      </c>
    </row>
    <row r="389" spans="1:27" x14ac:dyDescent="0.3">
      <c r="A389" s="1" t="s">
        <v>35</v>
      </c>
      <c r="B389">
        <v>18</v>
      </c>
      <c r="C389" s="1" t="s">
        <v>22</v>
      </c>
      <c r="D389" s="1" t="s">
        <v>46</v>
      </c>
      <c r="E389">
        <v>7374</v>
      </c>
      <c r="F389" s="1" t="s">
        <v>37</v>
      </c>
      <c r="G389" s="1" t="s">
        <v>60</v>
      </c>
      <c r="H389">
        <v>4</v>
      </c>
      <c r="I389" s="1" t="s">
        <v>26</v>
      </c>
      <c r="J389" s="1" t="s">
        <v>27</v>
      </c>
      <c r="K389">
        <v>4</v>
      </c>
      <c r="L389" s="1" t="s">
        <v>48</v>
      </c>
      <c r="M389">
        <v>40</v>
      </c>
      <c r="N389" s="1" t="s">
        <v>70</v>
      </c>
      <c r="O389" s="1" t="s">
        <v>30</v>
      </c>
      <c r="P389">
        <v>2</v>
      </c>
      <c r="Q389" s="1" t="s">
        <v>57</v>
      </c>
      <c r="R389">
        <v>1</v>
      </c>
      <c r="S389" s="1" t="s">
        <v>32</v>
      </c>
      <c r="T389" s="1" t="s">
        <v>33</v>
      </c>
      <c r="U389" s="1" t="s">
        <v>34</v>
      </c>
      <c r="V389" s="1" t="str">
        <f>_xlfn.XLOOKUP(A389,Dictonary!$A$2:$A$5,Dictonary!$B$2:$B$5)</f>
        <v>Low balance</v>
      </c>
      <c r="W389" s="1" t="str">
        <f>_xlfn.XLOOKUP(D389,Dictonary!$D$2:$D$12,Dictonary!$E$2:$E$12)</f>
        <v>furniture/equipment</v>
      </c>
      <c r="X389" s="1" t="str">
        <f>_xlfn.XLOOKUP(F389,Dictonary!$G$2:$G$6,Dictonary!$H$2:$H$6)</f>
        <v>Less 100</v>
      </c>
      <c r="Y389" s="1" t="str">
        <f>_xlfn.XLOOKUP(I389,Dictonary!$J$2:$J$6,Dictonary!$K$2:$K$6)</f>
        <v>male : single</v>
      </c>
      <c r="Z389" s="1" t="str">
        <f>_xlfn.XLOOKUP(Q389,Dictonary!$M$2:$M$5,Dictonary!$N$2:$N$5)</f>
        <v>management/ self-employed/ highly qualified employee/ officer</v>
      </c>
      <c r="AA389" s="1" t="str">
        <f>_xlfn.XLOOKUP(O389,Dictonary!$P$2:$P$4,Dictonary!$Q$2:$Q$4)</f>
        <v>own</v>
      </c>
    </row>
    <row r="390" spans="1:27" x14ac:dyDescent="0.3">
      <c r="A390" s="1" t="s">
        <v>35</v>
      </c>
      <c r="B390">
        <v>15</v>
      </c>
      <c r="C390" s="1" t="s">
        <v>22</v>
      </c>
      <c r="D390" s="1" t="s">
        <v>63</v>
      </c>
      <c r="E390">
        <v>2326</v>
      </c>
      <c r="F390" s="1" t="s">
        <v>53</v>
      </c>
      <c r="G390" s="1" t="s">
        <v>38</v>
      </c>
      <c r="H390">
        <v>2</v>
      </c>
      <c r="I390" s="1" t="s">
        <v>26</v>
      </c>
      <c r="J390" s="1" t="s">
        <v>27</v>
      </c>
      <c r="K390">
        <v>4</v>
      </c>
      <c r="L390" s="1" t="s">
        <v>55</v>
      </c>
      <c r="M390">
        <v>27</v>
      </c>
      <c r="N390" s="1" t="s">
        <v>66</v>
      </c>
      <c r="O390" s="1" t="s">
        <v>30</v>
      </c>
      <c r="P390">
        <v>1</v>
      </c>
      <c r="Q390" s="1" t="s">
        <v>31</v>
      </c>
      <c r="R390">
        <v>1</v>
      </c>
      <c r="S390" s="1" t="s">
        <v>40</v>
      </c>
      <c r="T390" s="1" t="s">
        <v>33</v>
      </c>
      <c r="U390" s="1" t="s">
        <v>34</v>
      </c>
      <c r="V390" s="1" t="str">
        <f>_xlfn.XLOOKUP(A390,Dictonary!$A$2:$A$5,Dictonary!$B$2:$B$5)</f>
        <v>Low balance</v>
      </c>
      <c r="W390" s="1" t="str">
        <f>_xlfn.XLOOKUP(D390,Dictonary!$D$2:$D$12,Dictonary!$E$2:$E$12)</f>
        <v>business</v>
      </c>
      <c r="X390" s="1" t="str">
        <f>_xlfn.XLOOKUP(F390,Dictonary!$G$2:$G$6,Dictonary!$H$2:$H$6)</f>
        <v>Up to 1000</v>
      </c>
      <c r="Y390" s="1" t="str">
        <f>_xlfn.XLOOKUP(I390,Dictonary!$J$2:$J$6,Dictonary!$K$2:$K$6)</f>
        <v>male : single</v>
      </c>
      <c r="Z390" s="1" t="str">
        <f>_xlfn.XLOOKUP(Q390,Dictonary!$M$2:$M$5,Dictonary!$N$2:$N$5)</f>
        <v>skilled employee / official</v>
      </c>
      <c r="AA390" s="1" t="str">
        <f>_xlfn.XLOOKUP(O390,Dictonary!$P$2:$P$4,Dictonary!$Q$2:$Q$4)</f>
        <v>own</v>
      </c>
    </row>
    <row r="391" spans="1:27" x14ac:dyDescent="0.3">
      <c r="A391" s="1" t="s">
        <v>42</v>
      </c>
      <c r="B391">
        <v>9</v>
      </c>
      <c r="C391" s="1" t="s">
        <v>36</v>
      </c>
      <c r="D391" s="1" t="s">
        <v>63</v>
      </c>
      <c r="E391">
        <v>1449</v>
      </c>
      <c r="F391" s="1" t="s">
        <v>37</v>
      </c>
      <c r="G391" s="1" t="s">
        <v>44</v>
      </c>
      <c r="H391">
        <v>3</v>
      </c>
      <c r="I391" s="1" t="s">
        <v>39</v>
      </c>
      <c r="J391" s="1" t="s">
        <v>27</v>
      </c>
      <c r="K391">
        <v>2</v>
      </c>
      <c r="L391" s="1" t="s">
        <v>55</v>
      </c>
      <c r="M391">
        <v>27</v>
      </c>
      <c r="N391" s="1" t="s">
        <v>29</v>
      </c>
      <c r="O391" s="1" t="s">
        <v>30</v>
      </c>
      <c r="P391">
        <v>2</v>
      </c>
      <c r="Q391" s="1" t="s">
        <v>31</v>
      </c>
      <c r="R391">
        <v>1</v>
      </c>
      <c r="S391" s="1" t="s">
        <v>40</v>
      </c>
      <c r="T391" s="1" t="s">
        <v>33</v>
      </c>
      <c r="U391" s="1" t="s">
        <v>34</v>
      </c>
      <c r="V391" s="1" t="str">
        <f>_xlfn.XLOOKUP(A391,Dictonary!$A$2:$A$5,Dictonary!$B$2:$B$5)</f>
        <v>No information</v>
      </c>
      <c r="W391" s="1" t="str">
        <f>_xlfn.XLOOKUP(D391,Dictonary!$D$2:$D$12,Dictonary!$E$2:$E$12)</f>
        <v>business</v>
      </c>
      <c r="X391" s="1" t="str">
        <f>_xlfn.XLOOKUP(F391,Dictonary!$G$2:$G$6,Dictonary!$H$2:$H$6)</f>
        <v>Less 100</v>
      </c>
      <c r="Y391" s="1" t="str">
        <f>_xlfn.XLOOKUP(I391,Dictonary!$J$2:$J$6,Dictonary!$K$2:$K$6)</f>
        <v>female : divorced/separated/married</v>
      </c>
      <c r="Z391" s="1" t="str">
        <f>_xlfn.XLOOKUP(Q391,Dictonary!$M$2:$M$5,Dictonary!$N$2:$N$5)</f>
        <v>skilled employee / official</v>
      </c>
      <c r="AA391" s="1" t="str">
        <f>_xlfn.XLOOKUP(O391,Dictonary!$P$2:$P$4,Dictonary!$Q$2:$Q$4)</f>
        <v>own</v>
      </c>
    </row>
    <row r="392" spans="1:27" x14ac:dyDescent="0.3">
      <c r="A392" s="1" t="s">
        <v>42</v>
      </c>
      <c r="B392">
        <v>18</v>
      </c>
      <c r="C392" s="1" t="s">
        <v>36</v>
      </c>
      <c r="D392" s="1" t="s">
        <v>51</v>
      </c>
      <c r="E392">
        <v>1820</v>
      </c>
      <c r="F392" s="1" t="s">
        <v>37</v>
      </c>
      <c r="G392" s="1" t="s">
        <v>38</v>
      </c>
      <c r="H392">
        <v>2</v>
      </c>
      <c r="I392" s="1" t="s">
        <v>61</v>
      </c>
      <c r="J392" s="1" t="s">
        <v>27</v>
      </c>
      <c r="K392">
        <v>2</v>
      </c>
      <c r="L392" s="1" t="s">
        <v>48</v>
      </c>
      <c r="M392">
        <v>30</v>
      </c>
      <c r="N392" s="1" t="s">
        <v>29</v>
      </c>
      <c r="O392" s="1" t="s">
        <v>30</v>
      </c>
      <c r="P392">
        <v>1</v>
      </c>
      <c r="Q392" s="1" t="s">
        <v>57</v>
      </c>
      <c r="R392">
        <v>1</v>
      </c>
      <c r="S392" s="1" t="s">
        <v>32</v>
      </c>
      <c r="T392" s="1" t="s">
        <v>33</v>
      </c>
      <c r="U392" s="1" t="s">
        <v>34</v>
      </c>
      <c r="V392" s="1" t="str">
        <f>_xlfn.XLOOKUP(A392,Dictonary!$A$2:$A$5,Dictonary!$B$2:$B$5)</f>
        <v>No information</v>
      </c>
      <c r="W392" s="1" t="str">
        <f>_xlfn.XLOOKUP(D392,Dictonary!$D$2:$D$12,Dictonary!$E$2:$E$12)</f>
        <v>car (new)</v>
      </c>
      <c r="X392" s="1" t="str">
        <f>_xlfn.XLOOKUP(F392,Dictonary!$G$2:$G$6,Dictonary!$H$2:$H$6)</f>
        <v>Less 100</v>
      </c>
      <c r="Y392" s="1" t="str">
        <f>_xlfn.XLOOKUP(I392,Dictonary!$J$2:$J$6,Dictonary!$K$2:$K$6)</f>
        <v>male : married/widowed</v>
      </c>
      <c r="Z392" s="1" t="str">
        <f>_xlfn.XLOOKUP(Q392,Dictonary!$M$2:$M$5,Dictonary!$N$2:$N$5)</f>
        <v>management/ self-employed/ highly qualified employee/ officer</v>
      </c>
      <c r="AA392" s="1" t="str">
        <f>_xlfn.XLOOKUP(O392,Dictonary!$P$2:$P$4,Dictonary!$Q$2:$Q$4)</f>
        <v>own</v>
      </c>
    </row>
    <row r="393" spans="1:27" x14ac:dyDescent="0.3">
      <c r="A393" s="1" t="s">
        <v>35</v>
      </c>
      <c r="B393">
        <v>12</v>
      </c>
      <c r="C393" s="1" t="s">
        <v>36</v>
      </c>
      <c r="D393" s="1" t="s">
        <v>46</v>
      </c>
      <c r="E393">
        <v>983</v>
      </c>
      <c r="F393" s="1" t="s">
        <v>58</v>
      </c>
      <c r="G393" s="1" t="s">
        <v>62</v>
      </c>
      <c r="H393">
        <v>1</v>
      </c>
      <c r="I393" s="1" t="s">
        <v>39</v>
      </c>
      <c r="J393" s="1" t="s">
        <v>27</v>
      </c>
      <c r="K393">
        <v>4</v>
      </c>
      <c r="L393" s="1" t="s">
        <v>28</v>
      </c>
      <c r="M393">
        <v>19</v>
      </c>
      <c r="N393" s="1" t="s">
        <v>29</v>
      </c>
      <c r="O393" s="1" t="s">
        <v>56</v>
      </c>
      <c r="P393">
        <v>1</v>
      </c>
      <c r="Q393" s="1" t="s">
        <v>45</v>
      </c>
      <c r="R393">
        <v>1</v>
      </c>
      <c r="S393" s="1" t="s">
        <v>40</v>
      </c>
      <c r="T393" s="1" t="s">
        <v>33</v>
      </c>
      <c r="U393" s="1" t="s">
        <v>34</v>
      </c>
      <c r="V393" s="1" t="str">
        <f>_xlfn.XLOOKUP(A393,Dictonary!$A$2:$A$5,Dictonary!$B$2:$B$5)</f>
        <v>Low balance</v>
      </c>
      <c r="W393" s="1" t="str">
        <f>_xlfn.XLOOKUP(D393,Dictonary!$D$2:$D$12,Dictonary!$E$2:$E$12)</f>
        <v>furniture/equipment</v>
      </c>
      <c r="X393" s="1" t="str">
        <f>_xlfn.XLOOKUP(F393,Dictonary!$G$2:$G$6,Dictonary!$H$2:$H$6)</f>
        <v>More 1000</v>
      </c>
      <c r="Y393" s="1" t="str">
        <f>_xlfn.XLOOKUP(I393,Dictonary!$J$2:$J$6,Dictonary!$K$2:$K$6)</f>
        <v>female : divorced/separated/married</v>
      </c>
      <c r="Z393" s="1" t="str">
        <f>_xlfn.XLOOKUP(Q393,Dictonary!$M$2:$M$5,Dictonary!$N$2:$N$5)</f>
        <v>unskilled - resident</v>
      </c>
      <c r="AA393" s="1" t="str">
        <f>_xlfn.XLOOKUP(O393,Dictonary!$P$2:$P$4,Dictonary!$Q$2:$Q$4)</f>
        <v>rent</v>
      </c>
    </row>
    <row r="394" spans="1:27" x14ac:dyDescent="0.3">
      <c r="A394" s="1" t="s">
        <v>21</v>
      </c>
      <c r="B394">
        <v>36</v>
      </c>
      <c r="C394" s="1" t="s">
        <v>36</v>
      </c>
      <c r="D394" s="1" t="s">
        <v>51</v>
      </c>
      <c r="E394">
        <v>3249</v>
      </c>
      <c r="F394" s="1" t="s">
        <v>37</v>
      </c>
      <c r="G394" s="1" t="s">
        <v>44</v>
      </c>
      <c r="H394">
        <v>2</v>
      </c>
      <c r="I394" s="1" t="s">
        <v>26</v>
      </c>
      <c r="J394" s="1" t="s">
        <v>27</v>
      </c>
      <c r="K394">
        <v>4</v>
      </c>
      <c r="L394" s="1" t="s">
        <v>52</v>
      </c>
      <c r="M394">
        <v>39</v>
      </c>
      <c r="N394" s="1" t="s">
        <v>66</v>
      </c>
      <c r="O394" s="1" t="s">
        <v>49</v>
      </c>
      <c r="P394">
        <v>1</v>
      </c>
      <c r="Q394" s="1" t="s">
        <v>57</v>
      </c>
      <c r="R394">
        <v>2</v>
      </c>
      <c r="S394" s="1" t="s">
        <v>32</v>
      </c>
      <c r="T394" s="1" t="s">
        <v>33</v>
      </c>
      <c r="U394" s="1" t="s">
        <v>34</v>
      </c>
      <c r="V394" s="1" t="str">
        <f>_xlfn.XLOOKUP(A394,Dictonary!$A$2:$A$5,Dictonary!$B$2:$B$5)</f>
        <v>Negative balance</v>
      </c>
      <c r="W394" s="1" t="str">
        <f>_xlfn.XLOOKUP(D394,Dictonary!$D$2:$D$12,Dictonary!$E$2:$E$12)</f>
        <v>car (new)</v>
      </c>
      <c r="X394" s="1" t="str">
        <f>_xlfn.XLOOKUP(F394,Dictonary!$G$2:$G$6,Dictonary!$H$2:$H$6)</f>
        <v>Less 100</v>
      </c>
      <c r="Y394" s="1" t="str">
        <f>_xlfn.XLOOKUP(I394,Dictonary!$J$2:$J$6,Dictonary!$K$2:$K$6)</f>
        <v>male : single</v>
      </c>
      <c r="Z394" s="1" t="str">
        <f>_xlfn.XLOOKUP(Q394,Dictonary!$M$2:$M$5,Dictonary!$N$2:$N$5)</f>
        <v>management/ self-employed/ highly qualified employee/ officer</v>
      </c>
      <c r="AA394" s="1" t="str">
        <f>_xlfn.XLOOKUP(O394,Dictonary!$P$2:$P$4,Dictonary!$Q$2:$Q$4)</f>
        <v>for free</v>
      </c>
    </row>
    <row r="395" spans="1:27" x14ac:dyDescent="0.3">
      <c r="A395" s="1" t="s">
        <v>21</v>
      </c>
      <c r="B395">
        <v>6</v>
      </c>
      <c r="C395" s="1" t="s">
        <v>22</v>
      </c>
      <c r="D395" s="1" t="s">
        <v>23</v>
      </c>
      <c r="E395">
        <v>1957</v>
      </c>
      <c r="F395" s="1" t="s">
        <v>37</v>
      </c>
      <c r="G395" s="1" t="s">
        <v>44</v>
      </c>
      <c r="H395">
        <v>1</v>
      </c>
      <c r="I395" s="1" t="s">
        <v>39</v>
      </c>
      <c r="J395" s="1" t="s">
        <v>27</v>
      </c>
      <c r="K395">
        <v>4</v>
      </c>
      <c r="L395" s="1" t="s">
        <v>55</v>
      </c>
      <c r="M395">
        <v>31</v>
      </c>
      <c r="N395" s="1" t="s">
        <v>29</v>
      </c>
      <c r="O395" s="1" t="s">
        <v>30</v>
      </c>
      <c r="P395">
        <v>1</v>
      </c>
      <c r="Q395" s="1" t="s">
        <v>31</v>
      </c>
      <c r="R395">
        <v>1</v>
      </c>
      <c r="S395" s="1" t="s">
        <v>40</v>
      </c>
      <c r="T395" s="1" t="s">
        <v>33</v>
      </c>
      <c r="U395" s="1" t="s">
        <v>34</v>
      </c>
      <c r="V395" s="1" t="str">
        <f>_xlfn.XLOOKUP(A395,Dictonary!$A$2:$A$5,Dictonary!$B$2:$B$5)</f>
        <v>Negative balance</v>
      </c>
      <c r="W395" s="1" t="str">
        <f>_xlfn.XLOOKUP(D395,Dictonary!$D$2:$D$12,Dictonary!$E$2:$E$12)</f>
        <v>radio/television</v>
      </c>
      <c r="X395" s="1" t="str">
        <f>_xlfn.XLOOKUP(F395,Dictonary!$G$2:$G$6,Dictonary!$H$2:$H$6)</f>
        <v>Less 100</v>
      </c>
      <c r="Y395" s="1" t="str">
        <f>_xlfn.XLOOKUP(I395,Dictonary!$J$2:$J$6,Dictonary!$K$2:$K$6)</f>
        <v>female : divorced/separated/married</v>
      </c>
      <c r="Z395" s="1" t="str">
        <f>_xlfn.XLOOKUP(Q395,Dictonary!$M$2:$M$5,Dictonary!$N$2:$N$5)</f>
        <v>skilled employee / official</v>
      </c>
      <c r="AA395" s="1" t="str">
        <f>_xlfn.XLOOKUP(O395,Dictonary!$P$2:$P$4,Dictonary!$Q$2:$Q$4)</f>
        <v>own</v>
      </c>
    </row>
    <row r="396" spans="1:27" x14ac:dyDescent="0.3">
      <c r="A396" s="1" t="s">
        <v>42</v>
      </c>
      <c r="B396">
        <v>9</v>
      </c>
      <c r="C396" s="1" t="s">
        <v>22</v>
      </c>
      <c r="D396" s="1" t="s">
        <v>46</v>
      </c>
      <c r="E396">
        <v>2406</v>
      </c>
      <c r="F396" s="1" t="s">
        <v>37</v>
      </c>
      <c r="G396" s="1" t="s">
        <v>60</v>
      </c>
      <c r="H396">
        <v>2</v>
      </c>
      <c r="I396" s="1" t="s">
        <v>26</v>
      </c>
      <c r="J396" s="1" t="s">
        <v>27</v>
      </c>
      <c r="K396">
        <v>3</v>
      </c>
      <c r="L396" s="1" t="s">
        <v>55</v>
      </c>
      <c r="M396">
        <v>31</v>
      </c>
      <c r="N396" s="1" t="s">
        <v>29</v>
      </c>
      <c r="O396" s="1" t="s">
        <v>30</v>
      </c>
      <c r="P396">
        <v>1</v>
      </c>
      <c r="Q396" s="1" t="s">
        <v>57</v>
      </c>
      <c r="R396">
        <v>1</v>
      </c>
      <c r="S396" s="1" t="s">
        <v>40</v>
      </c>
      <c r="T396" s="1" t="s">
        <v>33</v>
      </c>
      <c r="U396" s="1" t="s">
        <v>34</v>
      </c>
      <c r="V396" s="1" t="str">
        <f>_xlfn.XLOOKUP(A396,Dictonary!$A$2:$A$5,Dictonary!$B$2:$B$5)</f>
        <v>No information</v>
      </c>
      <c r="W396" s="1" t="str">
        <f>_xlfn.XLOOKUP(D396,Dictonary!$D$2:$D$12,Dictonary!$E$2:$E$12)</f>
        <v>furniture/equipment</v>
      </c>
      <c r="X396" s="1" t="str">
        <f>_xlfn.XLOOKUP(F396,Dictonary!$G$2:$G$6,Dictonary!$H$2:$H$6)</f>
        <v>Less 100</v>
      </c>
      <c r="Y396" s="1" t="str">
        <f>_xlfn.XLOOKUP(I396,Dictonary!$J$2:$J$6,Dictonary!$K$2:$K$6)</f>
        <v>male : single</v>
      </c>
      <c r="Z396" s="1" t="str">
        <f>_xlfn.XLOOKUP(Q396,Dictonary!$M$2:$M$5,Dictonary!$N$2:$N$5)</f>
        <v>management/ self-employed/ highly qualified employee/ officer</v>
      </c>
      <c r="AA396" s="1" t="str">
        <f>_xlfn.XLOOKUP(O396,Dictonary!$P$2:$P$4,Dictonary!$Q$2:$Q$4)</f>
        <v>own</v>
      </c>
    </row>
    <row r="397" spans="1:27" x14ac:dyDescent="0.3">
      <c r="A397" s="1" t="s">
        <v>35</v>
      </c>
      <c r="B397">
        <v>39</v>
      </c>
      <c r="C397" s="1" t="s">
        <v>50</v>
      </c>
      <c r="D397" s="1" t="s">
        <v>43</v>
      </c>
      <c r="E397">
        <v>11760</v>
      </c>
      <c r="F397" s="1" t="s">
        <v>64</v>
      </c>
      <c r="G397" s="1" t="s">
        <v>44</v>
      </c>
      <c r="H397">
        <v>2</v>
      </c>
      <c r="I397" s="1" t="s">
        <v>26</v>
      </c>
      <c r="J397" s="1" t="s">
        <v>27</v>
      </c>
      <c r="K397">
        <v>3</v>
      </c>
      <c r="L397" s="1" t="s">
        <v>52</v>
      </c>
      <c r="M397">
        <v>32</v>
      </c>
      <c r="N397" s="1" t="s">
        <v>29</v>
      </c>
      <c r="O397" s="1" t="s">
        <v>56</v>
      </c>
      <c r="P397">
        <v>1</v>
      </c>
      <c r="Q397" s="1" t="s">
        <v>31</v>
      </c>
      <c r="R397">
        <v>1</v>
      </c>
      <c r="S397" s="1" t="s">
        <v>32</v>
      </c>
      <c r="T397" s="1" t="s">
        <v>33</v>
      </c>
      <c r="U397" s="1" t="s">
        <v>34</v>
      </c>
      <c r="V397" s="1" t="str">
        <f>_xlfn.XLOOKUP(A397,Dictonary!$A$2:$A$5,Dictonary!$B$2:$B$5)</f>
        <v>Low balance</v>
      </c>
      <c r="W397" s="1" t="str">
        <f>_xlfn.XLOOKUP(D397,Dictonary!$D$2:$D$12,Dictonary!$E$2:$E$12)</f>
        <v>education</v>
      </c>
      <c r="X397" s="1" t="str">
        <f>_xlfn.XLOOKUP(F397,Dictonary!$G$2:$G$6,Dictonary!$H$2:$H$6)</f>
        <v>Up to 500</v>
      </c>
      <c r="Y397" s="1" t="str">
        <f>_xlfn.XLOOKUP(I397,Dictonary!$J$2:$J$6,Dictonary!$K$2:$K$6)</f>
        <v>male : single</v>
      </c>
      <c r="Z397" s="1" t="str">
        <f>_xlfn.XLOOKUP(Q397,Dictonary!$M$2:$M$5,Dictonary!$N$2:$N$5)</f>
        <v>skilled employee / official</v>
      </c>
      <c r="AA397" s="1" t="str">
        <f>_xlfn.XLOOKUP(O397,Dictonary!$P$2:$P$4,Dictonary!$Q$2:$Q$4)</f>
        <v>rent</v>
      </c>
    </row>
    <row r="398" spans="1:27" x14ac:dyDescent="0.3">
      <c r="A398" s="1" t="s">
        <v>21</v>
      </c>
      <c r="B398">
        <v>12</v>
      </c>
      <c r="C398" s="1" t="s">
        <v>36</v>
      </c>
      <c r="D398" s="1" t="s">
        <v>46</v>
      </c>
      <c r="E398">
        <v>2578</v>
      </c>
      <c r="F398" s="1" t="s">
        <v>37</v>
      </c>
      <c r="G398" s="1" t="s">
        <v>60</v>
      </c>
      <c r="H398">
        <v>3</v>
      </c>
      <c r="I398" s="1" t="s">
        <v>39</v>
      </c>
      <c r="J398" s="1" t="s">
        <v>27</v>
      </c>
      <c r="K398">
        <v>4</v>
      </c>
      <c r="L398" s="1" t="s">
        <v>52</v>
      </c>
      <c r="M398">
        <v>55</v>
      </c>
      <c r="N398" s="1" t="s">
        <v>29</v>
      </c>
      <c r="O398" s="1" t="s">
        <v>49</v>
      </c>
      <c r="P398">
        <v>1</v>
      </c>
      <c r="Q398" s="1" t="s">
        <v>57</v>
      </c>
      <c r="R398">
        <v>1</v>
      </c>
      <c r="S398" s="1" t="s">
        <v>40</v>
      </c>
      <c r="T398" s="1" t="s">
        <v>33</v>
      </c>
      <c r="U398" s="1" t="s">
        <v>34</v>
      </c>
      <c r="V398" s="1" t="str">
        <f>_xlfn.XLOOKUP(A398,Dictonary!$A$2:$A$5,Dictonary!$B$2:$B$5)</f>
        <v>Negative balance</v>
      </c>
      <c r="W398" s="1" t="str">
        <f>_xlfn.XLOOKUP(D398,Dictonary!$D$2:$D$12,Dictonary!$E$2:$E$12)</f>
        <v>furniture/equipment</v>
      </c>
      <c r="X398" s="1" t="str">
        <f>_xlfn.XLOOKUP(F398,Dictonary!$G$2:$G$6,Dictonary!$H$2:$H$6)</f>
        <v>Less 100</v>
      </c>
      <c r="Y398" s="1" t="str">
        <f>_xlfn.XLOOKUP(I398,Dictonary!$J$2:$J$6,Dictonary!$K$2:$K$6)</f>
        <v>female : divorced/separated/married</v>
      </c>
      <c r="Z398" s="1" t="str">
        <f>_xlfn.XLOOKUP(Q398,Dictonary!$M$2:$M$5,Dictonary!$N$2:$N$5)</f>
        <v>management/ self-employed/ highly qualified employee/ officer</v>
      </c>
      <c r="AA398" s="1" t="str">
        <f>_xlfn.XLOOKUP(O398,Dictonary!$P$2:$P$4,Dictonary!$Q$2:$Q$4)</f>
        <v>for free</v>
      </c>
    </row>
    <row r="399" spans="1:27" x14ac:dyDescent="0.3">
      <c r="A399" s="1" t="s">
        <v>21</v>
      </c>
      <c r="B399">
        <v>36</v>
      </c>
      <c r="C399" s="1" t="s">
        <v>22</v>
      </c>
      <c r="D399" s="1" t="s">
        <v>46</v>
      </c>
      <c r="E399">
        <v>2348</v>
      </c>
      <c r="F399" s="1" t="s">
        <v>37</v>
      </c>
      <c r="G399" s="1" t="s">
        <v>38</v>
      </c>
      <c r="H399">
        <v>3</v>
      </c>
      <c r="I399" s="1" t="s">
        <v>61</v>
      </c>
      <c r="J399" s="1" t="s">
        <v>27</v>
      </c>
      <c r="K399">
        <v>2</v>
      </c>
      <c r="L399" s="1" t="s">
        <v>48</v>
      </c>
      <c r="M399">
        <v>46</v>
      </c>
      <c r="N399" s="1" t="s">
        <v>29</v>
      </c>
      <c r="O399" s="1" t="s">
        <v>30</v>
      </c>
      <c r="P399">
        <v>2</v>
      </c>
      <c r="Q399" s="1" t="s">
        <v>31</v>
      </c>
      <c r="R399">
        <v>1</v>
      </c>
      <c r="S399" s="1" t="s">
        <v>32</v>
      </c>
      <c r="T399" s="1" t="s">
        <v>33</v>
      </c>
      <c r="U399" s="1" t="s">
        <v>34</v>
      </c>
      <c r="V399" s="1" t="str">
        <f>_xlfn.XLOOKUP(A399,Dictonary!$A$2:$A$5,Dictonary!$B$2:$B$5)</f>
        <v>Negative balance</v>
      </c>
      <c r="W399" s="1" t="str">
        <f>_xlfn.XLOOKUP(D399,Dictonary!$D$2:$D$12,Dictonary!$E$2:$E$12)</f>
        <v>furniture/equipment</v>
      </c>
      <c r="X399" s="1" t="str">
        <f>_xlfn.XLOOKUP(F399,Dictonary!$G$2:$G$6,Dictonary!$H$2:$H$6)</f>
        <v>Less 100</v>
      </c>
      <c r="Y399" s="1" t="str">
        <f>_xlfn.XLOOKUP(I399,Dictonary!$J$2:$J$6,Dictonary!$K$2:$K$6)</f>
        <v>male : married/widowed</v>
      </c>
      <c r="Z399" s="1" t="str">
        <f>_xlfn.XLOOKUP(Q399,Dictonary!$M$2:$M$5,Dictonary!$N$2:$N$5)</f>
        <v>skilled employee / official</v>
      </c>
      <c r="AA399" s="1" t="str">
        <f>_xlfn.XLOOKUP(O399,Dictonary!$P$2:$P$4,Dictonary!$Q$2:$Q$4)</f>
        <v>own</v>
      </c>
    </row>
    <row r="400" spans="1:27" x14ac:dyDescent="0.3">
      <c r="A400" s="1" t="s">
        <v>35</v>
      </c>
      <c r="B400">
        <v>12</v>
      </c>
      <c r="C400" s="1" t="s">
        <v>36</v>
      </c>
      <c r="D400" s="1" t="s">
        <v>51</v>
      </c>
      <c r="E400">
        <v>1223</v>
      </c>
      <c r="F400" s="1" t="s">
        <v>37</v>
      </c>
      <c r="G400" s="1" t="s">
        <v>25</v>
      </c>
      <c r="H400">
        <v>1</v>
      </c>
      <c r="I400" s="1" t="s">
        <v>59</v>
      </c>
      <c r="J400" s="1" t="s">
        <v>27</v>
      </c>
      <c r="K400">
        <v>1</v>
      </c>
      <c r="L400" s="1" t="s">
        <v>28</v>
      </c>
      <c r="M400">
        <v>46</v>
      </c>
      <c r="N400" s="1" t="s">
        <v>29</v>
      </c>
      <c r="O400" s="1" t="s">
        <v>56</v>
      </c>
      <c r="P400">
        <v>2</v>
      </c>
      <c r="Q400" s="1" t="s">
        <v>31</v>
      </c>
      <c r="R400">
        <v>1</v>
      </c>
      <c r="S400" s="1" t="s">
        <v>40</v>
      </c>
      <c r="T400" s="1" t="s">
        <v>33</v>
      </c>
      <c r="U400" s="1" t="s">
        <v>41</v>
      </c>
      <c r="V400" s="1" t="str">
        <f>_xlfn.XLOOKUP(A400,Dictonary!$A$2:$A$5,Dictonary!$B$2:$B$5)</f>
        <v>Low balance</v>
      </c>
      <c r="W400" s="1" t="str">
        <f>_xlfn.XLOOKUP(D400,Dictonary!$D$2:$D$12,Dictonary!$E$2:$E$12)</f>
        <v>car (new)</v>
      </c>
      <c r="X400" s="1" t="str">
        <f>_xlfn.XLOOKUP(F400,Dictonary!$G$2:$G$6,Dictonary!$H$2:$H$6)</f>
        <v>Less 100</v>
      </c>
      <c r="Y400" s="1" t="str">
        <f>_xlfn.XLOOKUP(I400,Dictonary!$J$2:$J$6,Dictonary!$K$2:$K$6)</f>
        <v>male : divorced/separated</v>
      </c>
      <c r="Z400" s="1" t="str">
        <f>_xlfn.XLOOKUP(Q400,Dictonary!$M$2:$M$5,Dictonary!$N$2:$N$5)</f>
        <v>skilled employee / official</v>
      </c>
      <c r="AA400" s="1" t="str">
        <f>_xlfn.XLOOKUP(O400,Dictonary!$P$2:$P$4,Dictonary!$Q$2:$Q$4)</f>
        <v>rent</v>
      </c>
    </row>
    <row r="401" spans="1:27" x14ac:dyDescent="0.3">
      <c r="A401" s="1" t="s">
        <v>42</v>
      </c>
      <c r="B401">
        <v>24</v>
      </c>
      <c r="C401" s="1" t="s">
        <v>22</v>
      </c>
      <c r="D401" s="1" t="s">
        <v>23</v>
      </c>
      <c r="E401">
        <v>1516</v>
      </c>
      <c r="F401" s="1" t="s">
        <v>58</v>
      </c>
      <c r="G401" s="1" t="s">
        <v>38</v>
      </c>
      <c r="H401">
        <v>4</v>
      </c>
      <c r="I401" s="1" t="s">
        <v>39</v>
      </c>
      <c r="J401" s="1" t="s">
        <v>27</v>
      </c>
      <c r="K401">
        <v>1</v>
      </c>
      <c r="L401" s="1" t="s">
        <v>28</v>
      </c>
      <c r="M401">
        <v>43</v>
      </c>
      <c r="N401" s="1" t="s">
        <v>29</v>
      </c>
      <c r="O401" s="1" t="s">
        <v>30</v>
      </c>
      <c r="P401">
        <v>2</v>
      </c>
      <c r="Q401" s="1" t="s">
        <v>45</v>
      </c>
      <c r="R401">
        <v>1</v>
      </c>
      <c r="S401" s="1" t="s">
        <v>40</v>
      </c>
      <c r="T401" s="1" t="s">
        <v>33</v>
      </c>
      <c r="U401" s="1" t="s">
        <v>34</v>
      </c>
      <c r="V401" s="1" t="str">
        <f>_xlfn.XLOOKUP(A401,Dictonary!$A$2:$A$5,Dictonary!$B$2:$B$5)</f>
        <v>No information</v>
      </c>
      <c r="W401" s="1" t="str">
        <f>_xlfn.XLOOKUP(D401,Dictonary!$D$2:$D$12,Dictonary!$E$2:$E$12)</f>
        <v>radio/television</v>
      </c>
      <c r="X401" s="1" t="str">
        <f>_xlfn.XLOOKUP(F401,Dictonary!$G$2:$G$6,Dictonary!$H$2:$H$6)</f>
        <v>More 1000</v>
      </c>
      <c r="Y401" s="1" t="str">
        <f>_xlfn.XLOOKUP(I401,Dictonary!$J$2:$J$6,Dictonary!$K$2:$K$6)</f>
        <v>female : divorced/separated/married</v>
      </c>
      <c r="Z401" s="1" t="str">
        <f>_xlfn.XLOOKUP(Q401,Dictonary!$M$2:$M$5,Dictonary!$N$2:$N$5)</f>
        <v>unskilled - resident</v>
      </c>
      <c r="AA401" s="1" t="str">
        <f>_xlfn.XLOOKUP(O401,Dictonary!$P$2:$P$4,Dictonary!$Q$2:$Q$4)</f>
        <v>own</v>
      </c>
    </row>
    <row r="402" spans="1:27" x14ac:dyDescent="0.3">
      <c r="A402" s="1" t="s">
        <v>42</v>
      </c>
      <c r="B402">
        <v>18</v>
      </c>
      <c r="C402" s="1" t="s">
        <v>36</v>
      </c>
      <c r="D402" s="1" t="s">
        <v>23</v>
      </c>
      <c r="E402">
        <v>1473</v>
      </c>
      <c r="F402" s="1" t="s">
        <v>37</v>
      </c>
      <c r="G402" s="1" t="s">
        <v>62</v>
      </c>
      <c r="H402">
        <v>3</v>
      </c>
      <c r="I402" s="1" t="s">
        <v>61</v>
      </c>
      <c r="J402" s="1" t="s">
        <v>27</v>
      </c>
      <c r="K402">
        <v>4</v>
      </c>
      <c r="L402" s="1" t="s">
        <v>28</v>
      </c>
      <c r="M402">
        <v>39</v>
      </c>
      <c r="N402" s="1" t="s">
        <v>29</v>
      </c>
      <c r="O402" s="1" t="s">
        <v>30</v>
      </c>
      <c r="P402">
        <v>1</v>
      </c>
      <c r="Q402" s="1" t="s">
        <v>31</v>
      </c>
      <c r="R402">
        <v>1</v>
      </c>
      <c r="S402" s="1" t="s">
        <v>32</v>
      </c>
      <c r="T402" s="1" t="s">
        <v>33</v>
      </c>
      <c r="U402" s="1" t="s">
        <v>34</v>
      </c>
      <c r="V402" s="1" t="str">
        <f>_xlfn.XLOOKUP(A402,Dictonary!$A$2:$A$5,Dictonary!$B$2:$B$5)</f>
        <v>No information</v>
      </c>
      <c r="W402" s="1" t="str">
        <f>_xlfn.XLOOKUP(D402,Dictonary!$D$2:$D$12,Dictonary!$E$2:$E$12)</f>
        <v>radio/television</v>
      </c>
      <c r="X402" s="1" t="str">
        <f>_xlfn.XLOOKUP(F402,Dictonary!$G$2:$G$6,Dictonary!$H$2:$H$6)</f>
        <v>Less 100</v>
      </c>
      <c r="Y402" s="1" t="str">
        <f>_xlfn.XLOOKUP(I402,Dictonary!$J$2:$J$6,Dictonary!$K$2:$K$6)</f>
        <v>male : married/widowed</v>
      </c>
      <c r="Z402" s="1" t="str">
        <f>_xlfn.XLOOKUP(Q402,Dictonary!$M$2:$M$5,Dictonary!$N$2:$N$5)</f>
        <v>skilled employee / official</v>
      </c>
      <c r="AA402" s="1" t="str">
        <f>_xlfn.XLOOKUP(O402,Dictonary!$P$2:$P$4,Dictonary!$Q$2:$Q$4)</f>
        <v>own</v>
      </c>
    </row>
    <row r="403" spans="1:27" x14ac:dyDescent="0.3">
      <c r="A403" s="1" t="s">
        <v>35</v>
      </c>
      <c r="B403">
        <v>18</v>
      </c>
      <c r="C403" s="1" t="s">
        <v>22</v>
      </c>
      <c r="D403" s="1" t="s">
        <v>63</v>
      </c>
      <c r="E403">
        <v>1887</v>
      </c>
      <c r="F403" s="1" t="s">
        <v>24</v>
      </c>
      <c r="G403" s="1" t="s">
        <v>38</v>
      </c>
      <c r="H403">
        <v>4</v>
      </c>
      <c r="I403" s="1" t="s">
        <v>61</v>
      </c>
      <c r="J403" s="1" t="s">
        <v>27</v>
      </c>
      <c r="K403">
        <v>4</v>
      </c>
      <c r="L403" s="1" t="s">
        <v>28</v>
      </c>
      <c r="M403">
        <v>28</v>
      </c>
      <c r="N403" s="1" t="s">
        <v>66</v>
      </c>
      <c r="O403" s="1" t="s">
        <v>30</v>
      </c>
      <c r="P403">
        <v>2</v>
      </c>
      <c r="Q403" s="1" t="s">
        <v>31</v>
      </c>
      <c r="R403">
        <v>1</v>
      </c>
      <c r="S403" s="1" t="s">
        <v>40</v>
      </c>
      <c r="T403" s="1" t="s">
        <v>33</v>
      </c>
      <c r="U403" s="1" t="s">
        <v>34</v>
      </c>
      <c r="V403" s="1" t="str">
        <f>_xlfn.XLOOKUP(A403,Dictonary!$A$2:$A$5,Dictonary!$B$2:$B$5)</f>
        <v>Low balance</v>
      </c>
      <c r="W403" s="1" t="str">
        <f>_xlfn.XLOOKUP(D403,Dictonary!$D$2:$D$12,Dictonary!$E$2:$E$12)</f>
        <v>business</v>
      </c>
      <c r="X403" s="1" t="str">
        <f>_xlfn.XLOOKUP(F403,Dictonary!$G$2:$G$6,Dictonary!$H$2:$H$6)</f>
        <v>No information</v>
      </c>
      <c r="Y403" s="1" t="str">
        <f>_xlfn.XLOOKUP(I403,Dictonary!$J$2:$J$6,Dictonary!$K$2:$K$6)</f>
        <v>male : married/widowed</v>
      </c>
      <c r="Z403" s="1" t="str">
        <f>_xlfn.XLOOKUP(Q403,Dictonary!$M$2:$M$5,Dictonary!$N$2:$N$5)</f>
        <v>skilled employee / official</v>
      </c>
      <c r="AA403" s="1" t="str">
        <f>_xlfn.XLOOKUP(O403,Dictonary!$P$2:$P$4,Dictonary!$Q$2:$Q$4)</f>
        <v>own</v>
      </c>
    </row>
    <row r="404" spans="1:27" x14ac:dyDescent="0.3">
      <c r="A404" s="1" t="s">
        <v>42</v>
      </c>
      <c r="B404">
        <v>24</v>
      </c>
      <c r="C404" s="1" t="s">
        <v>50</v>
      </c>
      <c r="D404" s="1" t="s">
        <v>63</v>
      </c>
      <c r="E404">
        <v>8648</v>
      </c>
      <c r="F404" s="1" t="s">
        <v>37</v>
      </c>
      <c r="G404" s="1" t="s">
        <v>62</v>
      </c>
      <c r="H404">
        <v>2</v>
      </c>
      <c r="I404" s="1" t="s">
        <v>26</v>
      </c>
      <c r="J404" s="1" t="s">
        <v>27</v>
      </c>
      <c r="K404">
        <v>2</v>
      </c>
      <c r="L404" s="1" t="s">
        <v>55</v>
      </c>
      <c r="M404">
        <v>27</v>
      </c>
      <c r="N404" s="1" t="s">
        <v>66</v>
      </c>
      <c r="O404" s="1" t="s">
        <v>30</v>
      </c>
      <c r="P404">
        <v>2</v>
      </c>
      <c r="Q404" s="1" t="s">
        <v>31</v>
      </c>
      <c r="R404">
        <v>1</v>
      </c>
      <c r="S404" s="1" t="s">
        <v>32</v>
      </c>
      <c r="T404" s="1" t="s">
        <v>33</v>
      </c>
      <c r="U404" s="1" t="s">
        <v>41</v>
      </c>
      <c r="V404" s="1" t="str">
        <f>_xlfn.XLOOKUP(A404,Dictonary!$A$2:$A$5,Dictonary!$B$2:$B$5)</f>
        <v>No information</v>
      </c>
      <c r="W404" s="1" t="str">
        <f>_xlfn.XLOOKUP(D404,Dictonary!$D$2:$D$12,Dictonary!$E$2:$E$12)</f>
        <v>business</v>
      </c>
      <c r="X404" s="1" t="str">
        <f>_xlfn.XLOOKUP(F404,Dictonary!$G$2:$G$6,Dictonary!$H$2:$H$6)</f>
        <v>Less 100</v>
      </c>
      <c r="Y404" s="1" t="str">
        <f>_xlfn.XLOOKUP(I404,Dictonary!$J$2:$J$6,Dictonary!$K$2:$K$6)</f>
        <v>male : single</v>
      </c>
      <c r="Z404" s="1" t="str">
        <f>_xlfn.XLOOKUP(Q404,Dictonary!$M$2:$M$5,Dictonary!$N$2:$N$5)</f>
        <v>skilled employee / official</v>
      </c>
      <c r="AA404" s="1" t="str">
        <f>_xlfn.XLOOKUP(O404,Dictonary!$P$2:$P$4,Dictonary!$Q$2:$Q$4)</f>
        <v>own</v>
      </c>
    </row>
    <row r="405" spans="1:27" x14ac:dyDescent="0.3">
      <c r="A405" s="1" t="s">
        <v>42</v>
      </c>
      <c r="B405">
        <v>14</v>
      </c>
      <c r="C405" s="1" t="s">
        <v>50</v>
      </c>
      <c r="D405" s="1" t="s">
        <v>51</v>
      </c>
      <c r="E405">
        <v>802</v>
      </c>
      <c r="F405" s="1" t="s">
        <v>37</v>
      </c>
      <c r="G405" s="1" t="s">
        <v>38</v>
      </c>
      <c r="H405">
        <v>4</v>
      </c>
      <c r="I405" s="1" t="s">
        <v>26</v>
      </c>
      <c r="J405" s="1" t="s">
        <v>27</v>
      </c>
      <c r="K405">
        <v>2</v>
      </c>
      <c r="L405" s="1" t="s">
        <v>55</v>
      </c>
      <c r="M405">
        <v>27</v>
      </c>
      <c r="N405" s="1" t="s">
        <v>29</v>
      </c>
      <c r="O405" s="1" t="s">
        <v>30</v>
      </c>
      <c r="P405">
        <v>2</v>
      </c>
      <c r="Q405" s="1" t="s">
        <v>45</v>
      </c>
      <c r="R405">
        <v>1</v>
      </c>
      <c r="S405" s="1" t="s">
        <v>40</v>
      </c>
      <c r="T405" s="1" t="s">
        <v>33</v>
      </c>
      <c r="U405" s="1" t="s">
        <v>34</v>
      </c>
      <c r="V405" s="1" t="str">
        <f>_xlfn.XLOOKUP(A405,Dictonary!$A$2:$A$5,Dictonary!$B$2:$B$5)</f>
        <v>No information</v>
      </c>
      <c r="W405" s="1" t="str">
        <f>_xlfn.XLOOKUP(D405,Dictonary!$D$2:$D$12,Dictonary!$E$2:$E$12)</f>
        <v>car (new)</v>
      </c>
      <c r="X405" s="1" t="str">
        <f>_xlfn.XLOOKUP(F405,Dictonary!$G$2:$G$6,Dictonary!$H$2:$H$6)</f>
        <v>Less 100</v>
      </c>
      <c r="Y405" s="1" t="str">
        <f>_xlfn.XLOOKUP(I405,Dictonary!$J$2:$J$6,Dictonary!$K$2:$K$6)</f>
        <v>male : single</v>
      </c>
      <c r="Z405" s="1" t="str">
        <f>_xlfn.XLOOKUP(Q405,Dictonary!$M$2:$M$5,Dictonary!$N$2:$N$5)</f>
        <v>unskilled - resident</v>
      </c>
      <c r="AA405" s="1" t="str">
        <f>_xlfn.XLOOKUP(O405,Dictonary!$P$2:$P$4,Dictonary!$Q$2:$Q$4)</f>
        <v>own</v>
      </c>
    </row>
    <row r="406" spans="1:27" x14ac:dyDescent="0.3">
      <c r="A406" s="1" t="s">
        <v>35</v>
      </c>
      <c r="B406">
        <v>18</v>
      </c>
      <c r="C406" s="1" t="s">
        <v>50</v>
      </c>
      <c r="D406" s="1" t="s">
        <v>51</v>
      </c>
      <c r="E406">
        <v>2899</v>
      </c>
      <c r="F406" s="1" t="s">
        <v>24</v>
      </c>
      <c r="G406" s="1" t="s">
        <v>25</v>
      </c>
      <c r="H406">
        <v>4</v>
      </c>
      <c r="I406" s="1" t="s">
        <v>26</v>
      </c>
      <c r="J406" s="1" t="s">
        <v>27</v>
      </c>
      <c r="K406">
        <v>4</v>
      </c>
      <c r="L406" s="1" t="s">
        <v>55</v>
      </c>
      <c r="M406">
        <v>43</v>
      </c>
      <c r="N406" s="1" t="s">
        <v>29</v>
      </c>
      <c r="O406" s="1" t="s">
        <v>30</v>
      </c>
      <c r="P406">
        <v>1</v>
      </c>
      <c r="Q406" s="1" t="s">
        <v>31</v>
      </c>
      <c r="R406">
        <v>2</v>
      </c>
      <c r="S406" s="1" t="s">
        <v>40</v>
      </c>
      <c r="T406" s="1" t="s">
        <v>33</v>
      </c>
      <c r="U406" s="1" t="s">
        <v>34</v>
      </c>
      <c r="V406" s="1" t="str">
        <f>_xlfn.XLOOKUP(A406,Dictonary!$A$2:$A$5,Dictonary!$B$2:$B$5)</f>
        <v>Low balance</v>
      </c>
      <c r="W406" s="1" t="str">
        <f>_xlfn.XLOOKUP(D406,Dictonary!$D$2:$D$12,Dictonary!$E$2:$E$12)</f>
        <v>car (new)</v>
      </c>
      <c r="X406" s="1" t="str">
        <f>_xlfn.XLOOKUP(F406,Dictonary!$G$2:$G$6,Dictonary!$H$2:$H$6)</f>
        <v>No information</v>
      </c>
      <c r="Y406" s="1" t="str">
        <f>_xlfn.XLOOKUP(I406,Dictonary!$J$2:$J$6,Dictonary!$K$2:$K$6)</f>
        <v>male : single</v>
      </c>
      <c r="Z406" s="1" t="str">
        <f>_xlfn.XLOOKUP(Q406,Dictonary!$M$2:$M$5,Dictonary!$N$2:$N$5)</f>
        <v>skilled employee / official</v>
      </c>
      <c r="AA406" s="1" t="str">
        <f>_xlfn.XLOOKUP(O406,Dictonary!$P$2:$P$4,Dictonary!$Q$2:$Q$4)</f>
        <v>own</v>
      </c>
    </row>
    <row r="407" spans="1:27" x14ac:dyDescent="0.3">
      <c r="A407" s="1" t="s">
        <v>35</v>
      </c>
      <c r="B407">
        <v>24</v>
      </c>
      <c r="C407" s="1" t="s">
        <v>36</v>
      </c>
      <c r="D407" s="1" t="s">
        <v>23</v>
      </c>
      <c r="E407">
        <v>2039</v>
      </c>
      <c r="F407" s="1" t="s">
        <v>37</v>
      </c>
      <c r="G407" s="1" t="s">
        <v>62</v>
      </c>
      <c r="H407">
        <v>1</v>
      </c>
      <c r="I407" s="1" t="s">
        <v>61</v>
      </c>
      <c r="J407" s="1" t="s">
        <v>27</v>
      </c>
      <c r="K407">
        <v>1</v>
      </c>
      <c r="L407" s="1" t="s">
        <v>48</v>
      </c>
      <c r="M407">
        <v>22</v>
      </c>
      <c r="N407" s="1" t="s">
        <v>29</v>
      </c>
      <c r="O407" s="1" t="s">
        <v>30</v>
      </c>
      <c r="P407">
        <v>1</v>
      </c>
      <c r="Q407" s="1" t="s">
        <v>31</v>
      </c>
      <c r="R407">
        <v>1</v>
      </c>
      <c r="S407" s="1" t="s">
        <v>32</v>
      </c>
      <c r="T407" s="1" t="s">
        <v>33</v>
      </c>
      <c r="U407" s="1" t="s">
        <v>41</v>
      </c>
      <c r="V407" s="1" t="str">
        <f>_xlfn.XLOOKUP(A407,Dictonary!$A$2:$A$5,Dictonary!$B$2:$B$5)</f>
        <v>Low balance</v>
      </c>
      <c r="W407" s="1" t="str">
        <f>_xlfn.XLOOKUP(D407,Dictonary!$D$2:$D$12,Dictonary!$E$2:$E$12)</f>
        <v>radio/television</v>
      </c>
      <c r="X407" s="1" t="str">
        <f>_xlfn.XLOOKUP(F407,Dictonary!$G$2:$G$6,Dictonary!$H$2:$H$6)</f>
        <v>Less 100</v>
      </c>
      <c r="Y407" s="1" t="str">
        <f>_xlfn.XLOOKUP(I407,Dictonary!$J$2:$J$6,Dictonary!$K$2:$K$6)</f>
        <v>male : married/widowed</v>
      </c>
      <c r="Z407" s="1" t="str">
        <f>_xlfn.XLOOKUP(Q407,Dictonary!$M$2:$M$5,Dictonary!$N$2:$N$5)</f>
        <v>skilled employee / official</v>
      </c>
      <c r="AA407" s="1" t="str">
        <f>_xlfn.XLOOKUP(O407,Dictonary!$P$2:$P$4,Dictonary!$Q$2:$Q$4)</f>
        <v>own</v>
      </c>
    </row>
    <row r="408" spans="1:27" x14ac:dyDescent="0.3">
      <c r="A408" s="1" t="s">
        <v>42</v>
      </c>
      <c r="B408">
        <v>24</v>
      </c>
      <c r="C408" s="1" t="s">
        <v>22</v>
      </c>
      <c r="D408" s="1" t="s">
        <v>54</v>
      </c>
      <c r="E408">
        <v>2197</v>
      </c>
      <c r="F408" s="1" t="s">
        <v>24</v>
      </c>
      <c r="G408" s="1" t="s">
        <v>44</v>
      </c>
      <c r="H408">
        <v>4</v>
      </c>
      <c r="I408" s="1" t="s">
        <v>26</v>
      </c>
      <c r="J408" s="1" t="s">
        <v>27</v>
      </c>
      <c r="K408">
        <v>4</v>
      </c>
      <c r="L408" s="1" t="s">
        <v>55</v>
      </c>
      <c r="M408">
        <v>43</v>
      </c>
      <c r="N408" s="1" t="s">
        <v>29</v>
      </c>
      <c r="O408" s="1" t="s">
        <v>30</v>
      </c>
      <c r="P408">
        <v>2</v>
      </c>
      <c r="Q408" s="1" t="s">
        <v>31</v>
      </c>
      <c r="R408">
        <v>2</v>
      </c>
      <c r="S408" s="1" t="s">
        <v>32</v>
      </c>
      <c r="T408" s="1" t="s">
        <v>33</v>
      </c>
      <c r="U408" s="1" t="s">
        <v>34</v>
      </c>
      <c r="V408" s="1" t="str">
        <f>_xlfn.XLOOKUP(A408,Dictonary!$A$2:$A$5,Dictonary!$B$2:$B$5)</f>
        <v>No information</v>
      </c>
      <c r="W408" s="1" t="str">
        <f>_xlfn.XLOOKUP(D408,Dictonary!$D$2:$D$12,Dictonary!$E$2:$E$12)</f>
        <v>car (used)</v>
      </c>
      <c r="X408" s="1" t="str">
        <f>_xlfn.XLOOKUP(F408,Dictonary!$G$2:$G$6,Dictonary!$H$2:$H$6)</f>
        <v>No information</v>
      </c>
      <c r="Y408" s="1" t="str">
        <f>_xlfn.XLOOKUP(I408,Dictonary!$J$2:$J$6,Dictonary!$K$2:$K$6)</f>
        <v>male : single</v>
      </c>
      <c r="Z408" s="1" t="str">
        <f>_xlfn.XLOOKUP(Q408,Dictonary!$M$2:$M$5,Dictonary!$N$2:$N$5)</f>
        <v>skilled employee / official</v>
      </c>
      <c r="AA408" s="1" t="str">
        <f>_xlfn.XLOOKUP(O408,Dictonary!$P$2:$P$4,Dictonary!$Q$2:$Q$4)</f>
        <v>own</v>
      </c>
    </row>
    <row r="409" spans="1:27" x14ac:dyDescent="0.3">
      <c r="A409" s="1" t="s">
        <v>21</v>
      </c>
      <c r="B409">
        <v>15</v>
      </c>
      <c r="C409" s="1" t="s">
        <v>36</v>
      </c>
      <c r="D409" s="1" t="s">
        <v>23</v>
      </c>
      <c r="E409">
        <v>1053</v>
      </c>
      <c r="F409" s="1" t="s">
        <v>37</v>
      </c>
      <c r="G409" s="1" t="s">
        <v>62</v>
      </c>
      <c r="H409">
        <v>4</v>
      </c>
      <c r="I409" s="1" t="s">
        <v>61</v>
      </c>
      <c r="J409" s="1" t="s">
        <v>27</v>
      </c>
      <c r="K409">
        <v>2</v>
      </c>
      <c r="L409" s="1" t="s">
        <v>28</v>
      </c>
      <c r="M409">
        <v>27</v>
      </c>
      <c r="N409" s="1" t="s">
        <v>29</v>
      </c>
      <c r="O409" s="1" t="s">
        <v>30</v>
      </c>
      <c r="P409">
        <v>1</v>
      </c>
      <c r="Q409" s="1" t="s">
        <v>31</v>
      </c>
      <c r="R409">
        <v>1</v>
      </c>
      <c r="S409" s="1" t="s">
        <v>40</v>
      </c>
      <c r="T409" s="1" t="s">
        <v>67</v>
      </c>
      <c r="U409" s="1" t="s">
        <v>34</v>
      </c>
      <c r="V409" s="1" t="str">
        <f>_xlfn.XLOOKUP(A409,Dictonary!$A$2:$A$5,Dictonary!$B$2:$B$5)</f>
        <v>Negative balance</v>
      </c>
      <c r="W409" s="1" t="str">
        <f>_xlfn.XLOOKUP(D409,Dictonary!$D$2:$D$12,Dictonary!$E$2:$E$12)</f>
        <v>radio/television</v>
      </c>
      <c r="X409" s="1" t="str">
        <f>_xlfn.XLOOKUP(F409,Dictonary!$G$2:$G$6,Dictonary!$H$2:$H$6)</f>
        <v>Less 100</v>
      </c>
      <c r="Y409" s="1" t="str">
        <f>_xlfn.XLOOKUP(I409,Dictonary!$J$2:$J$6,Dictonary!$K$2:$K$6)</f>
        <v>male : married/widowed</v>
      </c>
      <c r="Z409" s="1" t="str">
        <f>_xlfn.XLOOKUP(Q409,Dictonary!$M$2:$M$5,Dictonary!$N$2:$N$5)</f>
        <v>skilled employee / official</v>
      </c>
      <c r="AA409" s="1" t="str">
        <f>_xlfn.XLOOKUP(O409,Dictonary!$P$2:$P$4,Dictonary!$Q$2:$Q$4)</f>
        <v>own</v>
      </c>
    </row>
    <row r="410" spans="1:27" x14ac:dyDescent="0.3">
      <c r="A410" s="1" t="s">
        <v>42</v>
      </c>
      <c r="B410">
        <v>24</v>
      </c>
      <c r="C410" s="1" t="s">
        <v>36</v>
      </c>
      <c r="D410" s="1" t="s">
        <v>23</v>
      </c>
      <c r="E410">
        <v>3235</v>
      </c>
      <c r="F410" s="1" t="s">
        <v>53</v>
      </c>
      <c r="G410" s="1" t="s">
        <v>25</v>
      </c>
      <c r="H410">
        <v>3</v>
      </c>
      <c r="I410" s="1" t="s">
        <v>59</v>
      </c>
      <c r="J410" s="1" t="s">
        <v>27</v>
      </c>
      <c r="K410">
        <v>2</v>
      </c>
      <c r="L410" s="1" t="s">
        <v>55</v>
      </c>
      <c r="M410">
        <v>26</v>
      </c>
      <c r="N410" s="1" t="s">
        <v>29</v>
      </c>
      <c r="O410" s="1" t="s">
        <v>30</v>
      </c>
      <c r="P410">
        <v>1</v>
      </c>
      <c r="Q410" s="1" t="s">
        <v>57</v>
      </c>
      <c r="R410">
        <v>1</v>
      </c>
      <c r="S410" s="1" t="s">
        <v>32</v>
      </c>
      <c r="T410" s="1" t="s">
        <v>33</v>
      </c>
      <c r="U410" s="1" t="s">
        <v>34</v>
      </c>
      <c r="V410" s="1" t="str">
        <f>_xlfn.XLOOKUP(A410,Dictonary!$A$2:$A$5,Dictonary!$B$2:$B$5)</f>
        <v>No information</v>
      </c>
      <c r="W410" s="1" t="str">
        <f>_xlfn.XLOOKUP(D410,Dictonary!$D$2:$D$12,Dictonary!$E$2:$E$12)</f>
        <v>radio/television</v>
      </c>
      <c r="X410" s="1" t="str">
        <f>_xlfn.XLOOKUP(F410,Dictonary!$G$2:$G$6,Dictonary!$H$2:$H$6)</f>
        <v>Up to 1000</v>
      </c>
      <c r="Y410" s="1" t="str">
        <f>_xlfn.XLOOKUP(I410,Dictonary!$J$2:$J$6,Dictonary!$K$2:$K$6)</f>
        <v>male : divorced/separated</v>
      </c>
      <c r="Z410" s="1" t="str">
        <f>_xlfn.XLOOKUP(Q410,Dictonary!$M$2:$M$5,Dictonary!$N$2:$N$5)</f>
        <v>management/ self-employed/ highly qualified employee/ officer</v>
      </c>
      <c r="AA410" s="1" t="str">
        <f>_xlfn.XLOOKUP(O410,Dictonary!$P$2:$P$4,Dictonary!$Q$2:$Q$4)</f>
        <v>own</v>
      </c>
    </row>
    <row r="411" spans="1:27" x14ac:dyDescent="0.3">
      <c r="A411" s="1" t="s">
        <v>68</v>
      </c>
      <c r="B411">
        <v>12</v>
      </c>
      <c r="C411" s="1" t="s">
        <v>22</v>
      </c>
      <c r="D411" s="1" t="s">
        <v>51</v>
      </c>
      <c r="E411">
        <v>939</v>
      </c>
      <c r="F411" s="1" t="s">
        <v>53</v>
      </c>
      <c r="G411" s="1" t="s">
        <v>44</v>
      </c>
      <c r="H411">
        <v>4</v>
      </c>
      <c r="I411" s="1" t="s">
        <v>61</v>
      </c>
      <c r="J411" s="1" t="s">
        <v>27</v>
      </c>
      <c r="K411">
        <v>2</v>
      </c>
      <c r="L411" s="1" t="s">
        <v>28</v>
      </c>
      <c r="M411">
        <v>28</v>
      </c>
      <c r="N411" s="1" t="s">
        <v>29</v>
      </c>
      <c r="O411" s="1" t="s">
        <v>30</v>
      </c>
      <c r="P411">
        <v>3</v>
      </c>
      <c r="Q411" s="1" t="s">
        <v>31</v>
      </c>
      <c r="R411">
        <v>1</v>
      </c>
      <c r="S411" s="1" t="s">
        <v>32</v>
      </c>
      <c r="T411" s="1" t="s">
        <v>33</v>
      </c>
      <c r="U411" s="1" t="s">
        <v>41</v>
      </c>
      <c r="V411" s="1" t="str">
        <f>_xlfn.XLOOKUP(A411,Dictonary!$A$2:$A$5,Dictonary!$B$2:$B$5)</f>
        <v>Normal balance</v>
      </c>
      <c r="W411" s="1" t="str">
        <f>_xlfn.XLOOKUP(D411,Dictonary!$D$2:$D$12,Dictonary!$E$2:$E$12)</f>
        <v>car (new)</v>
      </c>
      <c r="X411" s="1" t="str">
        <f>_xlfn.XLOOKUP(F411,Dictonary!$G$2:$G$6,Dictonary!$H$2:$H$6)</f>
        <v>Up to 1000</v>
      </c>
      <c r="Y411" s="1" t="str">
        <f>_xlfn.XLOOKUP(I411,Dictonary!$J$2:$J$6,Dictonary!$K$2:$K$6)</f>
        <v>male : married/widowed</v>
      </c>
      <c r="Z411" s="1" t="str">
        <f>_xlfn.XLOOKUP(Q411,Dictonary!$M$2:$M$5,Dictonary!$N$2:$N$5)</f>
        <v>skilled employee / official</v>
      </c>
      <c r="AA411" s="1" t="str">
        <f>_xlfn.XLOOKUP(O411,Dictonary!$P$2:$P$4,Dictonary!$Q$2:$Q$4)</f>
        <v>own</v>
      </c>
    </row>
    <row r="412" spans="1:27" x14ac:dyDescent="0.3">
      <c r="A412" s="1" t="s">
        <v>35</v>
      </c>
      <c r="B412">
        <v>24</v>
      </c>
      <c r="C412" s="1" t="s">
        <v>36</v>
      </c>
      <c r="D412" s="1" t="s">
        <v>23</v>
      </c>
      <c r="E412">
        <v>1967</v>
      </c>
      <c r="F412" s="1" t="s">
        <v>37</v>
      </c>
      <c r="G412" s="1" t="s">
        <v>25</v>
      </c>
      <c r="H412">
        <v>4</v>
      </c>
      <c r="I412" s="1" t="s">
        <v>39</v>
      </c>
      <c r="J412" s="1" t="s">
        <v>27</v>
      </c>
      <c r="K412">
        <v>4</v>
      </c>
      <c r="L412" s="1" t="s">
        <v>55</v>
      </c>
      <c r="M412">
        <v>20</v>
      </c>
      <c r="N412" s="1" t="s">
        <v>29</v>
      </c>
      <c r="O412" s="1" t="s">
        <v>30</v>
      </c>
      <c r="P412">
        <v>1</v>
      </c>
      <c r="Q412" s="1" t="s">
        <v>31</v>
      </c>
      <c r="R412">
        <v>1</v>
      </c>
      <c r="S412" s="1" t="s">
        <v>32</v>
      </c>
      <c r="T412" s="1" t="s">
        <v>33</v>
      </c>
      <c r="U412" s="1" t="s">
        <v>34</v>
      </c>
      <c r="V412" s="1" t="str">
        <f>_xlfn.XLOOKUP(A412,Dictonary!$A$2:$A$5,Dictonary!$B$2:$B$5)</f>
        <v>Low balance</v>
      </c>
      <c r="W412" s="1" t="str">
        <f>_xlfn.XLOOKUP(D412,Dictonary!$D$2:$D$12,Dictonary!$E$2:$E$12)</f>
        <v>radio/television</v>
      </c>
      <c r="X412" s="1" t="str">
        <f>_xlfn.XLOOKUP(F412,Dictonary!$G$2:$G$6,Dictonary!$H$2:$H$6)</f>
        <v>Less 100</v>
      </c>
      <c r="Y412" s="1" t="str">
        <f>_xlfn.XLOOKUP(I412,Dictonary!$J$2:$J$6,Dictonary!$K$2:$K$6)</f>
        <v>female : divorced/separated/married</v>
      </c>
      <c r="Z412" s="1" t="str">
        <f>_xlfn.XLOOKUP(Q412,Dictonary!$M$2:$M$5,Dictonary!$N$2:$N$5)</f>
        <v>skilled employee / official</v>
      </c>
      <c r="AA412" s="1" t="str">
        <f>_xlfn.XLOOKUP(O412,Dictonary!$P$2:$P$4,Dictonary!$Q$2:$Q$4)</f>
        <v>own</v>
      </c>
    </row>
    <row r="413" spans="1:27" x14ac:dyDescent="0.3">
      <c r="A413" s="1" t="s">
        <v>42</v>
      </c>
      <c r="B413">
        <v>33</v>
      </c>
      <c r="C413" s="1" t="s">
        <v>22</v>
      </c>
      <c r="D413" s="1" t="s">
        <v>54</v>
      </c>
      <c r="E413">
        <v>7253</v>
      </c>
      <c r="F413" s="1" t="s">
        <v>37</v>
      </c>
      <c r="G413" s="1" t="s">
        <v>44</v>
      </c>
      <c r="H413">
        <v>3</v>
      </c>
      <c r="I413" s="1" t="s">
        <v>26</v>
      </c>
      <c r="J413" s="1" t="s">
        <v>27</v>
      </c>
      <c r="K413">
        <v>2</v>
      </c>
      <c r="L413" s="1" t="s">
        <v>55</v>
      </c>
      <c r="M413">
        <v>35</v>
      </c>
      <c r="N413" s="1" t="s">
        <v>29</v>
      </c>
      <c r="O413" s="1" t="s">
        <v>30</v>
      </c>
      <c r="P413">
        <v>2</v>
      </c>
      <c r="Q413" s="1" t="s">
        <v>57</v>
      </c>
      <c r="R413">
        <v>1</v>
      </c>
      <c r="S413" s="1" t="s">
        <v>32</v>
      </c>
      <c r="T413" s="1" t="s">
        <v>33</v>
      </c>
      <c r="U413" s="1" t="s">
        <v>34</v>
      </c>
      <c r="V413" s="1" t="str">
        <f>_xlfn.XLOOKUP(A413,Dictonary!$A$2:$A$5,Dictonary!$B$2:$B$5)</f>
        <v>No information</v>
      </c>
      <c r="W413" s="1" t="str">
        <f>_xlfn.XLOOKUP(D413,Dictonary!$D$2:$D$12,Dictonary!$E$2:$E$12)</f>
        <v>car (used)</v>
      </c>
      <c r="X413" s="1" t="str">
        <f>_xlfn.XLOOKUP(F413,Dictonary!$G$2:$G$6,Dictonary!$H$2:$H$6)</f>
        <v>Less 100</v>
      </c>
      <c r="Y413" s="1" t="str">
        <f>_xlfn.XLOOKUP(I413,Dictonary!$J$2:$J$6,Dictonary!$K$2:$K$6)</f>
        <v>male : single</v>
      </c>
      <c r="Z413" s="1" t="str">
        <f>_xlfn.XLOOKUP(Q413,Dictonary!$M$2:$M$5,Dictonary!$N$2:$N$5)</f>
        <v>management/ self-employed/ highly qualified employee/ officer</v>
      </c>
      <c r="AA413" s="1" t="str">
        <f>_xlfn.XLOOKUP(O413,Dictonary!$P$2:$P$4,Dictonary!$Q$2:$Q$4)</f>
        <v>own</v>
      </c>
    </row>
    <row r="414" spans="1:27" x14ac:dyDescent="0.3">
      <c r="A414" s="1" t="s">
        <v>42</v>
      </c>
      <c r="B414">
        <v>12</v>
      </c>
      <c r="C414" s="1" t="s">
        <v>22</v>
      </c>
      <c r="D414" s="1" t="s">
        <v>63</v>
      </c>
      <c r="E414">
        <v>2292</v>
      </c>
      <c r="F414" s="1" t="s">
        <v>37</v>
      </c>
      <c r="G414" s="1" t="s">
        <v>60</v>
      </c>
      <c r="H414">
        <v>4</v>
      </c>
      <c r="I414" s="1" t="s">
        <v>26</v>
      </c>
      <c r="J414" s="1" t="s">
        <v>27</v>
      </c>
      <c r="K414">
        <v>2</v>
      </c>
      <c r="L414" s="1" t="s">
        <v>55</v>
      </c>
      <c r="M414">
        <v>42</v>
      </c>
      <c r="N414" s="1" t="s">
        <v>70</v>
      </c>
      <c r="O414" s="1" t="s">
        <v>30</v>
      </c>
      <c r="P414">
        <v>2</v>
      </c>
      <c r="Q414" s="1" t="s">
        <v>57</v>
      </c>
      <c r="R414">
        <v>1</v>
      </c>
      <c r="S414" s="1" t="s">
        <v>32</v>
      </c>
      <c r="T414" s="1" t="s">
        <v>33</v>
      </c>
      <c r="U414" s="1" t="s">
        <v>41</v>
      </c>
      <c r="V414" s="1" t="str">
        <f>_xlfn.XLOOKUP(A414,Dictonary!$A$2:$A$5,Dictonary!$B$2:$B$5)</f>
        <v>No information</v>
      </c>
      <c r="W414" s="1" t="str">
        <f>_xlfn.XLOOKUP(D414,Dictonary!$D$2:$D$12,Dictonary!$E$2:$E$12)</f>
        <v>business</v>
      </c>
      <c r="X414" s="1" t="str">
        <f>_xlfn.XLOOKUP(F414,Dictonary!$G$2:$G$6,Dictonary!$H$2:$H$6)</f>
        <v>Less 100</v>
      </c>
      <c r="Y414" s="1" t="str">
        <f>_xlfn.XLOOKUP(I414,Dictonary!$J$2:$J$6,Dictonary!$K$2:$K$6)</f>
        <v>male : single</v>
      </c>
      <c r="Z414" s="1" t="str">
        <f>_xlfn.XLOOKUP(Q414,Dictonary!$M$2:$M$5,Dictonary!$N$2:$N$5)</f>
        <v>management/ self-employed/ highly qualified employee/ officer</v>
      </c>
      <c r="AA414" s="1" t="str">
        <f>_xlfn.XLOOKUP(O414,Dictonary!$P$2:$P$4,Dictonary!$Q$2:$Q$4)</f>
        <v>own</v>
      </c>
    </row>
    <row r="415" spans="1:27" x14ac:dyDescent="0.3">
      <c r="A415" s="1" t="s">
        <v>42</v>
      </c>
      <c r="B415">
        <v>10</v>
      </c>
      <c r="C415" s="1" t="s">
        <v>36</v>
      </c>
      <c r="D415" s="1" t="s">
        <v>51</v>
      </c>
      <c r="E415">
        <v>1597</v>
      </c>
      <c r="F415" s="1" t="s">
        <v>53</v>
      </c>
      <c r="G415" s="1" t="s">
        <v>38</v>
      </c>
      <c r="H415">
        <v>3</v>
      </c>
      <c r="I415" s="1" t="s">
        <v>26</v>
      </c>
      <c r="J415" s="1" t="s">
        <v>27</v>
      </c>
      <c r="K415">
        <v>2</v>
      </c>
      <c r="L415" s="1" t="s">
        <v>52</v>
      </c>
      <c r="M415">
        <v>40</v>
      </c>
      <c r="N415" s="1" t="s">
        <v>29</v>
      </c>
      <c r="O415" s="1" t="s">
        <v>56</v>
      </c>
      <c r="P415">
        <v>1</v>
      </c>
      <c r="Q415" s="1" t="s">
        <v>45</v>
      </c>
      <c r="R415">
        <v>2</v>
      </c>
      <c r="S415" s="1" t="s">
        <v>40</v>
      </c>
      <c r="T415" s="1" t="s">
        <v>67</v>
      </c>
      <c r="U415" s="1" t="s">
        <v>34</v>
      </c>
      <c r="V415" s="1" t="str">
        <f>_xlfn.XLOOKUP(A415,Dictonary!$A$2:$A$5,Dictonary!$B$2:$B$5)</f>
        <v>No information</v>
      </c>
      <c r="W415" s="1" t="str">
        <f>_xlfn.XLOOKUP(D415,Dictonary!$D$2:$D$12,Dictonary!$E$2:$E$12)</f>
        <v>car (new)</v>
      </c>
      <c r="X415" s="1" t="str">
        <f>_xlfn.XLOOKUP(F415,Dictonary!$G$2:$G$6,Dictonary!$H$2:$H$6)</f>
        <v>Up to 1000</v>
      </c>
      <c r="Y415" s="1" t="str">
        <f>_xlfn.XLOOKUP(I415,Dictonary!$J$2:$J$6,Dictonary!$K$2:$K$6)</f>
        <v>male : single</v>
      </c>
      <c r="Z415" s="1" t="str">
        <f>_xlfn.XLOOKUP(Q415,Dictonary!$M$2:$M$5,Dictonary!$N$2:$N$5)</f>
        <v>unskilled - resident</v>
      </c>
      <c r="AA415" s="1" t="str">
        <f>_xlfn.XLOOKUP(O415,Dictonary!$P$2:$P$4,Dictonary!$Q$2:$Q$4)</f>
        <v>rent</v>
      </c>
    </row>
    <row r="416" spans="1:27" x14ac:dyDescent="0.3">
      <c r="A416" s="1" t="s">
        <v>21</v>
      </c>
      <c r="B416">
        <v>24</v>
      </c>
      <c r="C416" s="1" t="s">
        <v>36</v>
      </c>
      <c r="D416" s="1" t="s">
        <v>51</v>
      </c>
      <c r="E416">
        <v>1381</v>
      </c>
      <c r="F416" s="1" t="s">
        <v>24</v>
      </c>
      <c r="G416" s="1" t="s">
        <v>38</v>
      </c>
      <c r="H416">
        <v>4</v>
      </c>
      <c r="I416" s="1" t="s">
        <v>39</v>
      </c>
      <c r="J416" s="1" t="s">
        <v>27</v>
      </c>
      <c r="K416">
        <v>2</v>
      </c>
      <c r="L416" s="1" t="s">
        <v>48</v>
      </c>
      <c r="M416">
        <v>35</v>
      </c>
      <c r="N416" s="1" t="s">
        <v>29</v>
      </c>
      <c r="O416" s="1" t="s">
        <v>30</v>
      </c>
      <c r="P416">
        <v>1</v>
      </c>
      <c r="Q416" s="1" t="s">
        <v>31</v>
      </c>
      <c r="R416">
        <v>1</v>
      </c>
      <c r="S416" s="1" t="s">
        <v>40</v>
      </c>
      <c r="T416" s="1" t="s">
        <v>33</v>
      </c>
      <c r="U416" s="1" t="s">
        <v>41</v>
      </c>
      <c r="V416" s="1" t="str">
        <f>_xlfn.XLOOKUP(A416,Dictonary!$A$2:$A$5,Dictonary!$B$2:$B$5)</f>
        <v>Negative balance</v>
      </c>
      <c r="W416" s="1" t="str">
        <f>_xlfn.XLOOKUP(D416,Dictonary!$D$2:$D$12,Dictonary!$E$2:$E$12)</f>
        <v>car (new)</v>
      </c>
      <c r="X416" s="1" t="str">
        <f>_xlfn.XLOOKUP(F416,Dictonary!$G$2:$G$6,Dictonary!$H$2:$H$6)</f>
        <v>No information</v>
      </c>
      <c r="Y416" s="1" t="str">
        <f>_xlfn.XLOOKUP(I416,Dictonary!$J$2:$J$6,Dictonary!$K$2:$K$6)</f>
        <v>female : divorced/separated/married</v>
      </c>
      <c r="Z416" s="1" t="str">
        <f>_xlfn.XLOOKUP(Q416,Dictonary!$M$2:$M$5,Dictonary!$N$2:$N$5)</f>
        <v>skilled employee / official</v>
      </c>
      <c r="AA416" s="1" t="str">
        <f>_xlfn.XLOOKUP(O416,Dictonary!$P$2:$P$4,Dictonary!$Q$2:$Q$4)</f>
        <v>own</v>
      </c>
    </row>
    <row r="417" spans="1:27" x14ac:dyDescent="0.3">
      <c r="A417" s="1" t="s">
        <v>42</v>
      </c>
      <c r="B417">
        <v>36</v>
      </c>
      <c r="C417" s="1" t="s">
        <v>22</v>
      </c>
      <c r="D417" s="1" t="s">
        <v>54</v>
      </c>
      <c r="E417">
        <v>5842</v>
      </c>
      <c r="F417" s="1" t="s">
        <v>37</v>
      </c>
      <c r="G417" s="1" t="s">
        <v>25</v>
      </c>
      <c r="H417">
        <v>2</v>
      </c>
      <c r="I417" s="1" t="s">
        <v>26</v>
      </c>
      <c r="J417" s="1" t="s">
        <v>27</v>
      </c>
      <c r="K417">
        <v>2</v>
      </c>
      <c r="L417" s="1" t="s">
        <v>48</v>
      </c>
      <c r="M417">
        <v>35</v>
      </c>
      <c r="N417" s="1" t="s">
        <v>29</v>
      </c>
      <c r="O417" s="1" t="s">
        <v>30</v>
      </c>
      <c r="P417">
        <v>2</v>
      </c>
      <c r="Q417" s="1" t="s">
        <v>31</v>
      </c>
      <c r="R417">
        <v>2</v>
      </c>
      <c r="S417" s="1" t="s">
        <v>32</v>
      </c>
      <c r="T417" s="1" t="s">
        <v>33</v>
      </c>
      <c r="U417" s="1" t="s">
        <v>34</v>
      </c>
      <c r="V417" s="1" t="str">
        <f>_xlfn.XLOOKUP(A417,Dictonary!$A$2:$A$5,Dictonary!$B$2:$B$5)</f>
        <v>No information</v>
      </c>
      <c r="W417" s="1" t="str">
        <f>_xlfn.XLOOKUP(D417,Dictonary!$D$2:$D$12,Dictonary!$E$2:$E$12)</f>
        <v>car (used)</v>
      </c>
      <c r="X417" s="1" t="str">
        <f>_xlfn.XLOOKUP(F417,Dictonary!$G$2:$G$6,Dictonary!$H$2:$H$6)</f>
        <v>Less 100</v>
      </c>
      <c r="Y417" s="1" t="str">
        <f>_xlfn.XLOOKUP(I417,Dictonary!$J$2:$J$6,Dictonary!$K$2:$K$6)</f>
        <v>male : single</v>
      </c>
      <c r="Z417" s="1" t="str">
        <f>_xlfn.XLOOKUP(Q417,Dictonary!$M$2:$M$5,Dictonary!$N$2:$N$5)</f>
        <v>skilled employee / official</v>
      </c>
      <c r="AA417" s="1" t="str">
        <f>_xlfn.XLOOKUP(O417,Dictonary!$P$2:$P$4,Dictonary!$Q$2:$Q$4)</f>
        <v>own</v>
      </c>
    </row>
    <row r="418" spans="1:27" x14ac:dyDescent="0.3">
      <c r="A418" s="1" t="s">
        <v>21</v>
      </c>
      <c r="B418">
        <v>12</v>
      </c>
      <c r="C418" s="1" t="s">
        <v>36</v>
      </c>
      <c r="D418" s="1" t="s">
        <v>51</v>
      </c>
      <c r="E418">
        <v>2579</v>
      </c>
      <c r="F418" s="1" t="s">
        <v>37</v>
      </c>
      <c r="G418" s="1" t="s">
        <v>62</v>
      </c>
      <c r="H418">
        <v>4</v>
      </c>
      <c r="I418" s="1" t="s">
        <v>26</v>
      </c>
      <c r="J418" s="1" t="s">
        <v>27</v>
      </c>
      <c r="K418">
        <v>1</v>
      </c>
      <c r="L418" s="1" t="s">
        <v>28</v>
      </c>
      <c r="M418">
        <v>33</v>
      </c>
      <c r="N418" s="1" t="s">
        <v>29</v>
      </c>
      <c r="O418" s="1" t="s">
        <v>30</v>
      </c>
      <c r="P418">
        <v>1</v>
      </c>
      <c r="Q418" s="1" t="s">
        <v>45</v>
      </c>
      <c r="R418">
        <v>2</v>
      </c>
      <c r="S418" s="1" t="s">
        <v>40</v>
      </c>
      <c r="T418" s="1" t="s">
        <v>33</v>
      </c>
      <c r="U418" s="1" t="s">
        <v>41</v>
      </c>
      <c r="V418" s="1" t="str">
        <f>_xlfn.XLOOKUP(A418,Dictonary!$A$2:$A$5,Dictonary!$B$2:$B$5)</f>
        <v>Negative balance</v>
      </c>
      <c r="W418" s="1" t="str">
        <f>_xlfn.XLOOKUP(D418,Dictonary!$D$2:$D$12,Dictonary!$E$2:$E$12)</f>
        <v>car (new)</v>
      </c>
      <c r="X418" s="1" t="str">
        <f>_xlfn.XLOOKUP(F418,Dictonary!$G$2:$G$6,Dictonary!$H$2:$H$6)</f>
        <v>Less 100</v>
      </c>
      <c r="Y418" s="1" t="str">
        <f>_xlfn.XLOOKUP(I418,Dictonary!$J$2:$J$6,Dictonary!$K$2:$K$6)</f>
        <v>male : single</v>
      </c>
      <c r="Z418" s="1" t="str">
        <f>_xlfn.XLOOKUP(Q418,Dictonary!$M$2:$M$5,Dictonary!$N$2:$N$5)</f>
        <v>unskilled - resident</v>
      </c>
      <c r="AA418" s="1" t="str">
        <f>_xlfn.XLOOKUP(O418,Dictonary!$P$2:$P$4,Dictonary!$Q$2:$Q$4)</f>
        <v>own</v>
      </c>
    </row>
    <row r="419" spans="1:27" x14ac:dyDescent="0.3">
      <c r="A419" s="1" t="s">
        <v>21</v>
      </c>
      <c r="B419">
        <v>18</v>
      </c>
      <c r="C419" s="1" t="s">
        <v>50</v>
      </c>
      <c r="D419" s="1" t="s">
        <v>43</v>
      </c>
      <c r="E419">
        <v>8471</v>
      </c>
      <c r="F419" s="1" t="s">
        <v>24</v>
      </c>
      <c r="G419" s="1" t="s">
        <v>38</v>
      </c>
      <c r="H419">
        <v>1</v>
      </c>
      <c r="I419" s="1" t="s">
        <v>39</v>
      </c>
      <c r="J419" s="1" t="s">
        <v>27</v>
      </c>
      <c r="K419">
        <v>2</v>
      </c>
      <c r="L419" s="1" t="s">
        <v>55</v>
      </c>
      <c r="M419">
        <v>23</v>
      </c>
      <c r="N419" s="1" t="s">
        <v>29</v>
      </c>
      <c r="O419" s="1" t="s">
        <v>56</v>
      </c>
      <c r="P419">
        <v>2</v>
      </c>
      <c r="Q419" s="1" t="s">
        <v>31</v>
      </c>
      <c r="R419">
        <v>1</v>
      </c>
      <c r="S419" s="1" t="s">
        <v>32</v>
      </c>
      <c r="T419" s="1" t="s">
        <v>33</v>
      </c>
      <c r="U419" s="1" t="s">
        <v>34</v>
      </c>
      <c r="V419" s="1" t="str">
        <f>_xlfn.XLOOKUP(A419,Dictonary!$A$2:$A$5,Dictonary!$B$2:$B$5)</f>
        <v>Negative balance</v>
      </c>
      <c r="W419" s="1" t="str">
        <f>_xlfn.XLOOKUP(D419,Dictonary!$D$2:$D$12,Dictonary!$E$2:$E$12)</f>
        <v>education</v>
      </c>
      <c r="X419" s="1" t="str">
        <f>_xlfn.XLOOKUP(F419,Dictonary!$G$2:$G$6,Dictonary!$H$2:$H$6)</f>
        <v>No information</v>
      </c>
      <c r="Y419" s="1" t="str">
        <f>_xlfn.XLOOKUP(I419,Dictonary!$J$2:$J$6,Dictonary!$K$2:$K$6)</f>
        <v>female : divorced/separated/married</v>
      </c>
      <c r="Z419" s="1" t="str">
        <f>_xlfn.XLOOKUP(Q419,Dictonary!$M$2:$M$5,Dictonary!$N$2:$N$5)</f>
        <v>skilled employee / official</v>
      </c>
      <c r="AA419" s="1" t="str">
        <f>_xlfn.XLOOKUP(O419,Dictonary!$P$2:$P$4,Dictonary!$Q$2:$Q$4)</f>
        <v>rent</v>
      </c>
    </row>
    <row r="420" spans="1:27" x14ac:dyDescent="0.3">
      <c r="A420" s="1" t="s">
        <v>42</v>
      </c>
      <c r="B420">
        <v>21</v>
      </c>
      <c r="C420" s="1" t="s">
        <v>36</v>
      </c>
      <c r="D420" s="1" t="s">
        <v>51</v>
      </c>
      <c r="E420">
        <v>2782</v>
      </c>
      <c r="F420" s="1" t="s">
        <v>53</v>
      </c>
      <c r="G420" s="1" t="s">
        <v>44</v>
      </c>
      <c r="H420">
        <v>1</v>
      </c>
      <c r="I420" s="1" t="s">
        <v>39</v>
      </c>
      <c r="J420" s="1" t="s">
        <v>27</v>
      </c>
      <c r="K420">
        <v>2</v>
      </c>
      <c r="L420" s="1" t="s">
        <v>55</v>
      </c>
      <c r="M420">
        <v>31</v>
      </c>
      <c r="N420" s="1" t="s">
        <v>66</v>
      </c>
      <c r="O420" s="1" t="s">
        <v>30</v>
      </c>
      <c r="P420">
        <v>1</v>
      </c>
      <c r="Q420" s="1" t="s">
        <v>57</v>
      </c>
      <c r="R420">
        <v>1</v>
      </c>
      <c r="S420" s="1" t="s">
        <v>40</v>
      </c>
      <c r="T420" s="1" t="s">
        <v>33</v>
      </c>
      <c r="U420" s="1" t="s">
        <v>34</v>
      </c>
      <c r="V420" s="1" t="str">
        <f>_xlfn.XLOOKUP(A420,Dictonary!$A$2:$A$5,Dictonary!$B$2:$B$5)</f>
        <v>No information</v>
      </c>
      <c r="W420" s="1" t="str">
        <f>_xlfn.XLOOKUP(D420,Dictonary!$D$2:$D$12,Dictonary!$E$2:$E$12)</f>
        <v>car (new)</v>
      </c>
      <c r="X420" s="1" t="str">
        <f>_xlfn.XLOOKUP(F420,Dictonary!$G$2:$G$6,Dictonary!$H$2:$H$6)</f>
        <v>Up to 1000</v>
      </c>
      <c r="Y420" s="1" t="str">
        <f>_xlfn.XLOOKUP(I420,Dictonary!$J$2:$J$6,Dictonary!$K$2:$K$6)</f>
        <v>female : divorced/separated/married</v>
      </c>
      <c r="Z420" s="1" t="str">
        <f>_xlfn.XLOOKUP(Q420,Dictonary!$M$2:$M$5,Dictonary!$N$2:$N$5)</f>
        <v>management/ self-employed/ highly qualified employee/ officer</v>
      </c>
      <c r="AA420" s="1" t="str">
        <f>_xlfn.XLOOKUP(O420,Dictonary!$P$2:$P$4,Dictonary!$Q$2:$Q$4)</f>
        <v>own</v>
      </c>
    </row>
    <row r="421" spans="1:27" x14ac:dyDescent="0.3">
      <c r="A421" s="1" t="s">
        <v>35</v>
      </c>
      <c r="B421">
        <v>18</v>
      </c>
      <c r="C421" s="1" t="s">
        <v>36</v>
      </c>
      <c r="D421" s="1" t="s">
        <v>51</v>
      </c>
      <c r="E421">
        <v>1042</v>
      </c>
      <c r="F421" s="1" t="s">
        <v>24</v>
      </c>
      <c r="G421" s="1" t="s">
        <v>38</v>
      </c>
      <c r="H421">
        <v>4</v>
      </c>
      <c r="I421" s="1" t="s">
        <v>39</v>
      </c>
      <c r="J421" s="1" t="s">
        <v>27</v>
      </c>
      <c r="K421">
        <v>2</v>
      </c>
      <c r="L421" s="1" t="s">
        <v>48</v>
      </c>
      <c r="M421">
        <v>33</v>
      </c>
      <c r="N421" s="1" t="s">
        <v>29</v>
      </c>
      <c r="O421" s="1" t="s">
        <v>30</v>
      </c>
      <c r="P421">
        <v>1</v>
      </c>
      <c r="Q421" s="1" t="s">
        <v>31</v>
      </c>
      <c r="R421">
        <v>1</v>
      </c>
      <c r="S421" s="1" t="s">
        <v>40</v>
      </c>
      <c r="T421" s="1" t="s">
        <v>33</v>
      </c>
      <c r="U421" s="1" t="s">
        <v>41</v>
      </c>
      <c r="V421" s="1" t="str">
        <f>_xlfn.XLOOKUP(A421,Dictonary!$A$2:$A$5,Dictonary!$B$2:$B$5)</f>
        <v>Low balance</v>
      </c>
      <c r="W421" s="1" t="str">
        <f>_xlfn.XLOOKUP(D421,Dictonary!$D$2:$D$12,Dictonary!$E$2:$E$12)</f>
        <v>car (new)</v>
      </c>
      <c r="X421" s="1" t="str">
        <f>_xlfn.XLOOKUP(F421,Dictonary!$G$2:$G$6,Dictonary!$H$2:$H$6)</f>
        <v>No information</v>
      </c>
      <c r="Y421" s="1" t="str">
        <f>_xlfn.XLOOKUP(I421,Dictonary!$J$2:$J$6,Dictonary!$K$2:$K$6)</f>
        <v>female : divorced/separated/married</v>
      </c>
      <c r="Z421" s="1" t="str">
        <f>_xlfn.XLOOKUP(Q421,Dictonary!$M$2:$M$5,Dictonary!$N$2:$N$5)</f>
        <v>skilled employee / official</v>
      </c>
      <c r="AA421" s="1" t="str">
        <f>_xlfn.XLOOKUP(O421,Dictonary!$P$2:$P$4,Dictonary!$Q$2:$Q$4)</f>
        <v>own</v>
      </c>
    </row>
    <row r="422" spans="1:27" x14ac:dyDescent="0.3">
      <c r="A422" s="1" t="s">
        <v>42</v>
      </c>
      <c r="B422">
        <v>15</v>
      </c>
      <c r="C422" s="1" t="s">
        <v>36</v>
      </c>
      <c r="D422" s="1" t="s">
        <v>51</v>
      </c>
      <c r="E422">
        <v>3186</v>
      </c>
      <c r="F422" s="1" t="s">
        <v>58</v>
      </c>
      <c r="G422" s="1" t="s">
        <v>44</v>
      </c>
      <c r="H422">
        <v>2</v>
      </c>
      <c r="I422" s="1" t="s">
        <v>39</v>
      </c>
      <c r="J422" s="1" t="s">
        <v>27</v>
      </c>
      <c r="K422">
        <v>3</v>
      </c>
      <c r="L422" s="1" t="s">
        <v>55</v>
      </c>
      <c r="M422">
        <v>20</v>
      </c>
      <c r="N422" s="1" t="s">
        <v>29</v>
      </c>
      <c r="O422" s="1" t="s">
        <v>56</v>
      </c>
      <c r="P422">
        <v>1</v>
      </c>
      <c r="Q422" s="1" t="s">
        <v>31</v>
      </c>
      <c r="R422">
        <v>1</v>
      </c>
      <c r="S422" s="1" t="s">
        <v>40</v>
      </c>
      <c r="T422" s="1" t="s">
        <v>33</v>
      </c>
      <c r="U422" s="1" t="s">
        <v>34</v>
      </c>
      <c r="V422" s="1" t="str">
        <f>_xlfn.XLOOKUP(A422,Dictonary!$A$2:$A$5,Dictonary!$B$2:$B$5)</f>
        <v>No information</v>
      </c>
      <c r="W422" s="1" t="str">
        <f>_xlfn.XLOOKUP(D422,Dictonary!$D$2:$D$12,Dictonary!$E$2:$E$12)</f>
        <v>car (new)</v>
      </c>
      <c r="X422" s="1" t="str">
        <f>_xlfn.XLOOKUP(F422,Dictonary!$G$2:$G$6,Dictonary!$H$2:$H$6)</f>
        <v>More 1000</v>
      </c>
      <c r="Y422" s="1" t="str">
        <f>_xlfn.XLOOKUP(I422,Dictonary!$J$2:$J$6,Dictonary!$K$2:$K$6)</f>
        <v>female : divorced/separated/married</v>
      </c>
      <c r="Z422" s="1" t="str">
        <f>_xlfn.XLOOKUP(Q422,Dictonary!$M$2:$M$5,Dictonary!$N$2:$N$5)</f>
        <v>skilled employee / official</v>
      </c>
      <c r="AA422" s="1" t="str">
        <f>_xlfn.XLOOKUP(O422,Dictonary!$P$2:$P$4,Dictonary!$Q$2:$Q$4)</f>
        <v>rent</v>
      </c>
    </row>
    <row r="423" spans="1:27" x14ac:dyDescent="0.3">
      <c r="A423" s="1" t="s">
        <v>35</v>
      </c>
      <c r="B423">
        <v>12</v>
      </c>
      <c r="C423" s="1" t="s">
        <v>36</v>
      </c>
      <c r="D423" s="1" t="s">
        <v>54</v>
      </c>
      <c r="E423">
        <v>2028</v>
      </c>
      <c r="F423" s="1" t="s">
        <v>24</v>
      </c>
      <c r="G423" s="1" t="s">
        <v>38</v>
      </c>
      <c r="H423">
        <v>4</v>
      </c>
      <c r="I423" s="1" t="s">
        <v>26</v>
      </c>
      <c r="J423" s="1" t="s">
        <v>27</v>
      </c>
      <c r="K423">
        <v>2</v>
      </c>
      <c r="L423" s="1" t="s">
        <v>55</v>
      </c>
      <c r="M423">
        <v>30</v>
      </c>
      <c r="N423" s="1" t="s">
        <v>29</v>
      </c>
      <c r="O423" s="1" t="s">
        <v>30</v>
      </c>
      <c r="P423">
        <v>1</v>
      </c>
      <c r="Q423" s="1" t="s">
        <v>31</v>
      </c>
      <c r="R423">
        <v>1</v>
      </c>
      <c r="S423" s="1" t="s">
        <v>40</v>
      </c>
      <c r="T423" s="1" t="s">
        <v>33</v>
      </c>
      <c r="U423" s="1" t="s">
        <v>34</v>
      </c>
      <c r="V423" s="1" t="str">
        <f>_xlfn.XLOOKUP(A423,Dictonary!$A$2:$A$5,Dictonary!$B$2:$B$5)</f>
        <v>Low balance</v>
      </c>
      <c r="W423" s="1" t="str">
        <f>_xlfn.XLOOKUP(D423,Dictonary!$D$2:$D$12,Dictonary!$E$2:$E$12)</f>
        <v>car (used)</v>
      </c>
      <c r="X423" s="1" t="str">
        <f>_xlfn.XLOOKUP(F423,Dictonary!$G$2:$G$6,Dictonary!$H$2:$H$6)</f>
        <v>No information</v>
      </c>
      <c r="Y423" s="1" t="str">
        <f>_xlfn.XLOOKUP(I423,Dictonary!$J$2:$J$6,Dictonary!$K$2:$K$6)</f>
        <v>male : single</v>
      </c>
      <c r="Z423" s="1" t="str">
        <f>_xlfn.XLOOKUP(Q423,Dictonary!$M$2:$M$5,Dictonary!$N$2:$N$5)</f>
        <v>skilled employee / official</v>
      </c>
      <c r="AA423" s="1" t="str">
        <f>_xlfn.XLOOKUP(O423,Dictonary!$P$2:$P$4,Dictonary!$Q$2:$Q$4)</f>
        <v>own</v>
      </c>
    </row>
    <row r="424" spans="1:27" x14ac:dyDescent="0.3">
      <c r="A424" s="1" t="s">
        <v>35</v>
      </c>
      <c r="B424">
        <v>12</v>
      </c>
      <c r="C424" s="1" t="s">
        <v>22</v>
      </c>
      <c r="D424" s="1" t="s">
        <v>51</v>
      </c>
      <c r="E424">
        <v>958</v>
      </c>
      <c r="F424" s="1" t="s">
        <v>37</v>
      </c>
      <c r="G424" s="1" t="s">
        <v>44</v>
      </c>
      <c r="H424">
        <v>2</v>
      </c>
      <c r="I424" s="1" t="s">
        <v>26</v>
      </c>
      <c r="J424" s="1" t="s">
        <v>27</v>
      </c>
      <c r="K424">
        <v>3</v>
      </c>
      <c r="L424" s="1" t="s">
        <v>28</v>
      </c>
      <c r="M424">
        <v>47</v>
      </c>
      <c r="N424" s="1" t="s">
        <v>29</v>
      </c>
      <c r="O424" s="1" t="s">
        <v>30</v>
      </c>
      <c r="P424">
        <v>2</v>
      </c>
      <c r="Q424" s="1" t="s">
        <v>45</v>
      </c>
      <c r="R424">
        <v>2</v>
      </c>
      <c r="S424" s="1" t="s">
        <v>40</v>
      </c>
      <c r="T424" s="1" t="s">
        <v>33</v>
      </c>
      <c r="U424" s="1" t="s">
        <v>34</v>
      </c>
      <c r="V424" s="1" t="str">
        <f>_xlfn.XLOOKUP(A424,Dictonary!$A$2:$A$5,Dictonary!$B$2:$B$5)</f>
        <v>Low balance</v>
      </c>
      <c r="W424" s="1" t="str">
        <f>_xlfn.XLOOKUP(D424,Dictonary!$D$2:$D$12,Dictonary!$E$2:$E$12)</f>
        <v>car (new)</v>
      </c>
      <c r="X424" s="1" t="str">
        <f>_xlfn.XLOOKUP(F424,Dictonary!$G$2:$G$6,Dictonary!$H$2:$H$6)</f>
        <v>Less 100</v>
      </c>
      <c r="Y424" s="1" t="str">
        <f>_xlfn.XLOOKUP(I424,Dictonary!$J$2:$J$6,Dictonary!$K$2:$K$6)</f>
        <v>male : single</v>
      </c>
      <c r="Z424" s="1" t="str">
        <f>_xlfn.XLOOKUP(Q424,Dictonary!$M$2:$M$5,Dictonary!$N$2:$N$5)</f>
        <v>unskilled - resident</v>
      </c>
      <c r="AA424" s="1" t="str">
        <f>_xlfn.XLOOKUP(O424,Dictonary!$P$2:$P$4,Dictonary!$Q$2:$Q$4)</f>
        <v>own</v>
      </c>
    </row>
    <row r="425" spans="1:27" x14ac:dyDescent="0.3">
      <c r="A425" s="1" t="s">
        <v>42</v>
      </c>
      <c r="B425">
        <v>21</v>
      </c>
      <c r="C425" s="1" t="s">
        <v>50</v>
      </c>
      <c r="D425" s="1" t="s">
        <v>46</v>
      </c>
      <c r="E425">
        <v>1591</v>
      </c>
      <c r="F425" s="1" t="s">
        <v>64</v>
      </c>
      <c r="G425" s="1" t="s">
        <v>44</v>
      </c>
      <c r="H425">
        <v>4</v>
      </c>
      <c r="I425" s="1" t="s">
        <v>26</v>
      </c>
      <c r="J425" s="1" t="s">
        <v>27</v>
      </c>
      <c r="K425">
        <v>3</v>
      </c>
      <c r="L425" s="1" t="s">
        <v>28</v>
      </c>
      <c r="M425">
        <v>34</v>
      </c>
      <c r="N425" s="1" t="s">
        <v>29</v>
      </c>
      <c r="O425" s="1" t="s">
        <v>30</v>
      </c>
      <c r="P425">
        <v>2</v>
      </c>
      <c r="Q425" s="1" t="s">
        <v>57</v>
      </c>
      <c r="R425">
        <v>1</v>
      </c>
      <c r="S425" s="1" t="s">
        <v>40</v>
      </c>
      <c r="T425" s="1" t="s">
        <v>33</v>
      </c>
      <c r="U425" s="1" t="s">
        <v>34</v>
      </c>
      <c r="V425" s="1" t="str">
        <f>_xlfn.XLOOKUP(A425,Dictonary!$A$2:$A$5,Dictonary!$B$2:$B$5)</f>
        <v>No information</v>
      </c>
      <c r="W425" s="1" t="str">
        <f>_xlfn.XLOOKUP(D425,Dictonary!$D$2:$D$12,Dictonary!$E$2:$E$12)</f>
        <v>furniture/equipment</v>
      </c>
      <c r="X425" s="1" t="str">
        <f>_xlfn.XLOOKUP(F425,Dictonary!$G$2:$G$6,Dictonary!$H$2:$H$6)</f>
        <v>Up to 500</v>
      </c>
      <c r="Y425" s="1" t="str">
        <f>_xlfn.XLOOKUP(I425,Dictonary!$J$2:$J$6,Dictonary!$K$2:$K$6)</f>
        <v>male : single</v>
      </c>
      <c r="Z425" s="1" t="str">
        <f>_xlfn.XLOOKUP(Q425,Dictonary!$M$2:$M$5,Dictonary!$N$2:$N$5)</f>
        <v>management/ self-employed/ highly qualified employee/ officer</v>
      </c>
      <c r="AA425" s="1" t="str">
        <f>_xlfn.XLOOKUP(O425,Dictonary!$P$2:$P$4,Dictonary!$Q$2:$Q$4)</f>
        <v>own</v>
      </c>
    </row>
    <row r="426" spans="1:27" x14ac:dyDescent="0.3">
      <c r="A426" s="1" t="s">
        <v>35</v>
      </c>
      <c r="B426">
        <v>12</v>
      </c>
      <c r="C426" s="1" t="s">
        <v>36</v>
      </c>
      <c r="D426" s="1" t="s">
        <v>46</v>
      </c>
      <c r="E426">
        <v>2762</v>
      </c>
      <c r="F426" s="1" t="s">
        <v>24</v>
      </c>
      <c r="G426" s="1" t="s">
        <v>25</v>
      </c>
      <c r="H426">
        <v>1</v>
      </c>
      <c r="I426" s="1" t="s">
        <v>39</v>
      </c>
      <c r="J426" s="1" t="s">
        <v>27</v>
      </c>
      <c r="K426">
        <v>2</v>
      </c>
      <c r="L426" s="1" t="s">
        <v>48</v>
      </c>
      <c r="M426">
        <v>25</v>
      </c>
      <c r="N426" s="1" t="s">
        <v>66</v>
      </c>
      <c r="O426" s="1" t="s">
        <v>30</v>
      </c>
      <c r="P426">
        <v>1</v>
      </c>
      <c r="Q426" s="1" t="s">
        <v>31</v>
      </c>
      <c r="R426">
        <v>1</v>
      </c>
      <c r="S426" s="1" t="s">
        <v>32</v>
      </c>
      <c r="T426" s="1" t="s">
        <v>33</v>
      </c>
      <c r="U426" s="1" t="s">
        <v>41</v>
      </c>
      <c r="V426" s="1" t="str">
        <f>_xlfn.XLOOKUP(A426,Dictonary!$A$2:$A$5,Dictonary!$B$2:$B$5)</f>
        <v>Low balance</v>
      </c>
      <c r="W426" s="1" t="str">
        <f>_xlfn.XLOOKUP(D426,Dictonary!$D$2:$D$12,Dictonary!$E$2:$E$12)</f>
        <v>furniture/equipment</v>
      </c>
      <c r="X426" s="1" t="str">
        <f>_xlfn.XLOOKUP(F426,Dictonary!$G$2:$G$6,Dictonary!$H$2:$H$6)</f>
        <v>No information</v>
      </c>
      <c r="Y426" s="1" t="str">
        <f>_xlfn.XLOOKUP(I426,Dictonary!$J$2:$J$6,Dictonary!$K$2:$K$6)</f>
        <v>female : divorced/separated/married</v>
      </c>
      <c r="Z426" s="1" t="str">
        <f>_xlfn.XLOOKUP(Q426,Dictonary!$M$2:$M$5,Dictonary!$N$2:$N$5)</f>
        <v>skilled employee / official</v>
      </c>
      <c r="AA426" s="1" t="str">
        <f>_xlfn.XLOOKUP(O426,Dictonary!$P$2:$P$4,Dictonary!$Q$2:$Q$4)</f>
        <v>own</v>
      </c>
    </row>
    <row r="427" spans="1:27" x14ac:dyDescent="0.3">
      <c r="A427" s="1" t="s">
        <v>35</v>
      </c>
      <c r="B427">
        <v>18</v>
      </c>
      <c r="C427" s="1" t="s">
        <v>36</v>
      </c>
      <c r="D427" s="1" t="s">
        <v>54</v>
      </c>
      <c r="E427">
        <v>2779</v>
      </c>
      <c r="F427" s="1" t="s">
        <v>37</v>
      </c>
      <c r="G427" s="1" t="s">
        <v>38</v>
      </c>
      <c r="H427">
        <v>1</v>
      </c>
      <c r="I427" s="1" t="s">
        <v>61</v>
      </c>
      <c r="J427" s="1" t="s">
        <v>27</v>
      </c>
      <c r="K427">
        <v>3</v>
      </c>
      <c r="L427" s="1" t="s">
        <v>55</v>
      </c>
      <c r="M427">
        <v>21</v>
      </c>
      <c r="N427" s="1" t="s">
        <v>29</v>
      </c>
      <c r="O427" s="1" t="s">
        <v>56</v>
      </c>
      <c r="P427">
        <v>1</v>
      </c>
      <c r="Q427" s="1" t="s">
        <v>31</v>
      </c>
      <c r="R427">
        <v>1</v>
      </c>
      <c r="S427" s="1" t="s">
        <v>32</v>
      </c>
      <c r="T427" s="1" t="s">
        <v>33</v>
      </c>
      <c r="U427" s="1" t="s">
        <v>34</v>
      </c>
      <c r="V427" s="1" t="str">
        <f>_xlfn.XLOOKUP(A427,Dictonary!$A$2:$A$5,Dictonary!$B$2:$B$5)</f>
        <v>Low balance</v>
      </c>
      <c r="W427" s="1" t="str">
        <f>_xlfn.XLOOKUP(D427,Dictonary!$D$2:$D$12,Dictonary!$E$2:$E$12)</f>
        <v>car (used)</v>
      </c>
      <c r="X427" s="1" t="str">
        <f>_xlfn.XLOOKUP(F427,Dictonary!$G$2:$G$6,Dictonary!$H$2:$H$6)</f>
        <v>Less 100</v>
      </c>
      <c r="Y427" s="1" t="str">
        <f>_xlfn.XLOOKUP(I427,Dictonary!$J$2:$J$6,Dictonary!$K$2:$K$6)</f>
        <v>male : married/widowed</v>
      </c>
      <c r="Z427" s="1" t="str">
        <f>_xlfn.XLOOKUP(Q427,Dictonary!$M$2:$M$5,Dictonary!$N$2:$N$5)</f>
        <v>skilled employee / official</v>
      </c>
      <c r="AA427" s="1" t="str">
        <f>_xlfn.XLOOKUP(O427,Dictonary!$P$2:$P$4,Dictonary!$Q$2:$Q$4)</f>
        <v>rent</v>
      </c>
    </row>
    <row r="428" spans="1:27" x14ac:dyDescent="0.3">
      <c r="A428" s="1" t="s">
        <v>42</v>
      </c>
      <c r="B428">
        <v>28</v>
      </c>
      <c r="C428" s="1" t="s">
        <v>22</v>
      </c>
      <c r="D428" s="1" t="s">
        <v>23</v>
      </c>
      <c r="E428">
        <v>2743</v>
      </c>
      <c r="F428" s="1" t="s">
        <v>37</v>
      </c>
      <c r="G428" s="1" t="s">
        <v>25</v>
      </c>
      <c r="H428">
        <v>4</v>
      </c>
      <c r="I428" s="1" t="s">
        <v>26</v>
      </c>
      <c r="J428" s="1" t="s">
        <v>27</v>
      </c>
      <c r="K428">
        <v>2</v>
      </c>
      <c r="L428" s="1" t="s">
        <v>55</v>
      </c>
      <c r="M428">
        <v>29</v>
      </c>
      <c r="N428" s="1" t="s">
        <v>29</v>
      </c>
      <c r="O428" s="1" t="s">
        <v>30</v>
      </c>
      <c r="P428">
        <v>2</v>
      </c>
      <c r="Q428" s="1" t="s">
        <v>31</v>
      </c>
      <c r="R428">
        <v>1</v>
      </c>
      <c r="S428" s="1" t="s">
        <v>40</v>
      </c>
      <c r="T428" s="1" t="s">
        <v>33</v>
      </c>
      <c r="U428" s="1" t="s">
        <v>34</v>
      </c>
      <c r="V428" s="1" t="str">
        <f>_xlfn.XLOOKUP(A428,Dictonary!$A$2:$A$5,Dictonary!$B$2:$B$5)</f>
        <v>No information</v>
      </c>
      <c r="W428" s="1" t="str">
        <f>_xlfn.XLOOKUP(D428,Dictonary!$D$2:$D$12,Dictonary!$E$2:$E$12)</f>
        <v>radio/television</v>
      </c>
      <c r="X428" s="1" t="str">
        <f>_xlfn.XLOOKUP(F428,Dictonary!$G$2:$G$6,Dictonary!$H$2:$H$6)</f>
        <v>Less 100</v>
      </c>
      <c r="Y428" s="1" t="str">
        <f>_xlfn.XLOOKUP(I428,Dictonary!$J$2:$J$6,Dictonary!$K$2:$K$6)</f>
        <v>male : single</v>
      </c>
      <c r="Z428" s="1" t="str">
        <f>_xlfn.XLOOKUP(Q428,Dictonary!$M$2:$M$5,Dictonary!$N$2:$N$5)</f>
        <v>skilled employee / official</v>
      </c>
      <c r="AA428" s="1" t="str">
        <f>_xlfn.XLOOKUP(O428,Dictonary!$P$2:$P$4,Dictonary!$Q$2:$Q$4)</f>
        <v>own</v>
      </c>
    </row>
    <row r="429" spans="1:27" x14ac:dyDescent="0.3">
      <c r="A429" s="1" t="s">
        <v>42</v>
      </c>
      <c r="B429">
        <v>18</v>
      </c>
      <c r="C429" s="1" t="s">
        <v>22</v>
      </c>
      <c r="D429" s="1" t="s">
        <v>23</v>
      </c>
      <c r="E429">
        <v>1149</v>
      </c>
      <c r="F429" s="1" t="s">
        <v>58</v>
      </c>
      <c r="G429" s="1" t="s">
        <v>38</v>
      </c>
      <c r="H429">
        <v>4</v>
      </c>
      <c r="I429" s="1" t="s">
        <v>26</v>
      </c>
      <c r="J429" s="1" t="s">
        <v>27</v>
      </c>
      <c r="K429">
        <v>3</v>
      </c>
      <c r="L429" s="1" t="s">
        <v>28</v>
      </c>
      <c r="M429">
        <v>46</v>
      </c>
      <c r="N429" s="1" t="s">
        <v>29</v>
      </c>
      <c r="O429" s="1" t="s">
        <v>30</v>
      </c>
      <c r="P429">
        <v>2</v>
      </c>
      <c r="Q429" s="1" t="s">
        <v>31</v>
      </c>
      <c r="R429">
        <v>1</v>
      </c>
      <c r="S429" s="1" t="s">
        <v>40</v>
      </c>
      <c r="T429" s="1" t="s">
        <v>33</v>
      </c>
      <c r="U429" s="1" t="s">
        <v>34</v>
      </c>
      <c r="V429" s="1" t="str">
        <f>_xlfn.XLOOKUP(A429,Dictonary!$A$2:$A$5,Dictonary!$B$2:$B$5)</f>
        <v>No information</v>
      </c>
      <c r="W429" s="1" t="str">
        <f>_xlfn.XLOOKUP(D429,Dictonary!$D$2:$D$12,Dictonary!$E$2:$E$12)</f>
        <v>radio/television</v>
      </c>
      <c r="X429" s="1" t="str">
        <f>_xlfn.XLOOKUP(F429,Dictonary!$G$2:$G$6,Dictonary!$H$2:$H$6)</f>
        <v>More 1000</v>
      </c>
      <c r="Y429" s="1" t="str">
        <f>_xlfn.XLOOKUP(I429,Dictonary!$J$2:$J$6,Dictonary!$K$2:$K$6)</f>
        <v>male : single</v>
      </c>
      <c r="Z429" s="1" t="str">
        <f>_xlfn.XLOOKUP(Q429,Dictonary!$M$2:$M$5,Dictonary!$N$2:$N$5)</f>
        <v>skilled employee / official</v>
      </c>
      <c r="AA429" s="1" t="str">
        <f>_xlfn.XLOOKUP(O429,Dictonary!$P$2:$P$4,Dictonary!$Q$2:$Q$4)</f>
        <v>own</v>
      </c>
    </row>
    <row r="430" spans="1:27" x14ac:dyDescent="0.3">
      <c r="A430" s="1" t="s">
        <v>42</v>
      </c>
      <c r="B430">
        <v>9</v>
      </c>
      <c r="C430" s="1" t="s">
        <v>36</v>
      </c>
      <c r="D430" s="1" t="s">
        <v>46</v>
      </c>
      <c r="E430">
        <v>1313</v>
      </c>
      <c r="F430" s="1" t="s">
        <v>37</v>
      </c>
      <c r="G430" s="1" t="s">
        <v>25</v>
      </c>
      <c r="H430">
        <v>1</v>
      </c>
      <c r="I430" s="1" t="s">
        <v>26</v>
      </c>
      <c r="J430" s="1" t="s">
        <v>27</v>
      </c>
      <c r="K430">
        <v>4</v>
      </c>
      <c r="L430" s="1" t="s">
        <v>55</v>
      </c>
      <c r="M430">
        <v>20</v>
      </c>
      <c r="N430" s="1" t="s">
        <v>29</v>
      </c>
      <c r="O430" s="1" t="s">
        <v>30</v>
      </c>
      <c r="P430">
        <v>1</v>
      </c>
      <c r="Q430" s="1" t="s">
        <v>31</v>
      </c>
      <c r="R430">
        <v>1</v>
      </c>
      <c r="S430" s="1" t="s">
        <v>40</v>
      </c>
      <c r="T430" s="1" t="s">
        <v>33</v>
      </c>
      <c r="U430" s="1" t="s">
        <v>34</v>
      </c>
      <c r="V430" s="1" t="str">
        <f>_xlfn.XLOOKUP(A430,Dictonary!$A$2:$A$5,Dictonary!$B$2:$B$5)</f>
        <v>No information</v>
      </c>
      <c r="W430" s="1" t="str">
        <f>_xlfn.XLOOKUP(D430,Dictonary!$D$2:$D$12,Dictonary!$E$2:$E$12)</f>
        <v>furniture/equipment</v>
      </c>
      <c r="X430" s="1" t="str">
        <f>_xlfn.XLOOKUP(F430,Dictonary!$G$2:$G$6,Dictonary!$H$2:$H$6)</f>
        <v>Less 100</v>
      </c>
      <c r="Y430" s="1" t="str">
        <f>_xlfn.XLOOKUP(I430,Dictonary!$J$2:$J$6,Dictonary!$K$2:$K$6)</f>
        <v>male : single</v>
      </c>
      <c r="Z430" s="1" t="str">
        <f>_xlfn.XLOOKUP(Q430,Dictonary!$M$2:$M$5,Dictonary!$N$2:$N$5)</f>
        <v>skilled employee / official</v>
      </c>
      <c r="AA430" s="1" t="str">
        <f>_xlfn.XLOOKUP(O430,Dictonary!$P$2:$P$4,Dictonary!$Q$2:$Q$4)</f>
        <v>own</v>
      </c>
    </row>
    <row r="431" spans="1:27" x14ac:dyDescent="0.3">
      <c r="A431" s="1" t="s">
        <v>21</v>
      </c>
      <c r="B431">
        <v>18</v>
      </c>
      <c r="C431" s="1" t="s">
        <v>22</v>
      </c>
      <c r="D431" s="1" t="s">
        <v>73</v>
      </c>
      <c r="E431">
        <v>1190</v>
      </c>
      <c r="F431" s="1" t="s">
        <v>37</v>
      </c>
      <c r="G431" s="1" t="s">
        <v>60</v>
      </c>
      <c r="H431">
        <v>2</v>
      </c>
      <c r="I431" s="1" t="s">
        <v>39</v>
      </c>
      <c r="J431" s="1" t="s">
        <v>27</v>
      </c>
      <c r="K431">
        <v>4</v>
      </c>
      <c r="L431" s="1" t="s">
        <v>52</v>
      </c>
      <c r="M431">
        <v>55</v>
      </c>
      <c r="N431" s="1" t="s">
        <v>29</v>
      </c>
      <c r="O431" s="1" t="s">
        <v>49</v>
      </c>
      <c r="P431">
        <v>3</v>
      </c>
      <c r="Q431" s="1" t="s">
        <v>74</v>
      </c>
      <c r="R431">
        <v>2</v>
      </c>
      <c r="S431" s="1" t="s">
        <v>40</v>
      </c>
      <c r="T431" s="1" t="s">
        <v>33</v>
      </c>
      <c r="U431" s="1" t="s">
        <v>41</v>
      </c>
      <c r="V431" s="1" t="str">
        <f>_xlfn.XLOOKUP(A431,Dictonary!$A$2:$A$5,Dictonary!$B$2:$B$5)</f>
        <v>Negative balance</v>
      </c>
      <c r="W431" s="1" t="str">
        <f>_xlfn.XLOOKUP(D431,Dictonary!$D$2:$D$12,Dictonary!$E$2:$E$12)</f>
        <v>repairs</v>
      </c>
      <c r="X431" s="1" t="str">
        <f>_xlfn.XLOOKUP(F431,Dictonary!$G$2:$G$6,Dictonary!$H$2:$H$6)</f>
        <v>Less 100</v>
      </c>
      <c r="Y431" s="1" t="str">
        <f>_xlfn.XLOOKUP(I431,Dictonary!$J$2:$J$6,Dictonary!$K$2:$K$6)</f>
        <v>female : divorced/separated/married</v>
      </c>
      <c r="Z431" s="1" t="str">
        <f>_xlfn.XLOOKUP(Q431,Dictonary!$M$2:$M$5,Dictonary!$N$2:$N$5)</f>
        <v>unemployed/ unskilled  - non-resident</v>
      </c>
      <c r="AA431" s="1" t="str">
        <f>_xlfn.XLOOKUP(O431,Dictonary!$P$2:$P$4,Dictonary!$Q$2:$Q$4)</f>
        <v>for free</v>
      </c>
    </row>
    <row r="432" spans="1:27" x14ac:dyDescent="0.3">
      <c r="A432" s="1" t="s">
        <v>42</v>
      </c>
      <c r="B432">
        <v>5</v>
      </c>
      <c r="C432" s="1" t="s">
        <v>36</v>
      </c>
      <c r="D432" s="1" t="s">
        <v>63</v>
      </c>
      <c r="E432">
        <v>3448</v>
      </c>
      <c r="F432" s="1" t="s">
        <v>37</v>
      </c>
      <c r="G432" s="1" t="s">
        <v>44</v>
      </c>
      <c r="H432">
        <v>1</v>
      </c>
      <c r="I432" s="1" t="s">
        <v>26</v>
      </c>
      <c r="J432" s="1" t="s">
        <v>27</v>
      </c>
      <c r="K432">
        <v>4</v>
      </c>
      <c r="L432" s="1" t="s">
        <v>28</v>
      </c>
      <c r="M432">
        <v>74</v>
      </c>
      <c r="N432" s="1" t="s">
        <v>29</v>
      </c>
      <c r="O432" s="1" t="s">
        <v>30</v>
      </c>
      <c r="P432">
        <v>1</v>
      </c>
      <c r="Q432" s="1" t="s">
        <v>45</v>
      </c>
      <c r="R432">
        <v>1</v>
      </c>
      <c r="S432" s="1" t="s">
        <v>40</v>
      </c>
      <c r="T432" s="1" t="s">
        <v>33</v>
      </c>
      <c r="U432" s="1" t="s">
        <v>34</v>
      </c>
      <c r="V432" s="1" t="str">
        <f>_xlfn.XLOOKUP(A432,Dictonary!$A$2:$A$5,Dictonary!$B$2:$B$5)</f>
        <v>No information</v>
      </c>
      <c r="W432" s="1" t="str">
        <f>_xlfn.XLOOKUP(D432,Dictonary!$D$2:$D$12,Dictonary!$E$2:$E$12)</f>
        <v>business</v>
      </c>
      <c r="X432" s="1" t="str">
        <f>_xlfn.XLOOKUP(F432,Dictonary!$G$2:$G$6,Dictonary!$H$2:$H$6)</f>
        <v>Less 100</v>
      </c>
      <c r="Y432" s="1" t="str">
        <f>_xlfn.XLOOKUP(I432,Dictonary!$J$2:$J$6,Dictonary!$K$2:$K$6)</f>
        <v>male : single</v>
      </c>
      <c r="Z432" s="1" t="str">
        <f>_xlfn.XLOOKUP(Q432,Dictonary!$M$2:$M$5,Dictonary!$N$2:$N$5)</f>
        <v>unskilled - resident</v>
      </c>
      <c r="AA432" s="1" t="str">
        <f>_xlfn.XLOOKUP(O432,Dictonary!$P$2:$P$4,Dictonary!$Q$2:$Q$4)</f>
        <v>own</v>
      </c>
    </row>
    <row r="433" spans="1:27" x14ac:dyDescent="0.3">
      <c r="A433" s="1" t="s">
        <v>35</v>
      </c>
      <c r="B433">
        <v>24</v>
      </c>
      <c r="C433" s="1" t="s">
        <v>36</v>
      </c>
      <c r="D433" s="1" t="s">
        <v>75</v>
      </c>
      <c r="E433">
        <v>11328</v>
      </c>
      <c r="F433" s="1" t="s">
        <v>37</v>
      </c>
      <c r="G433" s="1" t="s">
        <v>38</v>
      </c>
      <c r="H433">
        <v>2</v>
      </c>
      <c r="I433" s="1" t="s">
        <v>26</v>
      </c>
      <c r="J433" s="1" t="s">
        <v>71</v>
      </c>
      <c r="K433">
        <v>3</v>
      </c>
      <c r="L433" s="1" t="s">
        <v>55</v>
      </c>
      <c r="M433">
        <v>29</v>
      </c>
      <c r="N433" s="1" t="s">
        <v>66</v>
      </c>
      <c r="O433" s="1" t="s">
        <v>30</v>
      </c>
      <c r="P433">
        <v>2</v>
      </c>
      <c r="Q433" s="1" t="s">
        <v>57</v>
      </c>
      <c r="R433">
        <v>1</v>
      </c>
      <c r="S433" s="1" t="s">
        <v>32</v>
      </c>
      <c r="T433" s="1" t="s">
        <v>33</v>
      </c>
      <c r="U433" s="1" t="s">
        <v>41</v>
      </c>
      <c r="V433" s="1" t="str">
        <f>_xlfn.XLOOKUP(A433,Dictonary!$A$2:$A$5,Dictonary!$B$2:$B$5)</f>
        <v>Low balance</v>
      </c>
      <c r="W433" s="1" t="str">
        <f>_xlfn.XLOOKUP(D433,Dictonary!$D$2:$D$12,Dictonary!$E$2:$E$12)</f>
        <v>others</v>
      </c>
      <c r="X433" s="1" t="str">
        <f>_xlfn.XLOOKUP(F433,Dictonary!$G$2:$G$6,Dictonary!$H$2:$H$6)</f>
        <v>Less 100</v>
      </c>
      <c r="Y433" s="1" t="str">
        <f>_xlfn.XLOOKUP(I433,Dictonary!$J$2:$J$6,Dictonary!$K$2:$K$6)</f>
        <v>male : single</v>
      </c>
      <c r="Z433" s="1" t="str">
        <f>_xlfn.XLOOKUP(Q433,Dictonary!$M$2:$M$5,Dictonary!$N$2:$N$5)</f>
        <v>management/ self-employed/ highly qualified employee/ officer</v>
      </c>
      <c r="AA433" s="1" t="str">
        <f>_xlfn.XLOOKUP(O433,Dictonary!$P$2:$P$4,Dictonary!$Q$2:$Q$4)</f>
        <v>own</v>
      </c>
    </row>
    <row r="434" spans="1:27" x14ac:dyDescent="0.3">
      <c r="A434" s="1" t="s">
        <v>21</v>
      </c>
      <c r="B434">
        <v>6</v>
      </c>
      <c r="C434" s="1" t="s">
        <v>22</v>
      </c>
      <c r="D434" s="1" t="s">
        <v>46</v>
      </c>
      <c r="E434">
        <v>1872</v>
      </c>
      <c r="F434" s="1" t="s">
        <v>37</v>
      </c>
      <c r="G434" s="1" t="s">
        <v>60</v>
      </c>
      <c r="H434">
        <v>4</v>
      </c>
      <c r="I434" s="1" t="s">
        <v>26</v>
      </c>
      <c r="J434" s="1" t="s">
        <v>27</v>
      </c>
      <c r="K434">
        <v>4</v>
      </c>
      <c r="L434" s="1" t="s">
        <v>52</v>
      </c>
      <c r="M434">
        <v>36</v>
      </c>
      <c r="N434" s="1" t="s">
        <v>29</v>
      </c>
      <c r="O434" s="1" t="s">
        <v>49</v>
      </c>
      <c r="P434">
        <v>3</v>
      </c>
      <c r="Q434" s="1" t="s">
        <v>57</v>
      </c>
      <c r="R434">
        <v>1</v>
      </c>
      <c r="S434" s="1" t="s">
        <v>32</v>
      </c>
      <c r="T434" s="1" t="s">
        <v>33</v>
      </c>
      <c r="U434" s="1" t="s">
        <v>34</v>
      </c>
      <c r="V434" s="1" t="str">
        <f>_xlfn.XLOOKUP(A434,Dictonary!$A$2:$A$5,Dictonary!$B$2:$B$5)</f>
        <v>Negative balance</v>
      </c>
      <c r="W434" s="1" t="str">
        <f>_xlfn.XLOOKUP(D434,Dictonary!$D$2:$D$12,Dictonary!$E$2:$E$12)</f>
        <v>furniture/equipment</v>
      </c>
      <c r="X434" s="1" t="str">
        <f>_xlfn.XLOOKUP(F434,Dictonary!$G$2:$G$6,Dictonary!$H$2:$H$6)</f>
        <v>Less 100</v>
      </c>
      <c r="Y434" s="1" t="str">
        <f>_xlfn.XLOOKUP(I434,Dictonary!$J$2:$J$6,Dictonary!$K$2:$K$6)</f>
        <v>male : single</v>
      </c>
      <c r="Z434" s="1" t="str">
        <f>_xlfn.XLOOKUP(Q434,Dictonary!$M$2:$M$5,Dictonary!$N$2:$N$5)</f>
        <v>management/ self-employed/ highly qualified employee/ officer</v>
      </c>
      <c r="AA434" s="1" t="str">
        <f>_xlfn.XLOOKUP(O434,Dictonary!$P$2:$P$4,Dictonary!$Q$2:$Q$4)</f>
        <v>for free</v>
      </c>
    </row>
    <row r="435" spans="1:27" x14ac:dyDescent="0.3">
      <c r="A435" s="1" t="s">
        <v>42</v>
      </c>
      <c r="B435">
        <v>24</v>
      </c>
      <c r="C435" s="1" t="s">
        <v>22</v>
      </c>
      <c r="D435" s="1" t="s">
        <v>73</v>
      </c>
      <c r="E435">
        <v>2058</v>
      </c>
      <c r="F435" s="1" t="s">
        <v>37</v>
      </c>
      <c r="G435" s="1" t="s">
        <v>38</v>
      </c>
      <c r="H435">
        <v>4</v>
      </c>
      <c r="I435" s="1" t="s">
        <v>59</v>
      </c>
      <c r="J435" s="1" t="s">
        <v>27</v>
      </c>
      <c r="K435">
        <v>2</v>
      </c>
      <c r="L435" s="1" t="s">
        <v>28</v>
      </c>
      <c r="M435">
        <v>33</v>
      </c>
      <c r="N435" s="1" t="s">
        <v>29</v>
      </c>
      <c r="O435" s="1" t="s">
        <v>30</v>
      </c>
      <c r="P435">
        <v>2</v>
      </c>
      <c r="Q435" s="1" t="s">
        <v>31</v>
      </c>
      <c r="R435">
        <v>1</v>
      </c>
      <c r="S435" s="1" t="s">
        <v>32</v>
      </c>
      <c r="T435" s="1" t="s">
        <v>33</v>
      </c>
      <c r="U435" s="1" t="s">
        <v>34</v>
      </c>
      <c r="V435" s="1" t="str">
        <f>_xlfn.XLOOKUP(A435,Dictonary!$A$2:$A$5,Dictonary!$B$2:$B$5)</f>
        <v>No information</v>
      </c>
      <c r="W435" s="1" t="str">
        <f>_xlfn.XLOOKUP(D435,Dictonary!$D$2:$D$12,Dictonary!$E$2:$E$12)</f>
        <v>repairs</v>
      </c>
      <c r="X435" s="1" t="str">
        <f>_xlfn.XLOOKUP(F435,Dictonary!$G$2:$G$6,Dictonary!$H$2:$H$6)</f>
        <v>Less 100</v>
      </c>
      <c r="Y435" s="1" t="str">
        <f>_xlfn.XLOOKUP(I435,Dictonary!$J$2:$J$6,Dictonary!$K$2:$K$6)</f>
        <v>male : divorced/separated</v>
      </c>
      <c r="Z435" s="1" t="str">
        <f>_xlfn.XLOOKUP(Q435,Dictonary!$M$2:$M$5,Dictonary!$N$2:$N$5)</f>
        <v>skilled employee / official</v>
      </c>
      <c r="AA435" s="1" t="str">
        <f>_xlfn.XLOOKUP(O435,Dictonary!$P$2:$P$4,Dictonary!$Q$2:$Q$4)</f>
        <v>own</v>
      </c>
    </row>
    <row r="436" spans="1:27" x14ac:dyDescent="0.3">
      <c r="A436" s="1" t="s">
        <v>21</v>
      </c>
      <c r="B436">
        <v>9</v>
      </c>
      <c r="C436" s="1" t="s">
        <v>36</v>
      </c>
      <c r="D436" s="1" t="s">
        <v>46</v>
      </c>
      <c r="E436">
        <v>2136</v>
      </c>
      <c r="F436" s="1" t="s">
        <v>37</v>
      </c>
      <c r="G436" s="1" t="s">
        <v>38</v>
      </c>
      <c r="H436">
        <v>3</v>
      </c>
      <c r="I436" s="1" t="s">
        <v>26</v>
      </c>
      <c r="J436" s="1" t="s">
        <v>27</v>
      </c>
      <c r="K436">
        <v>2</v>
      </c>
      <c r="L436" s="1" t="s">
        <v>28</v>
      </c>
      <c r="M436">
        <v>25</v>
      </c>
      <c r="N436" s="1" t="s">
        <v>29</v>
      </c>
      <c r="O436" s="1" t="s">
        <v>30</v>
      </c>
      <c r="P436">
        <v>1</v>
      </c>
      <c r="Q436" s="1" t="s">
        <v>31</v>
      </c>
      <c r="R436">
        <v>1</v>
      </c>
      <c r="S436" s="1" t="s">
        <v>40</v>
      </c>
      <c r="T436" s="1" t="s">
        <v>33</v>
      </c>
      <c r="U436" s="1" t="s">
        <v>34</v>
      </c>
      <c r="V436" s="1" t="str">
        <f>_xlfn.XLOOKUP(A436,Dictonary!$A$2:$A$5,Dictonary!$B$2:$B$5)</f>
        <v>Negative balance</v>
      </c>
      <c r="W436" s="1" t="str">
        <f>_xlfn.XLOOKUP(D436,Dictonary!$D$2:$D$12,Dictonary!$E$2:$E$12)</f>
        <v>furniture/equipment</v>
      </c>
      <c r="X436" s="1" t="str">
        <f>_xlfn.XLOOKUP(F436,Dictonary!$G$2:$G$6,Dictonary!$H$2:$H$6)</f>
        <v>Less 100</v>
      </c>
      <c r="Y436" s="1" t="str">
        <f>_xlfn.XLOOKUP(I436,Dictonary!$J$2:$J$6,Dictonary!$K$2:$K$6)</f>
        <v>male : single</v>
      </c>
      <c r="Z436" s="1" t="str">
        <f>_xlfn.XLOOKUP(Q436,Dictonary!$M$2:$M$5,Dictonary!$N$2:$N$5)</f>
        <v>skilled employee / official</v>
      </c>
      <c r="AA436" s="1" t="str">
        <f>_xlfn.XLOOKUP(O436,Dictonary!$P$2:$P$4,Dictonary!$Q$2:$Q$4)</f>
        <v>own</v>
      </c>
    </row>
    <row r="437" spans="1:27" x14ac:dyDescent="0.3">
      <c r="A437" s="1" t="s">
        <v>35</v>
      </c>
      <c r="B437">
        <v>12</v>
      </c>
      <c r="C437" s="1" t="s">
        <v>36</v>
      </c>
      <c r="D437" s="1" t="s">
        <v>23</v>
      </c>
      <c r="E437">
        <v>1484</v>
      </c>
      <c r="F437" s="1" t="s">
        <v>24</v>
      </c>
      <c r="G437" s="1" t="s">
        <v>38</v>
      </c>
      <c r="H437">
        <v>2</v>
      </c>
      <c r="I437" s="1" t="s">
        <v>61</v>
      </c>
      <c r="J437" s="1" t="s">
        <v>27</v>
      </c>
      <c r="K437">
        <v>1</v>
      </c>
      <c r="L437" s="1" t="s">
        <v>28</v>
      </c>
      <c r="M437">
        <v>25</v>
      </c>
      <c r="N437" s="1" t="s">
        <v>29</v>
      </c>
      <c r="O437" s="1" t="s">
        <v>30</v>
      </c>
      <c r="P437">
        <v>1</v>
      </c>
      <c r="Q437" s="1" t="s">
        <v>31</v>
      </c>
      <c r="R437">
        <v>1</v>
      </c>
      <c r="S437" s="1" t="s">
        <v>32</v>
      </c>
      <c r="T437" s="1" t="s">
        <v>33</v>
      </c>
      <c r="U437" s="1" t="s">
        <v>41</v>
      </c>
      <c r="V437" s="1" t="str">
        <f>_xlfn.XLOOKUP(A437,Dictonary!$A$2:$A$5,Dictonary!$B$2:$B$5)</f>
        <v>Low balance</v>
      </c>
      <c r="W437" s="1" t="str">
        <f>_xlfn.XLOOKUP(D437,Dictonary!$D$2:$D$12,Dictonary!$E$2:$E$12)</f>
        <v>radio/television</v>
      </c>
      <c r="X437" s="1" t="str">
        <f>_xlfn.XLOOKUP(F437,Dictonary!$G$2:$G$6,Dictonary!$H$2:$H$6)</f>
        <v>No information</v>
      </c>
      <c r="Y437" s="1" t="str">
        <f>_xlfn.XLOOKUP(I437,Dictonary!$J$2:$J$6,Dictonary!$K$2:$K$6)</f>
        <v>male : married/widowed</v>
      </c>
      <c r="Z437" s="1" t="str">
        <f>_xlfn.XLOOKUP(Q437,Dictonary!$M$2:$M$5,Dictonary!$N$2:$N$5)</f>
        <v>skilled employee / official</v>
      </c>
      <c r="AA437" s="1" t="str">
        <f>_xlfn.XLOOKUP(O437,Dictonary!$P$2:$P$4,Dictonary!$Q$2:$Q$4)</f>
        <v>own</v>
      </c>
    </row>
    <row r="438" spans="1:27" x14ac:dyDescent="0.3">
      <c r="A438" s="1" t="s">
        <v>42</v>
      </c>
      <c r="B438">
        <v>6</v>
      </c>
      <c r="C438" s="1" t="s">
        <v>36</v>
      </c>
      <c r="D438" s="1" t="s">
        <v>73</v>
      </c>
      <c r="E438">
        <v>660</v>
      </c>
      <c r="F438" s="1" t="s">
        <v>53</v>
      </c>
      <c r="G438" s="1" t="s">
        <v>44</v>
      </c>
      <c r="H438">
        <v>2</v>
      </c>
      <c r="I438" s="1" t="s">
        <v>61</v>
      </c>
      <c r="J438" s="1" t="s">
        <v>27</v>
      </c>
      <c r="K438">
        <v>4</v>
      </c>
      <c r="L438" s="1" t="s">
        <v>28</v>
      </c>
      <c r="M438">
        <v>23</v>
      </c>
      <c r="N438" s="1" t="s">
        <v>29</v>
      </c>
      <c r="O438" s="1" t="s">
        <v>56</v>
      </c>
      <c r="P438">
        <v>1</v>
      </c>
      <c r="Q438" s="1" t="s">
        <v>45</v>
      </c>
      <c r="R438">
        <v>1</v>
      </c>
      <c r="S438" s="1" t="s">
        <v>40</v>
      </c>
      <c r="T438" s="1" t="s">
        <v>33</v>
      </c>
      <c r="U438" s="1" t="s">
        <v>34</v>
      </c>
      <c r="V438" s="1" t="str">
        <f>_xlfn.XLOOKUP(A438,Dictonary!$A$2:$A$5,Dictonary!$B$2:$B$5)</f>
        <v>No information</v>
      </c>
      <c r="W438" s="1" t="str">
        <f>_xlfn.XLOOKUP(D438,Dictonary!$D$2:$D$12,Dictonary!$E$2:$E$12)</f>
        <v>repairs</v>
      </c>
      <c r="X438" s="1" t="str">
        <f>_xlfn.XLOOKUP(F438,Dictonary!$G$2:$G$6,Dictonary!$H$2:$H$6)</f>
        <v>Up to 1000</v>
      </c>
      <c r="Y438" s="1" t="str">
        <f>_xlfn.XLOOKUP(I438,Dictonary!$J$2:$J$6,Dictonary!$K$2:$K$6)</f>
        <v>male : married/widowed</v>
      </c>
      <c r="Z438" s="1" t="str">
        <f>_xlfn.XLOOKUP(Q438,Dictonary!$M$2:$M$5,Dictonary!$N$2:$N$5)</f>
        <v>unskilled - resident</v>
      </c>
      <c r="AA438" s="1" t="str">
        <f>_xlfn.XLOOKUP(O438,Dictonary!$P$2:$P$4,Dictonary!$Q$2:$Q$4)</f>
        <v>rent</v>
      </c>
    </row>
    <row r="439" spans="1:27" x14ac:dyDescent="0.3">
      <c r="A439" s="1" t="s">
        <v>42</v>
      </c>
      <c r="B439">
        <v>24</v>
      </c>
      <c r="C439" s="1" t="s">
        <v>22</v>
      </c>
      <c r="D439" s="1" t="s">
        <v>51</v>
      </c>
      <c r="E439">
        <v>1287</v>
      </c>
      <c r="F439" s="1" t="s">
        <v>58</v>
      </c>
      <c r="G439" s="1" t="s">
        <v>25</v>
      </c>
      <c r="H439">
        <v>4</v>
      </c>
      <c r="I439" s="1" t="s">
        <v>39</v>
      </c>
      <c r="J439" s="1" t="s">
        <v>27</v>
      </c>
      <c r="K439">
        <v>4</v>
      </c>
      <c r="L439" s="1" t="s">
        <v>28</v>
      </c>
      <c r="M439">
        <v>37</v>
      </c>
      <c r="N439" s="1" t="s">
        <v>29</v>
      </c>
      <c r="O439" s="1" t="s">
        <v>30</v>
      </c>
      <c r="P439">
        <v>2</v>
      </c>
      <c r="Q439" s="1" t="s">
        <v>31</v>
      </c>
      <c r="R439">
        <v>1</v>
      </c>
      <c r="S439" s="1" t="s">
        <v>32</v>
      </c>
      <c r="T439" s="1" t="s">
        <v>33</v>
      </c>
      <c r="U439" s="1" t="s">
        <v>34</v>
      </c>
      <c r="V439" s="1" t="str">
        <f>_xlfn.XLOOKUP(A439,Dictonary!$A$2:$A$5,Dictonary!$B$2:$B$5)</f>
        <v>No information</v>
      </c>
      <c r="W439" s="1" t="str">
        <f>_xlfn.XLOOKUP(D439,Dictonary!$D$2:$D$12,Dictonary!$E$2:$E$12)</f>
        <v>car (new)</v>
      </c>
      <c r="X439" s="1" t="str">
        <f>_xlfn.XLOOKUP(F439,Dictonary!$G$2:$G$6,Dictonary!$H$2:$H$6)</f>
        <v>More 1000</v>
      </c>
      <c r="Y439" s="1" t="str">
        <f>_xlfn.XLOOKUP(I439,Dictonary!$J$2:$J$6,Dictonary!$K$2:$K$6)</f>
        <v>female : divorced/separated/married</v>
      </c>
      <c r="Z439" s="1" t="str">
        <f>_xlfn.XLOOKUP(Q439,Dictonary!$M$2:$M$5,Dictonary!$N$2:$N$5)</f>
        <v>skilled employee / official</v>
      </c>
      <c r="AA439" s="1" t="str">
        <f>_xlfn.XLOOKUP(O439,Dictonary!$P$2:$P$4,Dictonary!$Q$2:$Q$4)</f>
        <v>own</v>
      </c>
    </row>
    <row r="440" spans="1:27" x14ac:dyDescent="0.3">
      <c r="A440" s="1" t="s">
        <v>21</v>
      </c>
      <c r="B440">
        <v>42</v>
      </c>
      <c r="C440" s="1" t="s">
        <v>22</v>
      </c>
      <c r="D440" s="1" t="s">
        <v>73</v>
      </c>
      <c r="E440">
        <v>3394</v>
      </c>
      <c r="F440" s="1" t="s">
        <v>37</v>
      </c>
      <c r="G440" s="1" t="s">
        <v>60</v>
      </c>
      <c r="H440">
        <v>4</v>
      </c>
      <c r="I440" s="1" t="s">
        <v>26</v>
      </c>
      <c r="J440" s="1" t="s">
        <v>71</v>
      </c>
      <c r="K440">
        <v>4</v>
      </c>
      <c r="L440" s="1" t="s">
        <v>55</v>
      </c>
      <c r="M440">
        <v>65</v>
      </c>
      <c r="N440" s="1" t="s">
        <v>29</v>
      </c>
      <c r="O440" s="1" t="s">
        <v>30</v>
      </c>
      <c r="P440">
        <v>2</v>
      </c>
      <c r="Q440" s="1" t="s">
        <v>74</v>
      </c>
      <c r="R440">
        <v>1</v>
      </c>
      <c r="S440" s="1" t="s">
        <v>40</v>
      </c>
      <c r="T440" s="1" t="s">
        <v>33</v>
      </c>
      <c r="U440" s="1" t="s">
        <v>34</v>
      </c>
      <c r="V440" s="1" t="str">
        <f>_xlfn.XLOOKUP(A440,Dictonary!$A$2:$A$5,Dictonary!$B$2:$B$5)</f>
        <v>Negative balance</v>
      </c>
      <c r="W440" s="1" t="str">
        <f>_xlfn.XLOOKUP(D440,Dictonary!$D$2:$D$12,Dictonary!$E$2:$E$12)</f>
        <v>repairs</v>
      </c>
      <c r="X440" s="1" t="str">
        <f>_xlfn.XLOOKUP(F440,Dictonary!$G$2:$G$6,Dictonary!$H$2:$H$6)</f>
        <v>Less 100</v>
      </c>
      <c r="Y440" s="1" t="str">
        <f>_xlfn.XLOOKUP(I440,Dictonary!$J$2:$J$6,Dictonary!$K$2:$K$6)</f>
        <v>male : single</v>
      </c>
      <c r="Z440" s="1" t="str">
        <f>_xlfn.XLOOKUP(Q440,Dictonary!$M$2:$M$5,Dictonary!$N$2:$N$5)</f>
        <v>unemployed/ unskilled  - non-resident</v>
      </c>
      <c r="AA440" s="1" t="str">
        <f>_xlfn.XLOOKUP(O440,Dictonary!$P$2:$P$4,Dictonary!$Q$2:$Q$4)</f>
        <v>own</v>
      </c>
    </row>
    <row r="441" spans="1:27" x14ac:dyDescent="0.3">
      <c r="A441" s="1" t="s">
        <v>68</v>
      </c>
      <c r="B441">
        <v>12</v>
      </c>
      <c r="C441" s="1" t="s">
        <v>69</v>
      </c>
      <c r="D441" s="1" t="s">
        <v>63</v>
      </c>
      <c r="E441">
        <v>609</v>
      </c>
      <c r="F441" s="1" t="s">
        <v>37</v>
      </c>
      <c r="G441" s="1" t="s">
        <v>62</v>
      </c>
      <c r="H441">
        <v>4</v>
      </c>
      <c r="I441" s="1" t="s">
        <v>39</v>
      </c>
      <c r="J441" s="1" t="s">
        <v>27</v>
      </c>
      <c r="K441">
        <v>1</v>
      </c>
      <c r="L441" s="1" t="s">
        <v>28</v>
      </c>
      <c r="M441">
        <v>26</v>
      </c>
      <c r="N441" s="1" t="s">
        <v>29</v>
      </c>
      <c r="O441" s="1" t="s">
        <v>30</v>
      </c>
      <c r="P441">
        <v>1</v>
      </c>
      <c r="Q441" s="1" t="s">
        <v>74</v>
      </c>
      <c r="R441">
        <v>1</v>
      </c>
      <c r="S441" s="1" t="s">
        <v>40</v>
      </c>
      <c r="T441" s="1" t="s">
        <v>33</v>
      </c>
      <c r="U441" s="1" t="s">
        <v>41</v>
      </c>
      <c r="V441" s="1" t="str">
        <f>_xlfn.XLOOKUP(A441,Dictonary!$A$2:$A$5,Dictonary!$B$2:$B$5)</f>
        <v>Normal balance</v>
      </c>
      <c r="W441" s="1" t="str">
        <f>_xlfn.XLOOKUP(D441,Dictonary!$D$2:$D$12,Dictonary!$E$2:$E$12)</f>
        <v>business</v>
      </c>
      <c r="X441" s="1" t="str">
        <f>_xlfn.XLOOKUP(F441,Dictonary!$G$2:$G$6,Dictonary!$H$2:$H$6)</f>
        <v>Less 100</v>
      </c>
      <c r="Y441" s="1" t="str">
        <f>_xlfn.XLOOKUP(I441,Dictonary!$J$2:$J$6,Dictonary!$K$2:$K$6)</f>
        <v>female : divorced/separated/married</v>
      </c>
      <c r="Z441" s="1" t="str">
        <f>_xlfn.XLOOKUP(Q441,Dictonary!$M$2:$M$5,Dictonary!$N$2:$N$5)</f>
        <v>unemployed/ unskilled  - non-resident</v>
      </c>
      <c r="AA441" s="1" t="str">
        <f>_xlfn.XLOOKUP(O441,Dictonary!$P$2:$P$4,Dictonary!$Q$2:$Q$4)</f>
        <v>own</v>
      </c>
    </row>
    <row r="442" spans="1:27" x14ac:dyDescent="0.3">
      <c r="A442" s="1" t="s">
        <v>42</v>
      </c>
      <c r="B442">
        <v>12</v>
      </c>
      <c r="C442" s="1" t="s">
        <v>36</v>
      </c>
      <c r="D442" s="1" t="s">
        <v>51</v>
      </c>
      <c r="E442">
        <v>1884</v>
      </c>
      <c r="F442" s="1" t="s">
        <v>37</v>
      </c>
      <c r="G442" s="1" t="s">
        <v>25</v>
      </c>
      <c r="H442">
        <v>4</v>
      </c>
      <c r="I442" s="1" t="s">
        <v>26</v>
      </c>
      <c r="J442" s="1" t="s">
        <v>27</v>
      </c>
      <c r="K442">
        <v>4</v>
      </c>
      <c r="L442" s="1" t="s">
        <v>55</v>
      </c>
      <c r="M442">
        <v>39</v>
      </c>
      <c r="N442" s="1" t="s">
        <v>29</v>
      </c>
      <c r="O442" s="1" t="s">
        <v>30</v>
      </c>
      <c r="P442">
        <v>1</v>
      </c>
      <c r="Q442" s="1" t="s">
        <v>57</v>
      </c>
      <c r="R442">
        <v>1</v>
      </c>
      <c r="S442" s="1" t="s">
        <v>32</v>
      </c>
      <c r="T442" s="1" t="s">
        <v>33</v>
      </c>
      <c r="U442" s="1" t="s">
        <v>34</v>
      </c>
      <c r="V442" s="1" t="str">
        <f>_xlfn.XLOOKUP(A442,Dictonary!$A$2:$A$5,Dictonary!$B$2:$B$5)</f>
        <v>No information</v>
      </c>
      <c r="W442" s="1" t="str">
        <f>_xlfn.XLOOKUP(D442,Dictonary!$D$2:$D$12,Dictonary!$E$2:$E$12)</f>
        <v>car (new)</v>
      </c>
      <c r="X442" s="1" t="str">
        <f>_xlfn.XLOOKUP(F442,Dictonary!$G$2:$G$6,Dictonary!$H$2:$H$6)</f>
        <v>Less 100</v>
      </c>
      <c r="Y442" s="1" t="str">
        <f>_xlfn.XLOOKUP(I442,Dictonary!$J$2:$J$6,Dictonary!$K$2:$K$6)</f>
        <v>male : single</v>
      </c>
      <c r="Z442" s="1" t="str">
        <f>_xlfn.XLOOKUP(Q442,Dictonary!$M$2:$M$5,Dictonary!$N$2:$N$5)</f>
        <v>management/ self-employed/ highly qualified employee/ officer</v>
      </c>
      <c r="AA442" s="1" t="str">
        <f>_xlfn.XLOOKUP(O442,Dictonary!$P$2:$P$4,Dictonary!$Q$2:$Q$4)</f>
        <v>own</v>
      </c>
    </row>
    <row r="443" spans="1:27" x14ac:dyDescent="0.3">
      <c r="A443" s="1" t="s">
        <v>21</v>
      </c>
      <c r="B443">
        <v>12</v>
      </c>
      <c r="C443" s="1" t="s">
        <v>36</v>
      </c>
      <c r="D443" s="1" t="s">
        <v>46</v>
      </c>
      <c r="E443">
        <v>1620</v>
      </c>
      <c r="F443" s="1" t="s">
        <v>37</v>
      </c>
      <c r="G443" s="1" t="s">
        <v>38</v>
      </c>
      <c r="H443">
        <v>2</v>
      </c>
      <c r="I443" s="1" t="s">
        <v>39</v>
      </c>
      <c r="J443" s="1" t="s">
        <v>71</v>
      </c>
      <c r="K443">
        <v>3</v>
      </c>
      <c r="L443" s="1" t="s">
        <v>48</v>
      </c>
      <c r="M443">
        <v>30</v>
      </c>
      <c r="N443" s="1" t="s">
        <v>29</v>
      </c>
      <c r="O443" s="1" t="s">
        <v>30</v>
      </c>
      <c r="P443">
        <v>1</v>
      </c>
      <c r="Q443" s="1" t="s">
        <v>31</v>
      </c>
      <c r="R443">
        <v>1</v>
      </c>
      <c r="S443" s="1" t="s">
        <v>40</v>
      </c>
      <c r="T443" s="1" t="s">
        <v>33</v>
      </c>
      <c r="U443" s="1" t="s">
        <v>34</v>
      </c>
      <c r="V443" s="1" t="str">
        <f>_xlfn.XLOOKUP(A443,Dictonary!$A$2:$A$5,Dictonary!$B$2:$B$5)</f>
        <v>Negative balance</v>
      </c>
      <c r="W443" s="1" t="str">
        <f>_xlfn.XLOOKUP(D443,Dictonary!$D$2:$D$12,Dictonary!$E$2:$E$12)</f>
        <v>furniture/equipment</v>
      </c>
      <c r="X443" s="1" t="str">
        <f>_xlfn.XLOOKUP(F443,Dictonary!$G$2:$G$6,Dictonary!$H$2:$H$6)</f>
        <v>Less 100</v>
      </c>
      <c r="Y443" s="1" t="str">
        <f>_xlfn.XLOOKUP(I443,Dictonary!$J$2:$J$6,Dictonary!$K$2:$K$6)</f>
        <v>female : divorced/separated/married</v>
      </c>
      <c r="Z443" s="1" t="str">
        <f>_xlfn.XLOOKUP(Q443,Dictonary!$M$2:$M$5,Dictonary!$N$2:$N$5)</f>
        <v>skilled employee / official</v>
      </c>
      <c r="AA443" s="1" t="str">
        <f>_xlfn.XLOOKUP(O443,Dictonary!$P$2:$P$4,Dictonary!$Q$2:$Q$4)</f>
        <v>own</v>
      </c>
    </row>
    <row r="444" spans="1:27" x14ac:dyDescent="0.3">
      <c r="A444" s="1" t="s">
        <v>35</v>
      </c>
      <c r="B444">
        <v>20</v>
      </c>
      <c r="C444" s="1" t="s">
        <v>50</v>
      </c>
      <c r="D444" s="1" t="s">
        <v>75</v>
      </c>
      <c r="E444">
        <v>2629</v>
      </c>
      <c r="F444" s="1" t="s">
        <v>37</v>
      </c>
      <c r="G444" s="1" t="s">
        <v>38</v>
      </c>
      <c r="H444">
        <v>2</v>
      </c>
      <c r="I444" s="1" t="s">
        <v>26</v>
      </c>
      <c r="J444" s="1" t="s">
        <v>27</v>
      </c>
      <c r="K444">
        <v>3</v>
      </c>
      <c r="L444" s="1" t="s">
        <v>55</v>
      </c>
      <c r="M444">
        <v>29</v>
      </c>
      <c r="N444" s="1" t="s">
        <v>66</v>
      </c>
      <c r="O444" s="1" t="s">
        <v>30</v>
      </c>
      <c r="P444">
        <v>2</v>
      </c>
      <c r="Q444" s="1" t="s">
        <v>31</v>
      </c>
      <c r="R444">
        <v>1</v>
      </c>
      <c r="S444" s="1" t="s">
        <v>32</v>
      </c>
      <c r="T444" s="1" t="s">
        <v>33</v>
      </c>
      <c r="U444" s="1" t="s">
        <v>34</v>
      </c>
      <c r="V444" s="1" t="str">
        <f>_xlfn.XLOOKUP(A444,Dictonary!$A$2:$A$5,Dictonary!$B$2:$B$5)</f>
        <v>Low balance</v>
      </c>
      <c r="W444" s="1" t="str">
        <f>_xlfn.XLOOKUP(D444,Dictonary!$D$2:$D$12,Dictonary!$E$2:$E$12)</f>
        <v>others</v>
      </c>
      <c r="X444" s="1" t="str">
        <f>_xlfn.XLOOKUP(F444,Dictonary!$G$2:$G$6,Dictonary!$H$2:$H$6)</f>
        <v>Less 100</v>
      </c>
      <c r="Y444" s="1" t="str">
        <f>_xlfn.XLOOKUP(I444,Dictonary!$J$2:$J$6,Dictonary!$K$2:$K$6)</f>
        <v>male : single</v>
      </c>
      <c r="Z444" s="1" t="str">
        <f>_xlfn.XLOOKUP(Q444,Dictonary!$M$2:$M$5,Dictonary!$N$2:$N$5)</f>
        <v>skilled employee / official</v>
      </c>
      <c r="AA444" s="1" t="str">
        <f>_xlfn.XLOOKUP(O444,Dictonary!$P$2:$P$4,Dictonary!$Q$2:$Q$4)</f>
        <v>own</v>
      </c>
    </row>
    <row r="445" spans="1:27" x14ac:dyDescent="0.3">
      <c r="A445" s="1" t="s">
        <v>42</v>
      </c>
      <c r="B445">
        <v>12</v>
      </c>
      <c r="C445" s="1" t="s">
        <v>36</v>
      </c>
      <c r="D445" s="1" t="s">
        <v>43</v>
      </c>
      <c r="E445">
        <v>719</v>
      </c>
      <c r="F445" s="1" t="s">
        <v>37</v>
      </c>
      <c r="G445" s="1" t="s">
        <v>25</v>
      </c>
      <c r="H445">
        <v>4</v>
      </c>
      <c r="I445" s="1" t="s">
        <v>26</v>
      </c>
      <c r="J445" s="1" t="s">
        <v>27</v>
      </c>
      <c r="K445">
        <v>4</v>
      </c>
      <c r="L445" s="1" t="s">
        <v>55</v>
      </c>
      <c r="M445">
        <v>41</v>
      </c>
      <c r="N445" s="1" t="s">
        <v>66</v>
      </c>
      <c r="O445" s="1" t="s">
        <v>30</v>
      </c>
      <c r="P445">
        <v>1</v>
      </c>
      <c r="Q445" s="1" t="s">
        <v>45</v>
      </c>
      <c r="R445">
        <v>2</v>
      </c>
      <c r="S445" s="1" t="s">
        <v>40</v>
      </c>
      <c r="T445" s="1" t="s">
        <v>33</v>
      </c>
      <c r="U445" s="1" t="s">
        <v>41</v>
      </c>
      <c r="V445" s="1" t="str">
        <f>_xlfn.XLOOKUP(A445,Dictonary!$A$2:$A$5,Dictonary!$B$2:$B$5)</f>
        <v>No information</v>
      </c>
      <c r="W445" s="1" t="str">
        <f>_xlfn.XLOOKUP(D445,Dictonary!$D$2:$D$12,Dictonary!$E$2:$E$12)</f>
        <v>education</v>
      </c>
      <c r="X445" s="1" t="str">
        <f>_xlfn.XLOOKUP(F445,Dictonary!$G$2:$G$6,Dictonary!$H$2:$H$6)</f>
        <v>Less 100</v>
      </c>
      <c r="Y445" s="1" t="str">
        <f>_xlfn.XLOOKUP(I445,Dictonary!$J$2:$J$6,Dictonary!$K$2:$K$6)</f>
        <v>male : single</v>
      </c>
      <c r="Z445" s="1" t="str">
        <f>_xlfn.XLOOKUP(Q445,Dictonary!$M$2:$M$5,Dictonary!$N$2:$N$5)</f>
        <v>unskilled - resident</v>
      </c>
      <c r="AA445" s="1" t="str">
        <f>_xlfn.XLOOKUP(O445,Dictonary!$P$2:$P$4,Dictonary!$Q$2:$Q$4)</f>
        <v>own</v>
      </c>
    </row>
    <row r="446" spans="1:27" x14ac:dyDescent="0.3">
      <c r="A446" s="1" t="s">
        <v>35</v>
      </c>
      <c r="B446">
        <v>48</v>
      </c>
      <c r="C446" s="1" t="s">
        <v>22</v>
      </c>
      <c r="D446" s="1" t="s">
        <v>46</v>
      </c>
      <c r="E446">
        <v>5096</v>
      </c>
      <c r="F446" s="1" t="s">
        <v>37</v>
      </c>
      <c r="G446" s="1" t="s">
        <v>38</v>
      </c>
      <c r="H446">
        <v>2</v>
      </c>
      <c r="I446" s="1" t="s">
        <v>39</v>
      </c>
      <c r="J446" s="1" t="s">
        <v>27</v>
      </c>
      <c r="K446">
        <v>3</v>
      </c>
      <c r="L446" s="1" t="s">
        <v>55</v>
      </c>
      <c r="M446">
        <v>30</v>
      </c>
      <c r="N446" s="1" t="s">
        <v>29</v>
      </c>
      <c r="O446" s="1" t="s">
        <v>30</v>
      </c>
      <c r="P446">
        <v>1</v>
      </c>
      <c r="Q446" s="1" t="s">
        <v>57</v>
      </c>
      <c r="R446">
        <v>1</v>
      </c>
      <c r="S446" s="1" t="s">
        <v>32</v>
      </c>
      <c r="T446" s="1" t="s">
        <v>33</v>
      </c>
      <c r="U446" s="1" t="s">
        <v>41</v>
      </c>
      <c r="V446" s="1" t="str">
        <f>_xlfn.XLOOKUP(A446,Dictonary!$A$2:$A$5,Dictonary!$B$2:$B$5)</f>
        <v>Low balance</v>
      </c>
      <c r="W446" s="1" t="str">
        <f>_xlfn.XLOOKUP(D446,Dictonary!$D$2:$D$12,Dictonary!$E$2:$E$12)</f>
        <v>furniture/equipment</v>
      </c>
      <c r="X446" s="1" t="str">
        <f>_xlfn.XLOOKUP(F446,Dictonary!$G$2:$G$6,Dictonary!$H$2:$H$6)</f>
        <v>Less 100</v>
      </c>
      <c r="Y446" s="1" t="str">
        <f>_xlfn.XLOOKUP(I446,Dictonary!$J$2:$J$6,Dictonary!$K$2:$K$6)</f>
        <v>female : divorced/separated/married</v>
      </c>
      <c r="Z446" s="1" t="str">
        <f>_xlfn.XLOOKUP(Q446,Dictonary!$M$2:$M$5,Dictonary!$N$2:$N$5)</f>
        <v>management/ self-employed/ highly qualified employee/ officer</v>
      </c>
      <c r="AA446" s="1" t="str">
        <f>_xlfn.XLOOKUP(O446,Dictonary!$P$2:$P$4,Dictonary!$Q$2:$Q$4)</f>
        <v>own</v>
      </c>
    </row>
    <row r="447" spans="1:27" x14ac:dyDescent="0.3">
      <c r="A447" s="1" t="s">
        <v>42</v>
      </c>
      <c r="B447">
        <v>9</v>
      </c>
      <c r="C447" s="1" t="s">
        <v>22</v>
      </c>
      <c r="D447" s="1" t="s">
        <v>43</v>
      </c>
      <c r="E447">
        <v>1244</v>
      </c>
      <c r="F447" s="1" t="s">
        <v>24</v>
      </c>
      <c r="G447" s="1" t="s">
        <v>25</v>
      </c>
      <c r="H447">
        <v>4</v>
      </c>
      <c r="I447" s="1" t="s">
        <v>39</v>
      </c>
      <c r="J447" s="1" t="s">
        <v>27</v>
      </c>
      <c r="K447">
        <v>4</v>
      </c>
      <c r="L447" s="1" t="s">
        <v>48</v>
      </c>
      <c r="M447">
        <v>41</v>
      </c>
      <c r="N447" s="1" t="s">
        <v>29</v>
      </c>
      <c r="O447" s="1" t="s">
        <v>56</v>
      </c>
      <c r="P447">
        <v>2</v>
      </c>
      <c r="Q447" s="1" t="s">
        <v>45</v>
      </c>
      <c r="R447">
        <v>1</v>
      </c>
      <c r="S447" s="1" t="s">
        <v>40</v>
      </c>
      <c r="T447" s="1" t="s">
        <v>33</v>
      </c>
      <c r="U447" s="1" t="s">
        <v>34</v>
      </c>
      <c r="V447" s="1" t="str">
        <f>_xlfn.XLOOKUP(A447,Dictonary!$A$2:$A$5,Dictonary!$B$2:$B$5)</f>
        <v>No information</v>
      </c>
      <c r="W447" s="1" t="str">
        <f>_xlfn.XLOOKUP(D447,Dictonary!$D$2:$D$12,Dictonary!$E$2:$E$12)</f>
        <v>education</v>
      </c>
      <c r="X447" s="1" t="str">
        <f>_xlfn.XLOOKUP(F447,Dictonary!$G$2:$G$6,Dictonary!$H$2:$H$6)</f>
        <v>No information</v>
      </c>
      <c r="Y447" s="1" t="str">
        <f>_xlfn.XLOOKUP(I447,Dictonary!$J$2:$J$6,Dictonary!$K$2:$K$6)</f>
        <v>female : divorced/separated/married</v>
      </c>
      <c r="Z447" s="1" t="str">
        <f>_xlfn.XLOOKUP(Q447,Dictonary!$M$2:$M$5,Dictonary!$N$2:$N$5)</f>
        <v>unskilled - resident</v>
      </c>
      <c r="AA447" s="1" t="str">
        <f>_xlfn.XLOOKUP(O447,Dictonary!$P$2:$P$4,Dictonary!$Q$2:$Q$4)</f>
        <v>rent</v>
      </c>
    </row>
    <row r="448" spans="1:27" x14ac:dyDescent="0.3">
      <c r="A448" s="1" t="s">
        <v>21</v>
      </c>
      <c r="B448">
        <v>36</v>
      </c>
      <c r="C448" s="1" t="s">
        <v>36</v>
      </c>
      <c r="D448" s="1" t="s">
        <v>51</v>
      </c>
      <c r="E448">
        <v>1842</v>
      </c>
      <c r="F448" s="1" t="s">
        <v>37</v>
      </c>
      <c r="G448" s="1" t="s">
        <v>62</v>
      </c>
      <c r="H448">
        <v>4</v>
      </c>
      <c r="I448" s="1" t="s">
        <v>39</v>
      </c>
      <c r="J448" s="1" t="s">
        <v>27</v>
      </c>
      <c r="K448">
        <v>4</v>
      </c>
      <c r="L448" s="1" t="s">
        <v>55</v>
      </c>
      <c r="M448">
        <v>34</v>
      </c>
      <c r="N448" s="1" t="s">
        <v>29</v>
      </c>
      <c r="O448" s="1" t="s">
        <v>30</v>
      </c>
      <c r="P448">
        <v>1</v>
      </c>
      <c r="Q448" s="1" t="s">
        <v>31</v>
      </c>
      <c r="R448">
        <v>1</v>
      </c>
      <c r="S448" s="1" t="s">
        <v>32</v>
      </c>
      <c r="T448" s="1" t="s">
        <v>33</v>
      </c>
      <c r="U448" s="1" t="s">
        <v>41</v>
      </c>
      <c r="V448" s="1" t="str">
        <f>_xlfn.XLOOKUP(A448,Dictonary!$A$2:$A$5,Dictonary!$B$2:$B$5)</f>
        <v>Negative balance</v>
      </c>
      <c r="W448" s="1" t="str">
        <f>_xlfn.XLOOKUP(D448,Dictonary!$D$2:$D$12,Dictonary!$E$2:$E$12)</f>
        <v>car (new)</v>
      </c>
      <c r="X448" s="1" t="str">
        <f>_xlfn.XLOOKUP(F448,Dictonary!$G$2:$G$6,Dictonary!$H$2:$H$6)</f>
        <v>Less 100</v>
      </c>
      <c r="Y448" s="1" t="str">
        <f>_xlfn.XLOOKUP(I448,Dictonary!$J$2:$J$6,Dictonary!$K$2:$K$6)</f>
        <v>female : divorced/separated/married</v>
      </c>
      <c r="Z448" s="1" t="str">
        <f>_xlfn.XLOOKUP(Q448,Dictonary!$M$2:$M$5,Dictonary!$N$2:$N$5)</f>
        <v>skilled employee / official</v>
      </c>
      <c r="AA448" s="1" t="str">
        <f>_xlfn.XLOOKUP(O448,Dictonary!$P$2:$P$4,Dictonary!$Q$2:$Q$4)</f>
        <v>own</v>
      </c>
    </row>
    <row r="449" spans="1:27" x14ac:dyDescent="0.3">
      <c r="A449" s="1" t="s">
        <v>35</v>
      </c>
      <c r="B449">
        <v>7</v>
      </c>
      <c r="C449" s="1" t="s">
        <v>36</v>
      </c>
      <c r="D449" s="1" t="s">
        <v>23</v>
      </c>
      <c r="E449">
        <v>2576</v>
      </c>
      <c r="F449" s="1" t="s">
        <v>37</v>
      </c>
      <c r="G449" s="1" t="s">
        <v>38</v>
      </c>
      <c r="H449">
        <v>2</v>
      </c>
      <c r="I449" s="1" t="s">
        <v>26</v>
      </c>
      <c r="J449" s="1" t="s">
        <v>47</v>
      </c>
      <c r="K449">
        <v>2</v>
      </c>
      <c r="L449" s="1" t="s">
        <v>28</v>
      </c>
      <c r="M449">
        <v>35</v>
      </c>
      <c r="N449" s="1" t="s">
        <v>29</v>
      </c>
      <c r="O449" s="1" t="s">
        <v>30</v>
      </c>
      <c r="P449">
        <v>1</v>
      </c>
      <c r="Q449" s="1" t="s">
        <v>31</v>
      </c>
      <c r="R449">
        <v>1</v>
      </c>
      <c r="S449" s="1" t="s">
        <v>40</v>
      </c>
      <c r="T449" s="1" t="s">
        <v>33</v>
      </c>
      <c r="U449" s="1" t="s">
        <v>34</v>
      </c>
      <c r="V449" s="1" t="str">
        <f>_xlfn.XLOOKUP(A449,Dictonary!$A$2:$A$5,Dictonary!$B$2:$B$5)</f>
        <v>Low balance</v>
      </c>
      <c r="W449" s="1" t="str">
        <f>_xlfn.XLOOKUP(D449,Dictonary!$D$2:$D$12,Dictonary!$E$2:$E$12)</f>
        <v>radio/television</v>
      </c>
      <c r="X449" s="1" t="str">
        <f>_xlfn.XLOOKUP(F449,Dictonary!$G$2:$G$6,Dictonary!$H$2:$H$6)</f>
        <v>Less 100</v>
      </c>
      <c r="Y449" s="1" t="str">
        <f>_xlfn.XLOOKUP(I449,Dictonary!$J$2:$J$6,Dictonary!$K$2:$K$6)</f>
        <v>male : single</v>
      </c>
      <c r="Z449" s="1" t="str">
        <f>_xlfn.XLOOKUP(Q449,Dictonary!$M$2:$M$5,Dictonary!$N$2:$N$5)</f>
        <v>skilled employee / official</v>
      </c>
      <c r="AA449" s="1" t="str">
        <f>_xlfn.XLOOKUP(O449,Dictonary!$P$2:$P$4,Dictonary!$Q$2:$Q$4)</f>
        <v>own</v>
      </c>
    </row>
    <row r="450" spans="1:27" x14ac:dyDescent="0.3">
      <c r="A450" s="1" t="s">
        <v>68</v>
      </c>
      <c r="B450">
        <v>12</v>
      </c>
      <c r="C450" s="1" t="s">
        <v>36</v>
      </c>
      <c r="D450" s="1" t="s">
        <v>46</v>
      </c>
      <c r="E450">
        <v>1424</v>
      </c>
      <c r="F450" s="1" t="s">
        <v>24</v>
      </c>
      <c r="G450" s="1" t="s">
        <v>25</v>
      </c>
      <c r="H450">
        <v>3</v>
      </c>
      <c r="I450" s="1" t="s">
        <v>39</v>
      </c>
      <c r="J450" s="1" t="s">
        <v>27</v>
      </c>
      <c r="K450">
        <v>4</v>
      </c>
      <c r="L450" s="1" t="s">
        <v>28</v>
      </c>
      <c r="M450">
        <v>55</v>
      </c>
      <c r="N450" s="1" t="s">
        <v>29</v>
      </c>
      <c r="O450" s="1" t="s">
        <v>30</v>
      </c>
      <c r="P450">
        <v>1</v>
      </c>
      <c r="Q450" s="1" t="s">
        <v>57</v>
      </c>
      <c r="R450">
        <v>1</v>
      </c>
      <c r="S450" s="1" t="s">
        <v>32</v>
      </c>
      <c r="T450" s="1" t="s">
        <v>33</v>
      </c>
      <c r="U450" s="1" t="s">
        <v>34</v>
      </c>
      <c r="V450" s="1" t="str">
        <f>_xlfn.XLOOKUP(A450,Dictonary!$A$2:$A$5,Dictonary!$B$2:$B$5)</f>
        <v>Normal balance</v>
      </c>
      <c r="W450" s="1" t="str">
        <f>_xlfn.XLOOKUP(D450,Dictonary!$D$2:$D$12,Dictonary!$E$2:$E$12)</f>
        <v>furniture/equipment</v>
      </c>
      <c r="X450" s="1" t="str">
        <f>_xlfn.XLOOKUP(F450,Dictonary!$G$2:$G$6,Dictonary!$H$2:$H$6)</f>
        <v>No information</v>
      </c>
      <c r="Y450" s="1" t="str">
        <f>_xlfn.XLOOKUP(I450,Dictonary!$J$2:$J$6,Dictonary!$K$2:$K$6)</f>
        <v>female : divorced/separated/married</v>
      </c>
      <c r="Z450" s="1" t="str">
        <f>_xlfn.XLOOKUP(Q450,Dictonary!$M$2:$M$5,Dictonary!$N$2:$N$5)</f>
        <v>management/ self-employed/ highly qualified employee/ officer</v>
      </c>
      <c r="AA450" s="1" t="str">
        <f>_xlfn.XLOOKUP(O450,Dictonary!$P$2:$P$4,Dictonary!$Q$2:$Q$4)</f>
        <v>own</v>
      </c>
    </row>
    <row r="451" spans="1:27" x14ac:dyDescent="0.3">
      <c r="A451" s="1" t="s">
        <v>35</v>
      </c>
      <c r="B451">
        <v>15</v>
      </c>
      <c r="C451" s="1" t="s">
        <v>50</v>
      </c>
      <c r="D451" s="1" t="s">
        <v>73</v>
      </c>
      <c r="E451">
        <v>1512</v>
      </c>
      <c r="F451" s="1" t="s">
        <v>58</v>
      </c>
      <c r="G451" s="1" t="s">
        <v>38</v>
      </c>
      <c r="H451">
        <v>3</v>
      </c>
      <c r="I451" s="1" t="s">
        <v>61</v>
      </c>
      <c r="J451" s="1" t="s">
        <v>27</v>
      </c>
      <c r="K451">
        <v>3</v>
      </c>
      <c r="L451" s="1" t="s">
        <v>48</v>
      </c>
      <c r="M451">
        <v>61</v>
      </c>
      <c r="N451" s="1" t="s">
        <v>70</v>
      </c>
      <c r="O451" s="1" t="s">
        <v>30</v>
      </c>
      <c r="P451">
        <v>2</v>
      </c>
      <c r="Q451" s="1" t="s">
        <v>31</v>
      </c>
      <c r="R451">
        <v>1</v>
      </c>
      <c r="S451" s="1" t="s">
        <v>40</v>
      </c>
      <c r="T451" s="1" t="s">
        <v>33</v>
      </c>
      <c r="U451" s="1" t="s">
        <v>41</v>
      </c>
      <c r="V451" s="1" t="str">
        <f>_xlfn.XLOOKUP(A451,Dictonary!$A$2:$A$5,Dictonary!$B$2:$B$5)</f>
        <v>Low balance</v>
      </c>
      <c r="W451" s="1" t="str">
        <f>_xlfn.XLOOKUP(D451,Dictonary!$D$2:$D$12,Dictonary!$E$2:$E$12)</f>
        <v>repairs</v>
      </c>
      <c r="X451" s="1" t="str">
        <f>_xlfn.XLOOKUP(F451,Dictonary!$G$2:$G$6,Dictonary!$H$2:$H$6)</f>
        <v>More 1000</v>
      </c>
      <c r="Y451" s="1" t="str">
        <f>_xlfn.XLOOKUP(I451,Dictonary!$J$2:$J$6,Dictonary!$K$2:$K$6)</f>
        <v>male : married/widowed</v>
      </c>
      <c r="Z451" s="1" t="str">
        <f>_xlfn.XLOOKUP(Q451,Dictonary!$M$2:$M$5,Dictonary!$N$2:$N$5)</f>
        <v>skilled employee / official</v>
      </c>
      <c r="AA451" s="1" t="str">
        <f>_xlfn.XLOOKUP(O451,Dictonary!$P$2:$P$4,Dictonary!$Q$2:$Q$4)</f>
        <v>own</v>
      </c>
    </row>
    <row r="452" spans="1:27" x14ac:dyDescent="0.3">
      <c r="A452" s="1" t="s">
        <v>42</v>
      </c>
      <c r="B452">
        <v>36</v>
      </c>
      <c r="C452" s="1" t="s">
        <v>22</v>
      </c>
      <c r="D452" s="1" t="s">
        <v>54</v>
      </c>
      <c r="E452">
        <v>11054</v>
      </c>
      <c r="F452" s="1" t="s">
        <v>24</v>
      </c>
      <c r="G452" s="1" t="s">
        <v>38</v>
      </c>
      <c r="H452">
        <v>4</v>
      </c>
      <c r="I452" s="1" t="s">
        <v>26</v>
      </c>
      <c r="J452" s="1" t="s">
        <v>27</v>
      </c>
      <c r="K452">
        <v>2</v>
      </c>
      <c r="L452" s="1" t="s">
        <v>55</v>
      </c>
      <c r="M452">
        <v>30</v>
      </c>
      <c r="N452" s="1" t="s">
        <v>29</v>
      </c>
      <c r="O452" s="1" t="s">
        <v>30</v>
      </c>
      <c r="P452">
        <v>1</v>
      </c>
      <c r="Q452" s="1" t="s">
        <v>57</v>
      </c>
      <c r="R452">
        <v>1</v>
      </c>
      <c r="S452" s="1" t="s">
        <v>32</v>
      </c>
      <c r="T452" s="1" t="s">
        <v>33</v>
      </c>
      <c r="U452" s="1" t="s">
        <v>34</v>
      </c>
      <c r="V452" s="1" t="str">
        <f>_xlfn.XLOOKUP(A452,Dictonary!$A$2:$A$5,Dictonary!$B$2:$B$5)</f>
        <v>No information</v>
      </c>
      <c r="W452" s="1" t="str">
        <f>_xlfn.XLOOKUP(D452,Dictonary!$D$2:$D$12,Dictonary!$E$2:$E$12)</f>
        <v>car (used)</v>
      </c>
      <c r="X452" s="1" t="str">
        <f>_xlfn.XLOOKUP(F452,Dictonary!$G$2:$G$6,Dictonary!$H$2:$H$6)</f>
        <v>No information</v>
      </c>
      <c r="Y452" s="1" t="str">
        <f>_xlfn.XLOOKUP(I452,Dictonary!$J$2:$J$6,Dictonary!$K$2:$K$6)</f>
        <v>male : single</v>
      </c>
      <c r="Z452" s="1" t="str">
        <f>_xlfn.XLOOKUP(Q452,Dictonary!$M$2:$M$5,Dictonary!$N$2:$N$5)</f>
        <v>management/ self-employed/ highly qualified employee/ officer</v>
      </c>
      <c r="AA452" s="1" t="str">
        <f>_xlfn.XLOOKUP(O452,Dictonary!$P$2:$P$4,Dictonary!$Q$2:$Q$4)</f>
        <v>own</v>
      </c>
    </row>
    <row r="453" spans="1:27" x14ac:dyDescent="0.3">
      <c r="A453" s="1" t="s">
        <v>42</v>
      </c>
      <c r="B453">
        <v>6</v>
      </c>
      <c r="C453" s="1" t="s">
        <v>36</v>
      </c>
      <c r="D453" s="1" t="s">
        <v>23</v>
      </c>
      <c r="E453">
        <v>518</v>
      </c>
      <c r="F453" s="1" t="s">
        <v>37</v>
      </c>
      <c r="G453" s="1" t="s">
        <v>38</v>
      </c>
      <c r="H453">
        <v>3</v>
      </c>
      <c r="I453" s="1" t="s">
        <v>39</v>
      </c>
      <c r="J453" s="1" t="s">
        <v>27</v>
      </c>
      <c r="K453">
        <v>1</v>
      </c>
      <c r="L453" s="1" t="s">
        <v>28</v>
      </c>
      <c r="M453">
        <v>29</v>
      </c>
      <c r="N453" s="1" t="s">
        <v>29</v>
      </c>
      <c r="O453" s="1" t="s">
        <v>30</v>
      </c>
      <c r="P453">
        <v>1</v>
      </c>
      <c r="Q453" s="1" t="s">
        <v>31</v>
      </c>
      <c r="R453">
        <v>1</v>
      </c>
      <c r="S453" s="1" t="s">
        <v>40</v>
      </c>
      <c r="T453" s="1" t="s">
        <v>33</v>
      </c>
      <c r="U453" s="1" t="s">
        <v>34</v>
      </c>
      <c r="V453" s="1" t="str">
        <f>_xlfn.XLOOKUP(A453,Dictonary!$A$2:$A$5,Dictonary!$B$2:$B$5)</f>
        <v>No information</v>
      </c>
      <c r="W453" s="1" t="str">
        <f>_xlfn.XLOOKUP(D453,Dictonary!$D$2:$D$12,Dictonary!$E$2:$E$12)</f>
        <v>radio/television</v>
      </c>
      <c r="X453" s="1" t="str">
        <f>_xlfn.XLOOKUP(F453,Dictonary!$G$2:$G$6,Dictonary!$H$2:$H$6)</f>
        <v>Less 100</v>
      </c>
      <c r="Y453" s="1" t="str">
        <f>_xlfn.XLOOKUP(I453,Dictonary!$J$2:$J$6,Dictonary!$K$2:$K$6)</f>
        <v>female : divorced/separated/married</v>
      </c>
      <c r="Z453" s="1" t="str">
        <f>_xlfn.XLOOKUP(Q453,Dictonary!$M$2:$M$5,Dictonary!$N$2:$N$5)</f>
        <v>skilled employee / official</v>
      </c>
      <c r="AA453" s="1" t="str">
        <f>_xlfn.XLOOKUP(O453,Dictonary!$P$2:$P$4,Dictonary!$Q$2:$Q$4)</f>
        <v>own</v>
      </c>
    </row>
    <row r="454" spans="1:27" x14ac:dyDescent="0.3">
      <c r="A454" s="1" t="s">
        <v>42</v>
      </c>
      <c r="B454">
        <v>12</v>
      </c>
      <c r="C454" s="1" t="s">
        <v>65</v>
      </c>
      <c r="D454" s="1" t="s">
        <v>46</v>
      </c>
      <c r="E454">
        <v>2759</v>
      </c>
      <c r="F454" s="1" t="s">
        <v>37</v>
      </c>
      <c r="G454" s="1" t="s">
        <v>25</v>
      </c>
      <c r="H454">
        <v>2</v>
      </c>
      <c r="I454" s="1" t="s">
        <v>26</v>
      </c>
      <c r="J454" s="1" t="s">
        <v>27</v>
      </c>
      <c r="K454">
        <v>4</v>
      </c>
      <c r="L454" s="1" t="s">
        <v>48</v>
      </c>
      <c r="M454">
        <v>34</v>
      </c>
      <c r="N454" s="1" t="s">
        <v>29</v>
      </c>
      <c r="O454" s="1" t="s">
        <v>30</v>
      </c>
      <c r="P454">
        <v>2</v>
      </c>
      <c r="Q454" s="1" t="s">
        <v>31</v>
      </c>
      <c r="R454">
        <v>1</v>
      </c>
      <c r="S454" s="1" t="s">
        <v>40</v>
      </c>
      <c r="T454" s="1" t="s">
        <v>33</v>
      </c>
      <c r="U454" s="1" t="s">
        <v>34</v>
      </c>
      <c r="V454" s="1" t="str">
        <f>_xlfn.XLOOKUP(A454,Dictonary!$A$2:$A$5,Dictonary!$B$2:$B$5)</f>
        <v>No information</v>
      </c>
      <c r="W454" s="1" t="str">
        <f>_xlfn.XLOOKUP(D454,Dictonary!$D$2:$D$12,Dictonary!$E$2:$E$12)</f>
        <v>furniture/equipment</v>
      </c>
      <c r="X454" s="1" t="str">
        <f>_xlfn.XLOOKUP(F454,Dictonary!$G$2:$G$6,Dictonary!$H$2:$H$6)</f>
        <v>Less 100</v>
      </c>
      <c r="Y454" s="1" t="str">
        <f>_xlfn.XLOOKUP(I454,Dictonary!$J$2:$J$6,Dictonary!$K$2:$K$6)</f>
        <v>male : single</v>
      </c>
      <c r="Z454" s="1" t="str">
        <f>_xlfn.XLOOKUP(Q454,Dictonary!$M$2:$M$5,Dictonary!$N$2:$N$5)</f>
        <v>skilled employee / official</v>
      </c>
      <c r="AA454" s="1" t="str">
        <f>_xlfn.XLOOKUP(O454,Dictonary!$P$2:$P$4,Dictonary!$Q$2:$Q$4)</f>
        <v>own</v>
      </c>
    </row>
    <row r="455" spans="1:27" x14ac:dyDescent="0.3">
      <c r="A455" s="1" t="s">
        <v>42</v>
      </c>
      <c r="B455">
        <v>24</v>
      </c>
      <c r="C455" s="1" t="s">
        <v>36</v>
      </c>
      <c r="D455" s="1" t="s">
        <v>54</v>
      </c>
      <c r="E455">
        <v>2670</v>
      </c>
      <c r="F455" s="1" t="s">
        <v>37</v>
      </c>
      <c r="G455" s="1" t="s">
        <v>25</v>
      </c>
      <c r="H455">
        <v>4</v>
      </c>
      <c r="I455" s="1" t="s">
        <v>26</v>
      </c>
      <c r="J455" s="1" t="s">
        <v>27</v>
      </c>
      <c r="K455">
        <v>4</v>
      </c>
      <c r="L455" s="1" t="s">
        <v>55</v>
      </c>
      <c r="M455">
        <v>35</v>
      </c>
      <c r="N455" s="1" t="s">
        <v>29</v>
      </c>
      <c r="O455" s="1" t="s">
        <v>30</v>
      </c>
      <c r="P455">
        <v>1</v>
      </c>
      <c r="Q455" s="1" t="s">
        <v>57</v>
      </c>
      <c r="R455">
        <v>1</v>
      </c>
      <c r="S455" s="1" t="s">
        <v>32</v>
      </c>
      <c r="T455" s="1" t="s">
        <v>33</v>
      </c>
      <c r="U455" s="1" t="s">
        <v>34</v>
      </c>
      <c r="V455" s="1" t="str">
        <f>_xlfn.XLOOKUP(A455,Dictonary!$A$2:$A$5,Dictonary!$B$2:$B$5)</f>
        <v>No information</v>
      </c>
      <c r="W455" s="1" t="str">
        <f>_xlfn.XLOOKUP(D455,Dictonary!$D$2:$D$12,Dictonary!$E$2:$E$12)</f>
        <v>car (used)</v>
      </c>
      <c r="X455" s="1" t="str">
        <f>_xlfn.XLOOKUP(F455,Dictonary!$G$2:$G$6,Dictonary!$H$2:$H$6)</f>
        <v>Less 100</v>
      </c>
      <c r="Y455" s="1" t="str">
        <f>_xlfn.XLOOKUP(I455,Dictonary!$J$2:$J$6,Dictonary!$K$2:$K$6)</f>
        <v>male : single</v>
      </c>
      <c r="Z455" s="1" t="str">
        <f>_xlfn.XLOOKUP(Q455,Dictonary!$M$2:$M$5,Dictonary!$N$2:$N$5)</f>
        <v>management/ self-employed/ highly qualified employee/ officer</v>
      </c>
      <c r="AA455" s="1" t="str">
        <f>_xlfn.XLOOKUP(O455,Dictonary!$P$2:$P$4,Dictonary!$Q$2:$Q$4)</f>
        <v>own</v>
      </c>
    </row>
    <row r="456" spans="1:27" x14ac:dyDescent="0.3">
      <c r="A456" s="1" t="s">
        <v>21</v>
      </c>
      <c r="B456">
        <v>24</v>
      </c>
      <c r="C456" s="1" t="s">
        <v>36</v>
      </c>
      <c r="D456" s="1" t="s">
        <v>51</v>
      </c>
      <c r="E456">
        <v>4817</v>
      </c>
      <c r="F456" s="1" t="s">
        <v>37</v>
      </c>
      <c r="G456" s="1" t="s">
        <v>44</v>
      </c>
      <c r="H456">
        <v>2</v>
      </c>
      <c r="I456" s="1" t="s">
        <v>26</v>
      </c>
      <c r="J456" s="1" t="s">
        <v>71</v>
      </c>
      <c r="K456">
        <v>3</v>
      </c>
      <c r="L456" s="1" t="s">
        <v>48</v>
      </c>
      <c r="M456">
        <v>31</v>
      </c>
      <c r="N456" s="1" t="s">
        <v>29</v>
      </c>
      <c r="O456" s="1" t="s">
        <v>30</v>
      </c>
      <c r="P456">
        <v>1</v>
      </c>
      <c r="Q456" s="1" t="s">
        <v>31</v>
      </c>
      <c r="R456">
        <v>1</v>
      </c>
      <c r="S456" s="1" t="s">
        <v>32</v>
      </c>
      <c r="T456" s="1" t="s">
        <v>33</v>
      </c>
      <c r="U456" s="1" t="s">
        <v>41</v>
      </c>
      <c r="V456" s="1" t="str">
        <f>_xlfn.XLOOKUP(A456,Dictonary!$A$2:$A$5,Dictonary!$B$2:$B$5)</f>
        <v>Negative balance</v>
      </c>
      <c r="W456" s="1" t="str">
        <f>_xlfn.XLOOKUP(D456,Dictonary!$D$2:$D$12,Dictonary!$E$2:$E$12)</f>
        <v>car (new)</v>
      </c>
      <c r="X456" s="1" t="str">
        <f>_xlfn.XLOOKUP(F456,Dictonary!$G$2:$G$6,Dictonary!$H$2:$H$6)</f>
        <v>Less 100</v>
      </c>
      <c r="Y456" s="1" t="str">
        <f>_xlfn.XLOOKUP(I456,Dictonary!$J$2:$J$6,Dictonary!$K$2:$K$6)</f>
        <v>male : single</v>
      </c>
      <c r="Z456" s="1" t="str">
        <f>_xlfn.XLOOKUP(Q456,Dictonary!$M$2:$M$5,Dictonary!$N$2:$N$5)</f>
        <v>skilled employee / official</v>
      </c>
      <c r="AA456" s="1" t="str">
        <f>_xlfn.XLOOKUP(O456,Dictonary!$P$2:$P$4,Dictonary!$Q$2:$Q$4)</f>
        <v>own</v>
      </c>
    </row>
    <row r="457" spans="1:27" x14ac:dyDescent="0.3">
      <c r="A457" s="1" t="s">
        <v>42</v>
      </c>
      <c r="B457">
        <v>24</v>
      </c>
      <c r="C457" s="1" t="s">
        <v>36</v>
      </c>
      <c r="D457" s="1" t="s">
        <v>54</v>
      </c>
      <c r="E457">
        <v>2679</v>
      </c>
      <c r="F457" s="1" t="s">
        <v>37</v>
      </c>
      <c r="G457" s="1" t="s">
        <v>62</v>
      </c>
      <c r="H457">
        <v>4</v>
      </c>
      <c r="I457" s="1" t="s">
        <v>39</v>
      </c>
      <c r="J457" s="1" t="s">
        <v>27</v>
      </c>
      <c r="K457">
        <v>1</v>
      </c>
      <c r="L457" s="1" t="s">
        <v>52</v>
      </c>
      <c r="M457">
        <v>29</v>
      </c>
      <c r="N457" s="1" t="s">
        <v>29</v>
      </c>
      <c r="O457" s="1" t="s">
        <v>30</v>
      </c>
      <c r="P457">
        <v>1</v>
      </c>
      <c r="Q457" s="1" t="s">
        <v>57</v>
      </c>
      <c r="R457">
        <v>1</v>
      </c>
      <c r="S457" s="1" t="s">
        <v>32</v>
      </c>
      <c r="T457" s="1" t="s">
        <v>33</v>
      </c>
      <c r="U457" s="1" t="s">
        <v>34</v>
      </c>
      <c r="V457" s="1" t="str">
        <f>_xlfn.XLOOKUP(A457,Dictonary!$A$2:$A$5,Dictonary!$B$2:$B$5)</f>
        <v>No information</v>
      </c>
      <c r="W457" s="1" t="str">
        <f>_xlfn.XLOOKUP(D457,Dictonary!$D$2:$D$12,Dictonary!$E$2:$E$12)</f>
        <v>car (used)</v>
      </c>
      <c r="X457" s="1" t="str">
        <f>_xlfn.XLOOKUP(F457,Dictonary!$G$2:$G$6,Dictonary!$H$2:$H$6)</f>
        <v>Less 100</v>
      </c>
      <c r="Y457" s="1" t="str">
        <f>_xlfn.XLOOKUP(I457,Dictonary!$J$2:$J$6,Dictonary!$K$2:$K$6)</f>
        <v>female : divorced/separated/married</v>
      </c>
      <c r="Z457" s="1" t="str">
        <f>_xlfn.XLOOKUP(Q457,Dictonary!$M$2:$M$5,Dictonary!$N$2:$N$5)</f>
        <v>management/ self-employed/ highly qualified employee/ officer</v>
      </c>
      <c r="AA457" s="1" t="str">
        <f>_xlfn.XLOOKUP(O457,Dictonary!$P$2:$P$4,Dictonary!$Q$2:$Q$4)</f>
        <v>own</v>
      </c>
    </row>
    <row r="458" spans="1:27" x14ac:dyDescent="0.3">
      <c r="A458" s="1" t="s">
        <v>21</v>
      </c>
      <c r="B458">
        <v>11</v>
      </c>
      <c r="C458" s="1" t="s">
        <v>22</v>
      </c>
      <c r="D458" s="1" t="s">
        <v>51</v>
      </c>
      <c r="E458">
        <v>3905</v>
      </c>
      <c r="F458" s="1" t="s">
        <v>37</v>
      </c>
      <c r="G458" s="1" t="s">
        <v>38</v>
      </c>
      <c r="H458">
        <v>2</v>
      </c>
      <c r="I458" s="1" t="s">
        <v>26</v>
      </c>
      <c r="J458" s="1" t="s">
        <v>27</v>
      </c>
      <c r="K458">
        <v>2</v>
      </c>
      <c r="L458" s="1" t="s">
        <v>28</v>
      </c>
      <c r="M458">
        <v>36</v>
      </c>
      <c r="N458" s="1" t="s">
        <v>29</v>
      </c>
      <c r="O458" s="1" t="s">
        <v>56</v>
      </c>
      <c r="P458">
        <v>2</v>
      </c>
      <c r="Q458" s="1" t="s">
        <v>31</v>
      </c>
      <c r="R458">
        <v>2</v>
      </c>
      <c r="S458" s="1" t="s">
        <v>40</v>
      </c>
      <c r="T458" s="1" t="s">
        <v>33</v>
      </c>
      <c r="U458" s="1" t="s">
        <v>34</v>
      </c>
      <c r="V458" s="1" t="str">
        <f>_xlfn.XLOOKUP(A458,Dictonary!$A$2:$A$5,Dictonary!$B$2:$B$5)</f>
        <v>Negative balance</v>
      </c>
      <c r="W458" s="1" t="str">
        <f>_xlfn.XLOOKUP(D458,Dictonary!$D$2:$D$12,Dictonary!$E$2:$E$12)</f>
        <v>car (new)</v>
      </c>
      <c r="X458" s="1" t="str">
        <f>_xlfn.XLOOKUP(F458,Dictonary!$G$2:$G$6,Dictonary!$H$2:$H$6)</f>
        <v>Less 100</v>
      </c>
      <c r="Y458" s="1" t="str">
        <f>_xlfn.XLOOKUP(I458,Dictonary!$J$2:$J$6,Dictonary!$K$2:$K$6)</f>
        <v>male : single</v>
      </c>
      <c r="Z458" s="1" t="str">
        <f>_xlfn.XLOOKUP(Q458,Dictonary!$M$2:$M$5,Dictonary!$N$2:$N$5)</f>
        <v>skilled employee / official</v>
      </c>
      <c r="AA458" s="1" t="str">
        <f>_xlfn.XLOOKUP(O458,Dictonary!$P$2:$P$4,Dictonary!$Q$2:$Q$4)</f>
        <v>rent</v>
      </c>
    </row>
    <row r="459" spans="1:27" x14ac:dyDescent="0.3">
      <c r="A459" s="1" t="s">
        <v>21</v>
      </c>
      <c r="B459">
        <v>12</v>
      </c>
      <c r="C459" s="1" t="s">
        <v>36</v>
      </c>
      <c r="D459" s="1" t="s">
        <v>54</v>
      </c>
      <c r="E459">
        <v>3386</v>
      </c>
      <c r="F459" s="1" t="s">
        <v>37</v>
      </c>
      <c r="G459" s="1" t="s">
        <v>25</v>
      </c>
      <c r="H459">
        <v>3</v>
      </c>
      <c r="I459" s="1" t="s">
        <v>26</v>
      </c>
      <c r="J459" s="1" t="s">
        <v>27</v>
      </c>
      <c r="K459">
        <v>4</v>
      </c>
      <c r="L459" s="1" t="s">
        <v>52</v>
      </c>
      <c r="M459">
        <v>35</v>
      </c>
      <c r="N459" s="1" t="s">
        <v>29</v>
      </c>
      <c r="O459" s="1" t="s">
        <v>49</v>
      </c>
      <c r="P459">
        <v>1</v>
      </c>
      <c r="Q459" s="1" t="s">
        <v>31</v>
      </c>
      <c r="R459">
        <v>1</v>
      </c>
      <c r="S459" s="1" t="s">
        <v>32</v>
      </c>
      <c r="T459" s="1" t="s">
        <v>33</v>
      </c>
      <c r="U459" s="1" t="s">
        <v>41</v>
      </c>
      <c r="V459" s="1" t="str">
        <f>_xlfn.XLOOKUP(A459,Dictonary!$A$2:$A$5,Dictonary!$B$2:$B$5)</f>
        <v>Negative balance</v>
      </c>
      <c r="W459" s="1" t="str">
        <f>_xlfn.XLOOKUP(D459,Dictonary!$D$2:$D$12,Dictonary!$E$2:$E$12)</f>
        <v>car (used)</v>
      </c>
      <c r="X459" s="1" t="str">
        <f>_xlfn.XLOOKUP(F459,Dictonary!$G$2:$G$6,Dictonary!$H$2:$H$6)</f>
        <v>Less 100</v>
      </c>
      <c r="Y459" s="1" t="str">
        <f>_xlfn.XLOOKUP(I459,Dictonary!$J$2:$J$6,Dictonary!$K$2:$K$6)</f>
        <v>male : single</v>
      </c>
      <c r="Z459" s="1" t="str">
        <f>_xlfn.XLOOKUP(Q459,Dictonary!$M$2:$M$5,Dictonary!$N$2:$N$5)</f>
        <v>skilled employee / official</v>
      </c>
      <c r="AA459" s="1" t="str">
        <f>_xlfn.XLOOKUP(O459,Dictonary!$P$2:$P$4,Dictonary!$Q$2:$Q$4)</f>
        <v>for free</v>
      </c>
    </row>
    <row r="460" spans="1:27" x14ac:dyDescent="0.3">
      <c r="A460" s="1" t="s">
        <v>21</v>
      </c>
      <c r="B460">
        <v>6</v>
      </c>
      <c r="C460" s="1" t="s">
        <v>36</v>
      </c>
      <c r="D460" s="1" t="s">
        <v>72</v>
      </c>
      <c r="E460">
        <v>343</v>
      </c>
      <c r="F460" s="1" t="s">
        <v>37</v>
      </c>
      <c r="G460" s="1" t="s">
        <v>62</v>
      </c>
      <c r="H460">
        <v>4</v>
      </c>
      <c r="I460" s="1" t="s">
        <v>39</v>
      </c>
      <c r="J460" s="1" t="s">
        <v>27</v>
      </c>
      <c r="K460">
        <v>1</v>
      </c>
      <c r="L460" s="1" t="s">
        <v>28</v>
      </c>
      <c r="M460">
        <v>27</v>
      </c>
      <c r="N460" s="1" t="s">
        <v>29</v>
      </c>
      <c r="O460" s="1" t="s">
        <v>30</v>
      </c>
      <c r="P460">
        <v>1</v>
      </c>
      <c r="Q460" s="1" t="s">
        <v>31</v>
      </c>
      <c r="R460">
        <v>1</v>
      </c>
      <c r="S460" s="1" t="s">
        <v>40</v>
      </c>
      <c r="T460" s="1" t="s">
        <v>33</v>
      </c>
      <c r="U460" s="1" t="s">
        <v>34</v>
      </c>
      <c r="V460" s="1" t="str">
        <f>_xlfn.XLOOKUP(A460,Dictonary!$A$2:$A$5,Dictonary!$B$2:$B$5)</f>
        <v>Negative balance</v>
      </c>
      <c r="W460" s="1" t="str">
        <f>_xlfn.XLOOKUP(D460,Dictonary!$D$2:$D$12,Dictonary!$E$2:$E$12)</f>
        <v>domestic appliances</v>
      </c>
      <c r="X460" s="1" t="str">
        <f>_xlfn.XLOOKUP(F460,Dictonary!$G$2:$G$6,Dictonary!$H$2:$H$6)</f>
        <v>Less 100</v>
      </c>
      <c r="Y460" s="1" t="str">
        <f>_xlfn.XLOOKUP(I460,Dictonary!$J$2:$J$6,Dictonary!$K$2:$K$6)</f>
        <v>female : divorced/separated/married</v>
      </c>
      <c r="Z460" s="1" t="str">
        <f>_xlfn.XLOOKUP(Q460,Dictonary!$M$2:$M$5,Dictonary!$N$2:$N$5)</f>
        <v>skilled employee / official</v>
      </c>
      <c r="AA460" s="1" t="str">
        <f>_xlfn.XLOOKUP(O460,Dictonary!$P$2:$P$4,Dictonary!$Q$2:$Q$4)</f>
        <v>own</v>
      </c>
    </row>
    <row r="461" spans="1:27" x14ac:dyDescent="0.3">
      <c r="A461" s="1" t="s">
        <v>42</v>
      </c>
      <c r="B461">
        <v>18</v>
      </c>
      <c r="C461" s="1" t="s">
        <v>36</v>
      </c>
      <c r="D461" s="1" t="s">
        <v>23</v>
      </c>
      <c r="E461">
        <v>4594</v>
      </c>
      <c r="F461" s="1" t="s">
        <v>37</v>
      </c>
      <c r="G461" s="1" t="s">
        <v>62</v>
      </c>
      <c r="H461">
        <v>3</v>
      </c>
      <c r="I461" s="1" t="s">
        <v>26</v>
      </c>
      <c r="J461" s="1" t="s">
        <v>27</v>
      </c>
      <c r="K461">
        <v>2</v>
      </c>
      <c r="L461" s="1" t="s">
        <v>55</v>
      </c>
      <c r="M461">
        <v>32</v>
      </c>
      <c r="N461" s="1" t="s">
        <v>29</v>
      </c>
      <c r="O461" s="1" t="s">
        <v>30</v>
      </c>
      <c r="P461">
        <v>1</v>
      </c>
      <c r="Q461" s="1" t="s">
        <v>31</v>
      </c>
      <c r="R461">
        <v>1</v>
      </c>
      <c r="S461" s="1" t="s">
        <v>32</v>
      </c>
      <c r="T461" s="1" t="s">
        <v>33</v>
      </c>
      <c r="U461" s="1" t="s">
        <v>34</v>
      </c>
      <c r="V461" s="1" t="str">
        <f>_xlfn.XLOOKUP(A461,Dictonary!$A$2:$A$5,Dictonary!$B$2:$B$5)</f>
        <v>No information</v>
      </c>
      <c r="W461" s="1" t="str">
        <f>_xlfn.XLOOKUP(D461,Dictonary!$D$2:$D$12,Dictonary!$E$2:$E$12)</f>
        <v>radio/television</v>
      </c>
      <c r="X461" s="1" t="str">
        <f>_xlfn.XLOOKUP(F461,Dictonary!$G$2:$G$6,Dictonary!$H$2:$H$6)</f>
        <v>Less 100</v>
      </c>
      <c r="Y461" s="1" t="str">
        <f>_xlfn.XLOOKUP(I461,Dictonary!$J$2:$J$6,Dictonary!$K$2:$K$6)</f>
        <v>male : single</v>
      </c>
      <c r="Z461" s="1" t="str">
        <f>_xlfn.XLOOKUP(Q461,Dictonary!$M$2:$M$5,Dictonary!$N$2:$N$5)</f>
        <v>skilled employee / official</v>
      </c>
      <c r="AA461" s="1" t="str">
        <f>_xlfn.XLOOKUP(O461,Dictonary!$P$2:$P$4,Dictonary!$Q$2:$Q$4)</f>
        <v>own</v>
      </c>
    </row>
    <row r="462" spans="1:27" x14ac:dyDescent="0.3">
      <c r="A462" s="1" t="s">
        <v>21</v>
      </c>
      <c r="B462">
        <v>36</v>
      </c>
      <c r="C462" s="1" t="s">
        <v>36</v>
      </c>
      <c r="D462" s="1" t="s">
        <v>46</v>
      </c>
      <c r="E462">
        <v>3620</v>
      </c>
      <c r="F462" s="1" t="s">
        <v>37</v>
      </c>
      <c r="G462" s="1" t="s">
        <v>38</v>
      </c>
      <c r="H462">
        <v>1</v>
      </c>
      <c r="I462" s="1" t="s">
        <v>26</v>
      </c>
      <c r="J462" s="1" t="s">
        <v>47</v>
      </c>
      <c r="K462">
        <v>2</v>
      </c>
      <c r="L462" s="1" t="s">
        <v>48</v>
      </c>
      <c r="M462">
        <v>37</v>
      </c>
      <c r="N462" s="1" t="s">
        <v>29</v>
      </c>
      <c r="O462" s="1" t="s">
        <v>30</v>
      </c>
      <c r="P462">
        <v>1</v>
      </c>
      <c r="Q462" s="1" t="s">
        <v>31</v>
      </c>
      <c r="R462">
        <v>2</v>
      </c>
      <c r="S462" s="1" t="s">
        <v>40</v>
      </c>
      <c r="T462" s="1" t="s">
        <v>33</v>
      </c>
      <c r="U462" s="1" t="s">
        <v>34</v>
      </c>
      <c r="V462" s="1" t="str">
        <f>_xlfn.XLOOKUP(A462,Dictonary!$A$2:$A$5,Dictonary!$B$2:$B$5)</f>
        <v>Negative balance</v>
      </c>
      <c r="W462" s="1" t="str">
        <f>_xlfn.XLOOKUP(D462,Dictonary!$D$2:$D$12,Dictonary!$E$2:$E$12)</f>
        <v>furniture/equipment</v>
      </c>
      <c r="X462" s="1" t="str">
        <f>_xlfn.XLOOKUP(F462,Dictonary!$G$2:$G$6,Dictonary!$H$2:$H$6)</f>
        <v>Less 100</v>
      </c>
      <c r="Y462" s="1" t="str">
        <f>_xlfn.XLOOKUP(I462,Dictonary!$J$2:$J$6,Dictonary!$K$2:$K$6)</f>
        <v>male : single</v>
      </c>
      <c r="Z462" s="1" t="str">
        <f>_xlfn.XLOOKUP(Q462,Dictonary!$M$2:$M$5,Dictonary!$N$2:$N$5)</f>
        <v>skilled employee / official</v>
      </c>
      <c r="AA462" s="1" t="str">
        <f>_xlfn.XLOOKUP(O462,Dictonary!$P$2:$P$4,Dictonary!$Q$2:$Q$4)</f>
        <v>own</v>
      </c>
    </row>
    <row r="463" spans="1:27" x14ac:dyDescent="0.3">
      <c r="A463" s="1" t="s">
        <v>21</v>
      </c>
      <c r="B463">
        <v>15</v>
      </c>
      <c r="C463" s="1" t="s">
        <v>36</v>
      </c>
      <c r="D463" s="1" t="s">
        <v>51</v>
      </c>
      <c r="E463">
        <v>1721</v>
      </c>
      <c r="F463" s="1" t="s">
        <v>37</v>
      </c>
      <c r="G463" s="1" t="s">
        <v>62</v>
      </c>
      <c r="H463">
        <v>2</v>
      </c>
      <c r="I463" s="1" t="s">
        <v>26</v>
      </c>
      <c r="J463" s="1" t="s">
        <v>27</v>
      </c>
      <c r="K463">
        <v>3</v>
      </c>
      <c r="L463" s="1" t="s">
        <v>28</v>
      </c>
      <c r="M463">
        <v>36</v>
      </c>
      <c r="N463" s="1" t="s">
        <v>29</v>
      </c>
      <c r="O463" s="1" t="s">
        <v>30</v>
      </c>
      <c r="P463">
        <v>1</v>
      </c>
      <c r="Q463" s="1" t="s">
        <v>31</v>
      </c>
      <c r="R463">
        <v>1</v>
      </c>
      <c r="S463" s="1" t="s">
        <v>40</v>
      </c>
      <c r="T463" s="1" t="s">
        <v>33</v>
      </c>
      <c r="U463" s="1" t="s">
        <v>34</v>
      </c>
      <c r="V463" s="1" t="str">
        <f>_xlfn.XLOOKUP(A463,Dictonary!$A$2:$A$5,Dictonary!$B$2:$B$5)</f>
        <v>Negative balance</v>
      </c>
      <c r="W463" s="1" t="str">
        <f>_xlfn.XLOOKUP(D463,Dictonary!$D$2:$D$12,Dictonary!$E$2:$E$12)</f>
        <v>car (new)</v>
      </c>
      <c r="X463" s="1" t="str">
        <f>_xlfn.XLOOKUP(F463,Dictonary!$G$2:$G$6,Dictonary!$H$2:$H$6)</f>
        <v>Less 100</v>
      </c>
      <c r="Y463" s="1" t="str">
        <f>_xlfn.XLOOKUP(I463,Dictonary!$J$2:$J$6,Dictonary!$K$2:$K$6)</f>
        <v>male : single</v>
      </c>
      <c r="Z463" s="1" t="str">
        <f>_xlfn.XLOOKUP(Q463,Dictonary!$M$2:$M$5,Dictonary!$N$2:$N$5)</f>
        <v>skilled employee / official</v>
      </c>
      <c r="AA463" s="1" t="str">
        <f>_xlfn.XLOOKUP(O463,Dictonary!$P$2:$P$4,Dictonary!$Q$2:$Q$4)</f>
        <v>own</v>
      </c>
    </row>
    <row r="464" spans="1:27" x14ac:dyDescent="0.3">
      <c r="A464" s="1" t="s">
        <v>35</v>
      </c>
      <c r="B464">
        <v>12</v>
      </c>
      <c r="C464" s="1" t="s">
        <v>36</v>
      </c>
      <c r="D464" s="1" t="s">
        <v>46</v>
      </c>
      <c r="E464">
        <v>3017</v>
      </c>
      <c r="F464" s="1" t="s">
        <v>37</v>
      </c>
      <c r="G464" s="1" t="s">
        <v>62</v>
      </c>
      <c r="H464">
        <v>3</v>
      </c>
      <c r="I464" s="1" t="s">
        <v>39</v>
      </c>
      <c r="J464" s="1" t="s">
        <v>27</v>
      </c>
      <c r="K464">
        <v>1</v>
      </c>
      <c r="L464" s="1" t="s">
        <v>28</v>
      </c>
      <c r="M464">
        <v>34</v>
      </c>
      <c r="N464" s="1" t="s">
        <v>29</v>
      </c>
      <c r="O464" s="1" t="s">
        <v>56</v>
      </c>
      <c r="P464">
        <v>1</v>
      </c>
      <c r="Q464" s="1" t="s">
        <v>57</v>
      </c>
      <c r="R464">
        <v>1</v>
      </c>
      <c r="S464" s="1" t="s">
        <v>40</v>
      </c>
      <c r="T464" s="1" t="s">
        <v>33</v>
      </c>
      <c r="U464" s="1" t="s">
        <v>34</v>
      </c>
      <c r="V464" s="1" t="str">
        <f>_xlfn.XLOOKUP(A464,Dictonary!$A$2:$A$5,Dictonary!$B$2:$B$5)</f>
        <v>Low balance</v>
      </c>
      <c r="W464" s="1" t="str">
        <f>_xlfn.XLOOKUP(D464,Dictonary!$D$2:$D$12,Dictonary!$E$2:$E$12)</f>
        <v>furniture/equipment</v>
      </c>
      <c r="X464" s="1" t="str">
        <f>_xlfn.XLOOKUP(F464,Dictonary!$G$2:$G$6,Dictonary!$H$2:$H$6)</f>
        <v>Less 100</v>
      </c>
      <c r="Y464" s="1" t="str">
        <f>_xlfn.XLOOKUP(I464,Dictonary!$J$2:$J$6,Dictonary!$K$2:$K$6)</f>
        <v>female : divorced/separated/married</v>
      </c>
      <c r="Z464" s="1" t="str">
        <f>_xlfn.XLOOKUP(Q464,Dictonary!$M$2:$M$5,Dictonary!$N$2:$N$5)</f>
        <v>management/ self-employed/ highly qualified employee/ officer</v>
      </c>
      <c r="AA464" s="1" t="str">
        <f>_xlfn.XLOOKUP(O464,Dictonary!$P$2:$P$4,Dictonary!$Q$2:$Q$4)</f>
        <v>rent</v>
      </c>
    </row>
    <row r="465" spans="1:27" x14ac:dyDescent="0.3">
      <c r="A465" s="1" t="s">
        <v>35</v>
      </c>
      <c r="B465">
        <v>12</v>
      </c>
      <c r="C465" s="1" t="s">
        <v>36</v>
      </c>
      <c r="D465" s="1" t="s">
        <v>76</v>
      </c>
      <c r="E465">
        <v>754</v>
      </c>
      <c r="F465" s="1" t="s">
        <v>24</v>
      </c>
      <c r="G465" s="1" t="s">
        <v>25</v>
      </c>
      <c r="H465">
        <v>4</v>
      </c>
      <c r="I465" s="1" t="s">
        <v>26</v>
      </c>
      <c r="J465" s="1" t="s">
        <v>27</v>
      </c>
      <c r="K465">
        <v>4</v>
      </c>
      <c r="L465" s="1" t="s">
        <v>48</v>
      </c>
      <c r="M465">
        <v>38</v>
      </c>
      <c r="N465" s="1" t="s">
        <v>29</v>
      </c>
      <c r="O465" s="1" t="s">
        <v>30</v>
      </c>
      <c r="P465">
        <v>2</v>
      </c>
      <c r="Q465" s="1" t="s">
        <v>31</v>
      </c>
      <c r="R465">
        <v>1</v>
      </c>
      <c r="S465" s="1" t="s">
        <v>40</v>
      </c>
      <c r="T465" s="1" t="s">
        <v>33</v>
      </c>
      <c r="U465" s="1" t="s">
        <v>34</v>
      </c>
      <c r="V465" s="1" t="str">
        <f>_xlfn.XLOOKUP(A465,Dictonary!$A$2:$A$5,Dictonary!$B$2:$B$5)</f>
        <v>Low balance</v>
      </c>
      <c r="W465" s="1" t="str">
        <f>_xlfn.XLOOKUP(D465,Dictonary!$D$2:$D$12,Dictonary!$E$2:$E$12)</f>
        <v>retraining</v>
      </c>
      <c r="X465" s="1" t="str">
        <f>_xlfn.XLOOKUP(F465,Dictonary!$G$2:$G$6,Dictonary!$H$2:$H$6)</f>
        <v>No information</v>
      </c>
      <c r="Y465" s="1" t="str">
        <f>_xlfn.XLOOKUP(I465,Dictonary!$J$2:$J$6,Dictonary!$K$2:$K$6)</f>
        <v>male : single</v>
      </c>
      <c r="Z465" s="1" t="str">
        <f>_xlfn.XLOOKUP(Q465,Dictonary!$M$2:$M$5,Dictonary!$N$2:$N$5)</f>
        <v>skilled employee / official</v>
      </c>
      <c r="AA465" s="1" t="str">
        <f>_xlfn.XLOOKUP(O465,Dictonary!$P$2:$P$4,Dictonary!$Q$2:$Q$4)</f>
        <v>own</v>
      </c>
    </row>
    <row r="466" spans="1:27" x14ac:dyDescent="0.3">
      <c r="A466" s="1" t="s">
        <v>42</v>
      </c>
      <c r="B466">
        <v>18</v>
      </c>
      <c r="C466" s="1" t="s">
        <v>36</v>
      </c>
      <c r="D466" s="1" t="s">
        <v>63</v>
      </c>
      <c r="E466">
        <v>1950</v>
      </c>
      <c r="F466" s="1" t="s">
        <v>37</v>
      </c>
      <c r="G466" s="1" t="s">
        <v>44</v>
      </c>
      <c r="H466">
        <v>4</v>
      </c>
      <c r="I466" s="1" t="s">
        <v>26</v>
      </c>
      <c r="J466" s="1" t="s">
        <v>27</v>
      </c>
      <c r="K466">
        <v>1</v>
      </c>
      <c r="L466" s="1" t="s">
        <v>55</v>
      </c>
      <c r="M466">
        <v>34</v>
      </c>
      <c r="N466" s="1" t="s">
        <v>70</v>
      </c>
      <c r="O466" s="1" t="s">
        <v>30</v>
      </c>
      <c r="P466">
        <v>2</v>
      </c>
      <c r="Q466" s="1" t="s">
        <v>31</v>
      </c>
      <c r="R466">
        <v>1</v>
      </c>
      <c r="S466" s="1" t="s">
        <v>32</v>
      </c>
      <c r="T466" s="1" t="s">
        <v>33</v>
      </c>
      <c r="U466" s="1" t="s">
        <v>34</v>
      </c>
      <c r="V466" s="1" t="str">
        <f>_xlfn.XLOOKUP(A466,Dictonary!$A$2:$A$5,Dictonary!$B$2:$B$5)</f>
        <v>No information</v>
      </c>
      <c r="W466" s="1" t="str">
        <f>_xlfn.XLOOKUP(D466,Dictonary!$D$2:$D$12,Dictonary!$E$2:$E$12)</f>
        <v>business</v>
      </c>
      <c r="X466" s="1" t="str">
        <f>_xlfn.XLOOKUP(F466,Dictonary!$G$2:$G$6,Dictonary!$H$2:$H$6)</f>
        <v>Less 100</v>
      </c>
      <c r="Y466" s="1" t="str">
        <f>_xlfn.XLOOKUP(I466,Dictonary!$J$2:$J$6,Dictonary!$K$2:$K$6)</f>
        <v>male : single</v>
      </c>
      <c r="Z466" s="1" t="str">
        <f>_xlfn.XLOOKUP(Q466,Dictonary!$M$2:$M$5,Dictonary!$N$2:$N$5)</f>
        <v>skilled employee / official</v>
      </c>
      <c r="AA466" s="1" t="str">
        <f>_xlfn.XLOOKUP(O466,Dictonary!$P$2:$P$4,Dictonary!$Q$2:$Q$4)</f>
        <v>own</v>
      </c>
    </row>
    <row r="467" spans="1:27" x14ac:dyDescent="0.3">
      <c r="A467" s="1" t="s">
        <v>21</v>
      </c>
      <c r="B467">
        <v>24</v>
      </c>
      <c r="C467" s="1" t="s">
        <v>36</v>
      </c>
      <c r="D467" s="1" t="s">
        <v>54</v>
      </c>
      <c r="E467">
        <v>2924</v>
      </c>
      <c r="F467" s="1" t="s">
        <v>37</v>
      </c>
      <c r="G467" s="1" t="s">
        <v>38</v>
      </c>
      <c r="H467">
        <v>3</v>
      </c>
      <c r="I467" s="1" t="s">
        <v>26</v>
      </c>
      <c r="J467" s="1" t="s">
        <v>47</v>
      </c>
      <c r="K467">
        <v>4</v>
      </c>
      <c r="L467" s="1" t="s">
        <v>52</v>
      </c>
      <c r="M467">
        <v>63</v>
      </c>
      <c r="N467" s="1" t="s">
        <v>66</v>
      </c>
      <c r="O467" s="1" t="s">
        <v>30</v>
      </c>
      <c r="P467">
        <v>1</v>
      </c>
      <c r="Q467" s="1" t="s">
        <v>31</v>
      </c>
      <c r="R467">
        <v>2</v>
      </c>
      <c r="S467" s="1" t="s">
        <v>32</v>
      </c>
      <c r="T467" s="1" t="s">
        <v>33</v>
      </c>
      <c r="U467" s="1" t="s">
        <v>34</v>
      </c>
      <c r="V467" s="1" t="str">
        <f>_xlfn.XLOOKUP(A467,Dictonary!$A$2:$A$5,Dictonary!$B$2:$B$5)</f>
        <v>Negative balance</v>
      </c>
      <c r="W467" s="1" t="str">
        <f>_xlfn.XLOOKUP(D467,Dictonary!$D$2:$D$12,Dictonary!$E$2:$E$12)</f>
        <v>car (used)</v>
      </c>
      <c r="X467" s="1" t="str">
        <f>_xlfn.XLOOKUP(F467,Dictonary!$G$2:$G$6,Dictonary!$H$2:$H$6)</f>
        <v>Less 100</v>
      </c>
      <c r="Y467" s="1" t="str">
        <f>_xlfn.XLOOKUP(I467,Dictonary!$J$2:$J$6,Dictonary!$K$2:$K$6)</f>
        <v>male : single</v>
      </c>
      <c r="Z467" s="1" t="str">
        <f>_xlfn.XLOOKUP(Q467,Dictonary!$M$2:$M$5,Dictonary!$N$2:$N$5)</f>
        <v>skilled employee / official</v>
      </c>
      <c r="AA467" s="1" t="str">
        <f>_xlfn.XLOOKUP(O467,Dictonary!$P$2:$P$4,Dictonary!$Q$2:$Q$4)</f>
        <v>own</v>
      </c>
    </row>
    <row r="468" spans="1:27" x14ac:dyDescent="0.3">
      <c r="A468" s="1" t="s">
        <v>21</v>
      </c>
      <c r="B468">
        <v>24</v>
      </c>
      <c r="C468" s="1" t="s">
        <v>50</v>
      </c>
      <c r="D468" s="1" t="s">
        <v>23</v>
      </c>
      <c r="E468">
        <v>1659</v>
      </c>
      <c r="F468" s="1" t="s">
        <v>37</v>
      </c>
      <c r="G468" s="1" t="s">
        <v>62</v>
      </c>
      <c r="H468">
        <v>4</v>
      </c>
      <c r="I468" s="1" t="s">
        <v>39</v>
      </c>
      <c r="J468" s="1" t="s">
        <v>27</v>
      </c>
      <c r="K468">
        <v>2</v>
      </c>
      <c r="L468" s="1" t="s">
        <v>55</v>
      </c>
      <c r="M468">
        <v>29</v>
      </c>
      <c r="N468" s="1" t="s">
        <v>29</v>
      </c>
      <c r="O468" s="1" t="s">
        <v>56</v>
      </c>
      <c r="P468">
        <v>1</v>
      </c>
      <c r="Q468" s="1" t="s">
        <v>45</v>
      </c>
      <c r="R468">
        <v>1</v>
      </c>
      <c r="S468" s="1" t="s">
        <v>32</v>
      </c>
      <c r="T468" s="1" t="s">
        <v>33</v>
      </c>
      <c r="U468" s="1" t="s">
        <v>41</v>
      </c>
      <c r="V468" s="1" t="str">
        <f>_xlfn.XLOOKUP(A468,Dictonary!$A$2:$A$5,Dictonary!$B$2:$B$5)</f>
        <v>Negative balance</v>
      </c>
      <c r="W468" s="1" t="str">
        <f>_xlfn.XLOOKUP(D468,Dictonary!$D$2:$D$12,Dictonary!$E$2:$E$12)</f>
        <v>radio/television</v>
      </c>
      <c r="X468" s="1" t="str">
        <f>_xlfn.XLOOKUP(F468,Dictonary!$G$2:$G$6,Dictonary!$H$2:$H$6)</f>
        <v>Less 100</v>
      </c>
      <c r="Y468" s="1" t="str">
        <f>_xlfn.XLOOKUP(I468,Dictonary!$J$2:$J$6,Dictonary!$K$2:$K$6)</f>
        <v>female : divorced/separated/married</v>
      </c>
      <c r="Z468" s="1" t="str">
        <f>_xlfn.XLOOKUP(Q468,Dictonary!$M$2:$M$5,Dictonary!$N$2:$N$5)</f>
        <v>unskilled - resident</v>
      </c>
      <c r="AA468" s="1" t="str">
        <f>_xlfn.XLOOKUP(O468,Dictonary!$P$2:$P$4,Dictonary!$Q$2:$Q$4)</f>
        <v>rent</v>
      </c>
    </row>
    <row r="469" spans="1:27" x14ac:dyDescent="0.3">
      <c r="A469" s="1" t="s">
        <v>42</v>
      </c>
      <c r="B469">
        <v>48</v>
      </c>
      <c r="C469" s="1" t="s">
        <v>50</v>
      </c>
      <c r="D469" s="1" t="s">
        <v>23</v>
      </c>
      <c r="E469">
        <v>7238</v>
      </c>
      <c r="F469" s="1" t="s">
        <v>24</v>
      </c>
      <c r="G469" s="1" t="s">
        <v>25</v>
      </c>
      <c r="H469">
        <v>3</v>
      </c>
      <c r="I469" s="1" t="s">
        <v>26</v>
      </c>
      <c r="J469" s="1" t="s">
        <v>27</v>
      </c>
      <c r="K469">
        <v>3</v>
      </c>
      <c r="L469" s="1" t="s">
        <v>55</v>
      </c>
      <c r="M469">
        <v>32</v>
      </c>
      <c r="N469" s="1" t="s">
        <v>66</v>
      </c>
      <c r="O469" s="1" t="s">
        <v>30</v>
      </c>
      <c r="P469">
        <v>2</v>
      </c>
      <c r="Q469" s="1" t="s">
        <v>31</v>
      </c>
      <c r="R469">
        <v>2</v>
      </c>
      <c r="S469" s="1" t="s">
        <v>40</v>
      </c>
      <c r="T469" s="1" t="s">
        <v>33</v>
      </c>
      <c r="U469" s="1" t="s">
        <v>34</v>
      </c>
      <c r="V469" s="1" t="str">
        <f>_xlfn.XLOOKUP(A469,Dictonary!$A$2:$A$5,Dictonary!$B$2:$B$5)</f>
        <v>No information</v>
      </c>
      <c r="W469" s="1" t="str">
        <f>_xlfn.XLOOKUP(D469,Dictonary!$D$2:$D$12,Dictonary!$E$2:$E$12)</f>
        <v>radio/television</v>
      </c>
      <c r="X469" s="1" t="str">
        <f>_xlfn.XLOOKUP(F469,Dictonary!$G$2:$G$6,Dictonary!$H$2:$H$6)</f>
        <v>No information</v>
      </c>
      <c r="Y469" s="1" t="str">
        <f>_xlfn.XLOOKUP(I469,Dictonary!$J$2:$J$6,Dictonary!$K$2:$K$6)</f>
        <v>male : single</v>
      </c>
      <c r="Z469" s="1" t="str">
        <f>_xlfn.XLOOKUP(Q469,Dictonary!$M$2:$M$5,Dictonary!$N$2:$N$5)</f>
        <v>skilled employee / official</v>
      </c>
      <c r="AA469" s="1" t="str">
        <f>_xlfn.XLOOKUP(O469,Dictonary!$P$2:$P$4,Dictonary!$Q$2:$Q$4)</f>
        <v>own</v>
      </c>
    </row>
    <row r="470" spans="1:27" x14ac:dyDescent="0.3">
      <c r="A470" s="1" t="s">
        <v>42</v>
      </c>
      <c r="B470">
        <v>33</v>
      </c>
      <c r="C470" s="1" t="s">
        <v>50</v>
      </c>
      <c r="D470" s="1" t="s">
        <v>63</v>
      </c>
      <c r="E470">
        <v>2764</v>
      </c>
      <c r="F470" s="1" t="s">
        <v>37</v>
      </c>
      <c r="G470" s="1" t="s">
        <v>38</v>
      </c>
      <c r="H470">
        <v>2</v>
      </c>
      <c r="I470" s="1" t="s">
        <v>39</v>
      </c>
      <c r="J470" s="1" t="s">
        <v>27</v>
      </c>
      <c r="K470">
        <v>2</v>
      </c>
      <c r="L470" s="1" t="s">
        <v>55</v>
      </c>
      <c r="M470">
        <v>26</v>
      </c>
      <c r="N470" s="1" t="s">
        <v>29</v>
      </c>
      <c r="O470" s="1" t="s">
        <v>30</v>
      </c>
      <c r="P470">
        <v>2</v>
      </c>
      <c r="Q470" s="1" t="s">
        <v>31</v>
      </c>
      <c r="R470">
        <v>1</v>
      </c>
      <c r="S470" s="1" t="s">
        <v>32</v>
      </c>
      <c r="T470" s="1" t="s">
        <v>33</v>
      </c>
      <c r="U470" s="1" t="s">
        <v>34</v>
      </c>
      <c r="V470" s="1" t="str">
        <f>_xlfn.XLOOKUP(A470,Dictonary!$A$2:$A$5,Dictonary!$B$2:$B$5)</f>
        <v>No information</v>
      </c>
      <c r="W470" s="1" t="str">
        <f>_xlfn.XLOOKUP(D470,Dictonary!$D$2:$D$12,Dictonary!$E$2:$E$12)</f>
        <v>business</v>
      </c>
      <c r="X470" s="1" t="str">
        <f>_xlfn.XLOOKUP(F470,Dictonary!$G$2:$G$6,Dictonary!$H$2:$H$6)</f>
        <v>Less 100</v>
      </c>
      <c r="Y470" s="1" t="str">
        <f>_xlfn.XLOOKUP(I470,Dictonary!$J$2:$J$6,Dictonary!$K$2:$K$6)</f>
        <v>female : divorced/separated/married</v>
      </c>
      <c r="Z470" s="1" t="str">
        <f>_xlfn.XLOOKUP(Q470,Dictonary!$M$2:$M$5,Dictonary!$N$2:$N$5)</f>
        <v>skilled employee / official</v>
      </c>
      <c r="AA470" s="1" t="str">
        <f>_xlfn.XLOOKUP(O470,Dictonary!$P$2:$P$4,Dictonary!$Q$2:$Q$4)</f>
        <v>own</v>
      </c>
    </row>
    <row r="471" spans="1:27" x14ac:dyDescent="0.3">
      <c r="A471" s="1" t="s">
        <v>42</v>
      </c>
      <c r="B471">
        <v>24</v>
      </c>
      <c r="C471" s="1" t="s">
        <v>50</v>
      </c>
      <c r="D471" s="1" t="s">
        <v>54</v>
      </c>
      <c r="E471">
        <v>4679</v>
      </c>
      <c r="F471" s="1" t="s">
        <v>37</v>
      </c>
      <c r="G471" s="1" t="s">
        <v>44</v>
      </c>
      <c r="H471">
        <v>3</v>
      </c>
      <c r="I471" s="1" t="s">
        <v>26</v>
      </c>
      <c r="J471" s="1" t="s">
        <v>27</v>
      </c>
      <c r="K471">
        <v>3</v>
      </c>
      <c r="L471" s="1" t="s">
        <v>55</v>
      </c>
      <c r="M471">
        <v>35</v>
      </c>
      <c r="N471" s="1" t="s">
        <v>29</v>
      </c>
      <c r="O471" s="1" t="s">
        <v>30</v>
      </c>
      <c r="P471">
        <v>2</v>
      </c>
      <c r="Q471" s="1" t="s">
        <v>45</v>
      </c>
      <c r="R471">
        <v>1</v>
      </c>
      <c r="S471" s="1" t="s">
        <v>32</v>
      </c>
      <c r="T471" s="1" t="s">
        <v>33</v>
      </c>
      <c r="U471" s="1" t="s">
        <v>34</v>
      </c>
      <c r="V471" s="1" t="str">
        <f>_xlfn.XLOOKUP(A471,Dictonary!$A$2:$A$5,Dictonary!$B$2:$B$5)</f>
        <v>No information</v>
      </c>
      <c r="W471" s="1" t="str">
        <f>_xlfn.XLOOKUP(D471,Dictonary!$D$2:$D$12,Dictonary!$E$2:$E$12)</f>
        <v>car (used)</v>
      </c>
      <c r="X471" s="1" t="str">
        <f>_xlfn.XLOOKUP(F471,Dictonary!$G$2:$G$6,Dictonary!$H$2:$H$6)</f>
        <v>Less 100</v>
      </c>
      <c r="Y471" s="1" t="str">
        <f>_xlfn.XLOOKUP(I471,Dictonary!$J$2:$J$6,Dictonary!$K$2:$K$6)</f>
        <v>male : single</v>
      </c>
      <c r="Z471" s="1" t="str">
        <f>_xlfn.XLOOKUP(Q471,Dictonary!$M$2:$M$5,Dictonary!$N$2:$N$5)</f>
        <v>unskilled - resident</v>
      </c>
      <c r="AA471" s="1" t="str">
        <f>_xlfn.XLOOKUP(O471,Dictonary!$P$2:$P$4,Dictonary!$Q$2:$Q$4)</f>
        <v>own</v>
      </c>
    </row>
    <row r="472" spans="1:27" x14ac:dyDescent="0.3">
      <c r="A472" s="1" t="s">
        <v>35</v>
      </c>
      <c r="B472">
        <v>24</v>
      </c>
      <c r="C472" s="1" t="s">
        <v>36</v>
      </c>
      <c r="D472" s="1" t="s">
        <v>23</v>
      </c>
      <c r="E472">
        <v>3092</v>
      </c>
      <c r="F472" s="1" t="s">
        <v>64</v>
      </c>
      <c r="G472" s="1" t="s">
        <v>62</v>
      </c>
      <c r="H472">
        <v>3</v>
      </c>
      <c r="I472" s="1" t="s">
        <v>61</v>
      </c>
      <c r="J472" s="1" t="s">
        <v>27</v>
      </c>
      <c r="K472">
        <v>2</v>
      </c>
      <c r="L472" s="1" t="s">
        <v>55</v>
      </c>
      <c r="M472">
        <v>22</v>
      </c>
      <c r="N472" s="1" t="s">
        <v>29</v>
      </c>
      <c r="O472" s="1" t="s">
        <v>56</v>
      </c>
      <c r="P472">
        <v>1</v>
      </c>
      <c r="Q472" s="1" t="s">
        <v>31</v>
      </c>
      <c r="R472">
        <v>1</v>
      </c>
      <c r="S472" s="1" t="s">
        <v>32</v>
      </c>
      <c r="T472" s="1" t="s">
        <v>33</v>
      </c>
      <c r="U472" s="1" t="s">
        <v>41</v>
      </c>
      <c r="V472" s="1" t="str">
        <f>_xlfn.XLOOKUP(A472,Dictonary!$A$2:$A$5,Dictonary!$B$2:$B$5)</f>
        <v>Low balance</v>
      </c>
      <c r="W472" s="1" t="str">
        <f>_xlfn.XLOOKUP(D472,Dictonary!$D$2:$D$12,Dictonary!$E$2:$E$12)</f>
        <v>radio/television</v>
      </c>
      <c r="X472" s="1" t="str">
        <f>_xlfn.XLOOKUP(F472,Dictonary!$G$2:$G$6,Dictonary!$H$2:$H$6)</f>
        <v>Up to 500</v>
      </c>
      <c r="Y472" s="1" t="str">
        <f>_xlfn.XLOOKUP(I472,Dictonary!$J$2:$J$6,Dictonary!$K$2:$K$6)</f>
        <v>male : married/widowed</v>
      </c>
      <c r="Z472" s="1" t="str">
        <f>_xlfn.XLOOKUP(Q472,Dictonary!$M$2:$M$5,Dictonary!$N$2:$N$5)</f>
        <v>skilled employee / official</v>
      </c>
      <c r="AA472" s="1" t="str">
        <f>_xlfn.XLOOKUP(O472,Dictonary!$P$2:$P$4,Dictonary!$Q$2:$Q$4)</f>
        <v>rent</v>
      </c>
    </row>
    <row r="473" spans="1:27" x14ac:dyDescent="0.3">
      <c r="A473" s="1" t="s">
        <v>21</v>
      </c>
      <c r="B473">
        <v>6</v>
      </c>
      <c r="C473" s="1" t="s">
        <v>36</v>
      </c>
      <c r="D473" s="1" t="s">
        <v>43</v>
      </c>
      <c r="E473">
        <v>448</v>
      </c>
      <c r="F473" s="1" t="s">
        <v>37</v>
      </c>
      <c r="G473" s="1" t="s">
        <v>62</v>
      </c>
      <c r="H473">
        <v>4</v>
      </c>
      <c r="I473" s="1" t="s">
        <v>39</v>
      </c>
      <c r="J473" s="1" t="s">
        <v>27</v>
      </c>
      <c r="K473">
        <v>4</v>
      </c>
      <c r="L473" s="1" t="s">
        <v>48</v>
      </c>
      <c r="M473">
        <v>23</v>
      </c>
      <c r="N473" s="1" t="s">
        <v>29</v>
      </c>
      <c r="O473" s="1" t="s">
        <v>30</v>
      </c>
      <c r="P473">
        <v>1</v>
      </c>
      <c r="Q473" s="1" t="s">
        <v>31</v>
      </c>
      <c r="R473">
        <v>1</v>
      </c>
      <c r="S473" s="1" t="s">
        <v>40</v>
      </c>
      <c r="T473" s="1" t="s">
        <v>33</v>
      </c>
      <c r="U473" s="1" t="s">
        <v>41</v>
      </c>
      <c r="V473" s="1" t="str">
        <f>_xlfn.XLOOKUP(A473,Dictonary!$A$2:$A$5,Dictonary!$B$2:$B$5)</f>
        <v>Negative balance</v>
      </c>
      <c r="W473" s="1" t="str">
        <f>_xlfn.XLOOKUP(D473,Dictonary!$D$2:$D$12,Dictonary!$E$2:$E$12)</f>
        <v>education</v>
      </c>
      <c r="X473" s="1" t="str">
        <f>_xlfn.XLOOKUP(F473,Dictonary!$G$2:$G$6,Dictonary!$H$2:$H$6)</f>
        <v>Less 100</v>
      </c>
      <c r="Y473" s="1" t="str">
        <f>_xlfn.XLOOKUP(I473,Dictonary!$J$2:$J$6,Dictonary!$K$2:$K$6)</f>
        <v>female : divorced/separated/married</v>
      </c>
      <c r="Z473" s="1" t="str">
        <f>_xlfn.XLOOKUP(Q473,Dictonary!$M$2:$M$5,Dictonary!$N$2:$N$5)</f>
        <v>skilled employee / official</v>
      </c>
      <c r="AA473" s="1" t="str">
        <f>_xlfn.XLOOKUP(O473,Dictonary!$P$2:$P$4,Dictonary!$Q$2:$Q$4)</f>
        <v>own</v>
      </c>
    </row>
    <row r="474" spans="1:27" x14ac:dyDescent="0.3">
      <c r="A474" s="1" t="s">
        <v>21</v>
      </c>
      <c r="B474">
        <v>9</v>
      </c>
      <c r="C474" s="1" t="s">
        <v>36</v>
      </c>
      <c r="D474" s="1" t="s">
        <v>51</v>
      </c>
      <c r="E474">
        <v>654</v>
      </c>
      <c r="F474" s="1" t="s">
        <v>37</v>
      </c>
      <c r="G474" s="1" t="s">
        <v>38</v>
      </c>
      <c r="H474">
        <v>4</v>
      </c>
      <c r="I474" s="1" t="s">
        <v>26</v>
      </c>
      <c r="J474" s="1" t="s">
        <v>27</v>
      </c>
      <c r="K474">
        <v>3</v>
      </c>
      <c r="L474" s="1" t="s">
        <v>55</v>
      </c>
      <c r="M474">
        <v>28</v>
      </c>
      <c r="N474" s="1" t="s">
        <v>29</v>
      </c>
      <c r="O474" s="1" t="s">
        <v>30</v>
      </c>
      <c r="P474">
        <v>1</v>
      </c>
      <c r="Q474" s="1" t="s">
        <v>45</v>
      </c>
      <c r="R474">
        <v>1</v>
      </c>
      <c r="S474" s="1" t="s">
        <v>40</v>
      </c>
      <c r="T474" s="1" t="s">
        <v>33</v>
      </c>
      <c r="U474" s="1" t="s">
        <v>41</v>
      </c>
      <c r="V474" s="1" t="str">
        <f>_xlfn.XLOOKUP(A474,Dictonary!$A$2:$A$5,Dictonary!$B$2:$B$5)</f>
        <v>Negative balance</v>
      </c>
      <c r="W474" s="1" t="str">
        <f>_xlfn.XLOOKUP(D474,Dictonary!$D$2:$D$12,Dictonary!$E$2:$E$12)</f>
        <v>car (new)</v>
      </c>
      <c r="X474" s="1" t="str">
        <f>_xlfn.XLOOKUP(F474,Dictonary!$G$2:$G$6,Dictonary!$H$2:$H$6)</f>
        <v>Less 100</v>
      </c>
      <c r="Y474" s="1" t="str">
        <f>_xlfn.XLOOKUP(I474,Dictonary!$J$2:$J$6,Dictonary!$K$2:$K$6)</f>
        <v>male : single</v>
      </c>
      <c r="Z474" s="1" t="str">
        <f>_xlfn.XLOOKUP(Q474,Dictonary!$M$2:$M$5,Dictonary!$N$2:$N$5)</f>
        <v>unskilled - resident</v>
      </c>
      <c r="AA474" s="1" t="str">
        <f>_xlfn.XLOOKUP(O474,Dictonary!$P$2:$P$4,Dictonary!$Q$2:$Q$4)</f>
        <v>own</v>
      </c>
    </row>
    <row r="475" spans="1:27" x14ac:dyDescent="0.3">
      <c r="A475" s="1" t="s">
        <v>42</v>
      </c>
      <c r="B475">
        <v>6</v>
      </c>
      <c r="C475" s="1" t="s">
        <v>36</v>
      </c>
      <c r="D475" s="1" t="s">
        <v>76</v>
      </c>
      <c r="E475">
        <v>1238</v>
      </c>
      <c r="F475" s="1" t="s">
        <v>24</v>
      </c>
      <c r="G475" s="1" t="s">
        <v>60</v>
      </c>
      <c r="H475">
        <v>4</v>
      </c>
      <c r="I475" s="1" t="s">
        <v>26</v>
      </c>
      <c r="J475" s="1" t="s">
        <v>27</v>
      </c>
      <c r="K475">
        <v>4</v>
      </c>
      <c r="L475" s="1" t="s">
        <v>48</v>
      </c>
      <c r="M475">
        <v>36</v>
      </c>
      <c r="N475" s="1" t="s">
        <v>29</v>
      </c>
      <c r="O475" s="1" t="s">
        <v>30</v>
      </c>
      <c r="P475">
        <v>1</v>
      </c>
      <c r="Q475" s="1" t="s">
        <v>57</v>
      </c>
      <c r="R475">
        <v>2</v>
      </c>
      <c r="S475" s="1" t="s">
        <v>32</v>
      </c>
      <c r="T475" s="1" t="s">
        <v>33</v>
      </c>
      <c r="U475" s="1" t="s">
        <v>34</v>
      </c>
      <c r="V475" s="1" t="str">
        <f>_xlfn.XLOOKUP(A475,Dictonary!$A$2:$A$5,Dictonary!$B$2:$B$5)</f>
        <v>No information</v>
      </c>
      <c r="W475" s="1" t="str">
        <f>_xlfn.XLOOKUP(D475,Dictonary!$D$2:$D$12,Dictonary!$E$2:$E$12)</f>
        <v>retraining</v>
      </c>
      <c r="X475" s="1" t="str">
        <f>_xlfn.XLOOKUP(F475,Dictonary!$G$2:$G$6,Dictonary!$H$2:$H$6)</f>
        <v>No information</v>
      </c>
      <c r="Y475" s="1" t="str">
        <f>_xlfn.XLOOKUP(I475,Dictonary!$J$2:$J$6,Dictonary!$K$2:$K$6)</f>
        <v>male : single</v>
      </c>
      <c r="Z475" s="1" t="str">
        <f>_xlfn.XLOOKUP(Q475,Dictonary!$M$2:$M$5,Dictonary!$N$2:$N$5)</f>
        <v>management/ self-employed/ highly qualified employee/ officer</v>
      </c>
      <c r="AA475" s="1" t="str">
        <f>_xlfn.XLOOKUP(O475,Dictonary!$P$2:$P$4,Dictonary!$Q$2:$Q$4)</f>
        <v>own</v>
      </c>
    </row>
    <row r="476" spans="1:27" x14ac:dyDescent="0.3">
      <c r="A476" s="1" t="s">
        <v>35</v>
      </c>
      <c r="B476">
        <v>18</v>
      </c>
      <c r="C476" s="1" t="s">
        <v>22</v>
      </c>
      <c r="D476" s="1" t="s">
        <v>23</v>
      </c>
      <c r="E476">
        <v>1245</v>
      </c>
      <c r="F476" s="1" t="s">
        <v>37</v>
      </c>
      <c r="G476" s="1" t="s">
        <v>38</v>
      </c>
      <c r="H476">
        <v>4</v>
      </c>
      <c r="I476" s="1" t="s">
        <v>61</v>
      </c>
      <c r="J476" s="1" t="s">
        <v>27</v>
      </c>
      <c r="K476">
        <v>2</v>
      </c>
      <c r="L476" s="1" t="s">
        <v>55</v>
      </c>
      <c r="M476">
        <v>33</v>
      </c>
      <c r="N476" s="1" t="s">
        <v>29</v>
      </c>
      <c r="O476" s="1" t="s">
        <v>30</v>
      </c>
      <c r="P476">
        <v>1</v>
      </c>
      <c r="Q476" s="1" t="s">
        <v>31</v>
      </c>
      <c r="R476">
        <v>1</v>
      </c>
      <c r="S476" s="1" t="s">
        <v>40</v>
      </c>
      <c r="T476" s="1" t="s">
        <v>33</v>
      </c>
      <c r="U476" s="1" t="s">
        <v>41</v>
      </c>
      <c r="V476" s="1" t="str">
        <f>_xlfn.XLOOKUP(A476,Dictonary!$A$2:$A$5,Dictonary!$B$2:$B$5)</f>
        <v>Low balance</v>
      </c>
      <c r="W476" s="1" t="str">
        <f>_xlfn.XLOOKUP(D476,Dictonary!$D$2:$D$12,Dictonary!$E$2:$E$12)</f>
        <v>radio/television</v>
      </c>
      <c r="X476" s="1" t="str">
        <f>_xlfn.XLOOKUP(F476,Dictonary!$G$2:$G$6,Dictonary!$H$2:$H$6)</f>
        <v>Less 100</v>
      </c>
      <c r="Y476" s="1" t="str">
        <f>_xlfn.XLOOKUP(I476,Dictonary!$J$2:$J$6,Dictonary!$K$2:$K$6)</f>
        <v>male : married/widowed</v>
      </c>
      <c r="Z476" s="1" t="str">
        <f>_xlfn.XLOOKUP(Q476,Dictonary!$M$2:$M$5,Dictonary!$N$2:$N$5)</f>
        <v>skilled employee / official</v>
      </c>
      <c r="AA476" s="1" t="str">
        <f>_xlfn.XLOOKUP(O476,Dictonary!$P$2:$P$4,Dictonary!$Q$2:$Q$4)</f>
        <v>own</v>
      </c>
    </row>
    <row r="477" spans="1:27" x14ac:dyDescent="0.3">
      <c r="A477" s="1" t="s">
        <v>21</v>
      </c>
      <c r="B477">
        <v>18</v>
      </c>
      <c r="C477" s="1" t="s">
        <v>65</v>
      </c>
      <c r="D477" s="1" t="s">
        <v>46</v>
      </c>
      <c r="E477">
        <v>3114</v>
      </c>
      <c r="F477" s="1" t="s">
        <v>37</v>
      </c>
      <c r="G477" s="1" t="s">
        <v>62</v>
      </c>
      <c r="H477">
        <v>1</v>
      </c>
      <c r="I477" s="1" t="s">
        <v>39</v>
      </c>
      <c r="J477" s="1" t="s">
        <v>27</v>
      </c>
      <c r="K477">
        <v>4</v>
      </c>
      <c r="L477" s="1" t="s">
        <v>48</v>
      </c>
      <c r="M477">
        <v>26</v>
      </c>
      <c r="N477" s="1" t="s">
        <v>29</v>
      </c>
      <c r="O477" s="1" t="s">
        <v>56</v>
      </c>
      <c r="P477">
        <v>1</v>
      </c>
      <c r="Q477" s="1" t="s">
        <v>31</v>
      </c>
      <c r="R477">
        <v>1</v>
      </c>
      <c r="S477" s="1" t="s">
        <v>40</v>
      </c>
      <c r="T477" s="1" t="s">
        <v>33</v>
      </c>
      <c r="U477" s="1" t="s">
        <v>41</v>
      </c>
      <c r="V477" s="1" t="str">
        <f>_xlfn.XLOOKUP(A477,Dictonary!$A$2:$A$5,Dictonary!$B$2:$B$5)</f>
        <v>Negative balance</v>
      </c>
      <c r="W477" s="1" t="str">
        <f>_xlfn.XLOOKUP(D477,Dictonary!$D$2:$D$12,Dictonary!$E$2:$E$12)</f>
        <v>furniture/equipment</v>
      </c>
      <c r="X477" s="1" t="str">
        <f>_xlfn.XLOOKUP(F477,Dictonary!$G$2:$G$6,Dictonary!$H$2:$H$6)</f>
        <v>Less 100</v>
      </c>
      <c r="Y477" s="1" t="str">
        <f>_xlfn.XLOOKUP(I477,Dictonary!$J$2:$J$6,Dictonary!$K$2:$K$6)</f>
        <v>female : divorced/separated/married</v>
      </c>
      <c r="Z477" s="1" t="str">
        <f>_xlfn.XLOOKUP(Q477,Dictonary!$M$2:$M$5,Dictonary!$N$2:$N$5)</f>
        <v>skilled employee / official</v>
      </c>
      <c r="AA477" s="1" t="str">
        <f>_xlfn.XLOOKUP(O477,Dictonary!$P$2:$P$4,Dictonary!$Q$2:$Q$4)</f>
        <v>rent</v>
      </c>
    </row>
    <row r="478" spans="1:27" x14ac:dyDescent="0.3">
      <c r="A478" s="1" t="s">
        <v>42</v>
      </c>
      <c r="B478">
        <v>39</v>
      </c>
      <c r="C478" s="1" t="s">
        <v>36</v>
      </c>
      <c r="D478" s="1" t="s">
        <v>54</v>
      </c>
      <c r="E478">
        <v>2569</v>
      </c>
      <c r="F478" s="1" t="s">
        <v>53</v>
      </c>
      <c r="G478" s="1" t="s">
        <v>38</v>
      </c>
      <c r="H478">
        <v>4</v>
      </c>
      <c r="I478" s="1" t="s">
        <v>26</v>
      </c>
      <c r="J478" s="1" t="s">
        <v>27</v>
      </c>
      <c r="K478">
        <v>4</v>
      </c>
      <c r="L478" s="1" t="s">
        <v>55</v>
      </c>
      <c r="M478">
        <v>24</v>
      </c>
      <c r="N478" s="1" t="s">
        <v>29</v>
      </c>
      <c r="O478" s="1" t="s">
        <v>30</v>
      </c>
      <c r="P478">
        <v>1</v>
      </c>
      <c r="Q478" s="1" t="s">
        <v>31</v>
      </c>
      <c r="R478">
        <v>1</v>
      </c>
      <c r="S478" s="1" t="s">
        <v>40</v>
      </c>
      <c r="T478" s="1" t="s">
        <v>33</v>
      </c>
      <c r="U478" s="1" t="s">
        <v>34</v>
      </c>
      <c r="V478" s="1" t="str">
        <f>_xlfn.XLOOKUP(A478,Dictonary!$A$2:$A$5,Dictonary!$B$2:$B$5)</f>
        <v>No information</v>
      </c>
      <c r="W478" s="1" t="str">
        <f>_xlfn.XLOOKUP(D478,Dictonary!$D$2:$D$12,Dictonary!$E$2:$E$12)</f>
        <v>car (used)</v>
      </c>
      <c r="X478" s="1" t="str">
        <f>_xlfn.XLOOKUP(F478,Dictonary!$G$2:$G$6,Dictonary!$H$2:$H$6)</f>
        <v>Up to 1000</v>
      </c>
      <c r="Y478" s="1" t="str">
        <f>_xlfn.XLOOKUP(I478,Dictonary!$J$2:$J$6,Dictonary!$K$2:$K$6)</f>
        <v>male : single</v>
      </c>
      <c r="Z478" s="1" t="str">
        <f>_xlfn.XLOOKUP(Q478,Dictonary!$M$2:$M$5,Dictonary!$N$2:$N$5)</f>
        <v>skilled employee / official</v>
      </c>
      <c r="AA478" s="1" t="str">
        <f>_xlfn.XLOOKUP(O478,Dictonary!$P$2:$P$4,Dictonary!$Q$2:$Q$4)</f>
        <v>own</v>
      </c>
    </row>
    <row r="479" spans="1:27" x14ac:dyDescent="0.3">
      <c r="A479" s="1" t="s">
        <v>68</v>
      </c>
      <c r="B479">
        <v>24</v>
      </c>
      <c r="C479" s="1" t="s">
        <v>36</v>
      </c>
      <c r="D479" s="1" t="s">
        <v>23</v>
      </c>
      <c r="E479">
        <v>5152</v>
      </c>
      <c r="F479" s="1" t="s">
        <v>37</v>
      </c>
      <c r="G479" s="1" t="s">
        <v>44</v>
      </c>
      <c r="H479">
        <v>4</v>
      </c>
      <c r="I479" s="1" t="s">
        <v>26</v>
      </c>
      <c r="J479" s="1" t="s">
        <v>27</v>
      </c>
      <c r="K479">
        <v>2</v>
      </c>
      <c r="L479" s="1" t="s">
        <v>55</v>
      </c>
      <c r="M479">
        <v>25</v>
      </c>
      <c r="N479" s="1" t="s">
        <v>66</v>
      </c>
      <c r="O479" s="1" t="s">
        <v>30</v>
      </c>
      <c r="P479">
        <v>1</v>
      </c>
      <c r="Q479" s="1" t="s">
        <v>31</v>
      </c>
      <c r="R479">
        <v>1</v>
      </c>
      <c r="S479" s="1" t="s">
        <v>40</v>
      </c>
      <c r="T479" s="1" t="s">
        <v>33</v>
      </c>
      <c r="U479" s="1" t="s">
        <v>34</v>
      </c>
      <c r="V479" s="1" t="str">
        <f>_xlfn.XLOOKUP(A479,Dictonary!$A$2:$A$5,Dictonary!$B$2:$B$5)</f>
        <v>Normal balance</v>
      </c>
      <c r="W479" s="1" t="str">
        <f>_xlfn.XLOOKUP(D479,Dictonary!$D$2:$D$12,Dictonary!$E$2:$E$12)</f>
        <v>radio/television</v>
      </c>
      <c r="X479" s="1" t="str">
        <f>_xlfn.XLOOKUP(F479,Dictonary!$G$2:$G$6,Dictonary!$H$2:$H$6)</f>
        <v>Less 100</v>
      </c>
      <c r="Y479" s="1" t="str">
        <f>_xlfn.XLOOKUP(I479,Dictonary!$J$2:$J$6,Dictonary!$K$2:$K$6)</f>
        <v>male : single</v>
      </c>
      <c r="Z479" s="1" t="str">
        <f>_xlfn.XLOOKUP(Q479,Dictonary!$M$2:$M$5,Dictonary!$N$2:$N$5)</f>
        <v>skilled employee / official</v>
      </c>
      <c r="AA479" s="1" t="str">
        <f>_xlfn.XLOOKUP(O479,Dictonary!$P$2:$P$4,Dictonary!$Q$2:$Q$4)</f>
        <v>own</v>
      </c>
    </row>
    <row r="480" spans="1:27" x14ac:dyDescent="0.3">
      <c r="A480" s="1" t="s">
        <v>35</v>
      </c>
      <c r="B480">
        <v>12</v>
      </c>
      <c r="C480" s="1" t="s">
        <v>36</v>
      </c>
      <c r="D480" s="1" t="s">
        <v>63</v>
      </c>
      <c r="E480">
        <v>1037</v>
      </c>
      <c r="F480" s="1" t="s">
        <v>64</v>
      </c>
      <c r="G480" s="1" t="s">
        <v>44</v>
      </c>
      <c r="H480">
        <v>3</v>
      </c>
      <c r="I480" s="1" t="s">
        <v>26</v>
      </c>
      <c r="J480" s="1" t="s">
        <v>27</v>
      </c>
      <c r="K480">
        <v>4</v>
      </c>
      <c r="L480" s="1" t="s">
        <v>28</v>
      </c>
      <c r="M480">
        <v>39</v>
      </c>
      <c r="N480" s="1" t="s">
        <v>29</v>
      </c>
      <c r="O480" s="1" t="s">
        <v>30</v>
      </c>
      <c r="P480">
        <v>1</v>
      </c>
      <c r="Q480" s="1" t="s">
        <v>45</v>
      </c>
      <c r="R480">
        <v>1</v>
      </c>
      <c r="S480" s="1" t="s">
        <v>40</v>
      </c>
      <c r="T480" s="1" t="s">
        <v>33</v>
      </c>
      <c r="U480" s="1" t="s">
        <v>34</v>
      </c>
      <c r="V480" s="1" t="str">
        <f>_xlfn.XLOOKUP(A480,Dictonary!$A$2:$A$5,Dictonary!$B$2:$B$5)</f>
        <v>Low balance</v>
      </c>
      <c r="W480" s="1" t="str">
        <f>_xlfn.XLOOKUP(D480,Dictonary!$D$2:$D$12,Dictonary!$E$2:$E$12)</f>
        <v>business</v>
      </c>
      <c r="X480" s="1" t="str">
        <f>_xlfn.XLOOKUP(F480,Dictonary!$G$2:$G$6,Dictonary!$H$2:$H$6)</f>
        <v>Up to 500</v>
      </c>
      <c r="Y480" s="1" t="str">
        <f>_xlfn.XLOOKUP(I480,Dictonary!$J$2:$J$6,Dictonary!$K$2:$K$6)</f>
        <v>male : single</v>
      </c>
      <c r="Z480" s="1" t="str">
        <f>_xlfn.XLOOKUP(Q480,Dictonary!$M$2:$M$5,Dictonary!$N$2:$N$5)</f>
        <v>unskilled - resident</v>
      </c>
      <c r="AA480" s="1" t="str">
        <f>_xlfn.XLOOKUP(O480,Dictonary!$P$2:$P$4,Dictonary!$Q$2:$Q$4)</f>
        <v>own</v>
      </c>
    </row>
    <row r="481" spans="1:27" x14ac:dyDescent="0.3">
      <c r="A481" s="1" t="s">
        <v>21</v>
      </c>
      <c r="B481">
        <v>15</v>
      </c>
      <c r="C481" s="1" t="s">
        <v>22</v>
      </c>
      <c r="D481" s="1" t="s">
        <v>46</v>
      </c>
      <c r="E481">
        <v>1478</v>
      </c>
      <c r="F481" s="1" t="s">
        <v>37</v>
      </c>
      <c r="G481" s="1" t="s">
        <v>25</v>
      </c>
      <c r="H481">
        <v>4</v>
      </c>
      <c r="I481" s="1" t="s">
        <v>26</v>
      </c>
      <c r="J481" s="1" t="s">
        <v>27</v>
      </c>
      <c r="K481">
        <v>4</v>
      </c>
      <c r="L481" s="1" t="s">
        <v>55</v>
      </c>
      <c r="M481">
        <v>44</v>
      </c>
      <c r="N481" s="1" t="s">
        <v>29</v>
      </c>
      <c r="O481" s="1" t="s">
        <v>30</v>
      </c>
      <c r="P481">
        <v>2</v>
      </c>
      <c r="Q481" s="1" t="s">
        <v>31</v>
      </c>
      <c r="R481">
        <v>2</v>
      </c>
      <c r="S481" s="1" t="s">
        <v>32</v>
      </c>
      <c r="T481" s="1" t="s">
        <v>33</v>
      </c>
      <c r="U481" s="1" t="s">
        <v>34</v>
      </c>
      <c r="V481" s="1" t="str">
        <f>_xlfn.XLOOKUP(A481,Dictonary!$A$2:$A$5,Dictonary!$B$2:$B$5)</f>
        <v>Negative balance</v>
      </c>
      <c r="W481" s="1" t="str">
        <f>_xlfn.XLOOKUP(D481,Dictonary!$D$2:$D$12,Dictonary!$E$2:$E$12)</f>
        <v>furniture/equipment</v>
      </c>
      <c r="X481" s="1" t="str">
        <f>_xlfn.XLOOKUP(F481,Dictonary!$G$2:$G$6,Dictonary!$H$2:$H$6)</f>
        <v>Less 100</v>
      </c>
      <c r="Y481" s="1" t="str">
        <f>_xlfn.XLOOKUP(I481,Dictonary!$J$2:$J$6,Dictonary!$K$2:$K$6)</f>
        <v>male : single</v>
      </c>
      <c r="Z481" s="1" t="str">
        <f>_xlfn.XLOOKUP(Q481,Dictonary!$M$2:$M$5,Dictonary!$N$2:$N$5)</f>
        <v>skilled employee / official</v>
      </c>
      <c r="AA481" s="1" t="str">
        <f>_xlfn.XLOOKUP(O481,Dictonary!$P$2:$P$4,Dictonary!$Q$2:$Q$4)</f>
        <v>own</v>
      </c>
    </row>
    <row r="482" spans="1:27" x14ac:dyDescent="0.3">
      <c r="A482" s="1" t="s">
        <v>35</v>
      </c>
      <c r="B482">
        <v>12</v>
      </c>
      <c r="C482" s="1" t="s">
        <v>22</v>
      </c>
      <c r="D482" s="1" t="s">
        <v>23</v>
      </c>
      <c r="E482">
        <v>3573</v>
      </c>
      <c r="F482" s="1" t="s">
        <v>37</v>
      </c>
      <c r="G482" s="1" t="s">
        <v>38</v>
      </c>
      <c r="H482">
        <v>1</v>
      </c>
      <c r="I482" s="1" t="s">
        <v>39</v>
      </c>
      <c r="J482" s="1" t="s">
        <v>27</v>
      </c>
      <c r="K482">
        <v>1</v>
      </c>
      <c r="L482" s="1" t="s">
        <v>28</v>
      </c>
      <c r="M482">
        <v>23</v>
      </c>
      <c r="N482" s="1" t="s">
        <v>29</v>
      </c>
      <c r="O482" s="1" t="s">
        <v>30</v>
      </c>
      <c r="P482">
        <v>1</v>
      </c>
      <c r="Q482" s="1" t="s">
        <v>45</v>
      </c>
      <c r="R482">
        <v>1</v>
      </c>
      <c r="S482" s="1" t="s">
        <v>40</v>
      </c>
      <c r="T482" s="1" t="s">
        <v>33</v>
      </c>
      <c r="U482" s="1" t="s">
        <v>34</v>
      </c>
      <c r="V482" s="1" t="str">
        <f>_xlfn.XLOOKUP(A482,Dictonary!$A$2:$A$5,Dictonary!$B$2:$B$5)</f>
        <v>Low balance</v>
      </c>
      <c r="W482" s="1" t="str">
        <f>_xlfn.XLOOKUP(D482,Dictonary!$D$2:$D$12,Dictonary!$E$2:$E$12)</f>
        <v>radio/television</v>
      </c>
      <c r="X482" s="1" t="str">
        <f>_xlfn.XLOOKUP(F482,Dictonary!$G$2:$G$6,Dictonary!$H$2:$H$6)</f>
        <v>Less 100</v>
      </c>
      <c r="Y482" s="1" t="str">
        <f>_xlfn.XLOOKUP(I482,Dictonary!$J$2:$J$6,Dictonary!$K$2:$K$6)</f>
        <v>female : divorced/separated/married</v>
      </c>
      <c r="Z482" s="1" t="str">
        <f>_xlfn.XLOOKUP(Q482,Dictonary!$M$2:$M$5,Dictonary!$N$2:$N$5)</f>
        <v>unskilled - resident</v>
      </c>
      <c r="AA482" s="1" t="str">
        <f>_xlfn.XLOOKUP(O482,Dictonary!$P$2:$P$4,Dictonary!$Q$2:$Q$4)</f>
        <v>own</v>
      </c>
    </row>
    <row r="483" spans="1:27" x14ac:dyDescent="0.3">
      <c r="A483" s="1" t="s">
        <v>35</v>
      </c>
      <c r="B483">
        <v>24</v>
      </c>
      <c r="C483" s="1" t="s">
        <v>36</v>
      </c>
      <c r="D483" s="1" t="s">
        <v>51</v>
      </c>
      <c r="E483">
        <v>1201</v>
      </c>
      <c r="F483" s="1" t="s">
        <v>37</v>
      </c>
      <c r="G483" s="1" t="s">
        <v>62</v>
      </c>
      <c r="H483">
        <v>4</v>
      </c>
      <c r="I483" s="1" t="s">
        <v>26</v>
      </c>
      <c r="J483" s="1" t="s">
        <v>27</v>
      </c>
      <c r="K483">
        <v>1</v>
      </c>
      <c r="L483" s="1" t="s">
        <v>48</v>
      </c>
      <c r="M483">
        <v>26</v>
      </c>
      <c r="N483" s="1" t="s">
        <v>29</v>
      </c>
      <c r="O483" s="1" t="s">
        <v>30</v>
      </c>
      <c r="P483">
        <v>1</v>
      </c>
      <c r="Q483" s="1" t="s">
        <v>31</v>
      </c>
      <c r="R483">
        <v>1</v>
      </c>
      <c r="S483" s="1" t="s">
        <v>40</v>
      </c>
      <c r="T483" s="1" t="s">
        <v>33</v>
      </c>
      <c r="U483" s="1" t="s">
        <v>34</v>
      </c>
      <c r="V483" s="1" t="str">
        <f>_xlfn.XLOOKUP(A483,Dictonary!$A$2:$A$5,Dictonary!$B$2:$B$5)</f>
        <v>Low balance</v>
      </c>
      <c r="W483" s="1" t="str">
        <f>_xlfn.XLOOKUP(D483,Dictonary!$D$2:$D$12,Dictonary!$E$2:$E$12)</f>
        <v>car (new)</v>
      </c>
      <c r="X483" s="1" t="str">
        <f>_xlfn.XLOOKUP(F483,Dictonary!$G$2:$G$6,Dictonary!$H$2:$H$6)</f>
        <v>Less 100</v>
      </c>
      <c r="Y483" s="1" t="str">
        <f>_xlfn.XLOOKUP(I483,Dictonary!$J$2:$J$6,Dictonary!$K$2:$K$6)</f>
        <v>male : single</v>
      </c>
      <c r="Z483" s="1" t="str">
        <f>_xlfn.XLOOKUP(Q483,Dictonary!$M$2:$M$5,Dictonary!$N$2:$N$5)</f>
        <v>skilled employee / official</v>
      </c>
      <c r="AA483" s="1" t="str">
        <f>_xlfn.XLOOKUP(O483,Dictonary!$P$2:$P$4,Dictonary!$Q$2:$Q$4)</f>
        <v>own</v>
      </c>
    </row>
    <row r="484" spans="1:27" x14ac:dyDescent="0.3">
      <c r="A484" s="1" t="s">
        <v>21</v>
      </c>
      <c r="B484">
        <v>30</v>
      </c>
      <c r="C484" s="1" t="s">
        <v>36</v>
      </c>
      <c r="D484" s="1" t="s">
        <v>46</v>
      </c>
      <c r="E484">
        <v>3622</v>
      </c>
      <c r="F484" s="1" t="s">
        <v>58</v>
      </c>
      <c r="G484" s="1" t="s">
        <v>25</v>
      </c>
      <c r="H484">
        <v>4</v>
      </c>
      <c r="I484" s="1" t="s">
        <v>39</v>
      </c>
      <c r="J484" s="1" t="s">
        <v>27</v>
      </c>
      <c r="K484">
        <v>4</v>
      </c>
      <c r="L484" s="1" t="s">
        <v>48</v>
      </c>
      <c r="M484">
        <v>57</v>
      </c>
      <c r="N484" s="1" t="s">
        <v>29</v>
      </c>
      <c r="O484" s="1" t="s">
        <v>56</v>
      </c>
      <c r="P484">
        <v>2</v>
      </c>
      <c r="Q484" s="1" t="s">
        <v>31</v>
      </c>
      <c r="R484">
        <v>1</v>
      </c>
      <c r="S484" s="1" t="s">
        <v>32</v>
      </c>
      <c r="T484" s="1" t="s">
        <v>33</v>
      </c>
      <c r="U484" s="1" t="s">
        <v>34</v>
      </c>
      <c r="V484" s="1" t="str">
        <f>_xlfn.XLOOKUP(A484,Dictonary!$A$2:$A$5,Dictonary!$B$2:$B$5)</f>
        <v>Negative balance</v>
      </c>
      <c r="W484" s="1" t="str">
        <f>_xlfn.XLOOKUP(D484,Dictonary!$D$2:$D$12,Dictonary!$E$2:$E$12)</f>
        <v>furniture/equipment</v>
      </c>
      <c r="X484" s="1" t="str">
        <f>_xlfn.XLOOKUP(F484,Dictonary!$G$2:$G$6,Dictonary!$H$2:$H$6)</f>
        <v>More 1000</v>
      </c>
      <c r="Y484" s="1" t="str">
        <f>_xlfn.XLOOKUP(I484,Dictonary!$J$2:$J$6,Dictonary!$K$2:$K$6)</f>
        <v>female : divorced/separated/married</v>
      </c>
      <c r="Z484" s="1" t="str">
        <f>_xlfn.XLOOKUP(Q484,Dictonary!$M$2:$M$5,Dictonary!$N$2:$N$5)</f>
        <v>skilled employee / official</v>
      </c>
      <c r="AA484" s="1" t="str">
        <f>_xlfn.XLOOKUP(O484,Dictonary!$P$2:$P$4,Dictonary!$Q$2:$Q$4)</f>
        <v>rent</v>
      </c>
    </row>
    <row r="485" spans="1:27" x14ac:dyDescent="0.3">
      <c r="A485" s="1" t="s">
        <v>42</v>
      </c>
      <c r="B485">
        <v>15</v>
      </c>
      <c r="C485" s="1" t="s">
        <v>50</v>
      </c>
      <c r="D485" s="1" t="s">
        <v>46</v>
      </c>
      <c r="E485">
        <v>960</v>
      </c>
      <c r="F485" s="1" t="s">
        <v>58</v>
      </c>
      <c r="G485" s="1" t="s">
        <v>44</v>
      </c>
      <c r="H485">
        <v>3</v>
      </c>
      <c r="I485" s="1" t="s">
        <v>39</v>
      </c>
      <c r="J485" s="1" t="s">
        <v>27</v>
      </c>
      <c r="K485">
        <v>2</v>
      </c>
      <c r="L485" s="1" t="s">
        <v>48</v>
      </c>
      <c r="M485">
        <v>30</v>
      </c>
      <c r="N485" s="1" t="s">
        <v>29</v>
      </c>
      <c r="O485" s="1" t="s">
        <v>30</v>
      </c>
      <c r="P485">
        <v>2</v>
      </c>
      <c r="Q485" s="1" t="s">
        <v>31</v>
      </c>
      <c r="R485">
        <v>1</v>
      </c>
      <c r="S485" s="1" t="s">
        <v>40</v>
      </c>
      <c r="T485" s="1" t="s">
        <v>33</v>
      </c>
      <c r="U485" s="1" t="s">
        <v>34</v>
      </c>
      <c r="V485" s="1" t="str">
        <f>_xlfn.XLOOKUP(A485,Dictonary!$A$2:$A$5,Dictonary!$B$2:$B$5)</f>
        <v>No information</v>
      </c>
      <c r="W485" s="1" t="str">
        <f>_xlfn.XLOOKUP(D485,Dictonary!$D$2:$D$12,Dictonary!$E$2:$E$12)</f>
        <v>furniture/equipment</v>
      </c>
      <c r="X485" s="1" t="str">
        <f>_xlfn.XLOOKUP(F485,Dictonary!$G$2:$G$6,Dictonary!$H$2:$H$6)</f>
        <v>More 1000</v>
      </c>
      <c r="Y485" s="1" t="str">
        <f>_xlfn.XLOOKUP(I485,Dictonary!$J$2:$J$6,Dictonary!$K$2:$K$6)</f>
        <v>female : divorced/separated/married</v>
      </c>
      <c r="Z485" s="1" t="str">
        <f>_xlfn.XLOOKUP(Q485,Dictonary!$M$2:$M$5,Dictonary!$N$2:$N$5)</f>
        <v>skilled employee / official</v>
      </c>
      <c r="AA485" s="1" t="str">
        <f>_xlfn.XLOOKUP(O485,Dictonary!$P$2:$P$4,Dictonary!$Q$2:$Q$4)</f>
        <v>own</v>
      </c>
    </row>
    <row r="486" spans="1:27" x14ac:dyDescent="0.3">
      <c r="A486" s="1" t="s">
        <v>42</v>
      </c>
      <c r="B486">
        <v>12</v>
      </c>
      <c r="C486" s="1" t="s">
        <v>22</v>
      </c>
      <c r="D486" s="1" t="s">
        <v>51</v>
      </c>
      <c r="E486">
        <v>1163</v>
      </c>
      <c r="F486" s="1" t="s">
        <v>53</v>
      </c>
      <c r="G486" s="1" t="s">
        <v>38</v>
      </c>
      <c r="H486">
        <v>4</v>
      </c>
      <c r="I486" s="1" t="s">
        <v>26</v>
      </c>
      <c r="J486" s="1" t="s">
        <v>27</v>
      </c>
      <c r="K486">
        <v>4</v>
      </c>
      <c r="L486" s="1" t="s">
        <v>28</v>
      </c>
      <c r="M486">
        <v>44</v>
      </c>
      <c r="N486" s="1" t="s">
        <v>29</v>
      </c>
      <c r="O486" s="1" t="s">
        <v>30</v>
      </c>
      <c r="P486">
        <v>1</v>
      </c>
      <c r="Q486" s="1" t="s">
        <v>31</v>
      </c>
      <c r="R486">
        <v>1</v>
      </c>
      <c r="S486" s="1" t="s">
        <v>32</v>
      </c>
      <c r="T486" s="1" t="s">
        <v>33</v>
      </c>
      <c r="U486" s="1" t="s">
        <v>34</v>
      </c>
      <c r="V486" s="1" t="str">
        <f>_xlfn.XLOOKUP(A486,Dictonary!$A$2:$A$5,Dictonary!$B$2:$B$5)</f>
        <v>No information</v>
      </c>
      <c r="W486" s="1" t="str">
        <f>_xlfn.XLOOKUP(D486,Dictonary!$D$2:$D$12,Dictonary!$E$2:$E$12)</f>
        <v>car (new)</v>
      </c>
      <c r="X486" s="1" t="str">
        <f>_xlfn.XLOOKUP(F486,Dictonary!$G$2:$G$6,Dictonary!$H$2:$H$6)</f>
        <v>Up to 1000</v>
      </c>
      <c r="Y486" s="1" t="str">
        <f>_xlfn.XLOOKUP(I486,Dictonary!$J$2:$J$6,Dictonary!$K$2:$K$6)</f>
        <v>male : single</v>
      </c>
      <c r="Z486" s="1" t="str">
        <f>_xlfn.XLOOKUP(Q486,Dictonary!$M$2:$M$5,Dictonary!$N$2:$N$5)</f>
        <v>skilled employee / official</v>
      </c>
      <c r="AA486" s="1" t="str">
        <f>_xlfn.XLOOKUP(O486,Dictonary!$P$2:$P$4,Dictonary!$Q$2:$Q$4)</f>
        <v>own</v>
      </c>
    </row>
    <row r="487" spans="1:27" x14ac:dyDescent="0.3">
      <c r="A487" s="1" t="s">
        <v>35</v>
      </c>
      <c r="B487">
        <v>6</v>
      </c>
      <c r="C487" s="1" t="s">
        <v>50</v>
      </c>
      <c r="D487" s="1" t="s">
        <v>51</v>
      </c>
      <c r="E487">
        <v>1209</v>
      </c>
      <c r="F487" s="1" t="s">
        <v>37</v>
      </c>
      <c r="G487" s="1" t="s">
        <v>60</v>
      </c>
      <c r="H487">
        <v>4</v>
      </c>
      <c r="I487" s="1" t="s">
        <v>26</v>
      </c>
      <c r="J487" s="1" t="s">
        <v>27</v>
      </c>
      <c r="K487">
        <v>4</v>
      </c>
      <c r="L487" s="1" t="s">
        <v>48</v>
      </c>
      <c r="M487">
        <v>47</v>
      </c>
      <c r="N487" s="1" t="s">
        <v>29</v>
      </c>
      <c r="O487" s="1" t="s">
        <v>30</v>
      </c>
      <c r="P487">
        <v>1</v>
      </c>
      <c r="Q487" s="1" t="s">
        <v>57</v>
      </c>
      <c r="R487">
        <v>1</v>
      </c>
      <c r="S487" s="1" t="s">
        <v>32</v>
      </c>
      <c r="T487" s="1" t="s">
        <v>33</v>
      </c>
      <c r="U487" s="1" t="s">
        <v>41</v>
      </c>
      <c r="V487" s="1" t="str">
        <f>_xlfn.XLOOKUP(A487,Dictonary!$A$2:$A$5,Dictonary!$B$2:$B$5)</f>
        <v>Low balance</v>
      </c>
      <c r="W487" s="1" t="str">
        <f>_xlfn.XLOOKUP(D487,Dictonary!$D$2:$D$12,Dictonary!$E$2:$E$12)</f>
        <v>car (new)</v>
      </c>
      <c r="X487" s="1" t="str">
        <f>_xlfn.XLOOKUP(F487,Dictonary!$G$2:$G$6,Dictonary!$H$2:$H$6)</f>
        <v>Less 100</v>
      </c>
      <c r="Y487" s="1" t="str">
        <f>_xlfn.XLOOKUP(I487,Dictonary!$J$2:$J$6,Dictonary!$K$2:$K$6)</f>
        <v>male : single</v>
      </c>
      <c r="Z487" s="1" t="str">
        <f>_xlfn.XLOOKUP(Q487,Dictonary!$M$2:$M$5,Dictonary!$N$2:$N$5)</f>
        <v>management/ self-employed/ highly qualified employee/ officer</v>
      </c>
      <c r="AA487" s="1" t="str">
        <f>_xlfn.XLOOKUP(O487,Dictonary!$P$2:$P$4,Dictonary!$Q$2:$Q$4)</f>
        <v>own</v>
      </c>
    </row>
    <row r="488" spans="1:27" x14ac:dyDescent="0.3">
      <c r="A488" s="1" t="s">
        <v>42</v>
      </c>
      <c r="B488">
        <v>12</v>
      </c>
      <c r="C488" s="1" t="s">
        <v>36</v>
      </c>
      <c r="D488" s="1" t="s">
        <v>23</v>
      </c>
      <c r="E488">
        <v>3077</v>
      </c>
      <c r="F488" s="1" t="s">
        <v>37</v>
      </c>
      <c r="G488" s="1" t="s">
        <v>38</v>
      </c>
      <c r="H488">
        <v>2</v>
      </c>
      <c r="I488" s="1" t="s">
        <v>26</v>
      </c>
      <c r="J488" s="1" t="s">
        <v>27</v>
      </c>
      <c r="K488">
        <v>4</v>
      </c>
      <c r="L488" s="1" t="s">
        <v>55</v>
      </c>
      <c r="M488">
        <v>52</v>
      </c>
      <c r="N488" s="1" t="s">
        <v>29</v>
      </c>
      <c r="O488" s="1" t="s">
        <v>30</v>
      </c>
      <c r="P488">
        <v>1</v>
      </c>
      <c r="Q488" s="1" t="s">
        <v>31</v>
      </c>
      <c r="R488">
        <v>1</v>
      </c>
      <c r="S488" s="1" t="s">
        <v>32</v>
      </c>
      <c r="T488" s="1" t="s">
        <v>33</v>
      </c>
      <c r="U488" s="1" t="s">
        <v>34</v>
      </c>
      <c r="V488" s="1" t="str">
        <f>_xlfn.XLOOKUP(A488,Dictonary!$A$2:$A$5,Dictonary!$B$2:$B$5)</f>
        <v>No information</v>
      </c>
      <c r="W488" s="1" t="str">
        <f>_xlfn.XLOOKUP(D488,Dictonary!$D$2:$D$12,Dictonary!$E$2:$E$12)</f>
        <v>radio/television</v>
      </c>
      <c r="X488" s="1" t="str">
        <f>_xlfn.XLOOKUP(F488,Dictonary!$G$2:$G$6,Dictonary!$H$2:$H$6)</f>
        <v>Less 100</v>
      </c>
      <c r="Y488" s="1" t="str">
        <f>_xlfn.XLOOKUP(I488,Dictonary!$J$2:$J$6,Dictonary!$K$2:$K$6)</f>
        <v>male : single</v>
      </c>
      <c r="Z488" s="1" t="str">
        <f>_xlfn.XLOOKUP(Q488,Dictonary!$M$2:$M$5,Dictonary!$N$2:$N$5)</f>
        <v>skilled employee / official</v>
      </c>
      <c r="AA488" s="1" t="str">
        <f>_xlfn.XLOOKUP(O488,Dictonary!$P$2:$P$4,Dictonary!$Q$2:$Q$4)</f>
        <v>own</v>
      </c>
    </row>
    <row r="489" spans="1:27" x14ac:dyDescent="0.3">
      <c r="A489" s="1" t="s">
        <v>42</v>
      </c>
      <c r="B489">
        <v>24</v>
      </c>
      <c r="C489" s="1" t="s">
        <v>36</v>
      </c>
      <c r="D489" s="1" t="s">
        <v>51</v>
      </c>
      <c r="E489">
        <v>3757</v>
      </c>
      <c r="F489" s="1" t="s">
        <v>37</v>
      </c>
      <c r="G489" s="1" t="s">
        <v>25</v>
      </c>
      <c r="H489">
        <v>4</v>
      </c>
      <c r="I489" s="1" t="s">
        <v>39</v>
      </c>
      <c r="J489" s="1" t="s">
        <v>71</v>
      </c>
      <c r="K489">
        <v>4</v>
      </c>
      <c r="L489" s="1" t="s">
        <v>52</v>
      </c>
      <c r="M489">
        <v>62</v>
      </c>
      <c r="N489" s="1" t="s">
        <v>29</v>
      </c>
      <c r="O489" s="1" t="s">
        <v>49</v>
      </c>
      <c r="P489">
        <v>1</v>
      </c>
      <c r="Q489" s="1" t="s">
        <v>31</v>
      </c>
      <c r="R489">
        <v>1</v>
      </c>
      <c r="S489" s="1" t="s">
        <v>32</v>
      </c>
      <c r="T489" s="1" t="s">
        <v>33</v>
      </c>
      <c r="U489" s="1" t="s">
        <v>34</v>
      </c>
      <c r="V489" s="1" t="str">
        <f>_xlfn.XLOOKUP(A489,Dictonary!$A$2:$A$5,Dictonary!$B$2:$B$5)</f>
        <v>No information</v>
      </c>
      <c r="W489" s="1" t="str">
        <f>_xlfn.XLOOKUP(D489,Dictonary!$D$2:$D$12,Dictonary!$E$2:$E$12)</f>
        <v>car (new)</v>
      </c>
      <c r="X489" s="1" t="str">
        <f>_xlfn.XLOOKUP(F489,Dictonary!$G$2:$G$6,Dictonary!$H$2:$H$6)</f>
        <v>Less 100</v>
      </c>
      <c r="Y489" s="1" t="str">
        <f>_xlfn.XLOOKUP(I489,Dictonary!$J$2:$J$6,Dictonary!$K$2:$K$6)</f>
        <v>female : divorced/separated/married</v>
      </c>
      <c r="Z489" s="1" t="str">
        <f>_xlfn.XLOOKUP(Q489,Dictonary!$M$2:$M$5,Dictonary!$N$2:$N$5)</f>
        <v>skilled employee / official</v>
      </c>
      <c r="AA489" s="1" t="str">
        <f>_xlfn.XLOOKUP(O489,Dictonary!$P$2:$P$4,Dictonary!$Q$2:$Q$4)</f>
        <v>for free</v>
      </c>
    </row>
    <row r="490" spans="1:27" x14ac:dyDescent="0.3">
      <c r="A490" s="1" t="s">
        <v>42</v>
      </c>
      <c r="B490">
        <v>10</v>
      </c>
      <c r="C490" s="1" t="s">
        <v>36</v>
      </c>
      <c r="D490" s="1" t="s">
        <v>51</v>
      </c>
      <c r="E490">
        <v>1418</v>
      </c>
      <c r="F490" s="1" t="s">
        <v>64</v>
      </c>
      <c r="G490" s="1" t="s">
        <v>38</v>
      </c>
      <c r="H490">
        <v>3</v>
      </c>
      <c r="I490" s="1" t="s">
        <v>26</v>
      </c>
      <c r="J490" s="1" t="s">
        <v>27</v>
      </c>
      <c r="K490">
        <v>2</v>
      </c>
      <c r="L490" s="1" t="s">
        <v>28</v>
      </c>
      <c r="M490">
        <v>35</v>
      </c>
      <c r="N490" s="1" t="s">
        <v>29</v>
      </c>
      <c r="O490" s="1" t="s">
        <v>56</v>
      </c>
      <c r="P490">
        <v>1</v>
      </c>
      <c r="Q490" s="1" t="s">
        <v>45</v>
      </c>
      <c r="R490">
        <v>1</v>
      </c>
      <c r="S490" s="1" t="s">
        <v>40</v>
      </c>
      <c r="T490" s="1" t="s">
        <v>67</v>
      </c>
      <c r="U490" s="1" t="s">
        <v>34</v>
      </c>
      <c r="V490" s="1" t="str">
        <f>_xlfn.XLOOKUP(A490,Dictonary!$A$2:$A$5,Dictonary!$B$2:$B$5)</f>
        <v>No information</v>
      </c>
      <c r="W490" s="1" t="str">
        <f>_xlfn.XLOOKUP(D490,Dictonary!$D$2:$D$12,Dictonary!$E$2:$E$12)</f>
        <v>car (new)</v>
      </c>
      <c r="X490" s="1" t="str">
        <f>_xlfn.XLOOKUP(F490,Dictonary!$G$2:$G$6,Dictonary!$H$2:$H$6)</f>
        <v>Up to 500</v>
      </c>
      <c r="Y490" s="1" t="str">
        <f>_xlfn.XLOOKUP(I490,Dictonary!$J$2:$J$6,Dictonary!$K$2:$K$6)</f>
        <v>male : single</v>
      </c>
      <c r="Z490" s="1" t="str">
        <f>_xlfn.XLOOKUP(Q490,Dictonary!$M$2:$M$5,Dictonary!$N$2:$N$5)</f>
        <v>unskilled - resident</v>
      </c>
      <c r="AA490" s="1" t="str">
        <f>_xlfn.XLOOKUP(O490,Dictonary!$P$2:$P$4,Dictonary!$Q$2:$Q$4)</f>
        <v>rent</v>
      </c>
    </row>
    <row r="491" spans="1:27" x14ac:dyDescent="0.3">
      <c r="A491" s="1" t="s">
        <v>42</v>
      </c>
      <c r="B491">
        <v>6</v>
      </c>
      <c r="C491" s="1" t="s">
        <v>36</v>
      </c>
      <c r="D491" s="1" t="s">
        <v>51</v>
      </c>
      <c r="E491">
        <v>3518</v>
      </c>
      <c r="F491" s="1" t="s">
        <v>37</v>
      </c>
      <c r="G491" s="1" t="s">
        <v>38</v>
      </c>
      <c r="H491">
        <v>2</v>
      </c>
      <c r="I491" s="1" t="s">
        <v>26</v>
      </c>
      <c r="J491" s="1" t="s">
        <v>47</v>
      </c>
      <c r="K491">
        <v>3</v>
      </c>
      <c r="L491" s="1" t="s">
        <v>48</v>
      </c>
      <c r="M491">
        <v>26</v>
      </c>
      <c r="N491" s="1" t="s">
        <v>29</v>
      </c>
      <c r="O491" s="1" t="s">
        <v>56</v>
      </c>
      <c r="P491">
        <v>1</v>
      </c>
      <c r="Q491" s="1" t="s">
        <v>31</v>
      </c>
      <c r="R491">
        <v>1</v>
      </c>
      <c r="S491" s="1" t="s">
        <v>40</v>
      </c>
      <c r="T491" s="1" t="s">
        <v>33</v>
      </c>
      <c r="U491" s="1" t="s">
        <v>34</v>
      </c>
      <c r="V491" s="1" t="str">
        <f>_xlfn.XLOOKUP(A491,Dictonary!$A$2:$A$5,Dictonary!$B$2:$B$5)</f>
        <v>No information</v>
      </c>
      <c r="W491" s="1" t="str">
        <f>_xlfn.XLOOKUP(D491,Dictonary!$D$2:$D$12,Dictonary!$E$2:$E$12)</f>
        <v>car (new)</v>
      </c>
      <c r="X491" s="1" t="str">
        <f>_xlfn.XLOOKUP(F491,Dictonary!$G$2:$G$6,Dictonary!$H$2:$H$6)</f>
        <v>Less 100</v>
      </c>
      <c r="Y491" s="1" t="str">
        <f>_xlfn.XLOOKUP(I491,Dictonary!$J$2:$J$6,Dictonary!$K$2:$K$6)</f>
        <v>male : single</v>
      </c>
      <c r="Z491" s="1" t="str">
        <f>_xlfn.XLOOKUP(Q491,Dictonary!$M$2:$M$5,Dictonary!$N$2:$N$5)</f>
        <v>skilled employee / official</v>
      </c>
      <c r="AA491" s="1" t="str">
        <f>_xlfn.XLOOKUP(O491,Dictonary!$P$2:$P$4,Dictonary!$Q$2:$Q$4)</f>
        <v>rent</v>
      </c>
    </row>
    <row r="492" spans="1:27" x14ac:dyDescent="0.3">
      <c r="A492" s="1" t="s">
        <v>42</v>
      </c>
      <c r="B492">
        <v>12</v>
      </c>
      <c r="C492" s="1" t="s">
        <v>22</v>
      </c>
      <c r="D492" s="1" t="s">
        <v>23</v>
      </c>
      <c r="E492">
        <v>1934</v>
      </c>
      <c r="F492" s="1" t="s">
        <v>37</v>
      </c>
      <c r="G492" s="1" t="s">
        <v>25</v>
      </c>
      <c r="H492">
        <v>2</v>
      </c>
      <c r="I492" s="1" t="s">
        <v>26</v>
      </c>
      <c r="J492" s="1" t="s">
        <v>27</v>
      </c>
      <c r="K492">
        <v>2</v>
      </c>
      <c r="L492" s="1" t="s">
        <v>52</v>
      </c>
      <c r="M492">
        <v>26</v>
      </c>
      <c r="N492" s="1" t="s">
        <v>29</v>
      </c>
      <c r="O492" s="1" t="s">
        <v>30</v>
      </c>
      <c r="P492">
        <v>2</v>
      </c>
      <c r="Q492" s="1" t="s">
        <v>31</v>
      </c>
      <c r="R492">
        <v>1</v>
      </c>
      <c r="S492" s="1" t="s">
        <v>40</v>
      </c>
      <c r="T492" s="1" t="s">
        <v>33</v>
      </c>
      <c r="U492" s="1" t="s">
        <v>34</v>
      </c>
      <c r="V492" s="1" t="str">
        <f>_xlfn.XLOOKUP(A492,Dictonary!$A$2:$A$5,Dictonary!$B$2:$B$5)</f>
        <v>No information</v>
      </c>
      <c r="W492" s="1" t="str">
        <f>_xlfn.XLOOKUP(D492,Dictonary!$D$2:$D$12,Dictonary!$E$2:$E$12)</f>
        <v>radio/television</v>
      </c>
      <c r="X492" s="1" t="str">
        <f>_xlfn.XLOOKUP(F492,Dictonary!$G$2:$G$6,Dictonary!$H$2:$H$6)</f>
        <v>Less 100</v>
      </c>
      <c r="Y492" s="1" t="str">
        <f>_xlfn.XLOOKUP(I492,Dictonary!$J$2:$J$6,Dictonary!$K$2:$K$6)</f>
        <v>male : single</v>
      </c>
      <c r="Z492" s="1" t="str">
        <f>_xlfn.XLOOKUP(Q492,Dictonary!$M$2:$M$5,Dictonary!$N$2:$N$5)</f>
        <v>skilled employee / official</v>
      </c>
      <c r="AA492" s="1" t="str">
        <f>_xlfn.XLOOKUP(O492,Dictonary!$P$2:$P$4,Dictonary!$Q$2:$Q$4)</f>
        <v>own</v>
      </c>
    </row>
    <row r="493" spans="1:27" x14ac:dyDescent="0.3">
      <c r="A493" s="1" t="s">
        <v>35</v>
      </c>
      <c r="B493">
        <v>27</v>
      </c>
      <c r="C493" s="1" t="s">
        <v>65</v>
      </c>
      <c r="D493" s="1" t="s">
        <v>63</v>
      </c>
      <c r="E493">
        <v>8318</v>
      </c>
      <c r="F493" s="1" t="s">
        <v>37</v>
      </c>
      <c r="G493" s="1" t="s">
        <v>25</v>
      </c>
      <c r="H493">
        <v>2</v>
      </c>
      <c r="I493" s="1" t="s">
        <v>39</v>
      </c>
      <c r="J493" s="1" t="s">
        <v>27</v>
      </c>
      <c r="K493">
        <v>4</v>
      </c>
      <c r="L493" s="1" t="s">
        <v>52</v>
      </c>
      <c r="M493">
        <v>42</v>
      </c>
      <c r="N493" s="1" t="s">
        <v>29</v>
      </c>
      <c r="O493" s="1" t="s">
        <v>49</v>
      </c>
      <c r="P493">
        <v>2</v>
      </c>
      <c r="Q493" s="1" t="s">
        <v>57</v>
      </c>
      <c r="R493">
        <v>1</v>
      </c>
      <c r="S493" s="1" t="s">
        <v>32</v>
      </c>
      <c r="T493" s="1" t="s">
        <v>33</v>
      </c>
      <c r="U493" s="1" t="s">
        <v>41</v>
      </c>
      <c r="V493" s="1" t="str">
        <f>_xlfn.XLOOKUP(A493,Dictonary!$A$2:$A$5,Dictonary!$B$2:$B$5)</f>
        <v>Low balance</v>
      </c>
      <c r="W493" s="1" t="str">
        <f>_xlfn.XLOOKUP(D493,Dictonary!$D$2:$D$12,Dictonary!$E$2:$E$12)</f>
        <v>business</v>
      </c>
      <c r="X493" s="1" t="str">
        <f>_xlfn.XLOOKUP(F493,Dictonary!$G$2:$G$6,Dictonary!$H$2:$H$6)</f>
        <v>Less 100</v>
      </c>
      <c r="Y493" s="1" t="str">
        <f>_xlfn.XLOOKUP(I493,Dictonary!$J$2:$J$6,Dictonary!$K$2:$K$6)</f>
        <v>female : divorced/separated/married</v>
      </c>
      <c r="Z493" s="1" t="str">
        <f>_xlfn.XLOOKUP(Q493,Dictonary!$M$2:$M$5,Dictonary!$N$2:$N$5)</f>
        <v>management/ self-employed/ highly qualified employee/ officer</v>
      </c>
      <c r="AA493" s="1" t="str">
        <f>_xlfn.XLOOKUP(O493,Dictonary!$P$2:$P$4,Dictonary!$Q$2:$Q$4)</f>
        <v>for free</v>
      </c>
    </row>
    <row r="494" spans="1:27" x14ac:dyDescent="0.3">
      <c r="A494" s="1" t="s">
        <v>42</v>
      </c>
      <c r="B494">
        <v>6</v>
      </c>
      <c r="C494" s="1" t="s">
        <v>22</v>
      </c>
      <c r="D494" s="1" t="s">
        <v>23</v>
      </c>
      <c r="E494">
        <v>1237</v>
      </c>
      <c r="F494" s="1" t="s">
        <v>64</v>
      </c>
      <c r="G494" s="1" t="s">
        <v>38</v>
      </c>
      <c r="H494">
        <v>1</v>
      </c>
      <c r="I494" s="1" t="s">
        <v>39</v>
      </c>
      <c r="J494" s="1" t="s">
        <v>27</v>
      </c>
      <c r="K494">
        <v>1</v>
      </c>
      <c r="L494" s="1" t="s">
        <v>48</v>
      </c>
      <c r="M494">
        <v>27</v>
      </c>
      <c r="N494" s="1" t="s">
        <v>29</v>
      </c>
      <c r="O494" s="1" t="s">
        <v>30</v>
      </c>
      <c r="P494">
        <v>2</v>
      </c>
      <c r="Q494" s="1" t="s">
        <v>31</v>
      </c>
      <c r="R494">
        <v>1</v>
      </c>
      <c r="S494" s="1" t="s">
        <v>40</v>
      </c>
      <c r="T494" s="1" t="s">
        <v>33</v>
      </c>
      <c r="U494" s="1" t="s">
        <v>34</v>
      </c>
      <c r="V494" s="1" t="str">
        <f>_xlfn.XLOOKUP(A494,Dictonary!$A$2:$A$5,Dictonary!$B$2:$B$5)</f>
        <v>No information</v>
      </c>
      <c r="W494" s="1" t="str">
        <f>_xlfn.XLOOKUP(D494,Dictonary!$D$2:$D$12,Dictonary!$E$2:$E$12)</f>
        <v>radio/television</v>
      </c>
      <c r="X494" s="1" t="str">
        <f>_xlfn.XLOOKUP(F494,Dictonary!$G$2:$G$6,Dictonary!$H$2:$H$6)</f>
        <v>Up to 500</v>
      </c>
      <c r="Y494" s="1" t="str">
        <f>_xlfn.XLOOKUP(I494,Dictonary!$J$2:$J$6,Dictonary!$K$2:$K$6)</f>
        <v>female : divorced/separated/married</v>
      </c>
      <c r="Z494" s="1" t="str">
        <f>_xlfn.XLOOKUP(Q494,Dictonary!$M$2:$M$5,Dictonary!$N$2:$N$5)</f>
        <v>skilled employee / official</v>
      </c>
      <c r="AA494" s="1" t="str">
        <f>_xlfn.XLOOKUP(O494,Dictonary!$P$2:$P$4,Dictonary!$Q$2:$Q$4)</f>
        <v>own</v>
      </c>
    </row>
    <row r="495" spans="1:27" x14ac:dyDescent="0.3">
      <c r="A495" s="1" t="s">
        <v>35</v>
      </c>
      <c r="B495">
        <v>6</v>
      </c>
      <c r="C495" s="1" t="s">
        <v>36</v>
      </c>
      <c r="D495" s="1" t="s">
        <v>23</v>
      </c>
      <c r="E495">
        <v>368</v>
      </c>
      <c r="F495" s="1" t="s">
        <v>24</v>
      </c>
      <c r="G495" s="1" t="s">
        <v>25</v>
      </c>
      <c r="H495">
        <v>4</v>
      </c>
      <c r="I495" s="1" t="s">
        <v>26</v>
      </c>
      <c r="J495" s="1" t="s">
        <v>27</v>
      </c>
      <c r="K495">
        <v>4</v>
      </c>
      <c r="L495" s="1" t="s">
        <v>48</v>
      </c>
      <c r="M495">
        <v>38</v>
      </c>
      <c r="N495" s="1" t="s">
        <v>29</v>
      </c>
      <c r="O495" s="1" t="s">
        <v>30</v>
      </c>
      <c r="P495">
        <v>1</v>
      </c>
      <c r="Q495" s="1" t="s">
        <v>31</v>
      </c>
      <c r="R495">
        <v>1</v>
      </c>
      <c r="S495" s="1" t="s">
        <v>40</v>
      </c>
      <c r="T495" s="1" t="s">
        <v>33</v>
      </c>
      <c r="U495" s="1" t="s">
        <v>34</v>
      </c>
      <c r="V495" s="1" t="str">
        <f>_xlfn.XLOOKUP(A495,Dictonary!$A$2:$A$5,Dictonary!$B$2:$B$5)</f>
        <v>Low balance</v>
      </c>
      <c r="W495" s="1" t="str">
        <f>_xlfn.XLOOKUP(D495,Dictonary!$D$2:$D$12,Dictonary!$E$2:$E$12)</f>
        <v>radio/television</v>
      </c>
      <c r="X495" s="1" t="str">
        <f>_xlfn.XLOOKUP(F495,Dictonary!$G$2:$G$6,Dictonary!$H$2:$H$6)</f>
        <v>No information</v>
      </c>
      <c r="Y495" s="1" t="str">
        <f>_xlfn.XLOOKUP(I495,Dictonary!$J$2:$J$6,Dictonary!$K$2:$K$6)</f>
        <v>male : single</v>
      </c>
      <c r="Z495" s="1" t="str">
        <f>_xlfn.XLOOKUP(Q495,Dictonary!$M$2:$M$5,Dictonary!$N$2:$N$5)</f>
        <v>skilled employee / official</v>
      </c>
      <c r="AA495" s="1" t="str">
        <f>_xlfn.XLOOKUP(O495,Dictonary!$P$2:$P$4,Dictonary!$Q$2:$Q$4)</f>
        <v>own</v>
      </c>
    </row>
    <row r="496" spans="1:27" x14ac:dyDescent="0.3">
      <c r="A496" s="1" t="s">
        <v>21</v>
      </c>
      <c r="B496">
        <v>12</v>
      </c>
      <c r="C496" s="1" t="s">
        <v>22</v>
      </c>
      <c r="D496" s="1" t="s">
        <v>51</v>
      </c>
      <c r="E496">
        <v>2122</v>
      </c>
      <c r="F496" s="1" t="s">
        <v>37</v>
      </c>
      <c r="G496" s="1" t="s">
        <v>38</v>
      </c>
      <c r="H496">
        <v>3</v>
      </c>
      <c r="I496" s="1" t="s">
        <v>26</v>
      </c>
      <c r="J496" s="1" t="s">
        <v>27</v>
      </c>
      <c r="K496">
        <v>2</v>
      </c>
      <c r="L496" s="1" t="s">
        <v>28</v>
      </c>
      <c r="M496">
        <v>39</v>
      </c>
      <c r="N496" s="1" t="s">
        <v>29</v>
      </c>
      <c r="O496" s="1" t="s">
        <v>56</v>
      </c>
      <c r="P496">
        <v>2</v>
      </c>
      <c r="Q496" s="1" t="s">
        <v>45</v>
      </c>
      <c r="R496">
        <v>2</v>
      </c>
      <c r="S496" s="1" t="s">
        <v>40</v>
      </c>
      <c r="T496" s="1" t="s">
        <v>67</v>
      </c>
      <c r="U496" s="1" t="s">
        <v>34</v>
      </c>
      <c r="V496" s="1" t="str">
        <f>_xlfn.XLOOKUP(A496,Dictonary!$A$2:$A$5,Dictonary!$B$2:$B$5)</f>
        <v>Negative balance</v>
      </c>
      <c r="W496" s="1" t="str">
        <f>_xlfn.XLOOKUP(D496,Dictonary!$D$2:$D$12,Dictonary!$E$2:$E$12)</f>
        <v>car (new)</v>
      </c>
      <c r="X496" s="1" t="str">
        <f>_xlfn.XLOOKUP(F496,Dictonary!$G$2:$G$6,Dictonary!$H$2:$H$6)</f>
        <v>Less 100</v>
      </c>
      <c r="Y496" s="1" t="str">
        <f>_xlfn.XLOOKUP(I496,Dictonary!$J$2:$J$6,Dictonary!$K$2:$K$6)</f>
        <v>male : single</v>
      </c>
      <c r="Z496" s="1" t="str">
        <f>_xlfn.XLOOKUP(Q496,Dictonary!$M$2:$M$5,Dictonary!$N$2:$N$5)</f>
        <v>unskilled - resident</v>
      </c>
      <c r="AA496" s="1" t="str">
        <f>_xlfn.XLOOKUP(O496,Dictonary!$P$2:$P$4,Dictonary!$Q$2:$Q$4)</f>
        <v>rent</v>
      </c>
    </row>
    <row r="497" spans="1:27" x14ac:dyDescent="0.3">
      <c r="A497" s="1" t="s">
        <v>21</v>
      </c>
      <c r="B497">
        <v>24</v>
      </c>
      <c r="C497" s="1" t="s">
        <v>36</v>
      </c>
      <c r="D497" s="1" t="s">
        <v>46</v>
      </c>
      <c r="E497">
        <v>2996</v>
      </c>
      <c r="F497" s="1" t="s">
        <v>24</v>
      </c>
      <c r="G497" s="1" t="s">
        <v>38</v>
      </c>
      <c r="H497">
        <v>2</v>
      </c>
      <c r="I497" s="1" t="s">
        <v>61</v>
      </c>
      <c r="J497" s="1" t="s">
        <v>27</v>
      </c>
      <c r="K497">
        <v>4</v>
      </c>
      <c r="L497" s="1" t="s">
        <v>55</v>
      </c>
      <c r="M497">
        <v>20</v>
      </c>
      <c r="N497" s="1" t="s">
        <v>29</v>
      </c>
      <c r="O497" s="1" t="s">
        <v>30</v>
      </c>
      <c r="P497">
        <v>1</v>
      </c>
      <c r="Q497" s="1" t="s">
        <v>31</v>
      </c>
      <c r="R497">
        <v>1</v>
      </c>
      <c r="S497" s="1" t="s">
        <v>40</v>
      </c>
      <c r="T497" s="1" t="s">
        <v>33</v>
      </c>
      <c r="U497" s="1" t="s">
        <v>41</v>
      </c>
      <c r="V497" s="1" t="str">
        <f>_xlfn.XLOOKUP(A497,Dictonary!$A$2:$A$5,Dictonary!$B$2:$B$5)</f>
        <v>Negative balance</v>
      </c>
      <c r="W497" s="1" t="str">
        <f>_xlfn.XLOOKUP(D497,Dictonary!$D$2:$D$12,Dictonary!$E$2:$E$12)</f>
        <v>furniture/equipment</v>
      </c>
      <c r="X497" s="1" t="str">
        <f>_xlfn.XLOOKUP(F497,Dictonary!$G$2:$G$6,Dictonary!$H$2:$H$6)</f>
        <v>No information</v>
      </c>
      <c r="Y497" s="1" t="str">
        <f>_xlfn.XLOOKUP(I497,Dictonary!$J$2:$J$6,Dictonary!$K$2:$K$6)</f>
        <v>male : married/widowed</v>
      </c>
      <c r="Z497" s="1" t="str">
        <f>_xlfn.XLOOKUP(Q497,Dictonary!$M$2:$M$5,Dictonary!$N$2:$N$5)</f>
        <v>skilled employee / official</v>
      </c>
      <c r="AA497" s="1" t="str">
        <f>_xlfn.XLOOKUP(O497,Dictonary!$P$2:$P$4,Dictonary!$Q$2:$Q$4)</f>
        <v>own</v>
      </c>
    </row>
    <row r="498" spans="1:27" x14ac:dyDescent="0.3">
      <c r="A498" s="1" t="s">
        <v>35</v>
      </c>
      <c r="B498">
        <v>36</v>
      </c>
      <c r="C498" s="1" t="s">
        <v>36</v>
      </c>
      <c r="D498" s="1" t="s">
        <v>46</v>
      </c>
      <c r="E498">
        <v>9034</v>
      </c>
      <c r="F498" s="1" t="s">
        <v>64</v>
      </c>
      <c r="G498" s="1" t="s">
        <v>62</v>
      </c>
      <c r="H498">
        <v>4</v>
      </c>
      <c r="I498" s="1" t="s">
        <v>26</v>
      </c>
      <c r="J498" s="1" t="s">
        <v>71</v>
      </c>
      <c r="K498">
        <v>1</v>
      </c>
      <c r="L498" s="1" t="s">
        <v>52</v>
      </c>
      <c r="M498">
        <v>29</v>
      </c>
      <c r="N498" s="1" t="s">
        <v>29</v>
      </c>
      <c r="O498" s="1" t="s">
        <v>56</v>
      </c>
      <c r="P498">
        <v>1</v>
      </c>
      <c r="Q498" s="1" t="s">
        <v>57</v>
      </c>
      <c r="R498">
        <v>1</v>
      </c>
      <c r="S498" s="1" t="s">
        <v>32</v>
      </c>
      <c r="T498" s="1" t="s">
        <v>33</v>
      </c>
      <c r="U498" s="1" t="s">
        <v>41</v>
      </c>
      <c r="V498" s="1" t="str">
        <f>_xlfn.XLOOKUP(A498,Dictonary!$A$2:$A$5,Dictonary!$B$2:$B$5)</f>
        <v>Low balance</v>
      </c>
      <c r="W498" s="1" t="str">
        <f>_xlfn.XLOOKUP(D498,Dictonary!$D$2:$D$12,Dictonary!$E$2:$E$12)</f>
        <v>furniture/equipment</v>
      </c>
      <c r="X498" s="1" t="str">
        <f>_xlfn.XLOOKUP(F498,Dictonary!$G$2:$G$6,Dictonary!$H$2:$H$6)</f>
        <v>Up to 500</v>
      </c>
      <c r="Y498" s="1" t="str">
        <f>_xlfn.XLOOKUP(I498,Dictonary!$J$2:$J$6,Dictonary!$K$2:$K$6)</f>
        <v>male : single</v>
      </c>
      <c r="Z498" s="1" t="str">
        <f>_xlfn.XLOOKUP(Q498,Dictonary!$M$2:$M$5,Dictonary!$N$2:$N$5)</f>
        <v>management/ self-employed/ highly qualified employee/ officer</v>
      </c>
      <c r="AA498" s="1" t="str">
        <f>_xlfn.XLOOKUP(O498,Dictonary!$P$2:$P$4,Dictonary!$Q$2:$Q$4)</f>
        <v>rent</v>
      </c>
    </row>
    <row r="499" spans="1:27" x14ac:dyDescent="0.3">
      <c r="A499" s="1" t="s">
        <v>42</v>
      </c>
      <c r="B499">
        <v>24</v>
      </c>
      <c r="C499" s="1" t="s">
        <v>22</v>
      </c>
      <c r="D499" s="1" t="s">
        <v>46</v>
      </c>
      <c r="E499">
        <v>1585</v>
      </c>
      <c r="F499" s="1" t="s">
        <v>37</v>
      </c>
      <c r="G499" s="1" t="s">
        <v>44</v>
      </c>
      <c r="H499">
        <v>4</v>
      </c>
      <c r="I499" s="1" t="s">
        <v>26</v>
      </c>
      <c r="J499" s="1" t="s">
        <v>27</v>
      </c>
      <c r="K499">
        <v>3</v>
      </c>
      <c r="L499" s="1" t="s">
        <v>48</v>
      </c>
      <c r="M499">
        <v>40</v>
      </c>
      <c r="N499" s="1" t="s">
        <v>29</v>
      </c>
      <c r="O499" s="1" t="s">
        <v>30</v>
      </c>
      <c r="P499">
        <v>2</v>
      </c>
      <c r="Q499" s="1" t="s">
        <v>31</v>
      </c>
      <c r="R499">
        <v>1</v>
      </c>
      <c r="S499" s="1" t="s">
        <v>40</v>
      </c>
      <c r="T499" s="1" t="s">
        <v>33</v>
      </c>
      <c r="U499" s="1" t="s">
        <v>34</v>
      </c>
      <c r="V499" s="1" t="str">
        <f>_xlfn.XLOOKUP(A499,Dictonary!$A$2:$A$5,Dictonary!$B$2:$B$5)</f>
        <v>No information</v>
      </c>
      <c r="W499" s="1" t="str">
        <f>_xlfn.XLOOKUP(D499,Dictonary!$D$2:$D$12,Dictonary!$E$2:$E$12)</f>
        <v>furniture/equipment</v>
      </c>
      <c r="X499" s="1" t="str">
        <f>_xlfn.XLOOKUP(F499,Dictonary!$G$2:$G$6,Dictonary!$H$2:$H$6)</f>
        <v>Less 100</v>
      </c>
      <c r="Y499" s="1" t="str">
        <f>_xlfn.XLOOKUP(I499,Dictonary!$J$2:$J$6,Dictonary!$K$2:$K$6)</f>
        <v>male : single</v>
      </c>
      <c r="Z499" s="1" t="str">
        <f>_xlfn.XLOOKUP(Q499,Dictonary!$M$2:$M$5,Dictonary!$N$2:$N$5)</f>
        <v>skilled employee / official</v>
      </c>
      <c r="AA499" s="1" t="str">
        <f>_xlfn.XLOOKUP(O499,Dictonary!$P$2:$P$4,Dictonary!$Q$2:$Q$4)</f>
        <v>own</v>
      </c>
    </row>
    <row r="500" spans="1:27" x14ac:dyDescent="0.3">
      <c r="A500" s="1" t="s">
        <v>35</v>
      </c>
      <c r="B500">
        <v>18</v>
      </c>
      <c r="C500" s="1" t="s">
        <v>36</v>
      </c>
      <c r="D500" s="1" t="s">
        <v>23</v>
      </c>
      <c r="E500">
        <v>1301</v>
      </c>
      <c r="F500" s="1" t="s">
        <v>37</v>
      </c>
      <c r="G500" s="1" t="s">
        <v>25</v>
      </c>
      <c r="H500">
        <v>4</v>
      </c>
      <c r="I500" s="1" t="s">
        <v>61</v>
      </c>
      <c r="J500" s="1" t="s">
        <v>47</v>
      </c>
      <c r="K500">
        <v>2</v>
      </c>
      <c r="L500" s="1" t="s">
        <v>28</v>
      </c>
      <c r="M500">
        <v>32</v>
      </c>
      <c r="N500" s="1" t="s">
        <v>29</v>
      </c>
      <c r="O500" s="1" t="s">
        <v>30</v>
      </c>
      <c r="P500">
        <v>1</v>
      </c>
      <c r="Q500" s="1" t="s">
        <v>45</v>
      </c>
      <c r="R500">
        <v>1</v>
      </c>
      <c r="S500" s="1" t="s">
        <v>40</v>
      </c>
      <c r="T500" s="1" t="s">
        <v>33</v>
      </c>
      <c r="U500" s="1" t="s">
        <v>34</v>
      </c>
      <c r="V500" s="1" t="str">
        <f>_xlfn.XLOOKUP(A500,Dictonary!$A$2:$A$5,Dictonary!$B$2:$B$5)</f>
        <v>Low balance</v>
      </c>
      <c r="W500" s="1" t="str">
        <f>_xlfn.XLOOKUP(D500,Dictonary!$D$2:$D$12,Dictonary!$E$2:$E$12)</f>
        <v>radio/television</v>
      </c>
      <c r="X500" s="1" t="str">
        <f>_xlfn.XLOOKUP(F500,Dictonary!$G$2:$G$6,Dictonary!$H$2:$H$6)</f>
        <v>Less 100</v>
      </c>
      <c r="Y500" s="1" t="str">
        <f>_xlfn.XLOOKUP(I500,Dictonary!$J$2:$J$6,Dictonary!$K$2:$K$6)</f>
        <v>male : married/widowed</v>
      </c>
      <c r="Z500" s="1" t="str">
        <f>_xlfn.XLOOKUP(Q500,Dictonary!$M$2:$M$5,Dictonary!$N$2:$N$5)</f>
        <v>unskilled - resident</v>
      </c>
      <c r="AA500" s="1" t="str">
        <f>_xlfn.XLOOKUP(O500,Dictonary!$P$2:$P$4,Dictonary!$Q$2:$Q$4)</f>
        <v>own</v>
      </c>
    </row>
    <row r="501" spans="1:27" x14ac:dyDescent="0.3">
      <c r="A501" s="1" t="s">
        <v>68</v>
      </c>
      <c r="B501">
        <v>6</v>
      </c>
      <c r="C501" s="1" t="s">
        <v>22</v>
      </c>
      <c r="D501" s="1" t="s">
        <v>51</v>
      </c>
      <c r="E501">
        <v>1323</v>
      </c>
      <c r="F501" s="1" t="s">
        <v>64</v>
      </c>
      <c r="G501" s="1" t="s">
        <v>25</v>
      </c>
      <c r="H501">
        <v>2</v>
      </c>
      <c r="I501" s="1" t="s">
        <v>59</v>
      </c>
      <c r="J501" s="1" t="s">
        <v>27</v>
      </c>
      <c r="K501">
        <v>4</v>
      </c>
      <c r="L501" s="1" t="s">
        <v>55</v>
      </c>
      <c r="M501">
        <v>28</v>
      </c>
      <c r="N501" s="1" t="s">
        <v>29</v>
      </c>
      <c r="O501" s="1" t="s">
        <v>30</v>
      </c>
      <c r="P501">
        <v>2</v>
      </c>
      <c r="Q501" s="1" t="s">
        <v>31</v>
      </c>
      <c r="R501">
        <v>2</v>
      </c>
      <c r="S501" s="1" t="s">
        <v>32</v>
      </c>
      <c r="T501" s="1" t="s">
        <v>33</v>
      </c>
      <c r="U501" s="1" t="s">
        <v>34</v>
      </c>
      <c r="V501" s="1" t="str">
        <f>_xlfn.XLOOKUP(A501,Dictonary!$A$2:$A$5,Dictonary!$B$2:$B$5)</f>
        <v>Normal balance</v>
      </c>
      <c r="W501" s="1" t="str">
        <f>_xlfn.XLOOKUP(D501,Dictonary!$D$2:$D$12,Dictonary!$E$2:$E$12)</f>
        <v>car (new)</v>
      </c>
      <c r="X501" s="1" t="str">
        <f>_xlfn.XLOOKUP(F501,Dictonary!$G$2:$G$6,Dictonary!$H$2:$H$6)</f>
        <v>Up to 500</v>
      </c>
      <c r="Y501" s="1" t="str">
        <f>_xlfn.XLOOKUP(I501,Dictonary!$J$2:$J$6,Dictonary!$K$2:$K$6)</f>
        <v>male : divorced/separated</v>
      </c>
      <c r="Z501" s="1" t="str">
        <f>_xlfn.XLOOKUP(Q501,Dictonary!$M$2:$M$5,Dictonary!$N$2:$N$5)</f>
        <v>skilled employee / official</v>
      </c>
      <c r="AA501" s="1" t="str">
        <f>_xlfn.XLOOKUP(O501,Dictonary!$P$2:$P$4,Dictonary!$Q$2:$Q$4)</f>
        <v>own</v>
      </c>
    </row>
    <row r="502" spans="1:27" x14ac:dyDescent="0.3">
      <c r="A502" s="1" t="s">
        <v>21</v>
      </c>
      <c r="B502">
        <v>24</v>
      </c>
      <c r="C502" s="1" t="s">
        <v>36</v>
      </c>
      <c r="D502" s="1" t="s">
        <v>51</v>
      </c>
      <c r="E502">
        <v>3123</v>
      </c>
      <c r="F502" s="1" t="s">
        <v>37</v>
      </c>
      <c r="G502" s="1" t="s">
        <v>62</v>
      </c>
      <c r="H502">
        <v>4</v>
      </c>
      <c r="I502" s="1" t="s">
        <v>39</v>
      </c>
      <c r="J502" s="1" t="s">
        <v>27</v>
      </c>
      <c r="K502">
        <v>1</v>
      </c>
      <c r="L502" s="1" t="s">
        <v>48</v>
      </c>
      <c r="M502">
        <v>27</v>
      </c>
      <c r="N502" s="1" t="s">
        <v>29</v>
      </c>
      <c r="O502" s="1" t="s">
        <v>30</v>
      </c>
      <c r="P502">
        <v>1</v>
      </c>
      <c r="Q502" s="1" t="s">
        <v>31</v>
      </c>
      <c r="R502">
        <v>1</v>
      </c>
      <c r="S502" s="1" t="s">
        <v>40</v>
      </c>
      <c r="T502" s="1" t="s">
        <v>33</v>
      </c>
      <c r="U502" s="1" t="s">
        <v>41</v>
      </c>
      <c r="V502" s="1" t="str">
        <f>_xlfn.XLOOKUP(A502,Dictonary!$A$2:$A$5,Dictonary!$B$2:$B$5)</f>
        <v>Negative balance</v>
      </c>
      <c r="W502" s="1" t="str">
        <f>_xlfn.XLOOKUP(D502,Dictonary!$D$2:$D$12,Dictonary!$E$2:$E$12)</f>
        <v>car (new)</v>
      </c>
      <c r="X502" s="1" t="str">
        <f>_xlfn.XLOOKUP(F502,Dictonary!$G$2:$G$6,Dictonary!$H$2:$H$6)</f>
        <v>Less 100</v>
      </c>
      <c r="Y502" s="1" t="str">
        <f>_xlfn.XLOOKUP(I502,Dictonary!$J$2:$J$6,Dictonary!$K$2:$K$6)</f>
        <v>female : divorced/separated/married</v>
      </c>
      <c r="Z502" s="1" t="str">
        <f>_xlfn.XLOOKUP(Q502,Dictonary!$M$2:$M$5,Dictonary!$N$2:$N$5)</f>
        <v>skilled employee / official</v>
      </c>
      <c r="AA502" s="1" t="str">
        <f>_xlfn.XLOOKUP(O502,Dictonary!$P$2:$P$4,Dictonary!$Q$2:$Q$4)</f>
        <v>own</v>
      </c>
    </row>
    <row r="503" spans="1:27" x14ac:dyDescent="0.3">
      <c r="A503" s="1" t="s">
        <v>21</v>
      </c>
      <c r="B503">
        <v>36</v>
      </c>
      <c r="C503" s="1" t="s">
        <v>36</v>
      </c>
      <c r="D503" s="1" t="s">
        <v>54</v>
      </c>
      <c r="E503">
        <v>5493</v>
      </c>
      <c r="F503" s="1" t="s">
        <v>37</v>
      </c>
      <c r="G503" s="1" t="s">
        <v>25</v>
      </c>
      <c r="H503">
        <v>2</v>
      </c>
      <c r="I503" s="1" t="s">
        <v>26</v>
      </c>
      <c r="J503" s="1" t="s">
        <v>27</v>
      </c>
      <c r="K503">
        <v>4</v>
      </c>
      <c r="L503" s="1" t="s">
        <v>52</v>
      </c>
      <c r="M503">
        <v>42</v>
      </c>
      <c r="N503" s="1" t="s">
        <v>29</v>
      </c>
      <c r="O503" s="1" t="s">
        <v>49</v>
      </c>
      <c r="P503">
        <v>1</v>
      </c>
      <c r="Q503" s="1" t="s">
        <v>31</v>
      </c>
      <c r="R503">
        <v>2</v>
      </c>
      <c r="S503" s="1" t="s">
        <v>40</v>
      </c>
      <c r="T503" s="1" t="s">
        <v>33</v>
      </c>
      <c r="U503" s="1" t="s">
        <v>34</v>
      </c>
      <c r="V503" s="1" t="str">
        <f>_xlfn.XLOOKUP(A503,Dictonary!$A$2:$A$5,Dictonary!$B$2:$B$5)</f>
        <v>Negative balance</v>
      </c>
      <c r="W503" s="1" t="str">
        <f>_xlfn.XLOOKUP(D503,Dictonary!$D$2:$D$12,Dictonary!$E$2:$E$12)</f>
        <v>car (used)</v>
      </c>
      <c r="X503" s="1" t="str">
        <f>_xlfn.XLOOKUP(F503,Dictonary!$G$2:$G$6,Dictonary!$H$2:$H$6)</f>
        <v>Less 100</v>
      </c>
      <c r="Y503" s="1" t="str">
        <f>_xlfn.XLOOKUP(I503,Dictonary!$J$2:$J$6,Dictonary!$K$2:$K$6)</f>
        <v>male : single</v>
      </c>
      <c r="Z503" s="1" t="str">
        <f>_xlfn.XLOOKUP(Q503,Dictonary!$M$2:$M$5,Dictonary!$N$2:$N$5)</f>
        <v>skilled employee / official</v>
      </c>
      <c r="AA503" s="1" t="str">
        <f>_xlfn.XLOOKUP(O503,Dictonary!$P$2:$P$4,Dictonary!$Q$2:$Q$4)</f>
        <v>for free</v>
      </c>
    </row>
    <row r="504" spans="1:27" x14ac:dyDescent="0.3">
      <c r="A504" s="1" t="s">
        <v>68</v>
      </c>
      <c r="B504">
        <v>9</v>
      </c>
      <c r="C504" s="1" t="s">
        <v>36</v>
      </c>
      <c r="D504" s="1" t="s">
        <v>23</v>
      </c>
      <c r="E504">
        <v>1126</v>
      </c>
      <c r="F504" s="1" t="s">
        <v>64</v>
      </c>
      <c r="G504" s="1" t="s">
        <v>25</v>
      </c>
      <c r="H504">
        <v>2</v>
      </c>
      <c r="I504" s="1" t="s">
        <v>59</v>
      </c>
      <c r="J504" s="1" t="s">
        <v>27</v>
      </c>
      <c r="K504">
        <v>4</v>
      </c>
      <c r="L504" s="1" t="s">
        <v>28</v>
      </c>
      <c r="M504">
        <v>49</v>
      </c>
      <c r="N504" s="1" t="s">
        <v>29</v>
      </c>
      <c r="O504" s="1" t="s">
        <v>30</v>
      </c>
      <c r="P504">
        <v>1</v>
      </c>
      <c r="Q504" s="1" t="s">
        <v>31</v>
      </c>
      <c r="R504">
        <v>1</v>
      </c>
      <c r="S504" s="1" t="s">
        <v>40</v>
      </c>
      <c r="T504" s="1" t="s">
        <v>33</v>
      </c>
      <c r="U504" s="1" t="s">
        <v>34</v>
      </c>
      <c r="V504" s="1" t="str">
        <f>_xlfn.XLOOKUP(A504,Dictonary!$A$2:$A$5,Dictonary!$B$2:$B$5)</f>
        <v>Normal balance</v>
      </c>
      <c r="W504" s="1" t="str">
        <f>_xlfn.XLOOKUP(D504,Dictonary!$D$2:$D$12,Dictonary!$E$2:$E$12)</f>
        <v>radio/television</v>
      </c>
      <c r="X504" s="1" t="str">
        <f>_xlfn.XLOOKUP(F504,Dictonary!$G$2:$G$6,Dictonary!$H$2:$H$6)</f>
        <v>Up to 500</v>
      </c>
      <c r="Y504" s="1" t="str">
        <f>_xlfn.XLOOKUP(I504,Dictonary!$J$2:$J$6,Dictonary!$K$2:$K$6)</f>
        <v>male : divorced/separated</v>
      </c>
      <c r="Z504" s="1" t="str">
        <f>_xlfn.XLOOKUP(Q504,Dictonary!$M$2:$M$5,Dictonary!$N$2:$N$5)</f>
        <v>skilled employee / official</v>
      </c>
      <c r="AA504" s="1" t="str">
        <f>_xlfn.XLOOKUP(O504,Dictonary!$P$2:$P$4,Dictonary!$Q$2:$Q$4)</f>
        <v>own</v>
      </c>
    </row>
    <row r="505" spans="1:27" x14ac:dyDescent="0.3">
      <c r="A505" s="1" t="s">
        <v>35</v>
      </c>
      <c r="B505">
        <v>24</v>
      </c>
      <c r="C505" s="1" t="s">
        <v>22</v>
      </c>
      <c r="D505" s="1" t="s">
        <v>23</v>
      </c>
      <c r="E505">
        <v>1216</v>
      </c>
      <c r="F505" s="1" t="s">
        <v>64</v>
      </c>
      <c r="G505" s="1" t="s">
        <v>62</v>
      </c>
      <c r="H505">
        <v>4</v>
      </c>
      <c r="I505" s="1" t="s">
        <v>26</v>
      </c>
      <c r="J505" s="1" t="s">
        <v>27</v>
      </c>
      <c r="K505">
        <v>4</v>
      </c>
      <c r="L505" s="1" t="s">
        <v>52</v>
      </c>
      <c r="M505">
        <v>38</v>
      </c>
      <c r="N505" s="1" t="s">
        <v>66</v>
      </c>
      <c r="O505" s="1" t="s">
        <v>30</v>
      </c>
      <c r="P505">
        <v>2</v>
      </c>
      <c r="Q505" s="1" t="s">
        <v>31</v>
      </c>
      <c r="R505">
        <v>2</v>
      </c>
      <c r="S505" s="1" t="s">
        <v>40</v>
      </c>
      <c r="T505" s="1" t="s">
        <v>33</v>
      </c>
      <c r="U505" s="1" t="s">
        <v>41</v>
      </c>
      <c r="V505" s="1" t="str">
        <f>_xlfn.XLOOKUP(A505,Dictonary!$A$2:$A$5,Dictonary!$B$2:$B$5)</f>
        <v>Low balance</v>
      </c>
      <c r="W505" s="1" t="str">
        <f>_xlfn.XLOOKUP(D505,Dictonary!$D$2:$D$12,Dictonary!$E$2:$E$12)</f>
        <v>radio/television</v>
      </c>
      <c r="X505" s="1" t="str">
        <f>_xlfn.XLOOKUP(F505,Dictonary!$G$2:$G$6,Dictonary!$H$2:$H$6)</f>
        <v>Up to 500</v>
      </c>
      <c r="Y505" s="1" t="str">
        <f>_xlfn.XLOOKUP(I505,Dictonary!$J$2:$J$6,Dictonary!$K$2:$K$6)</f>
        <v>male : single</v>
      </c>
      <c r="Z505" s="1" t="str">
        <f>_xlfn.XLOOKUP(Q505,Dictonary!$M$2:$M$5,Dictonary!$N$2:$N$5)</f>
        <v>skilled employee / official</v>
      </c>
      <c r="AA505" s="1" t="str">
        <f>_xlfn.XLOOKUP(O505,Dictonary!$P$2:$P$4,Dictonary!$Q$2:$Q$4)</f>
        <v>own</v>
      </c>
    </row>
    <row r="506" spans="1:27" x14ac:dyDescent="0.3">
      <c r="A506" s="1" t="s">
        <v>21</v>
      </c>
      <c r="B506">
        <v>24</v>
      </c>
      <c r="C506" s="1" t="s">
        <v>36</v>
      </c>
      <c r="D506" s="1" t="s">
        <v>51</v>
      </c>
      <c r="E506">
        <v>1207</v>
      </c>
      <c r="F506" s="1" t="s">
        <v>37</v>
      </c>
      <c r="G506" s="1" t="s">
        <v>62</v>
      </c>
      <c r="H506">
        <v>4</v>
      </c>
      <c r="I506" s="1" t="s">
        <v>39</v>
      </c>
      <c r="J506" s="1" t="s">
        <v>27</v>
      </c>
      <c r="K506">
        <v>4</v>
      </c>
      <c r="L506" s="1" t="s">
        <v>48</v>
      </c>
      <c r="M506">
        <v>24</v>
      </c>
      <c r="N506" s="1" t="s">
        <v>29</v>
      </c>
      <c r="O506" s="1" t="s">
        <v>56</v>
      </c>
      <c r="P506">
        <v>1</v>
      </c>
      <c r="Q506" s="1" t="s">
        <v>31</v>
      </c>
      <c r="R506">
        <v>1</v>
      </c>
      <c r="S506" s="1" t="s">
        <v>40</v>
      </c>
      <c r="T506" s="1" t="s">
        <v>33</v>
      </c>
      <c r="U506" s="1" t="s">
        <v>41</v>
      </c>
      <c r="V506" s="1" t="str">
        <f>_xlfn.XLOOKUP(A506,Dictonary!$A$2:$A$5,Dictonary!$B$2:$B$5)</f>
        <v>Negative balance</v>
      </c>
      <c r="W506" s="1" t="str">
        <f>_xlfn.XLOOKUP(D506,Dictonary!$D$2:$D$12,Dictonary!$E$2:$E$12)</f>
        <v>car (new)</v>
      </c>
      <c r="X506" s="1" t="str">
        <f>_xlfn.XLOOKUP(F506,Dictonary!$G$2:$G$6,Dictonary!$H$2:$H$6)</f>
        <v>Less 100</v>
      </c>
      <c r="Y506" s="1" t="str">
        <f>_xlfn.XLOOKUP(I506,Dictonary!$J$2:$J$6,Dictonary!$K$2:$K$6)</f>
        <v>female : divorced/separated/married</v>
      </c>
      <c r="Z506" s="1" t="str">
        <f>_xlfn.XLOOKUP(Q506,Dictonary!$M$2:$M$5,Dictonary!$N$2:$N$5)</f>
        <v>skilled employee / official</v>
      </c>
      <c r="AA506" s="1" t="str">
        <f>_xlfn.XLOOKUP(O506,Dictonary!$P$2:$P$4,Dictonary!$Q$2:$Q$4)</f>
        <v>rent</v>
      </c>
    </row>
    <row r="507" spans="1:27" x14ac:dyDescent="0.3">
      <c r="A507" s="1" t="s">
        <v>42</v>
      </c>
      <c r="B507">
        <v>10</v>
      </c>
      <c r="C507" s="1" t="s">
        <v>36</v>
      </c>
      <c r="D507" s="1" t="s">
        <v>51</v>
      </c>
      <c r="E507">
        <v>1309</v>
      </c>
      <c r="F507" s="1" t="s">
        <v>24</v>
      </c>
      <c r="G507" s="1" t="s">
        <v>38</v>
      </c>
      <c r="H507">
        <v>4</v>
      </c>
      <c r="I507" s="1" t="s">
        <v>26</v>
      </c>
      <c r="J507" s="1" t="s">
        <v>47</v>
      </c>
      <c r="K507">
        <v>4</v>
      </c>
      <c r="L507" s="1" t="s">
        <v>48</v>
      </c>
      <c r="M507">
        <v>27</v>
      </c>
      <c r="N507" s="1" t="s">
        <v>29</v>
      </c>
      <c r="O507" s="1" t="s">
        <v>30</v>
      </c>
      <c r="P507">
        <v>1</v>
      </c>
      <c r="Q507" s="1" t="s">
        <v>45</v>
      </c>
      <c r="R507">
        <v>1</v>
      </c>
      <c r="S507" s="1" t="s">
        <v>40</v>
      </c>
      <c r="T507" s="1" t="s">
        <v>33</v>
      </c>
      <c r="U507" s="1" t="s">
        <v>41</v>
      </c>
      <c r="V507" s="1" t="str">
        <f>_xlfn.XLOOKUP(A507,Dictonary!$A$2:$A$5,Dictonary!$B$2:$B$5)</f>
        <v>No information</v>
      </c>
      <c r="W507" s="1" t="str">
        <f>_xlfn.XLOOKUP(D507,Dictonary!$D$2:$D$12,Dictonary!$E$2:$E$12)</f>
        <v>car (new)</v>
      </c>
      <c r="X507" s="1" t="str">
        <f>_xlfn.XLOOKUP(F507,Dictonary!$G$2:$G$6,Dictonary!$H$2:$H$6)</f>
        <v>No information</v>
      </c>
      <c r="Y507" s="1" t="str">
        <f>_xlfn.XLOOKUP(I507,Dictonary!$J$2:$J$6,Dictonary!$K$2:$K$6)</f>
        <v>male : single</v>
      </c>
      <c r="Z507" s="1" t="str">
        <f>_xlfn.XLOOKUP(Q507,Dictonary!$M$2:$M$5,Dictonary!$N$2:$N$5)</f>
        <v>unskilled - resident</v>
      </c>
      <c r="AA507" s="1" t="str">
        <f>_xlfn.XLOOKUP(O507,Dictonary!$P$2:$P$4,Dictonary!$Q$2:$Q$4)</f>
        <v>own</v>
      </c>
    </row>
    <row r="508" spans="1:27" x14ac:dyDescent="0.3">
      <c r="A508" s="1" t="s">
        <v>68</v>
      </c>
      <c r="B508">
        <v>15</v>
      </c>
      <c r="C508" s="1" t="s">
        <v>22</v>
      </c>
      <c r="D508" s="1" t="s">
        <v>54</v>
      </c>
      <c r="E508">
        <v>2360</v>
      </c>
      <c r="F508" s="1" t="s">
        <v>53</v>
      </c>
      <c r="G508" s="1" t="s">
        <v>38</v>
      </c>
      <c r="H508">
        <v>2</v>
      </c>
      <c r="I508" s="1" t="s">
        <v>26</v>
      </c>
      <c r="J508" s="1" t="s">
        <v>27</v>
      </c>
      <c r="K508">
        <v>2</v>
      </c>
      <c r="L508" s="1" t="s">
        <v>55</v>
      </c>
      <c r="M508">
        <v>36</v>
      </c>
      <c r="N508" s="1" t="s">
        <v>29</v>
      </c>
      <c r="O508" s="1" t="s">
        <v>30</v>
      </c>
      <c r="P508">
        <v>1</v>
      </c>
      <c r="Q508" s="1" t="s">
        <v>31</v>
      </c>
      <c r="R508">
        <v>1</v>
      </c>
      <c r="S508" s="1" t="s">
        <v>32</v>
      </c>
      <c r="T508" s="1" t="s">
        <v>33</v>
      </c>
      <c r="U508" s="1" t="s">
        <v>34</v>
      </c>
      <c r="V508" s="1" t="str">
        <f>_xlfn.XLOOKUP(A508,Dictonary!$A$2:$A$5,Dictonary!$B$2:$B$5)</f>
        <v>Normal balance</v>
      </c>
      <c r="W508" s="1" t="str">
        <f>_xlfn.XLOOKUP(D508,Dictonary!$D$2:$D$12,Dictonary!$E$2:$E$12)</f>
        <v>car (used)</v>
      </c>
      <c r="X508" s="1" t="str">
        <f>_xlfn.XLOOKUP(F508,Dictonary!$G$2:$G$6,Dictonary!$H$2:$H$6)</f>
        <v>Up to 1000</v>
      </c>
      <c r="Y508" s="1" t="str">
        <f>_xlfn.XLOOKUP(I508,Dictonary!$J$2:$J$6,Dictonary!$K$2:$K$6)</f>
        <v>male : single</v>
      </c>
      <c r="Z508" s="1" t="str">
        <f>_xlfn.XLOOKUP(Q508,Dictonary!$M$2:$M$5,Dictonary!$N$2:$N$5)</f>
        <v>skilled employee / official</v>
      </c>
      <c r="AA508" s="1" t="str">
        <f>_xlfn.XLOOKUP(O508,Dictonary!$P$2:$P$4,Dictonary!$Q$2:$Q$4)</f>
        <v>own</v>
      </c>
    </row>
    <row r="509" spans="1:27" x14ac:dyDescent="0.3">
      <c r="A509" s="1" t="s">
        <v>35</v>
      </c>
      <c r="B509">
        <v>15</v>
      </c>
      <c r="C509" s="1" t="s">
        <v>69</v>
      </c>
      <c r="D509" s="1" t="s">
        <v>51</v>
      </c>
      <c r="E509">
        <v>6850</v>
      </c>
      <c r="F509" s="1" t="s">
        <v>64</v>
      </c>
      <c r="G509" s="1" t="s">
        <v>60</v>
      </c>
      <c r="H509">
        <v>1</v>
      </c>
      <c r="I509" s="1" t="s">
        <v>26</v>
      </c>
      <c r="J509" s="1" t="s">
        <v>27</v>
      </c>
      <c r="K509">
        <v>2</v>
      </c>
      <c r="L509" s="1" t="s">
        <v>48</v>
      </c>
      <c r="M509">
        <v>34</v>
      </c>
      <c r="N509" s="1" t="s">
        <v>29</v>
      </c>
      <c r="O509" s="1" t="s">
        <v>30</v>
      </c>
      <c r="P509">
        <v>1</v>
      </c>
      <c r="Q509" s="1" t="s">
        <v>57</v>
      </c>
      <c r="R509">
        <v>2</v>
      </c>
      <c r="S509" s="1" t="s">
        <v>32</v>
      </c>
      <c r="T509" s="1" t="s">
        <v>33</v>
      </c>
      <c r="U509" s="1" t="s">
        <v>41</v>
      </c>
      <c r="V509" s="1" t="str">
        <f>_xlfn.XLOOKUP(A509,Dictonary!$A$2:$A$5,Dictonary!$B$2:$B$5)</f>
        <v>Low balance</v>
      </c>
      <c r="W509" s="1" t="str">
        <f>_xlfn.XLOOKUP(D509,Dictonary!$D$2:$D$12,Dictonary!$E$2:$E$12)</f>
        <v>car (new)</v>
      </c>
      <c r="X509" s="1" t="str">
        <f>_xlfn.XLOOKUP(F509,Dictonary!$G$2:$G$6,Dictonary!$H$2:$H$6)</f>
        <v>Up to 500</v>
      </c>
      <c r="Y509" s="1" t="str">
        <f>_xlfn.XLOOKUP(I509,Dictonary!$J$2:$J$6,Dictonary!$K$2:$K$6)</f>
        <v>male : single</v>
      </c>
      <c r="Z509" s="1" t="str">
        <f>_xlfn.XLOOKUP(Q509,Dictonary!$M$2:$M$5,Dictonary!$N$2:$N$5)</f>
        <v>management/ self-employed/ highly qualified employee/ officer</v>
      </c>
      <c r="AA509" s="1" t="str">
        <f>_xlfn.XLOOKUP(O509,Dictonary!$P$2:$P$4,Dictonary!$Q$2:$Q$4)</f>
        <v>own</v>
      </c>
    </row>
    <row r="510" spans="1:27" x14ac:dyDescent="0.3">
      <c r="A510" s="1" t="s">
        <v>42</v>
      </c>
      <c r="B510">
        <v>24</v>
      </c>
      <c r="C510" s="1" t="s">
        <v>36</v>
      </c>
      <c r="D510" s="1" t="s">
        <v>23</v>
      </c>
      <c r="E510">
        <v>1413</v>
      </c>
      <c r="F510" s="1" t="s">
        <v>37</v>
      </c>
      <c r="G510" s="1" t="s">
        <v>38</v>
      </c>
      <c r="H510">
        <v>4</v>
      </c>
      <c r="I510" s="1" t="s">
        <v>61</v>
      </c>
      <c r="J510" s="1" t="s">
        <v>27</v>
      </c>
      <c r="K510">
        <v>2</v>
      </c>
      <c r="L510" s="1" t="s">
        <v>48</v>
      </c>
      <c r="M510">
        <v>28</v>
      </c>
      <c r="N510" s="1" t="s">
        <v>29</v>
      </c>
      <c r="O510" s="1" t="s">
        <v>30</v>
      </c>
      <c r="P510">
        <v>1</v>
      </c>
      <c r="Q510" s="1" t="s">
        <v>31</v>
      </c>
      <c r="R510">
        <v>1</v>
      </c>
      <c r="S510" s="1" t="s">
        <v>40</v>
      </c>
      <c r="T510" s="1" t="s">
        <v>33</v>
      </c>
      <c r="U510" s="1" t="s">
        <v>34</v>
      </c>
      <c r="V510" s="1" t="str">
        <f>_xlfn.XLOOKUP(A510,Dictonary!$A$2:$A$5,Dictonary!$B$2:$B$5)</f>
        <v>No information</v>
      </c>
      <c r="W510" s="1" t="str">
        <f>_xlfn.XLOOKUP(D510,Dictonary!$D$2:$D$12,Dictonary!$E$2:$E$12)</f>
        <v>radio/television</v>
      </c>
      <c r="X510" s="1" t="str">
        <f>_xlfn.XLOOKUP(F510,Dictonary!$G$2:$G$6,Dictonary!$H$2:$H$6)</f>
        <v>Less 100</v>
      </c>
      <c r="Y510" s="1" t="str">
        <f>_xlfn.XLOOKUP(I510,Dictonary!$J$2:$J$6,Dictonary!$K$2:$K$6)</f>
        <v>male : married/widowed</v>
      </c>
      <c r="Z510" s="1" t="str">
        <f>_xlfn.XLOOKUP(Q510,Dictonary!$M$2:$M$5,Dictonary!$N$2:$N$5)</f>
        <v>skilled employee / official</v>
      </c>
      <c r="AA510" s="1" t="str">
        <f>_xlfn.XLOOKUP(O510,Dictonary!$P$2:$P$4,Dictonary!$Q$2:$Q$4)</f>
        <v>own</v>
      </c>
    </row>
    <row r="511" spans="1:27" x14ac:dyDescent="0.3">
      <c r="A511" s="1" t="s">
        <v>42</v>
      </c>
      <c r="B511">
        <v>39</v>
      </c>
      <c r="C511" s="1" t="s">
        <v>36</v>
      </c>
      <c r="D511" s="1" t="s">
        <v>54</v>
      </c>
      <c r="E511">
        <v>8588</v>
      </c>
      <c r="F511" s="1" t="s">
        <v>64</v>
      </c>
      <c r="G511" s="1" t="s">
        <v>25</v>
      </c>
      <c r="H511">
        <v>4</v>
      </c>
      <c r="I511" s="1" t="s">
        <v>26</v>
      </c>
      <c r="J511" s="1" t="s">
        <v>27</v>
      </c>
      <c r="K511">
        <v>2</v>
      </c>
      <c r="L511" s="1" t="s">
        <v>55</v>
      </c>
      <c r="M511">
        <v>45</v>
      </c>
      <c r="N511" s="1" t="s">
        <v>29</v>
      </c>
      <c r="O511" s="1" t="s">
        <v>30</v>
      </c>
      <c r="P511">
        <v>1</v>
      </c>
      <c r="Q511" s="1" t="s">
        <v>57</v>
      </c>
      <c r="R511">
        <v>1</v>
      </c>
      <c r="S511" s="1" t="s">
        <v>32</v>
      </c>
      <c r="T511" s="1" t="s">
        <v>33</v>
      </c>
      <c r="U511" s="1" t="s">
        <v>34</v>
      </c>
      <c r="V511" s="1" t="str">
        <f>_xlfn.XLOOKUP(A511,Dictonary!$A$2:$A$5,Dictonary!$B$2:$B$5)</f>
        <v>No information</v>
      </c>
      <c r="W511" s="1" t="str">
        <f>_xlfn.XLOOKUP(D511,Dictonary!$D$2:$D$12,Dictonary!$E$2:$E$12)</f>
        <v>car (used)</v>
      </c>
      <c r="X511" s="1" t="str">
        <f>_xlfn.XLOOKUP(F511,Dictonary!$G$2:$G$6,Dictonary!$H$2:$H$6)</f>
        <v>Up to 500</v>
      </c>
      <c r="Y511" s="1" t="str">
        <f>_xlfn.XLOOKUP(I511,Dictonary!$J$2:$J$6,Dictonary!$K$2:$K$6)</f>
        <v>male : single</v>
      </c>
      <c r="Z511" s="1" t="str">
        <f>_xlfn.XLOOKUP(Q511,Dictonary!$M$2:$M$5,Dictonary!$N$2:$N$5)</f>
        <v>management/ self-employed/ highly qualified employee/ officer</v>
      </c>
      <c r="AA511" s="1" t="str">
        <f>_xlfn.XLOOKUP(O511,Dictonary!$P$2:$P$4,Dictonary!$Q$2:$Q$4)</f>
        <v>own</v>
      </c>
    </row>
    <row r="512" spans="1:27" x14ac:dyDescent="0.3">
      <c r="A512" s="1" t="s">
        <v>21</v>
      </c>
      <c r="B512">
        <v>12</v>
      </c>
      <c r="C512" s="1" t="s">
        <v>36</v>
      </c>
      <c r="D512" s="1" t="s">
        <v>51</v>
      </c>
      <c r="E512">
        <v>759</v>
      </c>
      <c r="F512" s="1" t="s">
        <v>37</v>
      </c>
      <c r="G512" s="1" t="s">
        <v>44</v>
      </c>
      <c r="H512">
        <v>4</v>
      </c>
      <c r="I512" s="1" t="s">
        <v>26</v>
      </c>
      <c r="J512" s="1" t="s">
        <v>27</v>
      </c>
      <c r="K512">
        <v>2</v>
      </c>
      <c r="L512" s="1" t="s">
        <v>28</v>
      </c>
      <c r="M512">
        <v>26</v>
      </c>
      <c r="N512" s="1" t="s">
        <v>29</v>
      </c>
      <c r="O512" s="1" t="s">
        <v>30</v>
      </c>
      <c r="P512">
        <v>1</v>
      </c>
      <c r="Q512" s="1" t="s">
        <v>31</v>
      </c>
      <c r="R512">
        <v>1</v>
      </c>
      <c r="S512" s="1" t="s">
        <v>40</v>
      </c>
      <c r="T512" s="1" t="s">
        <v>33</v>
      </c>
      <c r="U512" s="1" t="s">
        <v>41</v>
      </c>
      <c r="V512" s="1" t="str">
        <f>_xlfn.XLOOKUP(A512,Dictonary!$A$2:$A$5,Dictonary!$B$2:$B$5)</f>
        <v>Negative balance</v>
      </c>
      <c r="W512" s="1" t="str">
        <f>_xlfn.XLOOKUP(D512,Dictonary!$D$2:$D$12,Dictonary!$E$2:$E$12)</f>
        <v>car (new)</v>
      </c>
      <c r="X512" s="1" t="str">
        <f>_xlfn.XLOOKUP(F512,Dictonary!$G$2:$G$6,Dictonary!$H$2:$H$6)</f>
        <v>Less 100</v>
      </c>
      <c r="Y512" s="1" t="str">
        <f>_xlfn.XLOOKUP(I512,Dictonary!$J$2:$J$6,Dictonary!$K$2:$K$6)</f>
        <v>male : single</v>
      </c>
      <c r="Z512" s="1" t="str">
        <f>_xlfn.XLOOKUP(Q512,Dictonary!$M$2:$M$5,Dictonary!$N$2:$N$5)</f>
        <v>skilled employee / official</v>
      </c>
      <c r="AA512" s="1" t="str">
        <f>_xlfn.XLOOKUP(O512,Dictonary!$P$2:$P$4,Dictonary!$Q$2:$Q$4)</f>
        <v>own</v>
      </c>
    </row>
    <row r="513" spans="1:27" x14ac:dyDescent="0.3">
      <c r="A513" s="1" t="s">
        <v>42</v>
      </c>
      <c r="B513">
        <v>36</v>
      </c>
      <c r="C513" s="1" t="s">
        <v>36</v>
      </c>
      <c r="D513" s="1" t="s">
        <v>54</v>
      </c>
      <c r="E513">
        <v>4686</v>
      </c>
      <c r="F513" s="1" t="s">
        <v>37</v>
      </c>
      <c r="G513" s="1" t="s">
        <v>38</v>
      </c>
      <c r="H513">
        <v>2</v>
      </c>
      <c r="I513" s="1" t="s">
        <v>26</v>
      </c>
      <c r="J513" s="1" t="s">
        <v>27</v>
      </c>
      <c r="K513">
        <v>2</v>
      </c>
      <c r="L513" s="1" t="s">
        <v>52</v>
      </c>
      <c r="M513">
        <v>32</v>
      </c>
      <c r="N513" s="1" t="s">
        <v>29</v>
      </c>
      <c r="O513" s="1" t="s">
        <v>49</v>
      </c>
      <c r="P513">
        <v>1</v>
      </c>
      <c r="Q513" s="1" t="s">
        <v>57</v>
      </c>
      <c r="R513">
        <v>1</v>
      </c>
      <c r="S513" s="1" t="s">
        <v>32</v>
      </c>
      <c r="T513" s="1" t="s">
        <v>33</v>
      </c>
      <c r="U513" s="1" t="s">
        <v>34</v>
      </c>
      <c r="V513" s="1" t="str">
        <f>_xlfn.XLOOKUP(A513,Dictonary!$A$2:$A$5,Dictonary!$B$2:$B$5)</f>
        <v>No information</v>
      </c>
      <c r="W513" s="1" t="str">
        <f>_xlfn.XLOOKUP(D513,Dictonary!$D$2:$D$12,Dictonary!$E$2:$E$12)</f>
        <v>car (used)</v>
      </c>
      <c r="X513" s="1" t="str">
        <f>_xlfn.XLOOKUP(F513,Dictonary!$G$2:$G$6,Dictonary!$H$2:$H$6)</f>
        <v>Less 100</v>
      </c>
      <c r="Y513" s="1" t="str">
        <f>_xlfn.XLOOKUP(I513,Dictonary!$J$2:$J$6,Dictonary!$K$2:$K$6)</f>
        <v>male : single</v>
      </c>
      <c r="Z513" s="1" t="str">
        <f>_xlfn.XLOOKUP(Q513,Dictonary!$M$2:$M$5,Dictonary!$N$2:$N$5)</f>
        <v>management/ self-employed/ highly qualified employee/ officer</v>
      </c>
      <c r="AA513" s="1" t="str">
        <f>_xlfn.XLOOKUP(O513,Dictonary!$P$2:$P$4,Dictonary!$Q$2:$Q$4)</f>
        <v>for free</v>
      </c>
    </row>
    <row r="514" spans="1:27" x14ac:dyDescent="0.3">
      <c r="A514" s="1" t="s">
        <v>68</v>
      </c>
      <c r="B514">
        <v>15</v>
      </c>
      <c r="C514" s="1" t="s">
        <v>36</v>
      </c>
      <c r="D514" s="1" t="s">
        <v>63</v>
      </c>
      <c r="E514">
        <v>2687</v>
      </c>
      <c r="F514" s="1" t="s">
        <v>37</v>
      </c>
      <c r="G514" s="1" t="s">
        <v>44</v>
      </c>
      <c r="H514">
        <v>2</v>
      </c>
      <c r="I514" s="1" t="s">
        <v>26</v>
      </c>
      <c r="J514" s="1" t="s">
        <v>27</v>
      </c>
      <c r="K514">
        <v>4</v>
      </c>
      <c r="L514" s="1" t="s">
        <v>48</v>
      </c>
      <c r="M514">
        <v>26</v>
      </c>
      <c r="N514" s="1" t="s">
        <v>29</v>
      </c>
      <c r="O514" s="1" t="s">
        <v>56</v>
      </c>
      <c r="P514">
        <v>1</v>
      </c>
      <c r="Q514" s="1" t="s">
        <v>31</v>
      </c>
      <c r="R514">
        <v>1</v>
      </c>
      <c r="S514" s="1" t="s">
        <v>32</v>
      </c>
      <c r="T514" s="1" t="s">
        <v>33</v>
      </c>
      <c r="U514" s="1" t="s">
        <v>34</v>
      </c>
      <c r="V514" s="1" t="str">
        <f>_xlfn.XLOOKUP(A514,Dictonary!$A$2:$A$5,Dictonary!$B$2:$B$5)</f>
        <v>Normal balance</v>
      </c>
      <c r="W514" s="1" t="str">
        <f>_xlfn.XLOOKUP(D514,Dictonary!$D$2:$D$12,Dictonary!$E$2:$E$12)</f>
        <v>business</v>
      </c>
      <c r="X514" s="1" t="str">
        <f>_xlfn.XLOOKUP(F514,Dictonary!$G$2:$G$6,Dictonary!$H$2:$H$6)</f>
        <v>Less 100</v>
      </c>
      <c r="Y514" s="1" t="str">
        <f>_xlfn.XLOOKUP(I514,Dictonary!$J$2:$J$6,Dictonary!$K$2:$K$6)</f>
        <v>male : single</v>
      </c>
      <c r="Z514" s="1" t="str">
        <f>_xlfn.XLOOKUP(Q514,Dictonary!$M$2:$M$5,Dictonary!$N$2:$N$5)</f>
        <v>skilled employee / official</v>
      </c>
      <c r="AA514" s="1" t="str">
        <f>_xlfn.XLOOKUP(O514,Dictonary!$P$2:$P$4,Dictonary!$Q$2:$Q$4)</f>
        <v>rent</v>
      </c>
    </row>
    <row r="515" spans="1:27" x14ac:dyDescent="0.3">
      <c r="A515" s="1" t="s">
        <v>35</v>
      </c>
      <c r="B515">
        <v>12</v>
      </c>
      <c r="C515" s="1" t="s">
        <v>50</v>
      </c>
      <c r="D515" s="1" t="s">
        <v>23</v>
      </c>
      <c r="E515">
        <v>585</v>
      </c>
      <c r="F515" s="1" t="s">
        <v>37</v>
      </c>
      <c r="G515" s="1" t="s">
        <v>38</v>
      </c>
      <c r="H515">
        <v>4</v>
      </c>
      <c r="I515" s="1" t="s">
        <v>61</v>
      </c>
      <c r="J515" s="1" t="s">
        <v>71</v>
      </c>
      <c r="K515">
        <v>4</v>
      </c>
      <c r="L515" s="1" t="s">
        <v>28</v>
      </c>
      <c r="M515">
        <v>20</v>
      </c>
      <c r="N515" s="1" t="s">
        <v>29</v>
      </c>
      <c r="O515" s="1" t="s">
        <v>56</v>
      </c>
      <c r="P515">
        <v>2</v>
      </c>
      <c r="Q515" s="1" t="s">
        <v>31</v>
      </c>
      <c r="R515">
        <v>1</v>
      </c>
      <c r="S515" s="1" t="s">
        <v>40</v>
      </c>
      <c r="T515" s="1" t="s">
        <v>33</v>
      </c>
      <c r="U515" s="1" t="s">
        <v>34</v>
      </c>
      <c r="V515" s="1" t="str">
        <f>_xlfn.XLOOKUP(A515,Dictonary!$A$2:$A$5,Dictonary!$B$2:$B$5)</f>
        <v>Low balance</v>
      </c>
      <c r="W515" s="1" t="str">
        <f>_xlfn.XLOOKUP(D515,Dictonary!$D$2:$D$12,Dictonary!$E$2:$E$12)</f>
        <v>radio/television</v>
      </c>
      <c r="X515" s="1" t="str">
        <f>_xlfn.XLOOKUP(F515,Dictonary!$G$2:$G$6,Dictonary!$H$2:$H$6)</f>
        <v>Less 100</v>
      </c>
      <c r="Y515" s="1" t="str">
        <f>_xlfn.XLOOKUP(I515,Dictonary!$J$2:$J$6,Dictonary!$K$2:$K$6)</f>
        <v>male : married/widowed</v>
      </c>
      <c r="Z515" s="1" t="str">
        <f>_xlfn.XLOOKUP(Q515,Dictonary!$M$2:$M$5,Dictonary!$N$2:$N$5)</f>
        <v>skilled employee / official</v>
      </c>
      <c r="AA515" s="1" t="str">
        <f>_xlfn.XLOOKUP(O515,Dictonary!$P$2:$P$4,Dictonary!$Q$2:$Q$4)</f>
        <v>rent</v>
      </c>
    </row>
    <row r="516" spans="1:27" x14ac:dyDescent="0.3">
      <c r="A516" s="1" t="s">
        <v>42</v>
      </c>
      <c r="B516">
        <v>24</v>
      </c>
      <c r="C516" s="1" t="s">
        <v>36</v>
      </c>
      <c r="D516" s="1" t="s">
        <v>51</v>
      </c>
      <c r="E516">
        <v>2255</v>
      </c>
      <c r="F516" s="1" t="s">
        <v>24</v>
      </c>
      <c r="G516" s="1" t="s">
        <v>62</v>
      </c>
      <c r="H516">
        <v>4</v>
      </c>
      <c r="I516" s="1" t="s">
        <v>26</v>
      </c>
      <c r="J516" s="1" t="s">
        <v>27</v>
      </c>
      <c r="K516">
        <v>1</v>
      </c>
      <c r="L516" s="1" t="s">
        <v>48</v>
      </c>
      <c r="M516">
        <v>54</v>
      </c>
      <c r="N516" s="1" t="s">
        <v>29</v>
      </c>
      <c r="O516" s="1" t="s">
        <v>30</v>
      </c>
      <c r="P516">
        <v>1</v>
      </c>
      <c r="Q516" s="1" t="s">
        <v>31</v>
      </c>
      <c r="R516">
        <v>1</v>
      </c>
      <c r="S516" s="1" t="s">
        <v>40</v>
      </c>
      <c r="T516" s="1" t="s">
        <v>33</v>
      </c>
      <c r="U516" s="1" t="s">
        <v>34</v>
      </c>
      <c r="V516" s="1" t="str">
        <f>_xlfn.XLOOKUP(A516,Dictonary!$A$2:$A$5,Dictonary!$B$2:$B$5)</f>
        <v>No information</v>
      </c>
      <c r="W516" s="1" t="str">
        <f>_xlfn.XLOOKUP(D516,Dictonary!$D$2:$D$12,Dictonary!$E$2:$E$12)</f>
        <v>car (new)</v>
      </c>
      <c r="X516" s="1" t="str">
        <f>_xlfn.XLOOKUP(F516,Dictonary!$G$2:$G$6,Dictonary!$H$2:$H$6)</f>
        <v>No information</v>
      </c>
      <c r="Y516" s="1" t="str">
        <f>_xlfn.XLOOKUP(I516,Dictonary!$J$2:$J$6,Dictonary!$K$2:$K$6)</f>
        <v>male : single</v>
      </c>
      <c r="Z516" s="1" t="str">
        <f>_xlfn.XLOOKUP(Q516,Dictonary!$M$2:$M$5,Dictonary!$N$2:$N$5)</f>
        <v>skilled employee / official</v>
      </c>
      <c r="AA516" s="1" t="str">
        <f>_xlfn.XLOOKUP(O516,Dictonary!$P$2:$P$4,Dictonary!$Q$2:$Q$4)</f>
        <v>own</v>
      </c>
    </row>
    <row r="517" spans="1:27" x14ac:dyDescent="0.3">
      <c r="A517" s="1" t="s">
        <v>21</v>
      </c>
      <c r="B517">
        <v>6</v>
      </c>
      <c r="C517" s="1" t="s">
        <v>22</v>
      </c>
      <c r="D517" s="1" t="s">
        <v>51</v>
      </c>
      <c r="E517">
        <v>609</v>
      </c>
      <c r="F517" s="1" t="s">
        <v>37</v>
      </c>
      <c r="G517" s="1" t="s">
        <v>44</v>
      </c>
      <c r="H517">
        <v>4</v>
      </c>
      <c r="I517" s="1" t="s">
        <v>39</v>
      </c>
      <c r="J517" s="1" t="s">
        <v>27</v>
      </c>
      <c r="K517">
        <v>3</v>
      </c>
      <c r="L517" s="1" t="s">
        <v>48</v>
      </c>
      <c r="M517">
        <v>37</v>
      </c>
      <c r="N517" s="1" t="s">
        <v>29</v>
      </c>
      <c r="O517" s="1" t="s">
        <v>30</v>
      </c>
      <c r="P517">
        <v>2</v>
      </c>
      <c r="Q517" s="1" t="s">
        <v>31</v>
      </c>
      <c r="R517">
        <v>1</v>
      </c>
      <c r="S517" s="1" t="s">
        <v>40</v>
      </c>
      <c r="T517" s="1" t="s">
        <v>67</v>
      </c>
      <c r="U517" s="1" t="s">
        <v>34</v>
      </c>
      <c r="V517" s="1" t="str">
        <f>_xlfn.XLOOKUP(A517,Dictonary!$A$2:$A$5,Dictonary!$B$2:$B$5)</f>
        <v>Negative balance</v>
      </c>
      <c r="W517" s="1" t="str">
        <f>_xlfn.XLOOKUP(D517,Dictonary!$D$2:$D$12,Dictonary!$E$2:$E$12)</f>
        <v>car (new)</v>
      </c>
      <c r="X517" s="1" t="str">
        <f>_xlfn.XLOOKUP(F517,Dictonary!$G$2:$G$6,Dictonary!$H$2:$H$6)</f>
        <v>Less 100</v>
      </c>
      <c r="Y517" s="1" t="str">
        <f>_xlfn.XLOOKUP(I517,Dictonary!$J$2:$J$6,Dictonary!$K$2:$K$6)</f>
        <v>female : divorced/separated/married</v>
      </c>
      <c r="Z517" s="1" t="str">
        <f>_xlfn.XLOOKUP(Q517,Dictonary!$M$2:$M$5,Dictonary!$N$2:$N$5)</f>
        <v>skilled employee / official</v>
      </c>
      <c r="AA517" s="1" t="str">
        <f>_xlfn.XLOOKUP(O517,Dictonary!$P$2:$P$4,Dictonary!$Q$2:$Q$4)</f>
        <v>own</v>
      </c>
    </row>
    <row r="518" spans="1:27" x14ac:dyDescent="0.3">
      <c r="A518" s="1" t="s">
        <v>21</v>
      </c>
      <c r="B518">
        <v>6</v>
      </c>
      <c r="C518" s="1" t="s">
        <v>22</v>
      </c>
      <c r="D518" s="1" t="s">
        <v>51</v>
      </c>
      <c r="E518">
        <v>1361</v>
      </c>
      <c r="F518" s="1" t="s">
        <v>37</v>
      </c>
      <c r="G518" s="1" t="s">
        <v>62</v>
      </c>
      <c r="H518">
        <v>2</v>
      </c>
      <c r="I518" s="1" t="s">
        <v>26</v>
      </c>
      <c r="J518" s="1" t="s">
        <v>27</v>
      </c>
      <c r="K518">
        <v>4</v>
      </c>
      <c r="L518" s="1" t="s">
        <v>28</v>
      </c>
      <c r="M518">
        <v>40</v>
      </c>
      <c r="N518" s="1" t="s">
        <v>29</v>
      </c>
      <c r="O518" s="1" t="s">
        <v>30</v>
      </c>
      <c r="P518">
        <v>1</v>
      </c>
      <c r="Q518" s="1" t="s">
        <v>45</v>
      </c>
      <c r="R518">
        <v>2</v>
      </c>
      <c r="S518" s="1" t="s">
        <v>40</v>
      </c>
      <c r="T518" s="1" t="s">
        <v>67</v>
      </c>
      <c r="U518" s="1" t="s">
        <v>34</v>
      </c>
      <c r="V518" s="1" t="str">
        <f>_xlfn.XLOOKUP(A518,Dictonary!$A$2:$A$5,Dictonary!$B$2:$B$5)</f>
        <v>Negative balance</v>
      </c>
      <c r="W518" s="1" t="str">
        <f>_xlfn.XLOOKUP(D518,Dictonary!$D$2:$D$12,Dictonary!$E$2:$E$12)</f>
        <v>car (new)</v>
      </c>
      <c r="X518" s="1" t="str">
        <f>_xlfn.XLOOKUP(F518,Dictonary!$G$2:$G$6,Dictonary!$H$2:$H$6)</f>
        <v>Less 100</v>
      </c>
      <c r="Y518" s="1" t="str">
        <f>_xlfn.XLOOKUP(I518,Dictonary!$J$2:$J$6,Dictonary!$K$2:$K$6)</f>
        <v>male : single</v>
      </c>
      <c r="Z518" s="1" t="str">
        <f>_xlfn.XLOOKUP(Q518,Dictonary!$M$2:$M$5,Dictonary!$N$2:$N$5)</f>
        <v>unskilled - resident</v>
      </c>
      <c r="AA518" s="1" t="str">
        <f>_xlfn.XLOOKUP(O518,Dictonary!$P$2:$P$4,Dictonary!$Q$2:$Q$4)</f>
        <v>own</v>
      </c>
    </row>
    <row r="519" spans="1:27" x14ac:dyDescent="0.3">
      <c r="A519" s="1" t="s">
        <v>42</v>
      </c>
      <c r="B519">
        <v>36</v>
      </c>
      <c r="C519" s="1" t="s">
        <v>22</v>
      </c>
      <c r="D519" s="1" t="s">
        <v>46</v>
      </c>
      <c r="E519">
        <v>7127</v>
      </c>
      <c r="F519" s="1" t="s">
        <v>37</v>
      </c>
      <c r="G519" s="1" t="s">
        <v>62</v>
      </c>
      <c r="H519">
        <v>2</v>
      </c>
      <c r="I519" s="1" t="s">
        <v>39</v>
      </c>
      <c r="J519" s="1" t="s">
        <v>27</v>
      </c>
      <c r="K519">
        <v>4</v>
      </c>
      <c r="L519" s="1" t="s">
        <v>48</v>
      </c>
      <c r="M519">
        <v>23</v>
      </c>
      <c r="N519" s="1" t="s">
        <v>29</v>
      </c>
      <c r="O519" s="1" t="s">
        <v>56</v>
      </c>
      <c r="P519">
        <v>2</v>
      </c>
      <c r="Q519" s="1" t="s">
        <v>31</v>
      </c>
      <c r="R519">
        <v>1</v>
      </c>
      <c r="S519" s="1" t="s">
        <v>32</v>
      </c>
      <c r="T519" s="1" t="s">
        <v>33</v>
      </c>
      <c r="U519" s="1" t="s">
        <v>41</v>
      </c>
      <c r="V519" s="1" t="str">
        <f>_xlfn.XLOOKUP(A519,Dictonary!$A$2:$A$5,Dictonary!$B$2:$B$5)</f>
        <v>No information</v>
      </c>
      <c r="W519" s="1" t="str">
        <f>_xlfn.XLOOKUP(D519,Dictonary!$D$2:$D$12,Dictonary!$E$2:$E$12)</f>
        <v>furniture/equipment</v>
      </c>
      <c r="X519" s="1" t="str">
        <f>_xlfn.XLOOKUP(F519,Dictonary!$G$2:$G$6,Dictonary!$H$2:$H$6)</f>
        <v>Less 100</v>
      </c>
      <c r="Y519" s="1" t="str">
        <f>_xlfn.XLOOKUP(I519,Dictonary!$J$2:$J$6,Dictonary!$K$2:$K$6)</f>
        <v>female : divorced/separated/married</v>
      </c>
      <c r="Z519" s="1" t="str">
        <f>_xlfn.XLOOKUP(Q519,Dictonary!$M$2:$M$5,Dictonary!$N$2:$N$5)</f>
        <v>skilled employee / official</v>
      </c>
      <c r="AA519" s="1" t="str">
        <f>_xlfn.XLOOKUP(O519,Dictonary!$P$2:$P$4,Dictonary!$Q$2:$Q$4)</f>
        <v>rent</v>
      </c>
    </row>
    <row r="520" spans="1:27" x14ac:dyDescent="0.3">
      <c r="A520" s="1" t="s">
        <v>21</v>
      </c>
      <c r="B520">
        <v>6</v>
      </c>
      <c r="C520" s="1" t="s">
        <v>36</v>
      </c>
      <c r="D520" s="1" t="s">
        <v>51</v>
      </c>
      <c r="E520">
        <v>1203</v>
      </c>
      <c r="F520" s="1" t="s">
        <v>64</v>
      </c>
      <c r="G520" s="1" t="s">
        <v>25</v>
      </c>
      <c r="H520">
        <v>3</v>
      </c>
      <c r="I520" s="1" t="s">
        <v>26</v>
      </c>
      <c r="J520" s="1" t="s">
        <v>27</v>
      </c>
      <c r="K520">
        <v>2</v>
      </c>
      <c r="L520" s="1" t="s">
        <v>48</v>
      </c>
      <c r="M520">
        <v>43</v>
      </c>
      <c r="N520" s="1" t="s">
        <v>29</v>
      </c>
      <c r="O520" s="1" t="s">
        <v>30</v>
      </c>
      <c r="P520">
        <v>1</v>
      </c>
      <c r="Q520" s="1" t="s">
        <v>31</v>
      </c>
      <c r="R520">
        <v>1</v>
      </c>
      <c r="S520" s="1" t="s">
        <v>32</v>
      </c>
      <c r="T520" s="1" t="s">
        <v>33</v>
      </c>
      <c r="U520" s="1" t="s">
        <v>34</v>
      </c>
      <c r="V520" s="1" t="str">
        <f>_xlfn.XLOOKUP(A520,Dictonary!$A$2:$A$5,Dictonary!$B$2:$B$5)</f>
        <v>Negative balance</v>
      </c>
      <c r="W520" s="1" t="str">
        <f>_xlfn.XLOOKUP(D520,Dictonary!$D$2:$D$12,Dictonary!$E$2:$E$12)</f>
        <v>car (new)</v>
      </c>
      <c r="X520" s="1" t="str">
        <f>_xlfn.XLOOKUP(F520,Dictonary!$G$2:$G$6,Dictonary!$H$2:$H$6)</f>
        <v>Up to 500</v>
      </c>
      <c r="Y520" s="1" t="str">
        <f>_xlfn.XLOOKUP(I520,Dictonary!$J$2:$J$6,Dictonary!$K$2:$K$6)</f>
        <v>male : single</v>
      </c>
      <c r="Z520" s="1" t="str">
        <f>_xlfn.XLOOKUP(Q520,Dictonary!$M$2:$M$5,Dictonary!$N$2:$N$5)</f>
        <v>skilled employee / official</v>
      </c>
      <c r="AA520" s="1" t="str">
        <f>_xlfn.XLOOKUP(O520,Dictonary!$P$2:$P$4,Dictonary!$Q$2:$Q$4)</f>
        <v>own</v>
      </c>
    </row>
    <row r="521" spans="1:27" x14ac:dyDescent="0.3">
      <c r="A521" s="1" t="s">
        <v>42</v>
      </c>
      <c r="B521">
        <v>6</v>
      </c>
      <c r="C521" s="1" t="s">
        <v>22</v>
      </c>
      <c r="D521" s="1" t="s">
        <v>23</v>
      </c>
      <c r="E521">
        <v>700</v>
      </c>
      <c r="F521" s="1" t="s">
        <v>24</v>
      </c>
      <c r="G521" s="1" t="s">
        <v>25</v>
      </c>
      <c r="H521">
        <v>4</v>
      </c>
      <c r="I521" s="1" t="s">
        <v>26</v>
      </c>
      <c r="J521" s="1" t="s">
        <v>27</v>
      </c>
      <c r="K521">
        <v>4</v>
      </c>
      <c r="L521" s="1" t="s">
        <v>52</v>
      </c>
      <c r="M521">
        <v>36</v>
      </c>
      <c r="N521" s="1" t="s">
        <v>29</v>
      </c>
      <c r="O521" s="1" t="s">
        <v>49</v>
      </c>
      <c r="P521">
        <v>2</v>
      </c>
      <c r="Q521" s="1" t="s">
        <v>31</v>
      </c>
      <c r="R521">
        <v>1</v>
      </c>
      <c r="S521" s="1" t="s">
        <v>40</v>
      </c>
      <c r="T521" s="1" t="s">
        <v>33</v>
      </c>
      <c r="U521" s="1" t="s">
        <v>34</v>
      </c>
      <c r="V521" s="1" t="str">
        <f>_xlfn.XLOOKUP(A521,Dictonary!$A$2:$A$5,Dictonary!$B$2:$B$5)</f>
        <v>No information</v>
      </c>
      <c r="W521" s="1" t="str">
        <f>_xlfn.XLOOKUP(D521,Dictonary!$D$2:$D$12,Dictonary!$E$2:$E$12)</f>
        <v>radio/television</v>
      </c>
      <c r="X521" s="1" t="str">
        <f>_xlfn.XLOOKUP(F521,Dictonary!$G$2:$G$6,Dictonary!$H$2:$H$6)</f>
        <v>No information</v>
      </c>
      <c r="Y521" s="1" t="str">
        <f>_xlfn.XLOOKUP(I521,Dictonary!$J$2:$J$6,Dictonary!$K$2:$K$6)</f>
        <v>male : single</v>
      </c>
      <c r="Z521" s="1" t="str">
        <f>_xlfn.XLOOKUP(Q521,Dictonary!$M$2:$M$5,Dictonary!$N$2:$N$5)</f>
        <v>skilled employee / official</v>
      </c>
      <c r="AA521" s="1" t="str">
        <f>_xlfn.XLOOKUP(O521,Dictonary!$P$2:$P$4,Dictonary!$Q$2:$Q$4)</f>
        <v>for free</v>
      </c>
    </row>
    <row r="522" spans="1:27" x14ac:dyDescent="0.3">
      <c r="A522" s="1" t="s">
        <v>42</v>
      </c>
      <c r="B522">
        <v>24</v>
      </c>
      <c r="C522" s="1" t="s">
        <v>22</v>
      </c>
      <c r="D522" s="1" t="s">
        <v>73</v>
      </c>
      <c r="E522">
        <v>5507</v>
      </c>
      <c r="F522" s="1" t="s">
        <v>37</v>
      </c>
      <c r="G522" s="1" t="s">
        <v>25</v>
      </c>
      <c r="H522">
        <v>3</v>
      </c>
      <c r="I522" s="1" t="s">
        <v>26</v>
      </c>
      <c r="J522" s="1" t="s">
        <v>27</v>
      </c>
      <c r="K522">
        <v>4</v>
      </c>
      <c r="L522" s="1" t="s">
        <v>52</v>
      </c>
      <c r="M522">
        <v>44</v>
      </c>
      <c r="N522" s="1" t="s">
        <v>29</v>
      </c>
      <c r="O522" s="1" t="s">
        <v>49</v>
      </c>
      <c r="P522">
        <v>2</v>
      </c>
      <c r="Q522" s="1" t="s">
        <v>31</v>
      </c>
      <c r="R522">
        <v>1</v>
      </c>
      <c r="S522" s="1" t="s">
        <v>40</v>
      </c>
      <c r="T522" s="1" t="s">
        <v>33</v>
      </c>
      <c r="U522" s="1" t="s">
        <v>34</v>
      </c>
      <c r="V522" s="1" t="str">
        <f>_xlfn.XLOOKUP(A522,Dictonary!$A$2:$A$5,Dictonary!$B$2:$B$5)</f>
        <v>No information</v>
      </c>
      <c r="W522" s="1" t="str">
        <f>_xlfn.XLOOKUP(D522,Dictonary!$D$2:$D$12,Dictonary!$E$2:$E$12)</f>
        <v>repairs</v>
      </c>
      <c r="X522" s="1" t="str">
        <f>_xlfn.XLOOKUP(F522,Dictonary!$G$2:$G$6,Dictonary!$H$2:$H$6)</f>
        <v>Less 100</v>
      </c>
      <c r="Y522" s="1" t="str">
        <f>_xlfn.XLOOKUP(I522,Dictonary!$J$2:$J$6,Dictonary!$K$2:$K$6)</f>
        <v>male : single</v>
      </c>
      <c r="Z522" s="1" t="str">
        <f>_xlfn.XLOOKUP(Q522,Dictonary!$M$2:$M$5,Dictonary!$N$2:$N$5)</f>
        <v>skilled employee / official</v>
      </c>
      <c r="AA522" s="1" t="str">
        <f>_xlfn.XLOOKUP(O522,Dictonary!$P$2:$P$4,Dictonary!$Q$2:$Q$4)</f>
        <v>for free</v>
      </c>
    </row>
    <row r="523" spans="1:27" x14ac:dyDescent="0.3">
      <c r="A523" s="1" t="s">
        <v>21</v>
      </c>
      <c r="B523">
        <v>18</v>
      </c>
      <c r="C523" s="1" t="s">
        <v>36</v>
      </c>
      <c r="D523" s="1" t="s">
        <v>23</v>
      </c>
      <c r="E523">
        <v>3190</v>
      </c>
      <c r="F523" s="1" t="s">
        <v>37</v>
      </c>
      <c r="G523" s="1" t="s">
        <v>38</v>
      </c>
      <c r="H523">
        <v>2</v>
      </c>
      <c r="I523" s="1" t="s">
        <v>39</v>
      </c>
      <c r="J523" s="1" t="s">
        <v>27</v>
      </c>
      <c r="K523">
        <v>2</v>
      </c>
      <c r="L523" s="1" t="s">
        <v>28</v>
      </c>
      <c r="M523">
        <v>24</v>
      </c>
      <c r="N523" s="1" t="s">
        <v>29</v>
      </c>
      <c r="O523" s="1" t="s">
        <v>30</v>
      </c>
      <c r="P523">
        <v>1</v>
      </c>
      <c r="Q523" s="1" t="s">
        <v>31</v>
      </c>
      <c r="R523">
        <v>1</v>
      </c>
      <c r="S523" s="1" t="s">
        <v>40</v>
      </c>
      <c r="T523" s="1" t="s">
        <v>33</v>
      </c>
      <c r="U523" s="1" t="s">
        <v>41</v>
      </c>
      <c r="V523" s="1" t="str">
        <f>_xlfn.XLOOKUP(A523,Dictonary!$A$2:$A$5,Dictonary!$B$2:$B$5)</f>
        <v>Negative balance</v>
      </c>
      <c r="W523" s="1" t="str">
        <f>_xlfn.XLOOKUP(D523,Dictonary!$D$2:$D$12,Dictonary!$E$2:$E$12)</f>
        <v>radio/television</v>
      </c>
      <c r="X523" s="1" t="str">
        <f>_xlfn.XLOOKUP(F523,Dictonary!$G$2:$G$6,Dictonary!$H$2:$H$6)</f>
        <v>Less 100</v>
      </c>
      <c r="Y523" s="1" t="str">
        <f>_xlfn.XLOOKUP(I523,Dictonary!$J$2:$J$6,Dictonary!$K$2:$K$6)</f>
        <v>female : divorced/separated/married</v>
      </c>
      <c r="Z523" s="1" t="str">
        <f>_xlfn.XLOOKUP(Q523,Dictonary!$M$2:$M$5,Dictonary!$N$2:$N$5)</f>
        <v>skilled employee / official</v>
      </c>
      <c r="AA523" s="1" t="str">
        <f>_xlfn.XLOOKUP(O523,Dictonary!$P$2:$P$4,Dictonary!$Q$2:$Q$4)</f>
        <v>own</v>
      </c>
    </row>
    <row r="524" spans="1:27" x14ac:dyDescent="0.3">
      <c r="A524" s="1" t="s">
        <v>21</v>
      </c>
      <c r="B524">
        <v>48</v>
      </c>
      <c r="C524" s="1" t="s">
        <v>65</v>
      </c>
      <c r="D524" s="1" t="s">
        <v>46</v>
      </c>
      <c r="E524">
        <v>7119</v>
      </c>
      <c r="F524" s="1" t="s">
        <v>37</v>
      </c>
      <c r="G524" s="1" t="s">
        <v>38</v>
      </c>
      <c r="H524">
        <v>3</v>
      </c>
      <c r="I524" s="1" t="s">
        <v>26</v>
      </c>
      <c r="J524" s="1" t="s">
        <v>27</v>
      </c>
      <c r="K524">
        <v>4</v>
      </c>
      <c r="L524" s="1" t="s">
        <v>52</v>
      </c>
      <c r="M524">
        <v>53</v>
      </c>
      <c r="N524" s="1" t="s">
        <v>29</v>
      </c>
      <c r="O524" s="1" t="s">
        <v>49</v>
      </c>
      <c r="P524">
        <v>2</v>
      </c>
      <c r="Q524" s="1" t="s">
        <v>31</v>
      </c>
      <c r="R524">
        <v>2</v>
      </c>
      <c r="S524" s="1" t="s">
        <v>40</v>
      </c>
      <c r="T524" s="1" t="s">
        <v>33</v>
      </c>
      <c r="U524" s="1" t="s">
        <v>41</v>
      </c>
      <c r="V524" s="1" t="str">
        <f>_xlfn.XLOOKUP(A524,Dictonary!$A$2:$A$5,Dictonary!$B$2:$B$5)</f>
        <v>Negative balance</v>
      </c>
      <c r="W524" s="1" t="str">
        <f>_xlfn.XLOOKUP(D524,Dictonary!$D$2:$D$12,Dictonary!$E$2:$E$12)</f>
        <v>furniture/equipment</v>
      </c>
      <c r="X524" s="1" t="str">
        <f>_xlfn.XLOOKUP(F524,Dictonary!$G$2:$G$6,Dictonary!$H$2:$H$6)</f>
        <v>Less 100</v>
      </c>
      <c r="Y524" s="1" t="str">
        <f>_xlfn.XLOOKUP(I524,Dictonary!$J$2:$J$6,Dictonary!$K$2:$K$6)</f>
        <v>male : single</v>
      </c>
      <c r="Z524" s="1" t="str">
        <f>_xlfn.XLOOKUP(Q524,Dictonary!$M$2:$M$5,Dictonary!$N$2:$N$5)</f>
        <v>skilled employee / official</v>
      </c>
      <c r="AA524" s="1" t="str">
        <f>_xlfn.XLOOKUP(O524,Dictonary!$P$2:$P$4,Dictonary!$Q$2:$Q$4)</f>
        <v>for free</v>
      </c>
    </row>
    <row r="525" spans="1:27" x14ac:dyDescent="0.3">
      <c r="A525" s="1" t="s">
        <v>42</v>
      </c>
      <c r="B525">
        <v>24</v>
      </c>
      <c r="C525" s="1" t="s">
        <v>36</v>
      </c>
      <c r="D525" s="1" t="s">
        <v>54</v>
      </c>
      <c r="E525">
        <v>3488</v>
      </c>
      <c r="F525" s="1" t="s">
        <v>64</v>
      </c>
      <c r="G525" s="1" t="s">
        <v>44</v>
      </c>
      <c r="H525">
        <v>3</v>
      </c>
      <c r="I525" s="1" t="s">
        <v>39</v>
      </c>
      <c r="J525" s="1" t="s">
        <v>27</v>
      </c>
      <c r="K525">
        <v>4</v>
      </c>
      <c r="L525" s="1" t="s">
        <v>55</v>
      </c>
      <c r="M525">
        <v>23</v>
      </c>
      <c r="N525" s="1" t="s">
        <v>29</v>
      </c>
      <c r="O525" s="1" t="s">
        <v>30</v>
      </c>
      <c r="P525">
        <v>1</v>
      </c>
      <c r="Q525" s="1" t="s">
        <v>31</v>
      </c>
      <c r="R525">
        <v>1</v>
      </c>
      <c r="S525" s="1" t="s">
        <v>40</v>
      </c>
      <c r="T525" s="1" t="s">
        <v>33</v>
      </c>
      <c r="U525" s="1" t="s">
        <v>34</v>
      </c>
      <c r="V525" s="1" t="str">
        <f>_xlfn.XLOOKUP(A525,Dictonary!$A$2:$A$5,Dictonary!$B$2:$B$5)</f>
        <v>No information</v>
      </c>
      <c r="W525" s="1" t="str">
        <f>_xlfn.XLOOKUP(D525,Dictonary!$D$2:$D$12,Dictonary!$E$2:$E$12)</f>
        <v>car (used)</v>
      </c>
      <c r="X525" s="1" t="str">
        <f>_xlfn.XLOOKUP(F525,Dictonary!$G$2:$G$6,Dictonary!$H$2:$H$6)</f>
        <v>Up to 500</v>
      </c>
      <c r="Y525" s="1" t="str">
        <f>_xlfn.XLOOKUP(I525,Dictonary!$J$2:$J$6,Dictonary!$K$2:$K$6)</f>
        <v>female : divorced/separated/married</v>
      </c>
      <c r="Z525" s="1" t="str">
        <f>_xlfn.XLOOKUP(Q525,Dictonary!$M$2:$M$5,Dictonary!$N$2:$N$5)</f>
        <v>skilled employee / official</v>
      </c>
      <c r="AA525" s="1" t="str">
        <f>_xlfn.XLOOKUP(O525,Dictonary!$P$2:$P$4,Dictonary!$Q$2:$Q$4)</f>
        <v>own</v>
      </c>
    </row>
    <row r="526" spans="1:27" x14ac:dyDescent="0.3">
      <c r="A526" s="1" t="s">
        <v>35</v>
      </c>
      <c r="B526">
        <v>18</v>
      </c>
      <c r="C526" s="1" t="s">
        <v>36</v>
      </c>
      <c r="D526" s="1" t="s">
        <v>23</v>
      </c>
      <c r="E526">
        <v>1113</v>
      </c>
      <c r="F526" s="1" t="s">
        <v>37</v>
      </c>
      <c r="G526" s="1" t="s">
        <v>38</v>
      </c>
      <c r="H526">
        <v>4</v>
      </c>
      <c r="I526" s="1" t="s">
        <v>39</v>
      </c>
      <c r="J526" s="1" t="s">
        <v>47</v>
      </c>
      <c r="K526">
        <v>4</v>
      </c>
      <c r="L526" s="1" t="s">
        <v>28</v>
      </c>
      <c r="M526">
        <v>26</v>
      </c>
      <c r="N526" s="1" t="s">
        <v>29</v>
      </c>
      <c r="O526" s="1" t="s">
        <v>30</v>
      </c>
      <c r="P526">
        <v>1</v>
      </c>
      <c r="Q526" s="1" t="s">
        <v>45</v>
      </c>
      <c r="R526">
        <v>2</v>
      </c>
      <c r="S526" s="1" t="s">
        <v>40</v>
      </c>
      <c r="T526" s="1" t="s">
        <v>33</v>
      </c>
      <c r="U526" s="1" t="s">
        <v>34</v>
      </c>
      <c r="V526" s="1" t="str">
        <f>_xlfn.XLOOKUP(A526,Dictonary!$A$2:$A$5,Dictonary!$B$2:$B$5)</f>
        <v>Low balance</v>
      </c>
      <c r="W526" s="1" t="str">
        <f>_xlfn.XLOOKUP(D526,Dictonary!$D$2:$D$12,Dictonary!$E$2:$E$12)</f>
        <v>radio/television</v>
      </c>
      <c r="X526" s="1" t="str">
        <f>_xlfn.XLOOKUP(F526,Dictonary!$G$2:$G$6,Dictonary!$H$2:$H$6)</f>
        <v>Less 100</v>
      </c>
      <c r="Y526" s="1" t="str">
        <f>_xlfn.XLOOKUP(I526,Dictonary!$J$2:$J$6,Dictonary!$K$2:$K$6)</f>
        <v>female : divorced/separated/married</v>
      </c>
      <c r="Z526" s="1" t="str">
        <f>_xlfn.XLOOKUP(Q526,Dictonary!$M$2:$M$5,Dictonary!$N$2:$N$5)</f>
        <v>unskilled - resident</v>
      </c>
      <c r="AA526" s="1" t="str">
        <f>_xlfn.XLOOKUP(O526,Dictonary!$P$2:$P$4,Dictonary!$Q$2:$Q$4)</f>
        <v>own</v>
      </c>
    </row>
    <row r="527" spans="1:27" x14ac:dyDescent="0.3">
      <c r="A527" s="1" t="s">
        <v>35</v>
      </c>
      <c r="B527">
        <v>26</v>
      </c>
      <c r="C527" s="1" t="s">
        <v>36</v>
      </c>
      <c r="D527" s="1" t="s">
        <v>54</v>
      </c>
      <c r="E527">
        <v>7966</v>
      </c>
      <c r="F527" s="1" t="s">
        <v>37</v>
      </c>
      <c r="G527" s="1" t="s">
        <v>62</v>
      </c>
      <c r="H527">
        <v>2</v>
      </c>
      <c r="I527" s="1" t="s">
        <v>26</v>
      </c>
      <c r="J527" s="1" t="s">
        <v>27</v>
      </c>
      <c r="K527">
        <v>3</v>
      </c>
      <c r="L527" s="1" t="s">
        <v>55</v>
      </c>
      <c r="M527">
        <v>30</v>
      </c>
      <c r="N527" s="1" t="s">
        <v>29</v>
      </c>
      <c r="O527" s="1" t="s">
        <v>30</v>
      </c>
      <c r="P527">
        <v>2</v>
      </c>
      <c r="Q527" s="1" t="s">
        <v>31</v>
      </c>
      <c r="R527">
        <v>1</v>
      </c>
      <c r="S527" s="1" t="s">
        <v>40</v>
      </c>
      <c r="T527" s="1" t="s">
        <v>33</v>
      </c>
      <c r="U527" s="1" t="s">
        <v>34</v>
      </c>
      <c r="V527" s="1" t="str">
        <f>_xlfn.XLOOKUP(A527,Dictonary!$A$2:$A$5,Dictonary!$B$2:$B$5)</f>
        <v>Low balance</v>
      </c>
      <c r="W527" s="1" t="str">
        <f>_xlfn.XLOOKUP(D527,Dictonary!$D$2:$D$12,Dictonary!$E$2:$E$12)</f>
        <v>car (used)</v>
      </c>
      <c r="X527" s="1" t="str">
        <f>_xlfn.XLOOKUP(F527,Dictonary!$G$2:$G$6,Dictonary!$H$2:$H$6)</f>
        <v>Less 100</v>
      </c>
      <c r="Y527" s="1" t="str">
        <f>_xlfn.XLOOKUP(I527,Dictonary!$J$2:$J$6,Dictonary!$K$2:$K$6)</f>
        <v>male : single</v>
      </c>
      <c r="Z527" s="1" t="str">
        <f>_xlfn.XLOOKUP(Q527,Dictonary!$M$2:$M$5,Dictonary!$N$2:$N$5)</f>
        <v>skilled employee / official</v>
      </c>
      <c r="AA527" s="1" t="str">
        <f>_xlfn.XLOOKUP(O527,Dictonary!$P$2:$P$4,Dictonary!$Q$2:$Q$4)</f>
        <v>own</v>
      </c>
    </row>
    <row r="528" spans="1:27" x14ac:dyDescent="0.3">
      <c r="A528" s="1" t="s">
        <v>42</v>
      </c>
      <c r="B528">
        <v>15</v>
      </c>
      <c r="C528" s="1" t="s">
        <v>22</v>
      </c>
      <c r="D528" s="1" t="s">
        <v>43</v>
      </c>
      <c r="E528">
        <v>1532</v>
      </c>
      <c r="F528" s="1" t="s">
        <v>64</v>
      </c>
      <c r="G528" s="1" t="s">
        <v>38</v>
      </c>
      <c r="H528">
        <v>4</v>
      </c>
      <c r="I528" s="1" t="s">
        <v>39</v>
      </c>
      <c r="J528" s="1" t="s">
        <v>27</v>
      </c>
      <c r="K528">
        <v>3</v>
      </c>
      <c r="L528" s="1" t="s">
        <v>55</v>
      </c>
      <c r="M528">
        <v>31</v>
      </c>
      <c r="N528" s="1" t="s">
        <v>29</v>
      </c>
      <c r="O528" s="1" t="s">
        <v>30</v>
      </c>
      <c r="P528">
        <v>1</v>
      </c>
      <c r="Q528" s="1" t="s">
        <v>31</v>
      </c>
      <c r="R528">
        <v>1</v>
      </c>
      <c r="S528" s="1" t="s">
        <v>40</v>
      </c>
      <c r="T528" s="1" t="s">
        <v>33</v>
      </c>
      <c r="U528" s="1" t="s">
        <v>34</v>
      </c>
      <c r="V528" s="1" t="str">
        <f>_xlfn.XLOOKUP(A528,Dictonary!$A$2:$A$5,Dictonary!$B$2:$B$5)</f>
        <v>No information</v>
      </c>
      <c r="W528" s="1" t="str">
        <f>_xlfn.XLOOKUP(D528,Dictonary!$D$2:$D$12,Dictonary!$E$2:$E$12)</f>
        <v>education</v>
      </c>
      <c r="X528" s="1" t="str">
        <f>_xlfn.XLOOKUP(F528,Dictonary!$G$2:$G$6,Dictonary!$H$2:$H$6)</f>
        <v>Up to 500</v>
      </c>
      <c r="Y528" s="1" t="str">
        <f>_xlfn.XLOOKUP(I528,Dictonary!$J$2:$J$6,Dictonary!$K$2:$K$6)</f>
        <v>female : divorced/separated/married</v>
      </c>
      <c r="Z528" s="1" t="str">
        <f>_xlfn.XLOOKUP(Q528,Dictonary!$M$2:$M$5,Dictonary!$N$2:$N$5)</f>
        <v>skilled employee / official</v>
      </c>
      <c r="AA528" s="1" t="str">
        <f>_xlfn.XLOOKUP(O528,Dictonary!$P$2:$P$4,Dictonary!$Q$2:$Q$4)</f>
        <v>own</v>
      </c>
    </row>
    <row r="529" spans="1:27" x14ac:dyDescent="0.3">
      <c r="A529" s="1" t="s">
        <v>42</v>
      </c>
      <c r="B529">
        <v>4</v>
      </c>
      <c r="C529" s="1" t="s">
        <v>22</v>
      </c>
      <c r="D529" s="1" t="s">
        <v>23</v>
      </c>
      <c r="E529">
        <v>1503</v>
      </c>
      <c r="F529" s="1" t="s">
        <v>37</v>
      </c>
      <c r="G529" s="1" t="s">
        <v>44</v>
      </c>
      <c r="H529">
        <v>2</v>
      </c>
      <c r="I529" s="1" t="s">
        <v>26</v>
      </c>
      <c r="J529" s="1" t="s">
        <v>27</v>
      </c>
      <c r="K529">
        <v>1</v>
      </c>
      <c r="L529" s="1" t="s">
        <v>28</v>
      </c>
      <c r="M529">
        <v>42</v>
      </c>
      <c r="N529" s="1" t="s">
        <v>29</v>
      </c>
      <c r="O529" s="1" t="s">
        <v>30</v>
      </c>
      <c r="P529">
        <v>2</v>
      </c>
      <c r="Q529" s="1" t="s">
        <v>45</v>
      </c>
      <c r="R529">
        <v>2</v>
      </c>
      <c r="S529" s="1" t="s">
        <v>40</v>
      </c>
      <c r="T529" s="1" t="s">
        <v>33</v>
      </c>
      <c r="U529" s="1" t="s">
        <v>34</v>
      </c>
      <c r="V529" s="1" t="str">
        <f>_xlfn.XLOOKUP(A529,Dictonary!$A$2:$A$5,Dictonary!$B$2:$B$5)</f>
        <v>No information</v>
      </c>
      <c r="W529" s="1" t="str">
        <f>_xlfn.XLOOKUP(D529,Dictonary!$D$2:$D$12,Dictonary!$E$2:$E$12)</f>
        <v>radio/television</v>
      </c>
      <c r="X529" s="1" t="str">
        <f>_xlfn.XLOOKUP(F529,Dictonary!$G$2:$G$6,Dictonary!$H$2:$H$6)</f>
        <v>Less 100</v>
      </c>
      <c r="Y529" s="1" t="str">
        <f>_xlfn.XLOOKUP(I529,Dictonary!$J$2:$J$6,Dictonary!$K$2:$K$6)</f>
        <v>male : single</v>
      </c>
      <c r="Z529" s="1" t="str">
        <f>_xlfn.XLOOKUP(Q529,Dictonary!$M$2:$M$5,Dictonary!$N$2:$N$5)</f>
        <v>unskilled - resident</v>
      </c>
      <c r="AA529" s="1" t="str">
        <f>_xlfn.XLOOKUP(O529,Dictonary!$P$2:$P$4,Dictonary!$Q$2:$Q$4)</f>
        <v>own</v>
      </c>
    </row>
    <row r="530" spans="1:27" x14ac:dyDescent="0.3">
      <c r="A530" s="1" t="s">
        <v>21</v>
      </c>
      <c r="B530">
        <v>36</v>
      </c>
      <c r="C530" s="1" t="s">
        <v>36</v>
      </c>
      <c r="D530" s="1" t="s">
        <v>23</v>
      </c>
      <c r="E530">
        <v>2302</v>
      </c>
      <c r="F530" s="1" t="s">
        <v>37</v>
      </c>
      <c r="G530" s="1" t="s">
        <v>38</v>
      </c>
      <c r="H530">
        <v>4</v>
      </c>
      <c r="I530" s="1" t="s">
        <v>59</v>
      </c>
      <c r="J530" s="1" t="s">
        <v>27</v>
      </c>
      <c r="K530">
        <v>4</v>
      </c>
      <c r="L530" s="1" t="s">
        <v>55</v>
      </c>
      <c r="M530">
        <v>31</v>
      </c>
      <c r="N530" s="1" t="s">
        <v>29</v>
      </c>
      <c r="O530" s="1" t="s">
        <v>56</v>
      </c>
      <c r="P530">
        <v>1</v>
      </c>
      <c r="Q530" s="1" t="s">
        <v>31</v>
      </c>
      <c r="R530">
        <v>1</v>
      </c>
      <c r="S530" s="1" t="s">
        <v>40</v>
      </c>
      <c r="T530" s="1" t="s">
        <v>33</v>
      </c>
      <c r="U530" s="1" t="s">
        <v>41</v>
      </c>
      <c r="V530" s="1" t="str">
        <f>_xlfn.XLOOKUP(A530,Dictonary!$A$2:$A$5,Dictonary!$B$2:$B$5)</f>
        <v>Negative balance</v>
      </c>
      <c r="W530" s="1" t="str">
        <f>_xlfn.XLOOKUP(D530,Dictonary!$D$2:$D$12,Dictonary!$E$2:$E$12)</f>
        <v>radio/television</v>
      </c>
      <c r="X530" s="1" t="str">
        <f>_xlfn.XLOOKUP(F530,Dictonary!$G$2:$G$6,Dictonary!$H$2:$H$6)</f>
        <v>Less 100</v>
      </c>
      <c r="Y530" s="1" t="str">
        <f>_xlfn.XLOOKUP(I530,Dictonary!$J$2:$J$6,Dictonary!$K$2:$K$6)</f>
        <v>male : divorced/separated</v>
      </c>
      <c r="Z530" s="1" t="str">
        <f>_xlfn.XLOOKUP(Q530,Dictonary!$M$2:$M$5,Dictonary!$N$2:$N$5)</f>
        <v>skilled employee / official</v>
      </c>
      <c r="AA530" s="1" t="str">
        <f>_xlfn.XLOOKUP(O530,Dictonary!$P$2:$P$4,Dictonary!$Q$2:$Q$4)</f>
        <v>rent</v>
      </c>
    </row>
    <row r="531" spans="1:27" x14ac:dyDescent="0.3">
      <c r="A531" s="1" t="s">
        <v>21</v>
      </c>
      <c r="B531">
        <v>6</v>
      </c>
      <c r="C531" s="1" t="s">
        <v>36</v>
      </c>
      <c r="D531" s="1" t="s">
        <v>51</v>
      </c>
      <c r="E531">
        <v>662</v>
      </c>
      <c r="F531" s="1" t="s">
        <v>37</v>
      </c>
      <c r="G531" s="1" t="s">
        <v>62</v>
      </c>
      <c r="H531">
        <v>3</v>
      </c>
      <c r="I531" s="1" t="s">
        <v>26</v>
      </c>
      <c r="J531" s="1" t="s">
        <v>27</v>
      </c>
      <c r="K531">
        <v>4</v>
      </c>
      <c r="L531" s="1" t="s">
        <v>28</v>
      </c>
      <c r="M531">
        <v>41</v>
      </c>
      <c r="N531" s="1" t="s">
        <v>29</v>
      </c>
      <c r="O531" s="1" t="s">
        <v>30</v>
      </c>
      <c r="P531">
        <v>1</v>
      </c>
      <c r="Q531" s="1" t="s">
        <v>45</v>
      </c>
      <c r="R531">
        <v>2</v>
      </c>
      <c r="S531" s="1" t="s">
        <v>32</v>
      </c>
      <c r="T531" s="1" t="s">
        <v>33</v>
      </c>
      <c r="U531" s="1" t="s">
        <v>34</v>
      </c>
      <c r="V531" s="1" t="str">
        <f>_xlfn.XLOOKUP(A531,Dictonary!$A$2:$A$5,Dictonary!$B$2:$B$5)</f>
        <v>Negative balance</v>
      </c>
      <c r="W531" s="1" t="str">
        <f>_xlfn.XLOOKUP(D531,Dictonary!$D$2:$D$12,Dictonary!$E$2:$E$12)</f>
        <v>car (new)</v>
      </c>
      <c r="X531" s="1" t="str">
        <f>_xlfn.XLOOKUP(F531,Dictonary!$G$2:$G$6,Dictonary!$H$2:$H$6)</f>
        <v>Less 100</v>
      </c>
      <c r="Y531" s="1" t="str">
        <f>_xlfn.XLOOKUP(I531,Dictonary!$J$2:$J$6,Dictonary!$K$2:$K$6)</f>
        <v>male : single</v>
      </c>
      <c r="Z531" s="1" t="str">
        <f>_xlfn.XLOOKUP(Q531,Dictonary!$M$2:$M$5,Dictonary!$N$2:$N$5)</f>
        <v>unskilled - resident</v>
      </c>
      <c r="AA531" s="1" t="str">
        <f>_xlfn.XLOOKUP(O531,Dictonary!$P$2:$P$4,Dictonary!$Q$2:$Q$4)</f>
        <v>own</v>
      </c>
    </row>
    <row r="532" spans="1:27" x14ac:dyDescent="0.3">
      <c r="A532" s="1" t="s">
        <v>35</v>
      </c>
      <c r="B532">
        <v>36</v>
      </c>
      <c r="C532" s="1" t="s">
        <v>36</v>
      </c>
      <c r="D532" s="1" t="s">
        <v>43</v>
      </c>
      <c r="E532">
        <v>2273</v>
      </c>
      <c r="F532" s="1" t="s">
        <v>37</v>
      </c>
      <c r="G532" s="1" t="s">
        <v>44</v>
      </c>
      <c r="H532">
        <v>3</v>
      </c>
      <c r="I532" s="1" t="s">
        <v>26</v>
      </c>
      <c r="J532" s="1" t="s">
        <v>27</v>
      </c>
      <c r="K532">
        <v>1</v>
      </c>
      <c r="L532" s="1" t="s">
        <v>55</v>
      </c>
      <c r="M532">
        <v>32</v>
      </c>
      <c r="N532" s="1" t="s">
        <v>29</v>
      </c>
      <c r="O532" s="1" t="s">
        <v>30</v>
      </c>
      <c r="P532">
        <v>2</v>
      </c>
      <c r="Q532" s="1" t="s">
        <v>31</v>
      </c>
      <c r="R532">
        <v>2</v>
      </c>
      <c r="S532" s="1" t="s">
        <v>40</v>
      </c>
      <c r="T532" s="1" t="s">
        <v>33</v>
      </c>
      <c r="U532" s="1" t="s">
        <v>34</v>
      </c>
      <c r="V532" s="1" t="str">
        <f>_xlfn.XLOOKUP(A532,Dictonary!$A$2:$A$5,Dictonary!$B$2:$B$5)</f>
        <v>Low balance</v>
      </c>
      <c r="W532" s="1" t="str">
        <f>_xlfn.XLOOKUP(D532,Dictonary!$D$2:$D$12,Dictonary!$E$2:$E$12)</f>
        <v>education</v>
      </c>
      <c r="X532" s="1" t="str">
        <f>_xlfn.XLOOKUP(F532,Dictonary!$G$2:$G$6,Dictonary!$H$2:$H$6)</f>
        <v>Less 100</v>
      </c>
      <c r="Y532" s="1" t="str">
        <f>_xlfn.XLOOKUP(I532,Dictonary!$J$2:$J$6,Dictonary!$K$2:$K$6)</f>
        <v>male : single</v>
      </c>
      <c r="Z532" s="1" t="str">
        <f>_xlfn.XLOOKUP(Q532,Dictonary!$M$2:$M$5,Dictonary!$N$2:$N$5)</f>
        <v>skilled employee / official</v>
      </c>
      <c r="AA532" s="1" t="str">
        <f>_xlfn.XLOOKUP(O532,Dictonary!$P$2:$P$4,Dictonary!$Q$2:$Q$4)</f>
        <v>own</v>
      </c>
    </row>
    <row r="533" spans="1:27" x14ac:dyDescent="0.3">
      <c r="A533" s="1" t="s">
        <v>35</v>
      </c>
      <c r="B533">
        <v>15</v>
      </c>
      <c r="C533" s="1" t="s">
        <v>36</v>
      </c>
      <c r="D533" s="1" t="s">
        <v>51</v>
      </c>
      <c r="E533">
        <v>2631</v>
      </c>
      <c r="F533" s="1" t="s">
        <v>64</v>
      </c>
      <c r="G533" s="1" t="s">
        <v>38</v>
      </c>
      <c r="H533">
        <v>2</v>
      </c>
      <c r="I533" s="1" t="s">
        <v>39</v>
      </c>
      <c r="J533" s="1" t="s">
        <v>27</v>
      </c>
      <c r="K533">
        <v>4</v>
      </c>
      <c r="L533" s="1" t="s">
        <v>55</v>
      </c>
      <c r="M533">
        <v>28</v>
      </c>
      <c r="N533" s="1" t="s">
        <v>29</v>
      </c>
      <c r="O533" s="1" t="s">
        <v>56</v>
      </c>
      <c r="P533">
        <v>2</v>
      </c>
      <c r="Q533" s="1" t="s">
        <v>31</v>
      </c>
      <c r="R533">
        <v>1</v>
      </c>
      <c r="S533" s="1" t="s">
        <v>32</v>
      </c>
      <c r="T533" s="1" t="s">
        <v>33</v>
      </c>
      <c r="U533" s="1" t="s">
        <v>41</v>
      </c>
      <c r="V533" s="1" t="str">
        <f>_xlfn.XLOOKUP(A533,Dictonary!$A$2:$A$5,Dictonary!$B$2:$B$5)</f>
        <v>Low balance</v>
      </c>
      <c r="W533" s="1" t="str">
        <f>_xlfn.XLOOKUP(D533,Dictonary!$D$2:$D$12,Dictonary!$E$2:$E$12)</f>
        <v>car (new)</v>
      </c>
      <c r="X533" s="1" t="str">
        <f>_xlfn.XLOOKUP(F533,Dictonary!$G$2:$G$6,Dictonary!$H$2:$H$6)</f>
        <v>Up to 500</v>
      </c>
      <c r="Y533" s="1" t="str">
        <f>_xlfn.XLOOKUP(I533,Dictonary!$J$2:$J$6,Dictonary!$K$2:$K$6)</f>
        <v>female : divorced/separated/married</v>
      </c>
      <c r="Z533" s="1" t="str">
        <f>_xlfn.XLOOKUP(Q533,Dictonary!$M$2:$M$5,Dictonary!$N$2:$N$5)</f>
        <v>skilled employee / official</v>
      </c>
      <c r="AA533" s="1" t="str">
        <f>_xlfn.XLOOKUP(O533,Dictonary!$P$2:$P$4,Dictonary!$Q$2:$Q$4)</f>
        <v>rent</v>
      </c>
    </row>
    <row r="534" spans="1:27" x14ac:dyDescent="0.3">
      <c r="A534" s="1" t="s">
        <v>42</v>
      </c>
      <c r="B534">
        <v>12</v>
      </c>
      <c r="C534" s="1" t="s">
        <v>50</v>
      </c>
      <c r="D534" s="1" t="s">
        <v>54</v>
      </c>
      <c r="E534">
        <v>1503</v>
      </c>
      <c r="F534" s="1" t="s">
        <v>37</v>
      </c>
      <c r="G534" s="1" t="s">
        <v>38</v>
      </c>
      <c r="H534">
        <v>4</v>
      </c>
      <c r="I534" s="1" t="s">
        <v>61</v>
      </c>
      <c r="J534" s="1" t="s">
        <v>27</v>
      </c>
      <c r="K534">
        <v>4</v>
      </c>
      <c r="L534" s="1" t="s">
        <v>28</v>
      </c>
      <c r="M534">
        <v>41</v>
      </c>
      <c r="N534" s="1" t="s">
        <v>29</v>
      </c>
      <c r="O534" s="1" t="s">
        <v>56</v>
      </c>
      <c r="P534">
        <v>1</v>
      </c>
      <c r="Q534" s="1" t="s">
        <v>31</v>
      </c>
      <c r="R534">
        <v>1</v>
      </c>
      <c r="S534" s="1" t="s">
        <v>40</v>
      </c>
      <c r="T534" s="1" t="s">
        <v>33</v>
      </c>
      <c r="U534" s="1" t="s">
        <v>34</v>
      </c>
      <c r="V534" s="1" t="str">
        <f>_xlfn.XLOOKUP(A534,Dictonary!$A$2:$A$5,Dictonary!$B$2:$B$5)</f>
        <v>No information</v>
      </c>
      <c r="W534" s="1" t="str">
        <f>_xlfn.XLOOKUP(D534,Dictonary!$D$2:$D$12,Dictonary!$E$2:$E$12)</f>
        <v>car (used)</v>
      </c>
      <c r="X534" s="1" t="str">
        <f>_xlfn.XLOOKUP(F534,Dictonary!$G$2:$G$6,Dictonary!$H$2:$H$6)</f>
        <v>Less 100</v>
      </c>
      <c r="Y534" s="1" t="str">
        <f>_xlfn.XLOOKUP(I534,Dictonary!$J$2:$J$6,Dictonary!$K$2:$K$6)</f>
        <v>male : married/widowed</v>
      </c>
      <c r="Z534" s="1" t="str">
        <f>_xlfn.XLOOKUP(Q534,Dictonary!$M$2:$M$5,Dictonary!$N$2:$N$5)</f>
        <v>skilled employee / official</v>
      </c>
      <c r="AA534" s="1" t="str">
        <f>_xlfn.XLOOKUP(O534,Dictonary!$P$2:$P$4,Dictonary!$Q$2:$Q$4)</f>
        <v>rent</v>
      </c>
    </row>
    <row r="535" spans="1:27" x14ac:dyDescent="0.3">
      <c r="A535" s="1" t="s">
        <v>42</v>
      </c>
      <c r="B535">
        <v>24</v>
      </c>
      <c r="C535" s="1" t="s">
        <v>36</v>
      </c>
      <c r="D535" s="1" t="s">
        <v>23</v>
      </c>
      <c r="E535">
        <v>1311</v>
      </c>
      <c r="F535" s="1" t="s">
        <v>64</v>
      </c>
      <c r="G535" s="1" t="s">
        <v>44</v>
      </c>
      <c r="H535">
        <v>4</v>
      </c>
      <c r="I535" s="1" t="s">
        <v>61</v>
      </c>
      <c r="J535" s="1" t="s">
        <v>27</v>
      </c>
      <c r="K535">
        <v>3</v>
      </c>
      <c r="L535" s="1" t="s">
        <v>48</v>
      </c>
      <c r="M535">
        <v>26</v>
      </c>
      <c r="N535" s="1" t="s">
        <v>29</v>
      </c>
      <c r="O535" s="1" t="s">
        <v>30</v>
      </c>
      <c r="P535">
        <v>1</v>
      </c>
      <c r="Q535" s="1" t="s">
        <v>31</v>
      </c>
      <c r="R535">
        <v>1</v>
      </c>
      <c r="S535" s="1" t="s">
        <v>32</v>
      </c>
      <c r="T535" s="1" t="s">
        <v>33</v>
      </c>
      <c r="U535" s="1" t="s">
        <v>34</v>
      </c>
      <c r="V535" s="1" t="str">
        <f>_xlfn.XLOOKUP(A535,Dictonary!$A$2:$A$5,Dictonary!$B$2:$B$5)</f>
        <v>No information</v>
      </c>
      <c r="W535" s="1" t="str">
        <f>_xlfn.XLOOKUP(D535,Dictonary!$D$2:$D$12,Dictonary!$E$2:$E$12)</f>
        <v>radio/television</v>
      </c>
      <c r="X535" s="1" t="str">
        <f>_xlfn.XLOOKUP(F535,Dictonary!$G$2:$G$6,Dictonary!$H$2:$H$6)</f>
        <v>Up to 500</v>
      </c>
      <c r="Y535" s="1" t="str">
        <f>_xlfn.XLOOKUP(I535,Dictonary!$J$2:$J$6,Dictonary!$K$2:$K$6)</f>
        <v>male : married/widowed</v>
      </c>
      <c r="Z535" s="1" t="str">
        <f>_xlfn.XLOOKUP(Q535,Dictonary!$M$2:$M$5,Dictonary!$N$2:$N$5)</f>
        <v>skilled employee / official</v>
      </c>
      <c r="AA535" s="1" t="str">
        <f>_xlfn.XLOOKUP(O535,Dictonary!$P$2:$P$4,Dictonary!$Q$2:$Q$4)</f>
        <v>own</v>
      </c>
    </row>
    <row r="536" spans="1:27" x14ac:dyDescent="0.3">
      <c r="A536" s="1" t="s">
        <v>42</v>
      </c>
      <c r="B536">
        <v>24</v>
      </c>
      <c r="C536" s="1" t="s">
        <v>36</v>
      </c>
      <c r="D536" s="1" t="s">
        <v>23</v>
      </c>
      <c r="E536">
        <v>3105</v>
      </c>
      <c r="F536" s="1" t="s">
        <v>24</v>
      </c>
      <c r="G536" s="1" t="s">
        <v>62</v>
      </c>
      <c r="H536">
        <v>4</v>
      </c>
      <c r="I536" s="1" t="s">
        <v>26</v>
      </c>
      <c r="J536" s="1" t="s">
        <v>27</v>
      </c>
      <c r="K536">
        <v>2</v>
      </c>
      <c r="L536" s="1" t="s">
        <v>55</v>
      </c>
      <c r="M536">
        <v>25</v>
      </c>
      <c r="N536" s="1" t="s">
        <v>29</v>
      </c>
      <c r="O536" s="1" t="s">
        <v>30</v>
      </c>
      <c r="P536">
        <v>2</v>
      </c>
      <c r="Q536" s="1" t="s">
        <v>31</v>
      </c>
      <c r="R536">
        <v>1</v>
      </c>
      <c r="S536" s="1" t="s">
        <v>40</v>
      </c>
      <c r="T536" s="1" t="s">
        <v>33</v>
      </c>
      <c r="U536" s="1" t="s">
        <v>34</v>
      </c>
      <c r="V536" s="1" t="str">
        <f>_xlfn.XLOOKUP(A536,Dictonary!$A$2:$A$5,Dictonary!$B$2:$B$5)</f>
        <v>No information</v>
      </c>
      <c r="W536" s="1" t="str">
        <f>_xlfn.XLOOKUP(D536,Dictonary!$D$2:$D$12,Dictonary!$E$2:$E$12)</f>
        <v>radio/television</v>
      </c>
      <c r="X536" s="1" t="str">
        <f>_xlfn.XLOOKUP(F536,Dictonary!$G$2:$G$6,Dictonary!$H$2:$H$6)</f>
        <v>No information</v>
      </c>
      <c r="Y536" s="1" t="str">
        <f>_xlfn.XLOOKUP(I536,Dictonary!$J$2:$J$6,Dictonary!$K$2:$K$6)</f>
        <v>male : single</v>
      </c>
      <c r="Z536" s="1" t="str">
        <f>_xlfn.XLOOKUP(Q536,Dictonary!$M$2:$M$5,Dictonary!$N$2:$N$5)</f>
        <v>skilled employee / official</v>
      </c>
      <c r="AA536" s="1" t="str">
        <f>_xlfn.XLOOKUP(O536,Dictonary!$P$2:$P$4,Dictonary!$Q$2:$Q$4)</f>
        <v>own</v>
      </c>
    </row>
    <row r="537" spans="1:27" x14ac:dyDescent="0.3">
      <c r="A537" s="1" t="s">
        <v>68</v>
      </c>
      <c r="B537">
        <v>21</v>
      </c>
      <c r="C537" s="1" t="s">
        <v>22</v>
      </c>
      <c r="D537" s="1" t="s">
        <v>43</v>
      </c>
      <c r="E537">
        <v>2319</v>
      </c>
      <c r="F537" s="1" t="s">
        <v>37</v>
      </c>
      <c r="G537" s="1" t="s">
        <v>62</v>
      </c>
      <c r="H537">
        <v>2</v>
      </c>
      <c r="I537" s="1" t="s">
        <v>59</v>
      </c>
      <c r="J537" s="1" t="s">
        <v>27</v>
      </c>
      <c r="K537">
        <v>1</v>
      </c>
      <c r="L537" s="1" t="s">
        <v>55</v>
      </c>
      <c r="M537">
        <v>33</v>
      </c>
      <c r="N537" s="1" t="s">
        <v>29</v>
      </c>
      <c r="O537" s="1" t="s">
        <v>56</v>
      </c>
      <c r="P537">
        <v>1</v>
      </c>
      <c r="Q537" s="1" t="s">
        <v>31</v>
      </c>
      <c r="R537">
        <v>1</v>
      </c>
      <c r="S537" s="1" t="s">
        <v>40</v>
      </c>
      <c r="T537" s="1" t="s">
        <v>33</v>
      </c>
      <c r="U537" s="1" t="s">
        <v>41</v>
      </c>
      <c r="V537" s="1" t="str">
        <f>_xlfn.XLOOKUP(A537,Dictonary!$A$2:$A$5,Dictonary!$B$2:$B$5)</f>
        <v>Normal balance</v>
      </c>
      <c r="W537" s="1" t="str">
        <f>_xlfn.XLOOKUP(D537,Dictonary!$D$2:$D$12,Dictonary!$E$2:$E$12)</f>
        <v>education</v>
      </c>
      <c r="X537" s="1" t="str">
        <f>_xlfn.XLOOKUP(F537,Dictonary!$G$2:$G$6,Dictonary!$H$2:$H$6)</f>
        <v>Less 100</v>
      </c>
      <c r="Y537" s="1" t="str">
        <f>_xlfn.XLOOKUP(I537,Dictonary!$J$2:$J$6,Dictonary!$K$2:$K$6)</f>
        <v>male : divorced/separated</v>
      </c>
      <c r="Z537" s="1" t="str">
        <f>_xlfn.XLOOKUP(Q537,Dictonary!$M$2:$M$5,Dictonary!$N$2:$N$5)</f>
        <v>skilled employee / official</v>
      </c>
      <c r="AA537" s="1" t="str">
        <f>_xlfn.XLOOKUP(O537,Dictonary!$P$2:$P$4,Dictonary!$Q$2:$Q$4)</f>
        <v>rent</v>
      </c>
    </row>
    <row r="538" spans="1:27" x14ac:dyDescent="0.3">
      <c r="A538" s="1" t="s">
        <v>21</v>
      </c>
      <c r="B538">
        <v>6</v>
      </c>
      <c r="C538" s="1" t="s">
        <v>36</v>
      </c>
      <c r="D538" s="1" t="s">
        <v>51</v>
      </c>
      <c r="E538">
        <v>1374</v>
      </c>
      <c r="F538" s="1" t="s">
        <v>24</v>
      </c>
      <c r="G538" s="1" t="s">
        <v>60</v>
      </c>
      <c r="H538">
        <v>4</v>
      </c>
      <c r="I538" s="1" t="s">
        <v>39</v>
      </c>
      <c r="J538" s="1" t="s">
        <v>27</v>
      </c>
      <c r="K538">
        <v>3</v>
      </c>
      <c r="L538" s="1" t="s">
        <v>48</v>
      </c>
      <c r="M538">
        <v>75</v>
      </c>
      <c r="N538" s="1" t="s">
        <v>29</v>
      </c>
      <c r="O538" s="1" t="s">
        <v>30</v>
      </c>
      <c r="P538">
        <v>1</v>
      </c>
      <c r="Q538" s="1" t="s">
        <v>57</v>
      </c>
      <c r="R538">
        <v>1</v>
      </c>
      <c r="S538" s="1" t="s">
        <v>32</v>
      </c>
      <c r="T538" s="1" t="s">
        <v>33</v>
      </c>
      <c r="U538" s="1" t="s">
        <v>34</v>
      </c>
      <c r="V538" s="1" t="str">
        <f>_xlfn.XLOOKUP(A538,Dictonary!$A$2:$A$5,Dictonary!$B$2:$B$5)</f>
        <v>Negative balance</v>
      </c>
      <c r="W538" s="1" t="str">
        <f>_xlfn.XLOOKUP(D538,Dictonary!$D$2:$D$12,Dictonary!$E$2:$E$12)</f>
        <v>car (new)</v>
      </c>
      <c r="X538" s="1" t="str">
        <f>_xlfn.XLOOKUP(F538,Dictonary!$G$2:$G$6,Dictonary!$H$2:$H$6)</f>
        <v>No information</v>
      </c>
      <c r="Y538" s="1" t="str">
        <f>_xlfn.XLOOKUP(I538,Dictonary!$J$2:$J$6,Dictonary!$K$2:$K$6)</f>
        <v>female : divorced/separated/married</v>
      </c>
      <c r="Z538" s="1" t="str">
        <f>_xlfn.XLOOKUP(Q538,Dictonary!$M$2:$M$5,Dictonary!$N$2:$N$5)</f>
        <v>management/ self-employed/ highly qualified employee/ officer</v>
      </c>
      <c r="AA538" s="1" t="str">
        <f>_xlfn.XLOOKUP(O538,Dictonary!$P$2:$P$4,Dictonary!$Q$2:$Q$4)</f>
        <v>own</v>
      </c>
    </row>
    <row r="539" spans="1:27" x14ac:dyDescent="0.3">
      <c r="A539" s="1" t="s">
        <v>35</v>
      </c>
      <c r="B539">
        <v>18</v>
      </c>
      <c r="C539" s="1" t="s">
        <v>22</v>
      </c>
      <c r="D539" s="1" t="s">
        <v>46</v>
      </c>
      <c r="E539">
        <v>3612</v>
      </c>
      <c r="F539" s="1" t="s">
        <v>37</v>
      </c>
      <c r="G539" s="1" t="s">
        <v>25</v>
      </c>
      <c r="H539">
        <v>3</v>
      </c>
      <c r="I539" s="1" t="s">
        <v>39</v>
      </c>
      <c r="J539" s="1" t="s">
        <v>27</v>
      </c>
      <c r="K539">
        <v>4</v>
      </c>
      <c r="L539" s="1" t="s">
        <v>48</v>
      </c>
      <c r="M539">
        <v>37</v>
      </c>
      <c r="N539" s="1" t="s">
        <v>29</v>
      </c>
      <c r="O539" s="1" t="s">
        <v>30</v>
      </c>
      <c r="P539">
        <v>1</v>
      </c>
      <c r="Q539" s="1" t="s">
        <v>31</v>
      </c>
      <c r="R539">
        <v>1</v>
      </c>
      <c r="S539" s="1" t="s">
        <v>32</v>
      </c>
      <c r="T539" s="1" t="s">
        <v>33</v>
      </c>
      <c r="U539" s="1" t="s">
        <v>34</v>
      </c>
      <c r="V539" s="1" t="str">
        <f>_xlfn.XLOOKUP(A539,Dictonary!$A$2:$A$5,Dictonary!$B$2:$B$5)</f>
        <v>Low balance</v>
      </c>
      <c r="W539" s="1" t="str">
        <f>_xlfn.XLOOKUP(D539,Dictonary!$D$2:$D$12,Dictonary!$E$2:$E$12)</f>
        <v>furniture/equipment</v>
      </c>
      <c r="X539" s="1" t="str">
        <f>_xlfn.XLOOKUP(F539,Dictonary!$G$2:$G$6,Dictonary!$H$2:$H$6)</f>
        <v>Less 100</v>
      </c>
      <c r="Y539" s="1" t="str">
        <f>_xlfn.XLOOKUP(I539,Dictonary!$J$2:$J$6,Dictonary!$K$2:$K$6)</f>
        <v>female : divorced/separated/married</v>
      </c>
      <c r="Z539" s="1" t="str">
        <f>_xlfn.XLOOKUP(Q539,Dictonary!$M$2:$M$5,Dictonary!$N$2:$N$5)</f>
        <v>skilled employee / official</v>
      </c>
      <c r="AA539" s="1" t="str">
        <f>_xlfn.XLOOKUP(O539,Dictonary!$P$2:$P$4,Dictonary!$Q$2:$Q$4)</f>
        <v>own</v>
      </c>
    </row>
    <row r="540" spans="1:27" x14ac:dyDescent="0.3">
      <c r="A540" s="1" t="s">
        <v>21</v>
      </c>
      <c r="B540">
        <v>48</v>
      </c>
      <c r="C540" s="1" t="s">
        <v>36</v>
      </c>
      <c r="D540" s="1" t="s">
        <v>51</v>
      </c>
      <c r="E540">
        <v>7763</v>
      </c>
      <c r="F540" s="1" t="s">
        <v>37</v>
      </c>
      <c r="G540" s="1" t="s">
        <v>25</v>
      </c>
      <c r="H540">
        <v>4</v>
      </c>
      <c r="I540" s="1" t="s">
        <v>26</v>
      </c>
      <c r="J540" s="1" t="s">
        <v>27</v>
      </c>
      <c r="K540">
        <v>4</v>
      </c>
      <c r="L540" s="1" t="s">
        <v>52</v>
      </c>
      <c r="M540">
        <v>42</v>
      </c>
      <c r="N540" s="1" t="s">
        <v>66</v>
      </c>
      <c r="O540" s="1" t="s">
        <v>49</v>
      </c>
      <c r="P540">
        <v>1</v>
      </c>
      <c r="Q540" s="1" t="s">
        <v>57</v>
      </c>
      <c r="R540">
        <v>1</v>
      </c>
      <c r="S540" s="1" t="s">
        <v>40</v>
      </c>
      <c r="T540" s="1" t="s">
        <v>33</v>
      </c>
      <c r="U540" s="1" t="s">
        <v>41</v>
      </c>
      <c r="V540" s="1" t="str">
        <f>_xlfn.XLOOKUP(A540,Dictonary!$A$2:$A$5,Dictonary!$B$2:$B$5)</f>
        <v>Negative balance</v>
      </c>
      <c r="W540" s="1" t="str">
        <f>_xlfn.XLOOKUP(D540,Dictonary!$D$2:$D$12,Dictonary!$E$2:$E$12)</f>
        <v>car (new)</v>
      </c>
      <c r="X540" s="1" t="str">
        <f>_xlfn.XLOOKUP(F540,Dictonary!$G$2:$G$6,Dictonary!$H$2:$H$6)</f>
        <v>Less 100</v>
      </c>
      <c r="Y540" s="1" t="str">
        <f>_xlfn.XLOOKUP(I540,Dictonary!$J$2:$J$6,Dictonary!$K$2:$K$6)</f>
        <v>male : single</v>
      </c>
      <c r="Z540" s="1" t="str">
        <f>_xlfn.XLOOKUP(Q540,Dictonary!$M$2:$M$5,Dictonary!$N$2:$N$5)</f>
        <v>management/ self-employed/ highly qualified employee/ officer</v>
      </c>
      <c r="AA540" s="1" t="str">
        <f>_xlfn.XLOOKUP(O540,Dictonary!$P$2:$P$4,Dictonary!$Q$2:$Q$4)</f>
        <v>for free</v>
      </c>
    </row>
    <row r="541" spans="1:27" x14ac:dyDescent="0.3">
      <c r="A541" s="1" t="s">
        <v>68</v>
      </c>
      <c r="B541">
        <v>18</v>
      </c>
      <c r="C541" s="1" t="s">
        <v>36</v>
      </c>
      <c r="D541" s="1" t="s">
        <v>46</v>
      </c>
      <c r="E541">
        <v>3049</v>
      </c>
      <c r="F541" s="1" t="s">
        <v>37</v>
      </c>
      <c r="G541" s="1" t="s">
        <v>62</v>
      </c>
      <c r="H541">
        <v>1</v>
      </c>
      <c r="I541" s="1" t="s">
        <v>39</v>
      </c>
      <c r="J541" s="1" t="s">
        <v>27</v>
      </c>
      <c r="K541">
        <v>1</v>
      </c>
      <c r="L541" s="1" t="s">
        <v>48</v>
      </c>
      <c r="M541">
        <v>45</v>
      </c>
      <c r="N541" s="1" t="s">
        <v>70</v>
      </c>
      <c r="O541" s="1" t="s">
        <v>30</v>
      </c>
      <c r="P541">
        <v>1</v>
      </c>
      <c r="Q541" s="1" t="s">
        <v>45</v>
      </c>
      <c r="R541">
        <v>1</v>
      </c>
      <c r="S541" s="1" t="s">
        <v>40</v>
      </c>
      <c r="T541" s="1" t="s">
        <v>33</v>
      </c>
      <c r="U541" s="1" t="s">
        <v>34</v>
      </c>
      <c r="V541" s="1" t="str">
        <f>_xlfn.XLOOKUP(A541,Dictonary!$A$2:$A$5,Dictonary!$B$2:$B$5)</f>
        <v>Normal balance</v>
      </c>
      <c r="W541" s="1" t="str">
        <f>_xlfn.XLOOKUP(D541,Dictonary!$D$2:$D$12,Dictonary!$E$2:$E$12)</f>
        <v>furniture/equipment</v>
      </c>
      <c r="X541" s="1" t="str">
        <f>_xlfn.XLOOKUP(F541,Dictonary!$G$2:$G$6,Dictonary!$H$2:$H$6)</f>
        <v>Less 100</v>
      </c>
      <c r="Y541" s="1" t="str">
        <f>_xlfn.XLOOKUP(I541,Dictonary!$J$2:$J$6,Dictonary!$K$2:$K$6)</f>
        <v>female : divorced/separated/married</v>
      </c>
      <c r="Z541" s="1" t="str">
        <f>_xlfn.XLOOKUP(Q541,Dictonary!$M$2:$M$5,Dictonary!$N$2:$N$5)</f>
        <v>unskilled - resident</v>
      </c>
      <c r="AA541" s="1" t="str">
        <f>_xlfn.XLOOKUP(O541,Dictonary!$P$2:$P$4,Dictonary!$Q$2:$Q$4)</f>
        <v>own</v>
      </c>
    </row>
    <row r="542" spans="1:27" x14ac:dyDescent="0.3">
      <c r="A542" s="1" t="s">
        <v>35</v>
      </c>
      <c r="B542">
        <v>12</v>
      </c>
      <c r="C542" s="1" t="s">
        <v>36</v>
      </c>
      <c r="D542" s="1" t="s">
        <v>23</v>
      </c>
      <c r="E542">
        <v>1534</v>
      </c>
      <c r="F542" s="1" t="s">
        <v>37</v>
      </c>
      <c r="G542" s="1" t="s">
        <v>62</v>
      </c>
      <c r="H542">
        <v>1</v>
      </c>
      <c r="I542" s="1" t="s">
        <v>61</v>
      </c>
      <c r="J542" s="1" t="s">
        <v>27</v>
      </c>
      <c r="K542">
        <v>1</v>
      </c>
      <c r="L542" s="1" t="s">
        <v>28</v>
      </c>
      <c r="M542">
        <v>23</v>
      </c>
      <c r="N542" s="1" t="s">
        <v>29</v>
      </c>
      <c r="O542" s="1" t="s">
        <v>56</v>
      </c>
      <c r="P542">
        <v>1</v>
      </c>
      <c r="Q542" s="1" t="s">
        <v>31</v>
      </c>
      <c r="R542">
        <v>1</v>
      </c>
      <c r="S542" s="1" t="s">
        <v>40</v>
      </c>
      <c r="T542" s="1" t="s">
        <v>33</v>
      </c>
      <c r="U542" s="1" t="s">
        <v>41</v>
      </c>
      <c r="V542" s="1" t="str">
        <f>_xlfn.XLOOKUP(A542,Dictonary!$A$2:$A$5,Dictonary!$B$2:$B$5)</f>
        <v>Low balance</v>
      </c>
      <c r="W542" s="1" t="str">
        <f>_xlfn.XLOOKUP(D542,Dictonary!$D$2:$D$12,Dictonary!$E$2:$E$12)</f>
        <v>radio/television</v>
      </c>
      <c r="X542" s="1" t="str">
        <f>_xlfn.XLOOKUP(F542,Dictonary!$G$2:$G$6,Dictonary!$H$2:$H$6)</f>
        <v>Less 100</v>
      </c>
      <c r="Y542" s="1" t="str">
        <f>_xlfn.XLOOKUP(I542,Dictonary!$J$2:$J$6,Dictonary!$K$2:$K$6)</f>
        <v>male : married/widowed</v>
      </c>
      <c r="Z542" s="1" t="str">
        <f>_xlfn.XLOOKUP(Q542,Dictonary!$M$2:$M$5,Dictonary!$N$2:$N$5)</f>
        <v>skilled employee / official</v>
      </c>
      <c r="AA542" s="1" t="str">
        <f>_xlfn.XLOOKUP(O542,Dictonary!$P$2:$P$4,Dictonary!$Q$2:$Q$4)</f>
        <v>rent</v>
      </c>
    </row>
    <row r="543" spans="1:27" x14ac:dyDescent="0.3">
      <c r="A543" s="1" t="s">
        <v>42</v>
      </c>
      <c r="B543">
        <v>24</v>
      </c>
      <c r="C543" s="1" t="s">
        <v>50</v>
      </c>
      <c r="D543" s="1" t="s">
        <v>51</v>
      </c>
      <c r="E543">
        <v>2032</v>
      </c>
      <c r="F543" s="1" t="s">
        <v>37</v>
      </c>
      <c r="G543" s="1" t="s">
        <v>25</v>
      </c>
      <c r="H543">
        <v>4</v>
      </c>
      <c r="I543" s="1" t="s">
        <v>26</v>
      </c>
      <c r="J543" s="1" t="s">
        <v>27</v>
      </c>
      <c r="K543">
        <v>4</v>
      </c>
      <c r="L543" s="1" t="s">
        <v>52</v>
      </c>
      <c r="M543">
        <v>60</v>
      </c>
      <c r="N543" s="1" t="s">
        <v>29</v>
      </c>
      <c r="O543" s="1" t="s">
        <v>49</v>
      </c>
      <c r="P543">
        <v>2</v>
      </c>
      <c r="Q543" s="1" t="s">
        <v>31</v>
      </c>
      <c r="R543">
        <v>1</v>
      </c>
      <c r="S543" s="1" t="s">
        <v>32</v>
      </c>
      <c r="T543" s="1" t="s">
        <v>33</v>
      </c>
      <c r="U543" s="1" t="s">
        <v>34</v>
      </c>
      <c r="V543" s="1" t="str">
        <f>_xlfn.XLOOKUP(A543,Dictonary!$A$2:$A$5,Dictonary!$B$2:$B$5)</f>
        <v>No information</v>
      </c>
      <c r="W543" s="1" t="str">
        <f>_xlfn.XLOOKUP(D543,Dictonary!$D$2:$D$12,Dictonary!$E$2:$E$12)</f>
        <v>car (new)</v>
      </c>
      <c r="X543" s="1" t="str">
        <f>_xlfn.XLOOKUP(F543,Dictonary!$G$2:$G$6,Dictonary!$H$2:$H$6)</f>
        <v>Less 100</v>
      </c>
      <c r="Y543" s="1" t="str">
        <f>_xlfn.XLOOKUP(I543,Dictonary!$J$2:$J$6,Dictonary!$K$2:$K$6)</f>
        <v>male : single</v>
      </c>
      <c r="Z543" s="1" t="str">
        <f>_xlfn.XLOOKUP(Q543,Dictonary!$M$2:$M$5,Dictonary!$N$2:$N$5)</f>
        <v>skilled employee / official</v>
      </c>
      <c r="AA543" s="1" t="str">
        <f>_xlfn.XLOOKUP(O543,Dictonary!$P$2:$P$4,Dictonary!$Q$2:$Q$4)</f>
        <v>for free</v>
      </c>
    </row>
    <row r="544" spans="1:27" x14ac:dyDescent="0.3">
      <c r="A544" s="1" t="s">
        <v>21</v>
      </c>
      <c r="B544">
        <v>30</v>
      </c>
      <c r="C544" s="1" t="s">
        <v>36</v>
      </c>
      <c r="D544" s="1" t="s">
        <v>46</v>
      </c>
      <c r="E544">
        <v>6350</v>
      </c>
      <c r="F544" s="1" t="s">
        <v>24</v>
      </c>
      <c r="G544" s="1" t="s">
        <v>25</v>
      </c>
      <c r="H544">
        <v>4</v>
      </c>
      <c r="I544" s="1" t="s">
        <v>26</v>
      </c>
      <c r="J544" s="1" t="s">
        <v>27</v>
      </c>
      <c r="K544">
        <v>4</v>
      </c>
      <c r="L544" s="1" t="s">
        <v>48</v>
      </c>
      <c r="M544">
        <v>31</v>
      </c>
      <c r="N544" s="1" t="s">
        <v>29</v>
      </c>
      <c r="O544" s="1" t="s">
        <v>30</v>
      </c>
      <c r="P544">
        <v>1</v>
      </c>
      <c r="Q544" s="1" t="s">
        <v>31</v>
      </c>
      <c r="R544">
        <v>1</v>
      </c>
      <c r="S544" s="1" t="s">
        <v>40</v>
      </c>
      <c r="T544" s="1" t="s">
        <v>33</v>
      </c>
      <c r="U544" s="1" t="s">
        <v>41</v>
      </c>
      <c r="V544" s="1" t="str">
        <f>_xlfn.XLOOKUP(A544,Dictonary!$A$2:$A$5,Dictonary!$B$2:$B$5)</f>
        <v>Negative balance</v>
      </c>
      <c r="W544" s="1" t="str">
        <f>_xlfn.XLOOKUP(D544,Dictonary!$D$2:$D$12,Dictonary!$E$2:$E$12)</f>
        <v>furniture/equipment</v>
      </c>
      <c r="X544" s="1" t="str">
        <f>_xlfn.XLOOKUP(F544,Dictonary!$G$2:$G$6,Dictonary!$H$2:$H$6)</f>
        <v>No information</v>
      </c>
      <c r="Y544" s="1" t="str">
        <f>_xlfn.XLOOKUP(I544,Dictonary!$J$2:$J$6,Dictonary!$K$2:$K$6)</f>
        <v>male : single</v>
      </c>
      <c r="Z544" s="1" t="str">
        <f>_xlfn.XLOOKUP(Q544,Dictonary!$M$2:$M$5,Dictonary!$N$2:$N$5)</f>
        <v>skilled employee / official</v>
      </c>
      <c r="AA544" s="1" t="str">
        <f>_xlfn.XLOOKUP(O544,Dictonary!$P$2:$P$4,Dictonary!$Q$2:$Q$4)</f>
        <v>own</v>
      </c>
    </row>
    <row r="545" spans="1:27" x14ac:dyDescent="0.3">
      <c r="A545" s="1" t="s">
        <v>68</v>
      </c>
      <c r="B545">
        <v>18</v>
      </c>
      <c r="C545" s="1" t="s">
        <v>36</v>
      </c>
      <c r="D545" s="1" t="s">
        <v>46</v>
      </c>
      <c r="E545">
        <v>2864</v>
      </c>
      <c r="F545" s="1" t="s">
        <v>37</v>
      </c>
      <c r="G545" s="1" t="s">
        <v>38</v>
      </c>
      <c r="H545">
        <v>2</v>
      </c>
      <c r="I545" s="1" t="s">
        <v>26</v>
      </c>
      <c r="J545" s="1" t="s">
        <v>27</v>
      </c>
      <c r="K545">
        <v>1</v>
      </c>
      <c r="L545" s="1" t="s">
        <v>28</v>
      </c>
      <c r="M545">
        <v>34</v>
      </c>
      <c r="N545" s="1" t="s">
        <v>29</v>
      </c>
      <c r="O545" s="1" t="s">
        <v>30</v>
      </c>
      <c r="P545">
        <v>1</v>
      </c>
      <c r="Q545" s="1" t="s">
        <v>45</v>
      </c>
      <c r="R545">
        <v>2</v>
      </c>
      <c r="S545" s="1" t="s">
        <v>40</v>
      </c>
      <c r="T545" s="1" t="s">
        <v>33</v>
      </c>
      <c r="U545" s="1" t="s">
        <v>41</v>
      </c>
      <c r="V545" s="1" t="str">
        <f>_xlfn.XLOOKUP(A545,Dictonary!$A$2:$A$5,Dictonary!$B$2:$B$5)</f>
        <v>Normal balance</v>
      </c>
      <c r="W545" s="1" t="str">
        <f>_xlfn.XLOOKUP(D545,Dictonary!$D$2:$D$12,Dictonary!$E$2:$E$12)</f>
        <v>furniture/equipment</v>
      </c>
      <c r="X545" s="1" t="str">
        <f>_xlfn.XLOOKUP(F545,Dictonary!$G$2:$G$6,Dictonary!$H$2:$H$6)</f>
        <v>Less 100</v>
      </c>
      <c r="Y545" s="1" t="str">
        <f>_xlfn.XLOOKUP(I545,Dictonary!$J$2:$J$6,Dictonary!$K$2:$K$6)</f>
        <v>male : single</v>
      </c>
      <c r="Z545" s="1" t="str">
        <f>_xlfn.XLOOKUP(Q545,Dictonary!$M$2:$M$5,Dictonary!$N$2:$N$5)</f>
        <v>unskilled - resident</v>
      </c>
      <c r="AA545" s="1" t="str">
        <f>_xlfn.XLOOKUP(O545,Dictonary!$P$2:$P$4,Dictonary!$Q$2:$Q$4)</f>
        <v>own</v>
      </c>
    </row>
    <row r="546" spans="1:27" x14ac:dyDescent="0.3">
      <c r="A546" s="1" t="s">
        <v>42</v>
      </c>
      <c r="B546">
        <v>12</v>
      </c>
      <c r="C546" s="1" t="s">
        <v>22</v>
      </c>
      <c r="D546" s="1" t="s">
        <v>51</v>
      </c>
      <c r="E546">
        <v>1255</v>
      </c>
      <c r="F546" s="1" t="s">
        <v>37</v>
      </c>
      <c r="G546" s="1" t="s">
        <v>25</v>
      </c>
      <c r="H546">
        <v>4</v>
      </c>
      <c r="I546" s="1" t="s">
        <v>26</v>
      </c>
      <c r="J546" s="1" t="s">
        <v>27</v>
      </c>
      <c r="K546">
        <v>4</v>
      </c>
      <c r="L546" s="1" t="s">
        <v>28</v>
      </c>
      <c r="M546">
        <v>61</v>
      </c>
      <c r="N546" s="1" t="s">
        <v>29</v>
      </c>
      <c r="O546" s="1" t="s">
        <v>30</v>
      </c>
      <c r="P546">
        <v>2</v>
      </c>
      <c r="Q546" s="1" t="s">
        <v>45</v>
      </c>
      <c r="R546">
        <v>1</v>
      </c>
      <c r="S546" s="1" t="s">
        <v>40</v>
      </c>
      <c r="T546" s="1" t="s">
        <v>33</v>
      </c>
      <c r="U546" s="1" t="s">
        <v>34</v>
      </c>
      <c r="V546" s="1" t="str">
        <f>_xlfn.XLOOKUP(A546,Dictonary!$A$2:$A$5,Dictonary!$B$2:$B$5)</f>
        <v>No information</v>
      </c>
      <c r="W546" s="1" t="str">
        <f>_xlfn.XLOOKUP(D546,Dictonary!$D$2:$D$12,Dictonary!$E$2:$E$12)</f>
        <v>car (new)</v>
      </c>
      <c r="X546" s="1" t="str">
        <f>_xlfn.XLOOKUP(F546,Dictonary!$G$2:$G$6,Dictonary!$H$2:$H$6)</f>
        <v>Less 100</v>
      </c>
      <c r="Y546" s="1" t="str">
        <f>_xlfn.XLOOKUP(I546,Dictonary!$J$2:$J$6,Dictonary!$K$2:$K$6)</f>
        <v>male : single</v>
      </c>
      <c r="Z546" s="1" t="str">
        <f>_xlfn.XLOOKUP(Q546,Dictonary!$M$2:$M$5,Dictonary!$N$2:$N$5)</f>
        <v>unskilled - resident</v>
      </c>
      <c r="AA546" s="1" t="str">
        <f>_xlfn.XLOOKUP(O546,Dictonary!$P$2:$P$4,Dictonary!$Q$2:$Q$4)</f>
        <v>own</v>
      </c>
    </row>
    <row r="547" spans="1:27" x14ac:dyDescent="0.3">
      <c r="A547" s="1" t="s">
        <v>21</v>
      </c>
      <c r="B547">
        <v>24</v>
      </c>
      <c r="C547" s="1" t="s">
        <v>50</v>
      </c>
      <c r="D547" s="1" t="s">
        <v>51</v>
      </c>
      <c r="E547">
        <v>1333</v>
      </c>
      <c r="F547" s="1" t="s">
        <v>37</v>
      </c>
      <c r="G547" s="1" t="s">
        <v>60</v>
      </c>
      <c r="H547">
        <v>4</v>
      </c>
      <c r="I547" s="1" t="s">
        <v>26</v>
      </c>
      <c r="J547" s="1" t="s">
        <v>27</v>
      </c>
      <c r="K547">
        <v>2</v>
      </c>
      <c r="L547" s="1" t="s">
        <v>28</v>
      </c>
      <c r="M547">
        <v>43</v>
      </c>
      <c r="N547" s="1" t="s">
        <v>29</v>
      </c>
      <c r="O547" s="1" t="s">
        <v>49</v>
      </c>
      <c r="P547">
        <v>2</v>
      </c>
      <c r="Q547" s="1" t="s">
        <v>31</v>
      </c>
      <c r="R547">
        <v>2</v>
      </c>
      <c r="S547" s="1" t="s">
        <v>40</v>
      </c>
      <c r="T547" s="1" t="s">
        <v>33</v>
      </c>
      <c r="U547" s="1" t="s">
        <v>41</v>
      </c>
      <c r="V547" s="1" t="str">
        <f>_xlfn.XLOOKUP(A547,Dictonary!$A$2:$A$5,Dictonary!$B$2:$B$5)</f>
        <v>Negative balance</v>
      </c>
      <c r="W547" s="1" t="str">
        <f>_xlfn.XLOOKUP(D547,Dictonary!$D$2:$D$12,Dictonary!$E$2:$E$12)</f>
        <v>car (new)</v>
      </c>
      <c r="X547" s="1" t="str">
        <f>_xlfn.XLOOKUP(F547,Dictonary!$G$2:$G$6,Dictonary!$H$2:$H$6)</f>
        <v>Less 100</v>
      </c>
      <c r="Y547" s="1" t="str">
        <f>_xlfn.XLOOKUP(I547,Dictonary!$J$2:$J$6,Dictonary!$K$2:$K$6)</f>
        <v>male : single</v>
      </c>
      <c r="Z547" s="1" t="str">
        <f>_xlfn.XLOOKUP(Q547,Dictonary!$M$2:$M$5,Dictonary!$N$2:$N$5)</f>
        <v>skilled employee / official</v>
      </c>
      <c r="AA547" s="1" t="str">
        <f>_xlfn.XLOOKUP(O547,Dictonary!$P$2:$P$4,Dictonary!$Q$2:$Q$4)</f>
        <v>for free</v>
      </c>
    </row>
    <row r="548" spans="1:27" x14ac:dyDescent="0.3">
      <c r="A548" s="1" t="s">
        <v>42</v>
      </c>
      <c r="B548">
        <v>24</v>
      </c>
      <c r="C548" s="1" t="s">
        <v>22</v>
      </c>
      <c r="D548" s="1" t="s">
        <v>51</v>
      </c>
      <c r="E548">
        <v>2022</v>
      </c>
      <c r="F548" s="1" t="s">
        <v>37</v>
      </c>
      <c r="G548" s="1" t="s">
        <v>38</v>
      </c>
      <c r="H548">
        <v>4</v>
      </c>
      <c r="I548" s="1" t="s">
        <v>39</v>
      </c>
      <c r="J548" s="1" t="s">
        <v>27</v>
      </c>
      <c r="K548">
        <v>4</v>
      </c>
      <c r="L548" s="1" t="s">
        <v>55</v>
      </c>
      <c r="M548">
        <v>37</v>
      </c>
      <c r="N548" s="1" t="s">
        <v>29</v>
      </c>
      <c r="O548" s="1" t="s">
        <v>30</v>
      </c>
      <c r="P548">
        <v>1</v>
      </c>
      <c r="Q548" s="1" t="s">
        <v>31</v>
      </c>
      <c r="R548">
        <v>1</v>
      </c>
      <c r="S548" s="1" t="s">
        <v>32</v>
      </c>
      <c r="T548" s="1" t="s">
        <v>33</v>
      </c>
      <c r="U548" s="1" t="s">
        <v>34</v>
      </c>
      <c r="V548" s="1" t="str">
        <f>_xlfn.XLOOKUP(A548,Dictonary!$A$2:$A$5,Dictonary!$B$2:$B$5)</f>
        <v>No information</v>
      </c>
      <c r="W548" s="1" t="str">
        <f>_xlfn.XLOOKUP(D548,Dictonary!$D$2:$D$12,Dictonary!$E$2:$E$12)</f>
        <v>car (new)</v>
      </c>
      <c r="X548" s="1" t="str">
        <f>_xlfn.XLOOKUP(F548,Dictonary!$G$2:$G$6,Dictonary!$H$2:$H$6)</f>
        <v>Less 100</v>
      </c>
      <c r="Y548" s="1" t="str">
        <f>_xlfn.XLOOKUP(I548,Dictonary!$J$2:$J$6,Dictonary!$K$2:$K$6)</f>
        <v>female : divorced/separated/married</v>
      </c>
      <c r="Z548" s="1" t="str">
        <f>_xlfn.XLOOKUP(Q548,Dictonary!$M$2:$M$5,Dictonary!$N$2:$N$5)</f>
        <v>skilled employee / official</v>
      </c>
      <c r="AA548" s="1" t="str">
        <f>_xlfn.XLOOKUP(O548,Dictonary!$P$2:$P$4,Dictonary!$Q$2:$Q$4)</f>
        <v>own</v>
      </c>
    </row>
    <row r="549" spans="1:27" x14ac:dyDescent="0.3">
      <c r="A549" s="1" t="s">
        <v>42</v>
      </c>
      <c r="B549">
        <v>24</v>
      </c>
      <c r="C549" s="1" t="s">
        <v>36</v>
      </c>
      <c r="D549" s="1" t="s">
        <v>23</v>
      </c>
      <c r="E549">
        <v>1552</v>
      </c>
      <c r="F549" s="1" t="s">
        <v>37</v>
      </c>
      <c r="G549" s="1" t="s">
        <v>44</v>
      </c>
      <c r="H549">
        <v>3</v>
      </c>
      <c r="I549" s="1" t="s">
        <v>26</v>
      </c>
      <c r="J549" s="1" t="s">
        <v>27</v>
      </c>
      <c r="K549">
        <v>1</v>
      </c>
      <c r="L549" s="1" t="s">
        <v>55</v>
      </c>
      <c r="M549">
        <v>32</v>
      </c>
      <c r="N549" s="1" t="s">
        <v>66</v>
      </c>
      <c r="O549" s="1" t="s">
        <v>30</v>
      </c>
      <c r="P549">
        <v>1</v>
      </c>
      <c r="Q549" s="1" t="s">
        <v>31</v>
      </c>
      <c r="R549">
        <v>2</v>
      </c>
      <c r="S549" s="1" t="s">
        <v>40</v>
      </c>
      <c r="T549" s="1" t="s">
        <v>33</v>
      </c>
      <c r="U549" s="1" t="s">
        <v>34</v>
      </c>
      <c r="V549" s="1" t="str">
        <f>_xlfn.XLOOKUP(A549,Dictonary!$A$2:$A$5,Dictonary!$B$2:$B$5)</f>
        <v>No information</v>
      </c>
      <c r="W549" s="1" t="str">
        <f>_xlfn.XLOOKUP(D549,Dictonary!$D$2:$D$12,Dictonary!$E$2:$E$12)</f>
        <v>radio/television</v>
      </c>
      <c r="X549" s="1" t="str">
        <f>_xlfn.XLOOKUP(F549,Dictonary!$G$2:$G$6,Dictonary!$H$2:$H$6)</f>
        <v>Less 100</v>
      </c>
      <c r="Y549" s="1" t="str">
        <f>_xlfn.XLOOKUP(I549,Dictonary!$J$2:$J$6,Dictonary!$K$2:$K$6)</f>
        <v>male : single</v>
      </c>
      <c r="Z549" s="1" t="str">
        <f>_xlfn.XLOOKUP(Q549,Dictonary!$M$2:$M$5,Dictonary!$N$2:$N$5)</f>
        <v>skilled employee / official</v>
      </c>
      <c r="AA549" s="1" t="str">
        <f>_xlfn.XLOOKUP(O549,Dictonary!$P$2:$P$4,Dictonary!$Q$2:$Q$4)</f>
        <v>own</v>
      </c>
    </row>
    <row r="550" spans="1:27" x14ac:dyDescent="0.3">
      <c r="A550" s="1" t="s">
        <v>21</v>
      </c>
      <c r="B550">
        <v>12</v>
      </c>
      <c r="C550" s="1" t="s">
        <v>69</v>
      </c>
      <c r="D550" s="1" t="s">
        <v>23</v>
      </c>
      <c r="E550">
        <v>626</v>
      </c>
      <c r="F550" s="1" t="s">
        <v>37</v>
      </c>
      <c r="G550" s="1" t="s">
        <v>38</v>
      </c>
      <c r="H550">
        <v>4</v>
      </c>
      <c r="I550" s="1" t="s">
        <v>39</v>
      </c>
      <c r="J550" s="1" t="s">
        <v>27</v>
      </c>
      <c r="K550">
        <v>4</v>
      </c>
      <c r="L550" s="1" t="s">
        <v>28</v>
      </c>
      <c r="M550">
        <v>24</v>
      </c>
      <c r="N550" s="1" t="s">
        <v>66</v>
      </c>
      <c r="O550" s="1" t="s">
        <v>30</v>
      </c>
      <c r="P550">
        <v>1</v>
      </c>
      <c r="Q550" s="1" t="s">
        <v>45</v>
      </c>
      <c r="R550">
        <v>1</v>
      </c>
      <c r="S550" s="1" t="s">
        <v>40</v>
      </c>
      <c r="T550" s="1" t="s">
        <v>33</v>
      </c>
      <c r="U550" s="1" t="s">
        <v>41</v>
      </c>
      <c r="V550" s="1" t="str">
        <f>_xlfn.XLOOKUP(A550,Dictonary!$A$2:$A$5,Dictonary!$B$2:$B$5)</f>
        <v>Negative balance</v>
      </c>
      <c r="W550" s="1" t="str">
        <f>_xlfn.XLOOKUP(D550,Dictonary!$D$2:$D$12,Dictonary!$E$2:$E$12)</f>
        <v>radio/television</v>
      </c>
      <c r="X550" s="1" t="str">
        <f>_xlfn.XLOOKUP(F550,Dictonary!$G$2:$G$6,Dictonary!$H$2:$H$6)</f>
        <v>Less 100</v>
      </c>
      <c r="Y550" s="1" t="str">
        <f>_xlfn.XLOOKUP(I550,Dictonary!$J$2:$J$6,Dictonary!$K$2:$K$6)</f>
        <v>female : divorced/separated/married</v>
      </c>
      <c r="Z550" s="1" t="str">
        <f>_xlfn.XLOOKUP(Q550,Dictonary!$M$2:$M$5,Dictonary!$N$2:$N$5)</f>
        <v>unskilled - resident</v>
      </c>
      <c r="AA550" s="1" t="str">
        <f>_xlfn.XLOOKUP(O550,Dictonary!$P$2:$P$4,Dictonary!$Q$2:$Q$4)</f>
        <v>own</v>
      </c>
    </row>
    <row r="551" spans="1:27" x14ac:dyDescent="0.3">
      <c r="A551" s="1" t="s">
        <v>42</v>
      </c>
      <c r="B551">
        <v>48</v>
      </c>
      <c r="C551" s="1" t="s">
        <v>22</v>
      </c>
      <c r="D551" s="1" t="s">
        <v>54</v>
      </c>
      <c r="E551">
        <v>8858</v>
      </c>
      <c r="F551" s="1" t="s">
        <v>24</v>
      </c>
      <c r="G551" s="1" t="s">
        <v>44</v>
      </c>
      <c r="H551">
        <v>2</v>
      </c>
      <c r="I551" s="1" t="s">
        <v>26</v>
      </c>
      <c r="J551" s="1" t="s">
        <v>27</v>
      </c>
      <c r="K551">
        <v>1</v>
      </c>
      <c r="L551" s="1" t="s">
        <v>52</v>
      </c>
      <c r="M551">
        <v>35</v>
      </c>
      <c r="N551" s="1" t="s">
        <v>29</v>
      </c>
      <c r="O551" s="1" t="s">
        <v>49</v>
      </c>
      <c r="P551">
        <v>2</v>
      </c>
      <c r="Q551" s="1" t="s">
        <v>31</v>
      </c>
      <c r="R551">
        <v>1</v>
      </c>
      <c r="S551" s="1" t="s">
        <v>32</v>
      </c>
      <c r="T551" s="1" t="s">
        <v>33</v>
      </c>
      <c r="U551" s="1" t="s">
        <v>34</v>
      </c>
      <c r="V551" s="1" t="str">
        <f>_xlfn.XLOOKUP(A551,Dictonary!$A$2:$A$5,Dictonary!$B$2:$B$5)</f>
        <v>No information</v>
      </c>
      <c r="W551" s="1" t="str">
        <f>_xlfn.XLOOKUP(D551,Dictonary!$D$2:$D$12,Dictonary!$E$2:$E$12)</f>
        <v>car (used)</v>
      </c>
      <c r="X551" s="1" t="str">
        <f>_xlfn.XLOOKUP(F551,Dictonary!$G$2:$G$6,Dictonary!$H$2:$H$6)</f>
        <v>No information</v>
      </c>
      <c r="Y551" s="1" t="str">
        <f>_xlfn.XLOOKUP(I551,Dictonary!$J$2:$J$6,Dictonary!$K$2:$K$6)</f>
        <v>male : single</v>
      </c>
      <c r="Z551" s="1" t="str">
        <f>_xlfn.XLOOKUP(Q551,Dictonary!$M$2:$M$5,Dictonary!$N$2:$N$5)</f>
        <v>skilled employee / official</v>
      </c>
      <c r="AA551" s="1" t="str">
        <f>_xlfn.XLOOKUP(O551,Dictonary!$P$2:$P$4,Dictonary!$Q$2:$Q$4)</f>
        <v>for free</v>
      </c>
    </row>
    <row r="552" spans="1:27" x14ac:dyDescent="0.3">
      <c r="A552" s="1" t="s">
        <v>42</v>
      </c>
      <c r="B552">
        <v>12</v>
      </c>
      <c r="C552" s="1" t="s">
        <v>22</v>
      </c>
      <c r="D552" s="1" t="s">
        <v>73</v>
      </c>
      <c r="E552">
        <v>996</v>
      </c>
      <c r="F552" s="1" t="s">
        <v>24</v>
      </c>
      <c r="G552" s="1" t="s">
        <v>44</v>
      </c>
      <c r="H552">
        <v>4</v>
      </c>
      <c r="I552" s="1" t="s">
        <v>39</v>
      </c>
      <c r="J552" s="1" t="s">
        <v>27</v>
      </c>
      <c r="K552">
        <v>4</v>
      </c>
      <c r="L552" s="1" t="s">
        <v>28</v>
      </c>
      <c r="M552">
        <v>23</v>
      </c>
      <c r="N552" s="1" t="s">
        <v>29</v>
      </c>
      <c r="O552" s="1" t="s">
        <v>30</v>
      </c>
      <c r="P552">
        <v>2</v>
      </c>
      <c r="Q552" s="1" t="s">
        <v>31</v>
      </c>
      <c r="R552">
        <v>1</v>
      </c>
      <c r="S552" s="1" t="s">
        <v>40</v>
      </c>
      <c r="T552" s="1" t="s">
        <v>33</v>
      </c>
      <c r="U552" s="1" t="s">
        <v>34</v>
      </c>
      <c r="V552" s="1" t="str">
        <f>_xlfn.XLOOKUP(A552,Dictonary!$A$2:$A$5,Dictonary!$B$2:$B$5)</f>
        <v>No information</v>
      </c>
      <c r="W552" s="1" t="str">
        <f>_xlfn.XLOOKUP(D552,Dictonary!$D$2:$D$12,Dictonary!$E$2:$E$12)</f>
        <v>repairs</v>
      </c>
      <c r="X552" s="1" t="str">
        <f>_xlfn.XLOOKUP(F552,Dictonary!$G$2:$G$6,Dictonary!$H$2:$H$6)</f>
        <v>No information</v>
      </c>
      <c r="Y552" s="1" t="str">
        <f>_xlfn.XLOOKUP(I552,Dictonary!$J$2:$J$6,Dictonary!$K$2:$K$6)</f>
        <v>female : divorced/separated/married</v>
      </c>
      <c r="Z552" s="1" t="str">
        <f>_xlfn.XLOOKUP(Q552,Dictonary!$M$2:$M$5,Dictonary!$N$2:$N$5)</f>
        <v>skilled employee / official</v>
      </c>
      <c r="AA552" s="1" t="str">
        <f>_xlfn.XLOOKUP(O552,Dictonary!$P$2:$P$4,Dictonary!$Q$2:$Q$4)</f>
        <v>own</v>
      </c>
    </row>
    <row r="553" spans="1:27" x14ac:dyDescent="0.3">
      <c r="A553" s="1" t="s">
        <v>42</v>
      </c>
      <c r="B553">
        <v>6</v>
      </c>
      <c r="C553" s="1" t="s">
        <v>69</v>
      </c>
      <c r="D553" s="1" t="s">
        <v>23</v>
      </c>
      <c r="E553">
        <v>1750</v>
      </c>
      <c r="F553" s="1" t="s">
        <v>53</v>
      </c>
      <c r="G553" s="1" t="s">
        <v>25</v>
      </c>
      <c r="H553">
        <v>2</v>
      </c>
      <c r="I553" s="1" t="s">
        <v>26</v>
      </c>
      <c r="J553" s="1" t="s">
        <v>27</v>
      </c>
      <c r="K553">
        <v>4</v>
      </c>
      <c r="L553" s="1" t="s">
        <v>48</v>
      </c>
      <c r="M553">
        <v>45</v>
      </c>
      <c r="N553" s="1" t="s">
        <v>66</v>
      </c>
      <c r="O553" s="1" t="s">
        <v>30</v>
      </c>
      <c r="P553">
        <v>1</v>
      </c>
      <c r="Q553" s="1" t="s">
        <v>45</v>
      </c>
      <c r="R553">
        <v>2</v>
      </c>
      <c r="S553" s="1" t="s">
        <v>40</v>
      </c>
      <c r="T553" s="1" t="s">
        <v>33</v>
      </c>
      <c r="U553" s="1" t="s">
        <v>34</v>
      </c>
      <c r="V553" s="1" t="str">
        <f>_xlfn.XLOOKUP(A553,Dictonary!$A$2:$A$5,Dictonary!$B$2:$B$5)</f>
        <v>No information</v>
      </c>
      <c r="W553" s="1" t="str">
        <f>_xlfn.XLOOKUP(D553,Dictonary!$D$2:$D$12,Dictonary!$E$2:$E$12)</f>
        <v>radio/television</v>
      </c>
      <c r="X553" s="1" t="str">
        <f>_xlfn.XLOOKUP(F553,Dictonary!$G$2:$G$6,Dictonary!$H$2:$H$6)</f>
        <v>Up to 1000</v>
      </c>
      <c r="Y553" s="1" t="str">
        <f>_xlfn.XLOOKUP(I553,Dictonary!$J$2:$J$6,Dictonary!$K$2:$K$6)</f>
        <v>male : single</v>
      </c>
      <c r="Z553" s="1" t="str">
        <f>_xlfn.XLOOKUP(Q553,Dictonary!$M$2:$M$5,Dictonary!$N$2:$N$5)</f>
        <v>unskilled - resident</v>
      </c>
      <c r="AA553" s="1" t="str">
        <f>_xlfn.XLOOKUP(O553,Dictonary!$P$2:$P$4,Dictonary!$Q$2:$Q$4)</f>
        <v>own</v>
      </c>
    </row>
    <row r="554" spans="1:27" x14ac:dyDescent="0.3">
      <c r="A554" s="1" t="s">
        <v>21</v>
      </c>
      <c r="B554">
        <v>48</v>
      </c>
      <c r="C554" s="1" t="s">
        <v>36</v>
      </c>
      <c r="D554" s="1" t="s">
        <v>23</v>
      </c>
      <c r="E554">
        <v>6999</v>
      </c>
      <c r="F554" s="1" t="s">
        <v>37</v>
      </c>
      <c r="G554" s="1" t="s">
        <v>44</v>
      </c>
      <c r="H554">
        <v>1</v>
      </c>
      <c r="I554" s="1" t="s">
        <v>61</v>
      </c>
      <c r="J554" s="1" t="s">
        <v>47</v>
      </c>
      <c r="K554">
        <v>1</v>
      </c>
      <c r="L554" s="1" t="s">
        <v>28</v>
      </c>
      <c r="M554">
        <v>34</v>
      </c>
      <c r="N554" s="1" t="s">
        <v>29</v>
      </c>
      <c r="O554" s="1" t="s">
        <v>30</v>
      </c>
      <c r="P554">
        <v>2</v>
      </c>
      <c r="Q554" s="1" t="s">
        <v>31</v>
      </c>
      <c r="R554">
        <v>1</v>
      </c>
      <c r="S554" s="1" t="s">
        <v>32</v>
      </c>
      <c r="T554" s="1" t="s">
        <v>33</v>
      </c>
      <c r="U554" s="1" t="s">
        <v>41</v>
      </c>
      <c r="V554" s="1" t="str">
        <f>_xlfn.XLOOKUP(A554,Dictonary!$A$2:$A$5,Dictonary!$B$2:$B$5)</f>
        <v>Negative balance</v>
      </c>
      <c r="W554" s="1" t="str">
        <f>_xlfn.XLOOKUP(D554,Dictonary!$D$2:$D$12,Dictonary!$E$2:$E$12)</f>
        <v>radio/television</v>
      </c>
      <c r="X554" s="1" t="str">
        <f>_xlfn.XLOOKUP(F554,Dictonary!$G$2:$G$6,Dictonary!$H$2:$H$6)</f>
        <v>Less 100</v>
      </c>
      <c r="Y554" s="1" t="str">
        <f>_xlfn.XLOOKUP(I554,Dictonary!$J$2:$J$6,Dictonary!$K$2:$K$6)</f>
        <v>male : married/widowed</v>
      </c>
      <c r="Z554" s="1" t="str">
        <f>_xlfn.XLOOKUP(Q554,Dictonary!$M$2:$M$5,Dictonary!$N$2:$N$5)</f>
        <v>skilled employee / official</v>
      </c>
      <c r="AA554" s="1" t="str">
        <f>_xlfn.XLOOKUP(O554,Dictonary!$P$2:$P$4,Dictonary!$Q$2:$Q$4)</f>
        <v>own</v>
      </c>
    </row>
    <row r="555" spans="1:27" x14ac:dyDescent="0.3">
      <c r="A555" s="1" t="s">
        <v>35</v>
      </c>
      <c r="B555">
        <v>12</v>
      </c>
      <c r="C555" s="1" t="s">
        <v>22</v>
      </c>
      <c r="D555" s="1" t="s">
        <v>51</v>
      </c>
      <c r="E555">
        <v>1995</v>
      </c>
      <c r="F555" s="1" t="s">
        <v>64</v>
      </c>
      <c r="G555" s="1" t="s">
        <v>62</v>
      </c>
      <c r="H555">
        <v>4</v>
      </c>
      <c r="I555" s="1" t="s">
        <v>26</v>
      </c>
      <c r="J555" s="1" t="s">
        <v>27</v>
      </c>
      <c r="K555">
        <v>1</v>
      </c>
      <c r="L555" s="1" t="s">
        <v>55</v>
      </c>
      <c r="M555">
        <v>27</v>
      </c>
      <c r="N555" s="1" t="s">
        <v>29</v>
      </c>
      <c r="O555" s="1" t="s">
        <v>30</v>
      </c>
      <c r="P555">
        <v>1</v>
      </c>
      <c r="Q555" s="1" t="s">
        <v>31</v>
      </c>
      <c r="R555">
        <v>1</v>
      </c>
      <c r="S555" s="1" t="s">
        <v>40</v>
      </c>
      <c r="T555" s="1" t="s">
        <v>33</v>
      </c>
      <c r="U555" s="1" t="s">
        <v>34</v>
      </c>
      <c r="V555" s="1" t="str">
        <f>_xlfn.XLOOKUP(A555,Dictonary!$A$2:$A$5,Dictonary!$B$2:$B$5)</f>
        <v>Low balance</v>
      </c>
      <c r="W555" s="1" t="str">
        <f>_xlfn.XLOOKUP(D555,Dictonary!$D$2:$D$12,Dictonary!$E$2:$E$12)</f>
        <v>car (new)</v>
      </c>
      <c r="X555" s="1" t="str">
        <f>_xlfn.XLOOKUP(F555,Dictonary!$G$2:$G$6,Dictonary!$H$2:$H$6)</f>
        <v>Up to 500</v>
      </c>
      <c r="Y555" s="1" t="str">
        <f>_xlfn.XLOOKUP(I555,Dictonary!$J$2:$J$6,Dictonary!$K$2:$K$6)</f>
        <v>male : single</v>
      </c>
      <c r="Z555" s="1" t="str">
        <f>_xlfn.XLOOKUP(Q555,Dictonary!$M$2:$M$5,Dictonary!$N$2:$N$5)</f>
        <v>skilled employee / official</v>
      </c>
      <c r="AA555" s="1" t="str">
        <f>_xlfn.XLOOKUP(O555,Dictonary!$P$2:$P$4,Dictonary!$Q$2:$Q$4)</f>
        <v>own</v>
      </c>
    </row>
    <row r="556" spans="1:27" x14ac:dyDescent="0.3">
      <c r="A556" s="1" t="s">
        <v>35</v>
      </c>
      <c r="B556">
        <v>9</v>
      </c>
      <c r="C556" s="1" t="s">
        <v>36</v>
      </c>
      <c r="D556" s="1" t="s">
        <v>43</v>
      </c>
      <c r="E556">
        <v>1199</v>
      </c>
      <c r="F556" s="1" t="s">
        <v>37</v>
      </c>
      <c r="G556" s="1" t="s">
        <v>44</v>
      </c>
      <c r="H556">
        <v>4</v>
      </c>
      <c r="I556" s="1" t="s">
        <v>39</v>
      </c>
      <c r="J556" s="1" t="s">
        <v>27</v>
      </c>
      <c r="K556">
        <v>4</v>
      </c>
      <c r="L556" s="1" t="s">
        <v>48</v>
      </c>
      <c r="M556">
        <v>67</v>
      </c>
      <c r="N556" s="1" t="s">
        <v>29</v>
      </c>
      <c r="O556" s="1" t="s">
        <v>30</v>
      </c>
      <c r="P556">
        <v>2</v>
      </c>
      <c r="Q556" s="1" t="s">
        <v>57</v>
      </c>
      <c r="R556">
        <v>1</v>
      </c>
      <c r="S556" s="1" t="s">
        <v>32</v>
      </c>
      <c r="T556" s="1" t="s">
        <v>33</v>
      </c>
      <c r="U556" s="1" t="s">
        <v>34</v>
      </c>
      <c r="V556" s="1" t="str">
        <f>_xlfn.XLOOKUP(A556,Dictonary!$A$2:$A$5,Dictonary!$B$2:$B$5)</f>
        <v>Low balance</v>
      </c>
      <c r="W556" s="1" t="str">
        <f>_xlfn.XLOOKUP(D556,Dictonary!$D$2:$D$12,Dictonary!$E$2:$E$12)</f>
        <v>education</v>
      </c>
      <c r="X556" s="1" t="str">
        <f>_xlfn.XLOOKUP(F556,Dictonary!$G$2:$G$6,Dictonary!$H$2:$H$6)</f>
        <v>Less 100</v>
      </c>
      <c r="Y556" s="1" t="str">
        <f>_xlfn.XLOOKUP(I556,Dictonary!$J$2:$J$6,Dictonary!$K$2:$K$6)</f>
        <v>female : divorced/separated/married</v>
      </c>
      <c r="Z556" s="1" t="str">
        <f>_xlfn.XLOOKUP(Q556,Dictonary!$M$2:$M$5,Dictonary!$N$2:$N$5)</f>
        <v>management/ self-employed/ highly qualified employee/ officer</v>
      </c>
      <c r="AA556" s="1" t="str">
        <f>_xlfn.XLOOKUP(O556,Dictonary!$P$2:$P$4,Dictonary!$Q$2:$Q$4)</f>
        <v>own</v>
      </c>
    </row>
    <row r="557" spans="1:27" x14ac:dyDescent="0.3">
      <c r="A557" s="1" t="s">
        <v>35</v>
      </c>
      <c r="B557">
        <v>12</v>
      </c>
      <c r="C557" s="1" t="s">
        <v>36</v>
      </c>
      <c r="D557" s="1" t="s">
        <v>23</v>
      </c>
      <c r="E557">
        <v>1331</v>
      </c>
      <c r="F557" s="1" t="s">
        <v>37</v>
      </c>
      <c r="G557" s="1" t="s">
        <v>62</v>
      </c>
      <c r="H557">
        <v>2</v>
      </c>
      <c r="I557" s="1" t="s">
        <v>26</v>
      </c>
      <c r="J557" s="1" t="s">
        <v>27</v>
      </c>
      <c r="K557">
        <v>1</v>
      </c>
      <c r="L557" s="1" t="s">
        <v>55</v>
      </c>
      <c r="M557">
        <v>22</v>
      </c>
      <c r="N557" s="1" t="s">
        <v>70</v>
      </c>
      <c r="O557" s="1" t="s">
        <v>30</v>
      </c>
      <c r="P557">
        <v>1</v>
      </c>
      <c r="Q557" s="1" t="s">
        <v>31</v>
      </c>
      <c r="R557">
        <v>1</v>
      </c>
      <c r="S557" s="1" t="s">
        <v>40</v>
      </c>
      <c r="T557" s="1" t="s">
        <v>33</v>
      </c>
      <c r="U557" s="1" t="s">
        <v>41</v>
      </c>
      <c r="V557" s="1" t="str">
        <f>_xlfn.XLOOKUP(A557,Dictonary!$A$2:$A$5,Dictonary!$B$2:$B$5)</f>
        <v>Low balance</v>
      </c>
      <c r="W557" s="1" t="str">
        <f>_xlfn.XLOOKUP(D557,Dictonary!$D$2:$D$12,Dictonary!$E$2:$E$12)</f>
        <v>radio/television</v>
      </c>
      <c r="X557" s="1" t="str">
        <f>_xlfn.XLOOKUP(F557,Dictonary!$G$2:$G$6,Dictonary!$H$2:$H$6)</f>
        <v>Less 100</v>
      </c>
      <c r="Y557" s="1" t="str">
        <f>_xlfn.XLOOKUP(I557,Dictonary!$J$2:$J$6,Dictonary!$K$2:$K$6)</f>
        <v>male : single</v>
      </c>
      <c r="Z557" s="1" t="str">
        <f>_xlfn.XLOOKUP(Q557,Dictonary!$M$2:$M$5,Dictonary!$N$2:$N$5)</f>
        <v>skilled employee / official</v>
      </c>
      <c r="AA557" s="1" t="str">
        <f>_xlfn.XLOOKUP(O557,Dictonary!$P$2:$P$4,Dictonary!$Q$2:$Q$4)</f>
        <v>own</v>
      </c>
    </row>
    <row r="558" spans="1:27" x14ac:dyDescent="0.3">
      <c r="A558" s="1" t="s">
        <v>35</v>
      </c>
      <c r="B558">
        <v>18</v>
      </c>
      <c r="C558" s="1" t="s">
        <v>65</v>
      </c>
      <c r="D558" s="1" t="s">
        <v>51</v>
      </c>
      <c r="E558">
        <v>2278</v>
      </c>
      <c r="F558" s="1" t="s">
        <v>64</v>
      </c>
      <c r="G558" s="1" t="s">
        <v>62</v>
      </c>
      <c r="H558">
        <v>3</v>
      </c>
      <c r="I558" s="1" t="s">
        <v>39</v>
      </c>
      <c r="J558" s="1" t="s">
        <v>27</v>
      </c>
      <c r="K558">
        <v>3</v>
      </c>
      <c r="L558" s="1" t="s">
        <v>55</v>
      </c>
      <c r="M558">
        <v>28</v>
      </c>
      <c r="N558" s="1" t="s">
        <v>29</v>
      </c>
      <c r="O558" s="1" t="s">
        <v>30</v>
      </c>
      <c r="P558">
        <v>2</v>
      </c>
      <c r="Q558" s="1" t="s">
        <v>31</v>
      </c>
      <c r="R558">
        <v>1</v>
      </c>
      <c r="S558" s="1" t="s">
        <v>40</v>
      </c>
      <c r="T558" s="1" t="s">
        <v>33</v>
      </c>
      <c r="U558" s="1" t="s">
        <v>41</v>
      </c>
      <c r="V558" s="1" t="str">
        <f>_xlfn.XLOOKUP(A558,Dictonary!$A$2:$A$5,Dictonary!$B$2:$B$5)</f>
        <v>Low balance</v>
      </c>
      <c r="W558" s="1" t="str">
        <f>_xlfn.XLOOKUP(D558,Dictonary!$D$2:$D$12,Dictonary!$E$2:$E$12)</f>
        <v>car (new)</v>
      </c>
      <c r="X558" s="1" t="str">
        <f>_xlfn.XLOOKUP(F558,Dictonary!$G$2:$G$6,Dictonary!$H$2:$H$6)</f>
        <v>Up to 500</v>
      </c>
      <c r="Y558" s="1" t="str">
        <f>_xlfn.XLOOKUP(I558,Dictonary!$J$2:$J$6,Dictonary!$K$2:$K$6)</f>
        <v>female : divorced/separated/married</v>
      </c>
      <c r="Z558" s="1" t="str">
        <f>_xlfn.XLOOKUP(Q558,Dictonary!$M$2:$M$5,Dictonary!$N$2:$N$5)</f>
        <v>skilled employee / official</v>
      </c>
      <c r="AA558" s="1" t="str">
        <f>_xlfn.XLOOKUP(O558,Dictonary!$P$2:$P$4,Dictonary!$Q$2:$Q$4)</f>
        <v>own</v>
      </c>
    </row>
    <row r="559" spans="1:27" x14ac:dyDescent="0.3">
      <c r="A559" s="1" t="s">
        <v>42</v>
      </c>
      <c r="B559">
        <v>21</v>
      </c>
      <c r="C559" s="1" t="s">
        <v>65</v>
      </c>
      <c r="D559" s="1" t="s">
        <v>51</v>
      </c>
      <c r="E559">
        <v>5003</v>
      </c>
      <c r="F559" s="1" t="s">
        <v>24</v>
      </c>
      <c r="G559" s="1" t="s">
        <v>38</v>
      </c>
      <c r="H559">
        <v>1</v>
      </c>
      <c r="I559" s="1" t="s">
        <v>39</v>
      </c>
      <c r="J559" s="1" t="s">
        <v>27</v>
      </c>
      <c r="K559">
        <v>4</v>
      </c>
      <c r="L559" s="1" t="s">
        <v>48</v>
      </c>
      <c r="M559">
        <v>29</v>
      </c>
      <c r="N559" s="1" t="s">
        <v>66</v>
      </c>
      <c r="O559" s="1" t="s">
        <v>30</v>
      </c>
      <c r="P559">
        <v>2</v>
      </c>
      <c r="Q559" s="1" t="s">
        <v>31</v>
      </c>
      <c r="R559">
        <v>1</v>
      </c>
      <c r="S559" s="1" t="s">
        <v>32</v>
      </c>
      <c r="T559" s="1" t="s">
        <v>33</v>
      </c>
      <c r="U559" s="1" t="s">
        <v>41</v>
      </c>
      <c r="V559" s="1" t="str">
        <f>_xlfn.XLOOKUP(A559,Dictonary!$A$2:$A$5,Dictonary!$B$2:$B$5)</f>
        <v>No information</v>
      </c>
      <c r="W559" s="1" t="str">
        <f>_xlfn.XLOOKUP(D559,Dictonary!$D$2:$D$12,Dictonary!$E$2:$E$12)</f>
        <v>car (new)</v>
      </c>
      <c r="X559" s="1" t="str">
        <f>_xlfn.XLOOKUP(F559,Dictonary!$G$2:$G$6,Dictonary!$H$2:$H$6)</f>
        <v>No information</v>
      </c>
      <c r="Y559" s="1" t="str">
        <f>_xlfn.XLOOKUP(I559,Dictonary!$J$2:$J$6,Dictonary!$K$2:$K$6)</f>
        <v>female : divorced/separated/married</v>
      </c>
      <c r="Z559" s="1" t="str">
        <f>_xlfn.XLOOKUP(Q559,Dictonary!$M$2:$M$5,Dictonary!$N$2:$N$5)</f>
        <v>skilled employee / official</v>
      </c>
      <c r="AA559" s="1" t="str">
        <f>_xlfn.XLOOKUP(O559,Dictonary!$P$2:$P$4,Dictonary!$Q$2:$Q$4)</f>
        <v>own</v>
      </c>
    </row>
    <row r="560" spans="1:27" x14ac:dyDescent="0.3">
      <c r="A560" s="1" t="s">
        <v>21</v>
      </c>
      <c r="B560">
        <v>24</v>
      </c>
      <c r="C560" s="1" t="s">
        <v>69</v>
      </c>
      <c r="D560" s="1" t="s">
        <v>46</v>
      </c>
      <c r="E560">
        <v>3552</v>
      </c>
      <c r="F560" s="1" t="s">
        <v>37</v>
      </c>
      <c r="G560" s="1" t="s">
        <v>44</v>
      </c>
      <c r="H560">
        <v>3</v>
      </c>
      <c r="I560" s="1" t="s">
        <v>26</v>
      </c>
      <c r="J560" s="1" t="s">
        <v>27</v>
      </c>
      <c r="K560">
        <v>4</v>
      </c>
      <c r="L560" s="1" t="s">
        <v>55</v>
      </c>
      <c r="M560">
        <v>27</v>
      </c>
      <c r="N560" s="1" t="s">
        <v>66</v>
      </c>
      <c r="O560" s="1" t="s">
        <v>30</v>
      </c>
      <c r="P560">
        <v>1</v>
      </c>
      <c r="Q560" s="1" t="s">
        <v>31</v>
      </c>
      <c r="R560">
        <v>1</v>
      </c>
      <c r="S560" s="1" t="s">
        <v>40</v>
      </c>
      <c r="T560" s="1" t="s">
        <v>33</v>
      </c>
      <c r="U560" s="1" t="s">
        <v>41</v>
      </c>
      <c r="V560" s="1" t="str">
        <f>_xlfn.XLOOKUP(A560,Dictonary!$A$2:$A$5,Dictonary!$B$2:$B$5)</f>
        <v>Negative balance</v>
      </c>
      <c r="W560" s="1" t="str">
        <f>_xlfn.XLOOKUP(D560,Dictonary!$D$2:$D$12,Dictonary!$E$2:$E$12)</f>
        <v>furniture/equipment</v>
      </c>
      <c r="X560" s="1" t="str">
        <f>_xlfn.XLOOKUP(F560,Dictonary!$G$2:$G$6,Dictonary!$H$2:$H$6)</f>
        <v>Less 100</v>
      </c>
      <c r="Y560" s="1" t="str">
        <f>_xlfn.XLOOKUP(I560,Dictonary!$J$2:$J$6,Dictonary!$K$2:$K$6)</f>
        <v>male : single</v>
      </c>
      <c r="Z560" s="1" t="str">
        <f>_xlfn.XLOOKUP(Q560,Dictonary!$M$2:$M$5,Dictonary!$N$2:$N$5)</f>
        <v>skilled employee / official</v>
      </c>
      <c r="AA560" s="1" t="str">
        <f>_xlfn.XLOOKUP(O560,Dictonary!$P$2:$P$4,Dictonary!$Q$2:$Q$4)</f>
        <v>own</v>
      </c>
    </row>
    <row r="561" spans="1:27" x14ac:dyDescent="0.3">
      <c r="A561" s="1" t="s">
        <v>35</v>
      </c>
      <c r="B561">
        <v>18</v>
      </c>
      <c r="C561" s="1" t="s">
        <v>22</v>
      </c>
      <c r="D561" s="1" t="s">
        <v>46</v>
      </c>
      <c r="E561">
        <v>1928</v>
      </c>
      <c r="F561" s="1" t="s">
        <v>37</v>
      </c>
      <c r="G561" s="1" t="s">
        <v>62</v>
      </c>
      <c r="H561">
        <v>2</v>
      </c>
      <c r="I561" s="1" t="s">
        <v>26</v>
      </c>
      <c r="J561" s="1" t="s">
        <v>27</v>
      </c>
      <c r="K561">
        <v>2</v>
      </c>
      <c r="L561" s="1" t="s">
        <v>28</v>
      </c>
      <c r="M561">
        <v>31</v>
      </c>
      <c r="N561" s="1" t="s">
        <v>29</v>
      </c>
      <c r="O561" s="1" t="s">
        <v>30</v>
      </c>
      <c r="P561">
        <v>2</v>
      </c>
      <c r="Q561" s="1" t="s">
        <v>45</v>
      </c>
      <c r="R561">
        <v>1</v>
      </c>
      <c r="S561" s="1" t="s">
        <v>40</v>
      </c>
      <c r="T561" s="1" t="s">
        <v>33</v>
      </c>
      <c r="U561" s="1" t="s">
        <v>41</v>
      </c>
      <c r="V561" s="1" t="str">
        <f>_xlfn.XLOOKUP(A561,Dictonary!$A$2:$A$5,Dictonary!$B$2:$B$5)</f>
        <v>Low balance</v>
      </c>
      <c r="W561" s="1" t="str">
        <f>_xlfn.XLOOKUP(D561,Dictonary!$D$2:$D$12,Dictonary!$E$2:$E$12)</f>
        <v>furniture/equipment</v>
      </c>
      <c r="X561" s="1" t="str">
        <f>_xlfn.XLOOKUP(F561,Dictonary!$G$2:$G$6,Dictonary!$H$2:$H$6)</f>
        <v>Less 100</v>
      </c>
      <c r="Y561" s="1" t="str">
        <f>_xlfn.XLOOKUP(I561,Dictonary!$J$2:$J$6,Dictonary!$K$2:$K$6)</f>
        <v>male : single</v>
      </c>
      <c r="Z561" s="1" t="str">
        <f>_xlfn.XLOOKUP(Q561,Dictonary!$M$2:$M$5,Dictonary!$N$2:$N$5)</f>
        <v>unskilled - resident</v>
      </c>
      <c r="AA561" s="1" t="str">
        <f>_xlfn.XLOOKUP(O561,Dictonary!$P$2:$P$4,Dictonary!$Q$2:$Q$4)</f>
        <v>own</v>
      </c>
    </row>
    <row r="562" spans="1:27" x14ac:dyDescent="0.3">
      <c r="A562" s="1" t="s">
        <v>21</v>
      </c>
      <c r="B562">
        <v>24</v>
      </c>
      <c r="C562" s="1" t="s">
        <v>36</v>
      </c>
      <c r="D562" s="1" t="s">
        <v>54</v>
      </c>
      <c r="E562">
        <v>2964</v>
      </c>
      <c r="F562" s="1" t="s">
        <v>24</v>
      </c>
      <c r="G562" s="1" t="s">
        <v>25</v>
      </c>
      <c r="H562">
        <v>4</v>
      </c>
      <c r="I562" s="1" t="s">
        <v>26</v>
      </c>
      <c r="J562" s="1" t="s">
        <v>27</v>
      </c>
      <c r="K562">
        <v>4</v>
      </c>
      <c r="L562" s="1" t="s">
        <v>52</v>
      </c>
      <c r="M562">
        <v>49</v>
      </c>
      <c r="N562" s="1" t="s">
        <v>66</v>
      </c>
      <c r="O562" s="1" t="s">
        <v>49</v>
      </c>
      <c r="P562">
        <v>1</v>
      </c>
      <c r="Q562" s="1" t="s">
        <v>31</v>
      </c>
      <c r="R562">
        <v>2</v>
      </c>
      <c r="S562" s="1" t="s">
        <v>32</v>
      </c>
      <c r="T562" s="1" t="s">
        <v>33</v>
      </c>
      <c r="U562" s="1" t="s">
        <v>34</v>
      </c>
      <c r="V562" s="1" t="str">
        <f>_xlfn.XLOOKUP(A562,Dictonary!$A$2:$A$5,Dictonary!$B$2:$B$5)</f>
        <v>Negative balance</v>
      </c>
      <c r="W562" s="1" t="str">
        <f>_xlfn.XLOOKUP(D562,Dictonary!$D$2:$D$12,Dictonary!$E$2:$E$12)</f>
        <v>car (used)</v>
      </c>
      <c r="X562" s="1" t="str">
        <f>_xlfn.XLOOKUP(F562,Dictonary!$G$2:$G$6,Dictonary!$H$2:$H$6)</f>
        <v>No information</v>
      </c>
      <c r="Y562" s="1" t="str">
        <f>_xlfn.XLOOKUP(I562,Dictonary!$J$2:$J$6,Dictonary!$K$2:$K$6)</f>
        <v>male : single</v>
      </c>
      <c r="Z562" s="1" t="str">
        <f>_xlfn.XLOOKUP(Q562,Dictonary!$M$2:$M$5,Dictonary!$N$2:$N$5)</f>
        <v>skilled employee / official</v>
      </c>
      <c r="AA562" s="1" t="str">
        <f>_xlfn.XLOOKUP(O562,Dictonary!$P$2:$P$4,Dictonary!$Q$2:$Q$4)</f>
        <v>for free</v>
      </c>
    </row>
    <row r="563" spans="1:27" x14ac:dyDescent="0.3">
      <c r="A563" s="1" t="s">
        <v>21</v>
      </c>
      <c r="B563">
        <v>24</v>
      </c>
      <c r="C563" s="1" t="s">
        <v>69</v>
      </c>
      <c r="D563" s="1" t="s">
        <v>23</v>
      </c>
      <c r="E563">
        <v>1546</v>
      </c>
      <c r="F563" s="1" t="s">
        <v>37</v>
      </c>
      <c r="G563" s="1" t="s">
        <v>44</v>
      </c>
      <c r="H563">
        <v>4</v>
      </c>
      <c r="I563" s="1" t="s">
        <v>26</v>
      </c>
      <c r="J563" s="1" t="s">
        <v>47</v>
      </c>
      <c r="K563">
        <v>4</v>
      </c>
      <c r="L563" s="1" t="s">
        <v>55</v>
      </c>
      <c r="M563">
        <v>24</v>
      </c>
      <c r="N563" s="1" t="s">
        <v>66</v>
      </c>
      <c r="O563" s="1" t="s">
        <v>56</v>
      </c>
      <c r="P563">
        <v>1</v>
      </c>
      <c r="Q563" s="1" t="s">
        <v>45</v>
      </c>
      <c r="R563">
        <v>1</v>
      </c>
      <c r="S563" s="1" t="s">
        <v>40</v>
      </c>
      <c r="T563" s="1" t="s">
        <v>33</v>
      </c>
      <c r="U563" s="1" t="s">
        <v>41</v>
      </c>
      <c r="V563" s="1" t="str">
        <f>_xlfn.XLOOKUP(A563,Dictonary!$A$2:$A$5,Dictonary!$B$2:$B$5)</f>
        <v>Negative balance</v>
      </c>
      <c r="W563" s="1" t="str">
        <f>_xlfn.XLOOKUP(D563,Dictonary!$D$2:$D$12,Dictonary!$E$2:$E$12)</f>
        <v>radio/television</v>
      </c>
      <c r="X563" s="1" t="str">
        <f>_xlfn.XLOOKUP(F563,Dictonary!$G$2:$G$6,Dictonary!$H$2:$H$6)</f>
        <v>Less 100</v>
      </c>
      <c r="Y563" s="1" t="str">
        <f>_xlfn.XLOOKUP(I563,Dictonary!$J$2:$J$6,Dictonary!$K$2:$K$6)</f>
        <v>male : single</v>
      </c>
      <c r="Z563" s="1" t="str">
        <f>_xlfn.XLOOKUP(Q563,Dictonary!$M$2:$M$5,Dictonary!$N$2:$N$5)</f>
        <v>unskilled - resident</v>
      </c>
      <c r="AA563" s="1" t="str">
        <f>_xlfn.XLOOKUP(O563,Dictonary!$P$2:$P$4,Dictonary!$Q$2:$Q$4)</f>
        <v>rent</v>
      </c>
    </row>
    <row r="564" spans="1:27" x14ac:dyDescent="0.3">
      <c r="A564" s="1" t="s">
        <v>68</v>
      </c>
      <c r="B564">
        <v>6</v>
      </c>
      <c r="C564" s="1" t="s">
        <v>50</v>
      </c>
      <c r="D564" s="1" t="s">
        <v>23</v>
      </c>
      <c r="E564">
        <v>683</v>
      </c>
      <c r="F564" s="1" t="s">
        <v>37</v>
      </c>
      <c r="G564" s="1" t="s">
        <v>62</v>
      </c>
      <c r="H564">
        <v>2</v>
      </c>
      <c r="I564" s="1" t="s">
        <v>39</v>
      </c>
      <c r="J564" s="1" t="s">
        <v>27</v>
      </c>
      <c r="K564">
        <v>1</v>
      </c>
      <c r="L564" s="1" t="s">
        <v>48</v>
      </c>
      <c r="M564">
        <v>29</v>
      </c>
      <c r="N564" s="1" t="s">
        <v>66</v>
      </c>
      <c r="O564" s="1" t="s">
        <v>30</v>
      </c>
      <c r="P564">
        <v>1</v>
      </c>
      <c r="Q564" s="1" t="s">
        <v>31</v>
      </c>
      <c r="R564">
        <v>1</v>
      </c>
      <c r="S564" s="1" t="s">
        <v>40</v>
      </c>
      <c r="T564" s="1" t="s">
        <v>33</v>
      </c>
      <c r="U564" s="1" t="s">
        <v>34</v>
      </c>
      <c r="V564" s="1" t="str">
        <f>_xlfn.XLOOKUP(A564,Dictonary!$A$2:$A$5,Dictonary!$B$2:$B$5)</f>
        <v>Normal balance</v>
      </c>
      <c r="W564" s="1" t="str">
        <f>_xlfn.XLOOKUP(D564,Dictonary!$D$2:$D$12,Dictonary!$E$2:$E$12)</f>
        <v>radio/television</v>
      </c>
      <c r="X564" s="1" t="str">
        <f>_xlfn.XLOOKUP(F564,Dictonary!$G$2:$G$6,Dictonary!$H$2:$H$6)</f>
        <v>Less 100</v>
      </c>
      <c r="Y564" s="1" t="str">
        <f>_xlfn.XLOOKUP(I564,Dictonary!$J$2:$J$6,Dictonary!$K$2:$K$6)</f>
        <v>female : divorced/separated/married</v>
      </c>
      <c r="Z564" s="1" t="str">
        <f>_xlfn.XLOOKUP(Q564,Dictonary!$M$2:$M$5,Dictonary!$N$2:$N$5)</f>
        <v>skilled employee / official</v>
      </c>
      <c r="AA564" s="1" t="str">
        <f>_xlfn.XLOOKUP(O564,Dictonary!$P$2:$P$4,Dictonary!$Q$2:$Q$4)</f>
        <v>own</v>
      </c>
    </row>
    <row r="565" spans="1:27" x14ac:dyDescent="0.3">
      <c r="A565" s="1" t="s">
        <v>35</v>
      </c>
      <c r="B565">
        <v>36</v>
      </c>
      <c r="C565" s="1" t="s">
        <v>36</v>
      </c>
      <c r="D565" s="1" t="s">
        <v>51</v>
      </c>
      <c r="E565">
        <v>12389</v>
      </c>
      <c r="F565" s="1" t="s">
        <v>24</v>
      </c>
      <c r="G565" s="1" t="s">
        <v>38</v>
      </c>
      <c r="H565">
        <v>1</v>
      </c>
      <c r="I565" s="1" t="s">
        <v>26</v>
      </c>
      <c r="J565" s="1" t="s">
        <v>27</v>
      </c>
      <c r="K565">
        <v>4</v>
      </c>
      <c r="L565" s="1" t="s">
        <v>52</v>
      </c>
      <c r="M565">
        <v>37</v>
      </c>
      <c r="N565" s="1" t="s">
        <v>29</v>
      </c>
      <c r="O565" s="1" t="s">
        <v>49</v>
      </c>
      <c r="P565">
        <v>1</v>
      </c>
      <c r="Q565" s="1" t="s">
        <v>31</v>
      </c>
      <c r="R565">
        <v>1</v>
      </c>
      <c r="S565" s="1" t="s">
        <v>32</v>
      </c>
      <c r="T565" s="1" t="s">
        <v>33</v>
      </c>
      <c r="U565" s="1" t="s">
        <v>41</v>
      </c>
      <c r="V565" s="1" t="str">
        <f>_xlfn.XLOOKUP(A565,Dictonary!$A$2:$A$5,Dictonary!$B$2:$B$5)</f>
        <v>Low balance</v>
      </c>
      <c r="W565" s="1" t="str">
        <f>_xlfn.XLOOKUP(D565,Dictonary!$D$2:$D$12,Dictonary!$E$2:$E$12)</f>
        <v>car (new)</v>
      </c>
      <c r="X565" s="1" t="str">
        <f>_xlfn.XLOOKUP(F565,Dictonary!$G$2:$G$6,Dictonary!$H$2:$H$6)</f>
        <v>No information</v>
      </c>
      <c r="Y565" s="1" t="str">
        <f>_xlfn.XLOOKUP(I565,Dictonary!$J$2:$J$6,Dictonary!$K$2:$K$6)</f>
        <v>male : single</v>
      </c>
      <c r="Z565" s="1" t="str">
        <f>_xlfn.XLOOKUP(Q565,Dictonary!$M$2:$M$5,Dictonary!$N$2:$N$5)</f>
        <v>skilled employee / official</v>
      </c>
      <c r="AA565" s="1" t="str">
        <f>_xlfn.XLOOKUP(O565,Dictonary!$P$2:$P$4,Dictonary!$Q$2:$Q$4)</f>
        <v>for free</v>
      </c>
    </row>
    <row r="566" spans="1:27" x14ac:dyDescent="0.3">
      <c r="A566" s="1" t="s">
        <v>35</v>
      </c>
      <c r="B566">
        <v>24</v>
      </c>
      <c r="C566" s="1" t="s">
        <v>50</v>
      </c>
      <c r="D566" s="1" t="s">
        <v>63</v>
      </c>
      <c r="E566">
        <v>4712</v>
      </c>
      <c r="F566" s="1" t="s">
        <v>24</v>
      </c>
      <c r="G566" s="1" t="s">
        <v>38</v>
      </c>
      <c r="H566">
        <v>4</v>
      </c>
      <c r="I566" s="1" t="s">
        <v>26</v>
      </c>
      <c r="J566" s="1" t="s">
        <v>27</v>
      </c>
      <c r="K566">
        <v>2</v>
      </c>
      <c r="L566" s="1" t="s">
        <v>48</v>
      </c>
      <c r="M566">
        <v>37</v>
      </c>
      <c r="N566" s="1" t="s">
        <v>66</v>
      </c>
      <c r="O566" s="1" t="s">
        <v>30</v>
      </c>
      <c r="P566">
        <v>2</v>
      </c>
      <c r="Q566" s="1" t="s">
        <v>57</v>
      </c>
      <c r="R566">
        <v>1</v>
      </c>
      <c r="S566" s="1" t="s">
        <v>32</v>
      </c>
      <c r="T566" s="1" t="s">
        <v>33</v>
      </c>
      <c r="U566" s="1" t="s">
        <v>34</v>
      </c>
      <c r="V566" s="1" t="str">
        <f>_xlfn.XLOOKUP(A566,Dictonary!$A$2:$A$5,Dictonary!$B$2:$B$5)</f>
        <v>Low balance</v>
      </c>
      <c r="W566" s="1" t="str">
        <f>_xlfn.XLOOKUP(D566,Dictonary!$D$2:$D$12,Dictonary!$E$2:$E$12)</f>
        <v>business</v>
      </c>
      <c r="X566" s="1" t="str">
        <f>_xlfn.XLOOKUP(F566,Dictonary!$G$2:$G$6,Dictonary!$H$2:$H$6)</f>
        <v>No information</v>
      </c>
      <c r="Y566" s="1" t="str">
        <f>_xlfn.XLOOKUP(I566,Dictonary!$J$2:$J$6,Dictonary!$K$2:$K$6)</f>
        <v>male : single</v>
      </c>
      <c r="Z566" s="1" t="str">
        <f>_xlfn.XLOOKUP(Q566,Dictonary!$M$2:$M$5,Dictonary!$N$2:$N$5)</f>
        <v>management/ self-employed/ highly qualified employee/ officer</v>
      </c>
      <c r="AA566" s="1" t="str">
        <f>_xlfn.XLOOKUP(O566,Dictonary!$P$2:$P$4,Dictonary!$Q$2:$Q$4)</f>
        <v>own</v>
      </c>
    </row>
    <row r="567" spans="1:27" x14ac:dyDescent="0.3">
      <c r="A567" s="1" t="s">
        <v>35</v>
      </c>
      <c r="B567">
        <v>24</v>
      </c>
      <c r="C567" s="1" t="s">
        <v>50</v>
      </c>
      <c r="D567" s="1" t="s">
        <v>23</v>
      </c>
      <c r="E567">
        <v>1553</v>
      </c>
      <c r="F567" s="1" t="s">
        <v>64</v>
      </c>
      <c r="G567" s="1" t="s">
        <v>44</v>
      </c>
      <c r="H567">
        <v>3</v>
      </c>
      <c r="I567" s="1" t="s">
        <v>39</v>
      </c>
      <c r="J567" s="1" t="s">
        <v>27</v>
      </c>
      <c r="K567">
        <v>2</v>
      </c>
      <c r="L567" s="1" t="s">
        <v>48</v>
      </c>
      <c r="M567">
        <v>23</v>
      </c>
      <c r="N567" s="1" t="s">
        <v>29</v>
      </c>
      <c r="O567" s="1" t="s">
        <v>56</v>
      </c>
      <c r="P567">
        <v>2</v>
      </c>
      <c r="Q567" s="1" t="s">
        <v>31</v>
      </c>
      <c r="R567">
        <v>1</v>
      </c>
      <c r="S567" s="1" t="s">
        <v>32</v>
      </c>
      <c r="T567" s="1" t="s">
        <v>33</v>
      </c>
      <c r="U567" s="1" t="s">
        <v>34</v>
      </c>
      <c r="V567" s="1" t="str">
        <f>_xlfn.XLOOKUP(A567,Dictonary!$A$2:$A$5,Dictonary!$B$2:$B$5)</f>
        <v>Low balance</v>
      </c>
      <c r="W567" s="1" t="str">
        <f>_xlfn.XLOOKUP(D567,Dictonary!$D$2:$D$12,Dictonary!$E$2:$E$12)</f>
        <v>radio/television</v>
      </c>
      <c r="X567" s="1" t="str">
        <f>_xlfn.XLOOKUP(F567,Dictonary!$G$2:$G$6,Dictonary!$H$2:$H$6)</f>
        <v>Up to 500</v>
      </c>
      <c r="Y567" s="1" t="str">
        <f>_xlfn.XLOOKUP(I567,Dictonary!$J$2:$J$6,Dictonary!$K$2:$K$6)</f>
        <v>female : divorced/separated/married</v>
      </c>
      <c r="Z567" s="1" t="str">
        <f>_xlfn.XLOOKUP(Q567,Dictonary!$M$2:$M$5,Dictonary!$N$2:$N$5)</f>
        <v>skilled employee / official</v>
      </c>
      <c r="AA567" s="1" t="str">
        <f>_xlfn.XLOOKUP(O567,Dictonary!$P$2:$P$4,Dictonary!$Q$2:$Q$4)</f>
        <v>rent</v>
      </c>
    </row>
    <row r="568" spans="1:27" x14ac:dyDescent="0.3">
      <c r="A568" s="1" t="s">
        <v>21</v>
      </c>
      <c r="B568">
        <v>12</v>
      </c>
      <c r="C568" s="1" t="s">
        <v>36</v>
      </c>
      <c r="D568" s="1" t="s">
        <v>51</v>
      </c>
      <c r="E568">
        <v>1372</v>
      </c>
      <c r="F568" s="1" t="s">
        <v>37</v>
      </c>
      <c r="G568" s="1" t="s">
        <v>44</v>
      </c>
      <c r="H568">
        <v>2</v>
      </c>
      <c r="I568" s="1" t="s">
        <v>59</v>
      </c>
      <c r="J568" s="1" t="s">
        <v>27</v>
      </c>
      <c r="K568">
        <v>3</v>
      </c>
      <c r="L568" s="1" t="s">
        <v>55</v>
      </c>
      <c r="M568">
        <v>36</v>
      </c>
      <c r="N568" s="1" t="s">
        <v>29</v>
      </c>
      <c r="O568" s="1" t="s">
        <v>30</v>
      </c>
      <c r="P568">
        <v>1</v>
      </c>
      <c r="Q568" s="1" t="s">
        <v>31</v>
      </c>
      <c r="R568">
        <v>1</v>
      </c>
      <c r="S568" s="1" t="s">
        <v>40</v>
      </c>
      <c r="T568" s="1" t="s">
        <v>33</v>
      </c>
      <c r="U568" s="1" t="s">
        <v>41</v>
      </c>
      <c r="V568" s="1" t="str">
        <f>_xlfn.XLOOKUP(A568,Dictonary!$A$2:$A$5,Dictonary!$B$2:$B$5)</f>
        <v>Negative balance</v>
      </c>
      <c r="W568" s="1" t="str">
        <f>_xlfn.XLOOKUP(D568,Dictonary!$D$2:$D$12,Dictonary!$E$2:$E$12)</f>
        <v>car (new)</v>
      </c>
      <c r="X568" s="1" t="str">
        <f>_xlfn.XLOOKUP(F568,Dictonary!$G$2:$G$6,Dictonary!$H$2:$H$6)</f>
        <v>Less 100</v>
      </c>
      <c r="Y568" s="1" t="str">
        <f>_xlfn.XLOOKUP(I568,Dictonary!$J$2:$J$6,Dictonary!$K$2:$K$6)</f>
        <v>male : divorced/separated</v>
      </c>
      <c r="Z568" s="1" t="str">
        <f>_xlfn.XLOOKUP(Q568,Dictonary!$M$2:$M$5,Dictonary!$N$2:$N$5)</f>
        <v>skilled employee / official</v>
      </c>
      <c r="AA568" s="1" t="str">
        <f>_xlfn.XLOOKUP(O568,Dictonary!$P$2:$P$4,Dictonary!$Q$2:$Q$4)</f>
        <v>own</v>
      </c>
    </row>
    <row r="569" spans="1:27" x14ac:dyDescent="0.3">
      <c r="A569" s="1" t="s">
        <v>42</v>
      </c>
      <c r="B569">
        <v>24</v>
      </c>
      <c r="C569" s="1" t="s">
        <v>22</v>
      </c>
      <c r="D569" s="1" t="s">
        <v>23</v>
      </c>
      <c r="E569">
        <v>2578</v>
      </c>
      <c r="F569" s="1" t="s">
        <v>58</v>
      </c>
      <c r="G569" s="1" t="s">
        <v>25</v>
      </c>
      <c r="H569">
        <v>2</v>
      </c>
      <c r="I569" s="1" t="s">
        <v>26</v>
      </c>
      <c r="J569" s="1" t="s">
        <v>27</v>
      </c>
      <c r="K569">
        <v>2</v>
      </c>
      <c r="L569" s="1" t="s">
        <v>55</v>
      </c>
      <c r="M569">
        <v>34</v>
      </c>
      <c r="N569" s="1" t="s">
        <v>29</v>
      </c>
      <c r="O569" s="1" t="s">
        <v>30</v>
      </c>
      <c r="P569">
        <v>1</v>
      </c>
      <c r="Q569" s="1" t="s">
        <v>31</v>
      </c>
      <c r="R569">
        <v>1</v>
      </c>
      <c r="S569" s="1" t="s">
        <v>40</v>
      </c>
      <c r="T569" s="1" t="s">
        <v>33</v>
      </c>
      <c r="U569" s="1" t="s">
        <v>34</v>
      </c>
      <c r="V569" s="1" t="str">
        <f>_xlfn.XLOOKUP(A569,Dictonary!$A$2:$A$5,Dictonary!$B$2:$B$5)</f>
        <v>No information</v>
      </c>
      <c r="W569" s="1" t="str">
        <f>_xlfn.XLOOKUP(D569,Dictonary!$D$2:$D$12,Dictonary!$E$2:$E$12)</f>
        <v>radio/television</v>
      </c>
      <c r="X569" s="1" t="str">
        <f>_xlfn.XLOOKUP(F569,Dictonary!$G$2:$G$6,Dictonary!$H$2:$H$6)</f>
        <v>More 1000</v>
      </c>
      <c r="Y569" s="1" t="str">
        <f>_xlfn.XLOOKUP(I569,Dictonary!$J$2:$J$6,Dictonary!$K$2:$K$6)</f>
        <v>male : single</v>
      </c>
      <c r="Z569" s="1" t="str">
        <f>_xlfn.XLOOKUP(Q569,Dictonary!$M$2:$M$5,Dictonary!$N$2:$N$5)</f>
        <v>skilled employee / official</v>
      </c>
      <c r="AA569" s="1" t="str">
        <f>_xlfn.XLOOKUP(O569,Dictonary!$P$2:$P$4,Dictonary!$Q$2:$Q$4)</f>
        <v>own</v>
      </c>
    </row>
    <row r="570" spans="1:27" x14ac:dyDescent="0.3">
      <c r="A570" s="1" t="s">
        <v>35</v>
      </c>
      <c r="B570">
        <v>48</v>
      </c>
      <c r="C570" s="1" t="s">
        <v>36</v>
      </c>
      <c r="D570" s="1" t="s">
        <v>23</v>
      </c>
      <c r="E570">
        <v>3979</v>
      </c>
      <c r="F570" s="1" t="s">
        <v>24</v>
      </c>
      <c r="G570" s="1" t="s">
        <v>44</v>
      </c>
      <c r="H570">
        <v>4</v>
      </c>
      <c r="I570" s="1" t="s">
        <v>26</v>
      </c>
      <c r="J570" s="1" t="s">
        <v>27</v>
      </c>
      <c r="K570">
        <v>1</v>
      </c>
      <c r="L570" s="1" t="s">
        <v>55</v>
      </c>
      <c r="M570">
        <v>41</v>
      </c>
      <c r="N570" s="1" t="s">
        <v>29</v>
      </c>
      <c r="O570" s="1" t="s">
        <v>30</v>
      </c>
      <c r="P570">
        <v>2</v>
      </c>
      <c r="Q570" s="1" t="s">
        <v>31</v>
      </c>
      <c r="R570">
        <v>2</v>
      </c>
      <c r="S570" s="1" t="s">
        <v>32</v>
      </c>
      <c r="T570" s="1" t="s">
        <v>33</v>
      </c>
      <c r="U570" s="1" t="s">
        <v>34</v>
      </c>
      <c r="V570" s="1" t="str">
        <f>_xlfn.XLOOKUP(A570,Dictonary!$A$2:$A$5,Dictonary!$B$2:$B$5)</f>
        <v>Low balance</v>
      </c>
      <c r="W570" s="1" t="str">
        <f>_xlfn.XLOOKUP(D570,Dictonary!$D$2:$D$12,Dictonary!$E$2:$E$12)</f>
        <v>radio/television</v>
      </c>
      <c r="X570" s="1" t="str">
        <f>_xlfn.XLOOKUP(F570,Dictonary!$G$2:$G$6,Dictonary!$H$2:$H$6)</f>
        <v>No information</v>
      </c>
      <c r="Y570" s="1" t="str">
        <f>_xlfn.XLOOKUP(I570,Dictonary!$J$2:$J$6,Dictonary!$K$2:$K$6)</f>
        <v>male : single</v>
      </c>
      <c r="Z570" s="1" t="str">
        <f>_xlfn.XLOOKUP(Q570,Dictonary!$M$2:$M$5,Dictonary!$N$2:$N$5)</f>
        <v>skilled employee / official</v>
      </c>
      <c r="AA570" s="1" t="str">
        <f>_xlfn.XLOOKUP(O570,Dictonary!$P$2:$P$4,Dictonary!$Q$2:$Q$4)</f>
        <v>own</v>
      </c>
    </row>
    <row r="571" spans="1:27" x14ac:dyDescent="0.3">
      <c r="A571" s="1" t="s">
        <v>21</v>
      </c>
      <c r="B571">
        <v>48</v>
      </c>
      <c r="C571" s="1" t="s">
        <v>36</v>
      </c>
      <c r="D571" s="1" t="s">
        <v>23</v>
      </c>
      <c r="E571">
        <v>6758</v>
      </c>
      <c r="F571" s="1" t="s">
        <v>37</v>
      </c>
      <c r="G571" s="1" t="s">
        <v>38</v>
      </c>
      <c r="H571">
        <v>3</v>
      </c>
      <c r="I571" s="1" t="s">
        <v>39</v>
      </c>
      <c r="J571" s="1" t="s">
        <v>27</v>
      </c>
      <c r="K571">
        <v>2</v>
      </c>
      <c r="L571" s="1" t="s">
        <v>55</v>
      </c>
      <c r="M571">
        <v>31</v>
      </c>
      <c r="N571" s="1" t="s">
        <v>29</v>
      </c>
      <c r="O571" s="1" t="s">
        <v>30</v>
      </c>
      <c r="P571">
        <v>1</v>
      </c>
      <c r="Q571" s="1" t="s">
        <v>31</v>
      </c>
      <c r="R571">
        <v>1</v>
      </c>
      <c r="S571" s="1" t="s">
        <v>32</v>
      </c>
      <c r="T571" s="1" t="s">
        <v>33</v>
      </c>
      <c r="U571" s="1" t="s">
        <v>41</v>
      </c>
      <c r="V571" s="1" t="str">
        <f>_xlfn.XLOOKUP(A571,Dictonary!$A$2:$A$5,Dictonary!$B$2:$B$5)</f>
        <v>Negative balance</v>
      </c>
      <c r="W571" s="1" t="str">
        <f>_xlfn.XLOOKUP(D571,Dictonary!$D$2:$D$12,Dictonary!$E$2:$E$12)</f>
        <v>radio/television</v>
      </c>
      <c r="X571" s="1" t="str">
        <f>_xlfn.XLOOKUP(F571,Dictonary!$G$2:$G$6,Dictonary!$H$2:$H$6)</f>
        <v>Less 100</v>
      </c>
      <c r="Y571" s="1" t="str">
        <f>_xlfn.XLOOKUP(I571,Dictonary!$J$2:$J$6,Dictonary!$K$2:$K$6)</f>
        <v>female : divorced/separated/married</v>
      </c>
      <c r="Z571" s="1" t="str">
        <f>_xlfn.XLOOKUP(Q571,Dictonary!$M$2:$M$5,Dictonary!$N$2:$N$5)</f>
        <v>skilled employee / official</v>
      </c>
      <c r="AA571" s="1" t="str">
        <f>_xlfn.XLOOKUP(O571,Dictonary!$P$2:$P$4,Dictonary!$Q$2:$Q$4)</f>
        <v>own</v>
      </c>
    </row>
    <row r="572" spans="1:27" x14ac:dyDescent="0.3">
      <c r="A572" s="1" t="s">
        <v>21</v>
      </c>
      <c r="B572">
        <v>24</v>
      </c>
      <c r="C572" s="1" t="s">
        <v>36</v>
      </c>
      <c r="D572" s="1" t="s">
        <v>46</v>
      </c>
      <c r="E572">
        <v>3234</v>
      </c>
      <c r="F572" s="1" t="s">
        <v>37</v>
      </c>
      <c r="G572" s="1" t="s">
        <v>62</v>
      </c>
      <c r="H572">
        <v>4</v>
      </c>
      <c r="I572" s="1" t="s">
        <v>39</v>
      </c>
      <c r="J572" s="1" t="s">
        <v>27</v>
      </c>
      <c r="K572">
        <v>4</v>
      </c>
      <c r="L572" s="1" t="s">
        <v>28</v>
      </c>
      <c r="M572">
        <v>23</v>
      </c>
      <c r="N572" s="1" t="s">
        <v>29</v>
      </c>
      <c r="O572" s="1" t="s">
        <v>56</v>
      </c>
      <c r="P572">
        <v>1</v>
      </c>
      <c r="Q572" s="1" t="s">
        <v>45</v>
      </c>
      <c r="R572">
        <v>1</v>
      </c>
      <c r="S572" s="1" t="s">
        <v>32</v>
      </c>
      <c r="T572" s="1" t="s">
        <v>33</v>
      </c>
      <c r="U572" s="1" t="s">
        <v>41</v>
      </c>
      <c r="V572" s="1" t="str">
        <f>_xlfn.XLOOKUP(A572,Dictonary!$A$2:$A$5,Dictonary!$B$2:$B$5)</f>
        <v>Negative balance</v>
      </c>
      <c r="W572" s="1" t="str">
        <f>_xlfn.XLOOKUP(D572,Dictonary!$D$2:$D$12,Dictonary!$E$2:$E$12)</f>
        <v>furniture/equipment</v>
      </c>
      <c r="X572" s="1" t="str">
        <f>_xlfn.XLOOKUP(F572,Dictonary!$G$2:$G$6,Dictonary!$H$2:$H$6)</f>
        <v>Less 100</v>
      </c>
      <c r="Y572" s="1" t="str">
        <f>_xlfn.XLOOKUP(I572,Dictonary!$J$2:$J$6,Dictonary!$K$2:$K$6)</f>
        <v>female : divorced/separated/married</v>
      </c>
      <c r="Z572" s="1" t="str">
        <f>_xlfn.XLOOKUP(Q572,Dictonary!$M$2:$M$5,Dictonary!$N$2:$N$5)</f>
        <v>unskilled - resident</v>
      </c>
      <c r="AA572" s="1" t="str">
        <f>_xlfn.XLOOKUP(O572,Dictonary!$P$2:$P$4,Dictonary!$Q$2:$Q$4)</f>
        <v>rent</v>
      </c>
    </row>
    <row r="573" spans="1:27" x14ac:dyDescent="0.3">
      <c r="A573" s="1" t="s">
        <v>42</v>
      </c>
      <c r="B573">
        <v>30</v>
      </c>
      <c r="C573" s="1" t="s">
        <v>22</v>
      </c>
      <c r="D573" s="1" t="s">
        <v>23</v>
      </c>
      <c r="E573">
        <v>5954</v>
      </c>
      <c r="F573" s="1" t="s">
        <v>37</v>
      </c>
      <c r="G573" s="1" t="s">
        <v>44</v>
      </c>
      <c r="H573">
        <v>3</v>
      </c>
      <c r="I573" s="1" t="s">
        <v>26</v>
      </c>
      <c r="J573" s="1" t="s">
        <v>71</v>
      </c>
      <c r="K573">
        <v>2</v>
      </c>
      <c r="L573" s="1" t="s">
        <v>55</v>
      </c>
      <c r="M573">
        <v>38</v>
      </c>
      <c r="N573" s="1" t="s">
        <v>29</v>
      </c>
      <c r="O573" s="1" t="s">
        <v>30</v>
      </c>
      <c r="P573">
        <v>1</v>
      </c>
      <c r="Q573" s="1" t="s">
        <v>31</v>
      </c>
      <c r="R573">
        <v>1</v>
      </c>
      <c r="S573" s="1" t="s">
        <v>40</v>
      </c>
      <c r="T573" s="1" t="s">
        <v>33</v>
      </c>
      <c r="U573" s="1" t="s">
        <v>34</v>
      </c>
      <c r="V573" s="1" t="str">
        <f>_xlfn.XLOOKUP(A573,Dictonary!$A$2:$A$5,Dictonary!$B$2:$B$5)</f>
        <v>No information</v>
      </c>
      <c r="W573" s="1" t="str">
        <f>_xlfn.XLOOKUP(D573,Dictonary!$D$2:$D$12,Dictonary!$E$2:$E$12)</f>
        <v>radio/television</v>
      </c>
      <c r="X573" s="1" t="str">
        <f>_xlfn.XLOOKUP(F573,Dictonary!$G$2:$G$6,Dictonary!$H$2:$H$6)</f>
        <v>Less 100</v>
      </c>
      <c r="Y573" s="1" t="str">
        <f>_xlfn.XLOOKUP(I573,Dictonary!$J$2:$J$6,Dictonary!$K$2:$K$6)</f>
        <v>male : single</v>
      </c>
      <c r="Z573" s="1" t="str">
        <f>_xlfn.XLOOKUP(Q573,Dictonary!$M$2:$M$5,Dictonary!$N$2:$N$5)</f>
        <v>skilled employee / official</v>
      </c>
      <c r="AA573" s="1" t="str">
        <f>_xlfn.XLOOKUP(O573,Dictonary!$P$2:$P$4,Dictonary!$Q$2:$Q$4)</f>
        <v>own</v>
      </c>
    </row>
    <row r="574" spans="1:27" x14ac:dyDescent="0.3">
      <c r="A574" s="1" t="s">
        <v>42</v>
      </c>
      <c r="B574">
        <v>24</v>
      </c>
      <c r="C574" s="1" t="s">
        <v>36</v>
      </c>
      <c r="D574" s="1" t="s">
        <v>54</v>
      </c>
      <c r="E574">
        <v>5433</v>
      </c>
      <c r="F574" s="1" t="s">
        <v>24</v>
      </c>
      <c r="G574" s="1" t="s">
        <v>60</v>
      </c>
      <c r="H574">
        <v>2</v>
      </c>
      <c r="I574" s="1" t="s">
        <v>39</v>
      </c>
      <c r="J574" s="1" t="s">
        <v>27</v>
      </c>
      <c r="K574">
        <v>4</v>
      </c>
      <c r="L574" s="1" t="s">
        <v>48</v>
      </c>
      <c r="M574">
        <v>26</v>
      </c>
      <c r="N574" s="1" t="s">
        <v>29</v>
      </c>
      <c r="O574" s="1" t="s">
        <v>56</v>
      </c>
      <c r="P574">
        <v>1</v>
      </c>
      <c r="Q574" s="1" t="s">
        <v>57</v>
      </c>
      <c r="R574">
        <v>1</v>
      </c>
      <c r="S574" s="1" t="s">
        <v>32</v>
      </c>
      <c r="T574" s="1" t="s">
        <v>33</v>
      </c>
      <c r="U574" s="1" t="s">
        <v>34</v>
      </c>
      <c r="V574" s="1" t="str">
        <f>_xlfn.XLOOKUP(A574,Dictonary!$A$2:$A$5,Dictonary!$B$2:$B$5)</f>
        <v>No information</v>
      </c>
      <c r="W574" s="1" t="str">
        <f>_xlfn.XLOOKUP(D574,Dictonary!$D$2:$D$12,Dictonary!$E$2:$E$12)</f>
        <v>car (used)</v>
      </c>
      <c r="X574" s="1" t="str">
        <f>_xlfn.XLOOKUP(F574,Dictonary!$G$2:$G$6,Dictonary!$H$2:$H$6)</f>
        <v>No information</v>
      </c>
      <c r="Y574" s="1" t="str">
        <f>_xlfn.XLOOKUP(I574,Dictonary!$J$2:$J$6,Dictonary!$K$2:$K$6)</f>
        <v>female : divorced/separated/married</v>
      </c>
      <c r="Z574" s="1" t="str">
        <f>_xlfn.XLOOKUP(Q574,Dictonary!$M$2:$M$5,Dictonary!$N$2:$N$5)</f>
        <v>management/ self-employed/ highly qualified employee/ officer</v>
      </c>
      <c r="AA574" s="1" t="str">
        <f>_xlfn.XLOOKUP(O574,Dictonary!$P$2:$P$4,Dictonary!$Q$2:$Q$4)</f>
        <v>rent</v>
      </c>
    </row>
    <row r="575" spans="1:27" x14ac:dyDescent="0.3">
      <c r="A575" s="1" t="s">
        <v>21</v>
      </c>
      <c r="B575">
        <v>15</v>
      </c>
      <c r="C575" s="1" t="s">
        <v>36</v>
      </c>
      <c r="D575" s="1" t="s">
        <v>63</v>
      </c>
      <c r="E575">
        <v>806</v>
      </c>
      <c r="F575" s="1" t="s">
        <v>37</v>
      </c>
      <c r="G575" s="1" t="s">
        <v>38</v>
      </c>
      <c r="H575">
        <v>4</v>
      </c>
      <c r="I575" s="1" t="s">
        <v>39</v>
      </c>
      <c r="J575" s="1" t="s">
        <v>27</v>
      </c>
      <c r="K575">
        <v>4</v>
      </c>
      <c r="L575" s="1" t="s">
        <v>48</v>
      </c>
      <c r="M575">
        <v>22</v>
      </c>
      <c r="N575" s="1" t="s">
        <v>29</v>
      </c>
      <c r="O575" s="1" t="s">
        <v>30</v>
      </c>
      <c r="P575">
        <v>1</v>
      </c>
      <c r="Q575" s="1" t="s">
        <v>45</v>
      </c>
      <c r="R575">
        <v>1</v>
      </c>
      <c r="S575" s="1" t="s">
        <v>40</v>
      </c>
      <c r="T575" s="1" t="s">
        <v>33</v>
      </c>
      <c r="U575" s="1" t="s">
        <v>34</v>
      </c>
      <c r="V575" s="1" t="str">
        <f>_xlfn.XLOOKUP(A575,Dictonary!$A$2:$A$5,Dictonary!$B$2:$B$5)</f>
        <v>Negative balance</v>
      </c>
      <c r="W575" s="1" t="str">
        <f>_xlfn.XLOOKUP(D575,Dictonary!$D$2:$D$12,Dictonary!$E$2:$E$12)</f>
        <v>business</v>
      </c>
      <c r="X575" s="1" t="str">
        <f>_xlfn.XLOOKUP(F575,Dictonary!$G$2:$G$6,Dictonary!$H$2:$H$6)</f>
        <v>Less 100</v>
      </c>
      <c r="Y575" s="1" t="str">
        <f>_xlfn.XLOOKUP(I575,Dictonary!$J$2:$J$6,Dictonary!$K$2:$K$6)</f>
        <v>female : divorced/separated/married</v>
      </c>
      <c r="Z575" s="1" t="str">
        <f>_xlfn.XLOOKUP(Q575,Dictonary!$M$2:$M$5,Dictonary!$N$2:$N$5)</f>
        <v>unskilled - resident</v>
      </c>
      <c r="AA575" s="1" t="str">
        <f>_xlfn.XLOOKUP(O575,Dictonary!$P$2:$P$4,Dictonary!$Q$2:$Q$4)</f>
        <v>own</v>
      </c>
    </row>
    <row r="576" spans="1:27" x14ac:dyDescent="0.3">
      <c r="A576" s="1" t="s">
        <v>35</v>
      </c>
      <c r="B576">
        <v>9</v>
      </c>
      <c r="C576" s="1" t="s">
        <v>36</v>
      </c>
      <c r="D576" s="1" t="s">
        <v>23</v>
      </c>
      <c r="E576">
        <v>1082</v>
      </c>
      <c r="F576" s="1" t="s">
        <v>37</v>
      </c>
      <c r="G576" s="1" t="s">
        <v>25</v>
      </c>
      <c r="H576">
        <v>4</v>
      </c>
      <c r="I576" s="1" t="s">
        <v>26</v>
      </c>
      <c r="J576" s="1" t="s">
        <v>27</v>
      </c>
      <c r="K576">
        <v>4</v>
      </c>
      <c r="L576" s="1" t="s">
        <v>55</v>
      </c>
      <c r="M576">
        <v>27</v>
      </c>
      <c r="N576" s="1" t="s">
        <v>29</v>
      </c>
      <c r="O576" s="1" t="s">
        <v>30</v>
      </c>
      <c r="P576">
        <v>2</v>
      </c>
      <c r="Q576" s="1" t="s">
        <v>45</v>
      </c>
      <c r="R576">
        <v>1</v>
      </c>
      <c r="S576" s="1" t="s">
        <v>40</v>
      </c>
      <c r="T576" s="1" t="s">
        <v>33</v>
      </c>
      <c r="U576" s="1" t="s">
        <v>34</v>
      </c>
      <c r="V576" s="1" t="str">
        <f>_xlfn.XLOOKUP(A576,Dictonary!$A$2:$A$5,Dictonary!$B$2:$B$5)</f>
        <v>Low balance</v>
      </c>
      <c r="W576" s="1" t="str">
        <f>_xlfn.XLOOKUP(D576,Dictonary!$D$2:$D$12,Dictonary!$E$2:$E$12)</f>
        <v>radio/television</v>
      </c>
      <c r="X576" s="1" t="str">
        <f>_xlfn.XLOOKUP(F576,Dictonary!$G$2:$G$6,Dictonary!$H$2:$H$6)</f>
        <v>Less 100</v>
      </c>
      <c r="Y576" s="1" t="str">
        <f>_xlfn.XLOOKUP(I576,Dictonary!$J$2:$J$6,Dictonary!$K$2:$K$6)</f>
        <v>male : single</v>
      </c>
      <c r="Z576" s="1" t="str">
        <f>_xlfn.XLOOKUP(Q576,Dictonary!$M$2:$M$5,Dictonary!$N$2:$N$5)</f>
        <v>unskilled - resident</v>
      </c>
      <c r="AA576" s="1" t="str">
        <f>_xlfn.XLOOKUP(O576,Dictonary!$P$2:$P$4,Dictonary!$Q$2:$Q$4)</f>
        <v>own</v>
      </c>
    </row>
    <row r="577" spans="1:27" x14ac:dyDescent="0.3">
      <c r="A577" s="1" t="s">
        <v>42</v>
      </c>
      <c r="B577">
        <v>15</v>
      </c>
      <c r="C577" s="1" t="s">
        <v>22</v>
      </c>
      <c r="D577" s="1" t="s">
        <v>46</v>
      </c>
      <c r="E577">
        <v>2788</v>
      </c>
      <c r="F577" s="1" t="s">
        <v>37</v>
      </c>
      <c r="G577" s="1" t="s">
        <v>44</v>
      </c>
      <c r="H577">
        <v>2</v>
      </c>
      <c r="I577" s="1" t="s">
        <v>39</v>
      </c>
      <c r="J577" s="1" t="s">
        <v>71</v>
      </c>
      <c r="K577">
        <v>3</v>
      </c>
      <c r="L577" s="1" t="s">
        <v>55</v>
      </c>
      <c r="M577">
        <v>24</v>
      </c>
      <c r="N577" s="1" t="s">
        <v>66</v>
      </c>
      <c r="O577" s="1" t="s">
        <v>30</v>
      </c>
      <c r="P577">
        <v>2</v>
      </c>
      <c r="Q577" s="1" t="s">
        <v>31</v>
      </c>
      <c r="R577">
        <v>1</v>
      </c>
      <c r="S577" s="1" t="s">
        <v>40</v>
      </c>
      <c r="T577" s="1" t="s">
        <v>33</v>
      </c>
      <c r="U577" s="1" t="s">
        <v>34</v>
      </c>
      <c r="V577" s="1" t="str">
        <f>_xlfn.XLOOKUP(A577,Dictonary!$A$2:$A$5,Dictonary!$B$2:$B$5)</f>
        <v>No information</v>
      </c>
      <c r="W577" s="1" t="str">
        <f>_xlfn.XLOOKUP(D577,Dictonary!$D$2:$D$12,Dictonary!$E$2:$E$12)</f>
        <v>furniture/equipment</v>
      </c>
      <c r="X577" s="1" t="str">
        <f>_xlfn.XLOOKUP(F577,Dictonary!$G$2:$G$6,Dictonary!$H$2:$H$6)</f>
        <v>Less 100</v>
      </c>
      <c r="Y577" s="1" t="str">
        <f>_xlfn.XLOOKUP(I577,Dictonary!$J$2:$J$6,Dictonary!$K$2:$K$6)</f>
        <v>female : divorced/separated/married</v>
      </c>
      <c r="Z577" s="1" t="str">
        <f>_xlfn.XLOOKUP(Q577,Dictonary!$M$2:$M$5,Dictonary!$N$2:$N$5)</f>
        <v>skilled employee / official</v>
      </c>
      <c r="AA577" s="1" t="str">
        <f>_xlfn.XLOOKUP(O577,Dictonary!$P$2:$P$4,Dictonary!$Q$2:$Q$4)</f>
        <v>own</v>
      </c>
    </row>
    <row r="578" spans="1:27" x14ac:dyDescent="0.3">
      <c r="A578" s="1" t="s">
        <v>35</v>
      </c>
      <c r="B578">
        <v>12</v>
      </c>
      <c r="C578" s="1" t="s">
        <v>36</v>
      </c>
      <c r="D578" s="1" t="s">
        <v>23</v>
      </c>
      <c r="E578">
        <v>2930</v>
      </c>
      <c r="F578" s="1" t="s">
        <v>37</v>
      </c>
      <c r="G578" s="1" t="s">
        <v>44</v>
      </c>
      <c r="H578">
        <v>2</v>
      </c>
      <c r="I578" s="1" t="s">
        <v>39</v>
      </c>
      <c r="J578" s="1" t="s">
        <v>27</v>
      </c>
      <c r="K578">
        <v>1</v>
      </c>
      <c r="L578" s="1" t="s">
        <v>28</v>
      </c>
      <c r="M578">
        <v>27</v>
      </c>
      <c r="N578" s="1" t="s">
        <v>29</v>
      </c>
      <c r="O578" s="1" t="s">
        <v>30</v>
      </c>
      <c r="P578">
        <v>1</v>
      </c>
      <c r="Q578" s="1" t="s">
        <v>31</v>
      </c>
      <c r="R578">
        <v>1</v>
      </c>
      <c r="S578" s="1" t="s">
        <v>40</v>
      </c>
      <c r="T578" s="1" t="s">
        <v>33</v>
      </c>
      <c r="U578" s="1" t="s">
        <v>34</v>
      </c>
      <c r="V578" s="1" t="str">
        <f>_xlfn.XLOOKUP(A578,Dictonary!$A$2:$A$5,Dictonary!$B$2:$B$5)</f>
        <v>Low balance</v>
      </c>
      <c r="W578" s="1" t="str">
        <f>_xlfn.XLOOKUP(D578,Dictonary!$D$2:$D$12,Dictonary!$E$2:$E$12)</f>
        <v>radio/television</v>
      </c>
      <c r="X578" s="1" t="str">
        <f>_xlfn.XLOOKUP(F578,Dictonary!$G$2:$G$6,Dictonary!$H$2:$H$6)</f>
        <v>Less 100</v>
      </c>
      <c r="Y578" s="1" t="str">
        <f>_xlfn.XLOOKUP(I578,Dictonary!$J$2:$J$6,Dictonary!$K$2:$K$6)</f>
        <v>female : divorced/separated/married</v>
      </c>
      <c r="Z578" s="1" t="str">
        <f>_xlfn.XLOOKUP(Q578,Dictonary!$M$2:$M$5,Dictonary!$N$2:$N$5)</f>
        <v>skilled employee / official</v>
      </c>
      <c r="AA578" s="1" t="str">
        <f>_xlfn.XLOOKUP(O578,Dictonary!$P$2:$P$4,Dictonary!$Q$2:$Q$4)</f>
        <v>own</v>
      </c>
    </row>
    <row r="579" spans="1:27" x14ac:dyDescent="0.3">
      <c r="A579" s="1" t="s">
        <v>42</v>
      </c>
      <c r="B579">
        <v>24</v>
      </c>
      <c r="C579" s="1" t="s">
        <v>22</v>
      </c>
      <c r="D579" s="1" t="s">
        <v>43</v>
      </c>
      <c r="E579">
        <v>1927</v>
      </c>
      <c r="F579" s="1" t="s">
        <v>24</v>
      </c>
      <c r="G579" s="1" t="s">
        <v>38</v>
      </c>
      <c r="H579">
        <v>3</v>
      </c>
      <c r="I579" s="1" t="s">
        <v>39</v>
      </c>
      <c r="J579" s="1" t="s">
        <v>27</v>
      </c>
      <c r="K579">
        <v>2</v>
      </c>
      <c r="L579" s="1" t="s">
        <v>55</v>
      </c>
      <c r="M579">
        <v>33</v>
      </c>
      <c r="N579" s="1" t="s">
        <v>29</v>
      </c>
      <c r="O579" s="1" t="s">
        <v>30</v>
      </c>
      <c r="P579">
        <v>2</v>
      </c>
      <c r="Q579" s="1" t="s">
        <v>31</v>
      </c>
      <c r="R579">
        <v>1</v>
      </c>
      <c r="S579" s="1" t="s">
        <v>32</v>
      </c>
      <c r="T579" s="1" t="s">
        <v>33</v>
      </c>
      <c r="U579" s="1" t="s">
        <v>34</v>
      </c>
      <c r="V579" s="1" t="str">
        <f>_xlfn.XLOOKUP(A579,Dictonary!$A$2:$A$5,Dictonary!$B$2:$B$5)</f>
        <v>No information</v>
      </c>
      <c r="W579" s="1" t="str">
        <f>_xlfn.XLOOKUP(D579,Dictonary!$D$2:$D$12,Dictonary!$E$2:$E$12)</f>
        <v>education</v>
      </c>
      <c r="X579" s="1" t="str">
        <f>_xlfn.XLOOKUP(F579,Dictonary!$G$2:$G$6,Dictonary!$H$2:$H$6)</f>
        <v>No information</v>
      </c>
      <c r="Y579" s="1" t="str">
        <f>_xlfn.XLOOKUP(I579,Dictonary!$J$2:$J$6,Dictonary!$K$2:$K$6)</f>
        <v>female : divorced/separated/married</v>
      </c>
      <c r="Z579" s="1" t="str">
        <f>_xlfn.XLOOKUP(Q579,Dictonary!$M$2:$M$5,Dictonary!$N$2:$N$5)</f>
        <v>skilled employee / official</v>
      </c>
      <c r="AA579" s="1" t="str">
        <f>_xlfn.XLOOKUP(O579,Dictonary!$P$2:$P$4,Dictonary!$Q$2:$Q$4)</f>
        <v>own</v>
      </c>
    </row>
    <row r="580" spans="1:27" x14ac:dyDescent="0.3">
      <c r="A580" s="1" t="s">
        <v>35</v>
      </c>
      <c r="B580">
        <v>36</v>
      </c>
      <c r="C580" s="1" t="s">
        <v>22</v>
      </c>
      <c r="D580" s="1" t="s">
        <v>51</v>
      </c>
      <c r="E580">
        <v>2820</v>
      </c>
      <c r="F580" s="1" t="s">
        <v>37</v>
      </c>
      <c r="G580" s="1" t="s">
        <v>62</v>
      </c>
      <c r="H580">
        <v>4</v>
      </c>
      <c r="I580" s="1" t="s">
        <v>59</v>
      </c>
      <c r="J580" s="1" t="s">
        <v>27</v>
      </c>
      <c r="K580">
        <v>4</v>
      </c>
      <c r="L580" s="1" t="s">
        <v>55</v>
      </c>
      <c r="M580">
        <v>27</v>
      </c>
      <c r="N580" s="1" t="s">
        <v>29</v>
      </c>
      <c r="O580" s="1" t="s">
        <v>30</v>
      </c>
      <c r="P580">
        <v>2</v>
      </c>
      <c r="Q580" s="1" t="s">
        <v>31</v>
      </c>
      <c r="R580">
        <v>1</v>
      </c>
      <c r="S580" s="1" t="s">
        <v>40</v>
      </c>
      <c r="T580" s="1" t="s">
        <v>33</v>
      </c>
      <c r="U580" s="1" t="s">
        <v>41</v>
      </c>
      <c r="V580" s="1" t="str">
        <f>_xlfn.XLOOKUP(A580,Dictonary!$A$2:$A$5,Dictonary!$B$2:$B$5)</f>
        <v>Low balance</v>
      </c>
      <c r="W580" s="1" t="str">
        <f>_xlfn.XLOOKUP(D580,Dictonary!$D$2:$D$12,Dictonary!$E$2:$E$12)</f>
        <v>car (new)</v>
      </c>
      <c r="X580" s="1" t="str">
        <f>_xlfn.XLOOKUP(F580,Dictonary!$G$2:$G$6,Dictonary!$H$2:$H$6)</f>
        <v>Less 100</v>
      </c>
      <c r="Y580" s="1" t="str">
        <f>_xlfn.XLOOKUP(I580,Dictonary!$J$2:$J$6,Dictonary!$K$2:$K$6)</f>
        <v>male : divorced/separated</v>
      </c>
      <c r="Z580" s="1" t="str">
        <f>_xlfn.XLOOKUP(Q580,Dictonary!$M$2:$M$5,Dictonary!$N$2:$N$5)</f>
        <v>skilled employee / official</v>
      </c>
      <c r="AA580" s="1" t="str">
        <f>_xlfn.XLOOKUP(O580,Dictonary!$P$2:$P$4,Dictonary!$Q$2:$Q$4)</f>
        <v>own</v>
      </c>
    </row>
    <row r="581" spans="1:27" x14ac:dyDescent="0.3">
      <c r="A581" s="1" t="s">
        <v>42</v>
      </c>
      <c r="B581">
        <v>24</v>
      </c>
      <c r="C581" s="1" t="s">
        <v>36</v>
      </c>
      <c r="D581" s="1" t="s">
        <v>76</v>
      </c>
      <c r="E581">
        <v>937</v>
      </c>
      <c r="F581" s="1" t="s">
        <v>37</v>
      </c>
      <c r="G581" s="1" t="s">
        <v>62</v>
      </c>
      <c r="H581">
        <v>4</v>
      </c>
      <c r="I581" s="1" t="s">
        <v>61</v>
      </c>
      <c r="J581" s="1" t="s">
        <v>27</v>
      </c>
      <c r="K581">
        <v>3</v>
      </c>
      <c r="L581" s="1" t="s">
        <v>55</v>
      </c>
      <c r="M581">
        <v>27</v>
      </c>
      <c r="N581" s="1" t="s">
        <v>29</v>
      </c>
      <c r="O581" s="1" t="s">
        <v>30</v>
      </c>
      <c r="P581">
        <v>2</v>
      </c>
      <c r="Q581" s="1" t="s">
        <v>45</v>
      </c>
      <c r="R581">
        <v>1</v>
      </c>
      <c r="S581" s="1" t="s">
        <v>40</v>
      </c>
      <c r="T581" s="1" t="s">
        <v>33</v>
      </c>
      <c r="U581" s="1" t="s">
        <v>34</v>
      </c>
      <c r="V581" s="1" t="str">
        <f>_xlfn.XLOOKUP(A581,Dictonary!$A$2:$A$5,Dictonary!$B$2:$B$5)</f>
        <v>No information</v>
      </c>
      <c r="W581" s="1" t="str">
        <f>_xlfn.XLOOKUP(D581,Dictonary!$D$2:$D$12,Dictonary!$E$2:$E$12)</f>
        <v>retraining</v>
      </c>
      <c r="X581" s="1" t="str">
        <f>_xlfn.XLOOKUP(F581,Dictonary!$G$2:$G$6,Dictonary!$H$2:$H$6)</f>
        <v>Less 100</v>
      </c>
      <c r="Y581" s="1" t="str">
        <f>_xlfn.XLOOKUP(I581,Dictonary!$J$2:$J$6,Dictonary!$K$2:$K$6)</f>
        <v>male : married/widowed</v>
      </c>
      <c r="Z581" s="1" t="str">
        <f>_xlfn.XLOOKUP(Q581,Dictonary!$M$2:$M$5,Dictonary!$N$2:$N$5)</f>
        <v>unskilled - resident</v>
      </c>
      <c r="AA581" s="1" t="str">
        <f>_xlfn.XLOOKUP(O581,Dictonary!$P$2:$P$4,Dictonary!$Q$2:$Q$4)</f>
        <v>own</v>
      </c>
    </row>
    <row r="582" spans="1:27" x14ac:dyDescent="0.3">
      <c r="A582" s="1" t="s">
        <v>35</v>
      </c>
      <c r="B582">
        <v>18</v>
      </c>
      <c r="C582" s="1" t="s">
        <v>22</v>
      </c>
      <c r="D582" s="1" t="s">
        <v>51</v>
      </c>
      <c r="E582">
        <v>1056</v>
      </c>
      <c r="F582" s="1" t="s">
        <v>37</v>
      </c>
      <c r="G582" s="1" t="s">
        <v>25</v>
      </c>
      <c r="H582">
        <v>3</v>
      </c>
      <c r="I582" s="1" t="s">
        <v>26</v>
      </c>
      <c r="J582" s="1" t="s">
        <v>47</v>
      </c>
      <c r="K582">
        <v>3</v>
      </c>
      <c r="L582" s="1" t="s">
        <v>28</v>
      </c>
      <c r="M582">
        <v>30</v>
      </c>
      <c r="N582" s="1" t="s">
        <v>66</v>
      </c>
      <c r="O582" s="1" t="s">
        <v>30</v>
      </c>
      <c r="P582">
        <v>2</v>
      </c>
      <c r="Q582" s="1" t="s">
        <v>31</v>
      </c>
      <c r="R582">
        <v>1</v>
      </c>
      <c r="S582" s="1" t="s">
        <v>40</v>
      </c>
      <c r="T582" s="1" t="s">
        <v>33</v>
      </c>
      <c r="U582" s="1" t="s">
        <v>41</v>
      </c>
      <c r="V582" s="1" t="str">
        <f>_xlfn.XLOOKUP(A582,Dictonary!$A$2:$A$5,Dictonary!$B$2:$B$5)</f>
        <v>Low balance</v>
      </c>
      <c r="W582" s="1" t="str">
        <f>_xlfn.XLOOKUP(D582,Dictonary!$D$2:$D$12,Dictonary!$E$2:$E$12)</f>
        <v>car (new)</v>
      </c>
      <c r="X582" s="1" t="str">
        <f>_xlfn.XLOOKUP(F582,Dictonary!$G$2:$G$6,Dictonary!$H$2:$H$6)</f>
        <v>Less 100</v>
      </c>
      <c r="Y582" s="1" t="str">
        <f>_xlfn.XLOOKUP(I582,Dictonary!$J$2:$J$6,Dictonary!$K$2:$K$6)</f>
        <v>male : single</v>
      </c>
      <c r="Z582" s="1" t="str">
        <f>_xlfn.XLOOKUP(Q582,Dictonary!$M$2:$M$5,Dictonary!$N$2:$N$5)</f>
        <v>skilled employee / official</v>
      </c>
      <c r="AA582" s="1" t="str">
        <f>_xlfn.XLOOKUP(O582,Dictonary!$P$2:$P$4,Dictonary!$Q$2:$Q$4)</f>
        <v>own</v>
      </c>
    </row>
    <row r="583" spans="1:27" x14ac:dyDescent="0.3">
      <c r="A583" s="1" t="s">
        <v>35</v>
      </c>
      <c r="B583">
        <v>12</v>
      </c>
      <c r="C583" s="1" t="s">
        <v>22</v>
      </c>
      <c r="D583" s="1" t="s">
        <v>51</v>
      </c>
      <c r="E583">
        <v>3124</v>
      </c>
      <c r="F583" s="1" t="s">
        <v>37</v>
      </c>
      <c r="G583" s="1" t="s">
        <v>62</v>
      </c>
      <c r="H583">
        <v>1</v>
      </c>
      <c r="I583" s="1" t="s">
        <v>26</v>
      </c>
      <c r="J583" s="1" t="s">
        <v>27</v>
      </c>
      <c r="K583">
        <v>3</v>
      </c>
      <c r="L583" s="1" t="s">
        <v>28</v>
      </c>
      <c r="M583">
        <v>49</v>
      </c>
      <c r="N583" s="1" t="s">
        <v>66</v>
      </c>
      <c r="O583" s="1" t="s">
        <v>30</v>
      </c>
      <c r="P583">
        <v>2</v>
      </c>
      <c r="Q583" s="1" t="s">
        <v>45</v>
      </c>
      <c r="R583">
        <v>2</v>
      </c>
      <c r="S583" s="1" t="s">
        <v>40</v>
      </c>
      <c r="T583" s="1" t="s">
        <v>33</v>
      </c>
      <c r="U583" s="1" t="s">
        <v>34</v>
      </c>
      <c r="V583" s="1" t="str">
        <f>_xlfn.XLOOKUP(A583,Dictonary!$A$2:$A$5,Dictonary!$B$2:$B$5)</f>
        <v>Low balance</v>
      </c>
      <c r="W583" s="1" t="str">
        <f>_xlfn.XLOOKUP(D583,Dictonary!$D$2:$D$12,Dictonary!$E$2:$E$12)</f>
        <v>car (new)</v>
      </c>
      <c r="X583" s="1" t="str">
        <f>_xlfn.XLOOKUP(F583,Dictonary!$G$2:$G$6,Dictonary!$H$2:$H$6)</f>
        <v>Less 100</v>
      </c>
      <c r="Y583" s="1" t="str">
        <f>_xlfn.XLOOKUP(I583,Dictonary!$J$2:$J$6,Dictonary!$K$2:$K$6)</f>
        <v>male : single</v>
      </c>
      <c r="Z583" s="1" t="str">
        <f>_xlfn.XLOOKUP(Q583,Dictonary!$M$2:$M$5,Dictonary!$N$2:$N$5)</f>
        <v>unskilled - resident</v>
      </c>
      <c r="AA583" s="1" t="str">
        <f>_xlfn.XLOOKUP(O583,Dictonary!$P$2:$P$4,Dictonary!$Q$2:$Q$4)</f>
        <v>own</v>
      </c>
    </row>
    <row r="584" spans="1:27" x14ac:dyDescent="0.3">
      <c r="A584" s="1" t="s">
        <v>42</v>
      </c>
      <c r="B584">
        <v>9</v>
      </c>
      <c r="C584" s="1" t="s">
        <v>36</v>
      </c>
      <c r="D584" s="1" t="s">
        <v>46</v>
      </c>
      <c r="E584">
        <v>1388</v>
      </c>
      <c r="F584" s="1" t="s">
        <v>37</v>
      </c>
      <c r="G584" s="1" t="s">
        <v>38</v>
      </c>
      <c r="H584">
        <v>4</v>
      </c>
      <c r="I584" s="1" t="s">
        <v>39</v>
      </c>
      <c r="J584" s="1" t="s">
        <v>27</v>
      </c>
      <c r="K584">
        <v>2</v>
      </c>
      <c r="L584" s="1" t="s">
        <v>28</v>
      </c>
      <c r="M584">
        <v>26</v>
      </c>
      <c r="N584" s="1" t="s">
        <v>29</v>
      </c>
      <c r="O584" s="1" t="s">
        <v>56</v>
      </c>
      <c r="P584">
        <v>1</v>
      </c>
      <c r="Q584" s="1" t="s">
        <v>31</v>
      </c>
      <c r="R584">
        <v>1</v>
      </c>
      <c r="S584" s="1" t="s">
        <v>40</v>
      </c>
      <c r="T584" s="1" t="s">
        <v>33</v>
      </c>
      <c r="U584" s="1" t="s">
        <v>34</v>
      </c>
      <c r="V584" s="1" t="str">
        <f>_xlfn.XLOOKUP(A584,Dictonary!$A$2:$A$5,Dictonary!$B$2:$B$5)</f>
        <v>No information</v>
      </c>
      <c r="W584" s="1" t="str">
        <f>_xlfn.XLOOKUP(D584,Dictonary!$D$2:$D$12,Dictonary!$E$2:$E$12)</f>
        <v>furniture/equipment</v>
      </c>
      <c r="X584" s="1" t="str">
        <f>_xlfn.XLOOKUP(F584,Dictonary!$G$2:$G$6,Dictonary!$H$2:$H$6)</f>
        <v>Less 100</v>
      </c>
      <c r="Y584" s="1" t="str">
        <f>_xlfn.XLOOKUP(I584,Dictonary!$J$2:$J$6,Dictonary!$K$2:$K$6)</f>
        <v>female : divorced/separated/married</v>
      </c>
      <c r="Z584" s="1" t="str">
        <f>_xlfn.XLOOKUP(Q584,Dictonary!$M$2:$M$5,Dictonary!$N$2:$N$5)</f>
        <v>skilled employee / official</v>
      </c>
      <c r="AA584" s="1" t="str">
        <f>_xlfn.XLOOKUP(O584,Dictonary!$P$2:$P$4,Dictonary!$Q$2:$Q$4)</f>
        <v>rent</v>
      </c>
    </row>
    <row r="585" spans="1:27" x14ac:dyDescent="0.3">
      <c r="A585" s="1" t="s">
        <v>35</v>
      </c>
      <c r="B585">
        <v>36</v>
      </c>
      <c r="C585" s="1" t="s">
        <v>36</v>
      </c>
      <c r="D585" s="1" t="s">
        <v>73</v>
      </c>
      <c r="E585">
        <v>2384</v>
      </c>
      <c r="F585" s="1" t="s">
        <v>37</v>
      </c>
      <c r="G585" s="1" t="s">
        <v>62</v>
      </c>
      <c r="H585">
        <v>4</v>
      </c>
      <c r="I585" s="1" t="s">
        <v>26</v>
      </c>
      <c r="J585" s="1" t="s">
        <v>27</v>
      </c>
      <c r="K585">
        <v>1</v>
      </c>
      <c r="L585" s="1" t="s">
        <v>52</v>
      </c>
      <c r="M585">
        <v>33</v>
      </c>
      <c r="N585" s="1" t="s">
        <v>29</v>
      </c>
      <c r="O585" s="1" t="s">
        <v>56</v>
      </c>
      <c r="P585">
        <v>1</v>
      </c>
      <c r="Q585" s="1" t="s">
        <v>45</v>
      </c>
      <c r="R585">
        <v>1</v>
      </c>
      <c r="S585" s="1" t="s">
        <v>40</v>
      </c>
      <c r="T585" s="1" t="s">
        <v>33</v>
      </c>
      <c r="U585" s="1" t="s">
        <v>41</v>
      </c>
      <c r="V585" s="1" t="str">
        <f>_xlfn.XLOOKUP(A585,Dictonary!$A$2:$A$5,Dictonary!$B$2:$B$5)</f>
        <v>Low balance</v>
      </c>
      <c r="W585" s="1" t="str">
        <f>_xlfn.XLOOKUP(D585,Dictonary!$D$2:$D$12,Dictonary!$E$2:$E$12)</f>
        <v>repairs</v>
      </c>
      <c r="X585" s="1" t="str">
        <f>_xlfn.XLOOKUP(F585,Dictonary!$G$2:$G$6,Dictonary!$H$2:$H$6)</f>
        <v>Less 100</v>
      </c>
      <c r="Y585" s="1" t="str">
        <f>_xlfn.XLOOKUP(I585,Dictonary!$J$2:$J$6,Dictonary!$K$2:$K$6)</f>
        <v>male : single</v>
      </c>
      <c r="Z585" s="1" t="str">
        <f>_xlfn.XLOOKUP(Q585,Dictonary!$M$2:$M$5,Dictonary!$N$2:$N$5)</f>
        <v>unskilled - resident</v>
      </c>
      <c r="AA585" s="1" t="str">
        <f>_xlfn.XLOOKUP(O585,Dictonary!$P$2:$P$4,Dictonary!$Q$2:$Q$4)</f>
        <v>rent</v>
      </c>
    </row>
    <row r="586" spans="1:27" x14ac:dyDescent="0.3">
      <c r="A586" s="1" t="s">
        <v>42</v>
      </c>
      <c r="B586">
        <v>12</v>
      </c>
      <c r="C586" s="1" t="s">
        <v>36</v>
      </c>
      <c r="D586" s="1" t="s">
        <v>51</v>
      </c>
      <c r="E586">
        <v>2133</v>
      </c>
      <c r="F586" s="1" t="s">
        <v>24</v>
      </c>
      <c r="G586" s="1" t="s">
        <v>25</v>
      </c>
      <c r="H586">
        <v>4</v>
      </c>
      <c r="I586" s="1" t="s">
        <v>39</v>
      </c>
      <c r="J586" s="1" t="s">
        <v>27</v>
      </c>
      <c r="K586">
        <v>4</v>
      </c>
      <c r="L586" s="1" t="s">
        <v>52</v>
      </c>
      <c r="M586">
        <v>52</v>
      </c>
      <c r="N586" s="1" t="s">
        <v>29</v>
      </c>
      <c r="O586" s="1" t="s">
        <v>49</v>
      </c>
      <c r="P586">
        <v>1</v>
      </c>
      <c r="Q586" s="1" t="s">
        <v>57</v>
      </c>
      <c r="R586">
        <v>1</v>
      </c>
      <c r="S586" s="1" t="s">
        <v>32</v>
      </c>
      <c r="T586" s="1" t="s">
        <v>33</v>
      </c>
      <c r="U586" s="1" t="s">
        <v>34</v>
      </c>
      <c r="V586" s="1" t="str">
        <f>_xlfn.XLOOKUP(A586,Dictonary!$A$2:$A$5,Dictonary!$B$2:$B$5)</f>
        <v>No information</v>
      </c>
      <c r="W586" s="1" t="str">
        <f>_xlfn.XLOOKUP(D586,Dictonary!$D$2:$D$12,Dictonary!$E$2:$E$12)</f>
        <v>car (new)</v>
      </c>
      <c r="X586" s="1" t="str">
        <f>_xlfn.XLOOKUP(F586,Dictonary!$G$2:$G$6,Dictonary!$H$2:$H$6)</f>
        <v>No information</v>
      </c>
      <c r="Y586" s="1" t="str">
        <f>_xlfn.XLOOKUP(I586,Dictonary!$J$2:$J$6,Dictonary!$K$2:$K$6)</f>
        <v>female : divorced/separated/married</v>
      </c>
      <c r="Z586" s="1" t="str">
        <f>_xlfn.XLOOKUP(Q586,Dictonary!$M$2:$M$5,Dictonary!$N$2:$N$5)</f>
        <v>management/ self-employed/ highly qualified employee/ officer</v>
      </c>
      <c r="AA586" s="1" t="str">
        <f>_xlfn.XLOOKUP(O586,Dictonary!$P$2:$P$4,Dictonary!$Q$2:$Q$4)</f>
        <v>for free</v>
      </c>
    </row>
    <row r="587" spans="1:27" x14ac:dyDescent="0.3">
      <c r="A587" s="1" t="s">
        <v>21</v>
      </c>
      <c r="B587">
        <v>18</v>
      </c>
      <c r="C587" s="1" t="s">
        <v>36</v>
      </c>
      <c r="D587" s="1" t="s">
        <v>46</v>
      </c>
      <c r="E587">
        <v>2039</v>
      </c>
      <c r="F587" s="1" t="s">
        <v>37</v>
      </c>
      <c r="G587" s="1" t="s">
        <v>38</v>
      </c>
      <c r="H587">
        <v>1</v>
      </c>
      <c r="I587" s="1" t="s">
        <v>39</v>
      </c>
      <c r="J587" s="1" t="s">
        <v>27</v>
      </c>
      <c r="K587">
        <v>4</v>
      </c>
      <c r="L587" s="1" t="s">
        <v>28</v>
      </c>
      <c r="M587">
        <v>20</v>
      </c>
      <c r="N587" s="1" t="s">
        <v>66</v>
      </c>
      <c r="O587" s="1" t="s">
        <v>56</v>
      </c>
      <c r="P587">
        <v>1</v>
      </c>
      <c r="Q587" s="1" t="s">
        <v>31</v>
      </c>
      <c r="R587">
        <v>1</v>
      </c>
      <c r="S587" s="1" t="s">
        <v>40</v>
      </c>
      <c r="T587" s="1" t="s">
        <v>33</v>
      </c>
      <c r="U587" s="1" t="s">
        <v>41</v>
      </c>
      <c r="V587" s="1" t="str">
        <f>_xlfn.XLOOKUP(A587,Dictonary!$A$2:$A$5,Dictonary!$B$2:$B$5)</f>
        <v>Negative balance</v>
      </c>
      <c r="W587" s="1" t="str">
        <f>_xlfn.XLOOKUP(D587,Dictonary!$D$2:$D$12,Dictonary!$E$2:$E$12)</f>
        <v>furniture/equipment</v>
      </c>
      <c r="X587" s="1" t="str">
        <f>_xlfn.XLOOKUP(F587,Dictonary!$G$2:$G$6,Dictonary!$H$2:$H$6)</f>
        <v>Less 100</v>
      </c>
      <c r="Y587" s="1" t="str">
        <f>_xlfn.XLOOKUP(I587,Dictonary!$J$2:$J$6,Dictonary!$K$2:$K$6)</f>
        <v>female : divorced/separated/married</v>
      </c>
      <c r="Z587" s="1" t="str">
        <f>_xlfn.XLOOKUP(Q587,Dictonary!$M$2:$M$5,Dictonary!$N$2:$N$5)</f>
        <v>skilled employee / official</v>
      </c>
      <c r="AA587" s="1" t="str">
        <f>_xlfn.XLOOKUP(O587,Dictonary!$P$2:$P$4,Dictonary!$Q$2:$Q$4)</f>
        <v>rent</v>
      </c>
    </row>
    <row r="588" spans="1:27" x14ac:dyDescent="0.3">
      <c r="A588" s="1" t="s">
        <v>21</v>
      </c>
      <c r="B588">
        <v>9</v>
      </c>
      <c r="C588" s="1" t="s">
        <v>22</v>
      </c>
      <c r="D588" s="1" t="s">
        <v>51</v>
      </c>
      <c r="E588">
        <v>2799</v>
      </c>
      <c r="F588" s="1" t="s">
        <v>37</v>
      </c>
      <c r="G588" s="1" t="s">
        <v>38</v>
      </c>
      <c r="H588">
        <v>2</v>
      </c>
      <c r="I588" s="1" t="s">
        <v>26</v>
      </c>
      <c r="J588" s="1" t="s">
        <v>27</v>
      </c>
      <c r="K588">
        <v>2</v>
      </c>
      <c r="L588" s="1" t="s">
        <v>28</v>
      </c>
      <c r="M588">
        <v>36</v>
      </c>
      <c r="N588" s="1" t="s">
        <v>29</v>
      </c>
      <c r="O588" s="1" t="s">
        <v>56</v>
      </c>
      <c r="P588">
        <v>2</v>
      </c>
      <c r="Q588" s="1" t="s">
        <v>31</v>
      </c>
      <c r="R588">
        <v>2</v>
      </c>
      <c r="S588" s="1" t="s">
        <v>40</v>
      </c>
      <c r="T588" s="1" t="s">
        <v>33</v>
      </c>
      <c r="U588" s="1" t="s">
        <v>34</v>
      </c>
      <c r="V588" s="1" t="str">
        <f>_xlfn.XLOOKUP(A588,Dictonary!$A$2:$A$5,Dictonary!$B$2:$B$5)</f>
        <v>Negative balance</v>
      </c>
      <c r="W588" s="1" t="str">
        <f>_xlfn.XLOOKUP(D588,Dictonary!$D$2:$D$12,Dictonary!$E$2:$E$12)</f>
        <v>car (new)</v>
      </c>
      <c r="X588" s="1" t="str">
        <f>_xlfn.XLOOKUP(F588,Dictonary!$G$2:$G$6,Dictonary!$H$2:$H$6)</f>
        <v>Less 100</v>
      </c>
      <c r="Y588" s="1" t="str">
        <f>_xlfn.XLOOKUP(I588,Dictonary!$J$2:$J$6,Dictonary!$K$2:$K$6)</f>
        <v>male : single</v>
      </c>
      <c r="Z588" s="1" t="str">
        <f>_xlfn.XLOOKUP(Q588,Dictonary!$M$2:$M$5,Dictonary!$N$2:$N$5)</f>
        <v>skilled employee / official</v>
      </c>
      <c r="AA588" s="1" t="str">
        <f>_xlfn.XLOOKUP(O588,Dictonary!$P$2:$P$4,Dictonary!$Q$2:$Q$4)</f>
        <v>rent</v>
      </c>
    </row>
    <row r="589" spans="1:27" x14ac:dyDescent="0.3">
      <c r="A589" s="1" t="s">
        <v>21</v>
      </c>
      <c r="B589">
        <v>12</v>
      </c>
      <c r="C589" s="1" t="s">
        <v>36</v>
      </c>
      <c r="D589" s="1" t="s">
        <v>46</v>
      </c>
      <c r="E589">
        <v>1289</v>
      </c>
      <c r="F589" s="1" t="s">
        <v>37</v>
      </c>
      <c r="G589" s="1" t="s">
        <v>38</v>
      </c>
      <c r="H589">
        <v>4</v>
      </c>
      <c r="I589" s="1" t="s">
        <v>26</v>
      </c>
      <c r="J589" s="1" t="s">
        <v>47</v>
      </c>
      <c r="K589">
        <v>1</v>
      </c>
      <c r="L589" s="1" t="s">
        <v>48</v>
      </c>
      <c r="M589">
        <v>21</v>
      </c>
      <c r="N589" s="1" t="s">
        <v>29</v>
      </c>
      <c r="O589" s="1" t="s">
        <v>30</v>
      </c>
      <c r="P589">
        <v>1</v>
      </c>
      <c r="Q589" s="1" t="s">
        <v>45</v>
      </c>
      <c r="R589">
        <v>1</v>
      </c>
      <c r="S589" s="1" t="s">
        <v>40</v>
      </c>
      <c r="T589" s="1" t="s">
        <v>33</v>
      </c>
      <c r="U589" s="1" t="s">
        <v>34</v>
      </c>
      <c r="V589" s="1" t="str">
        <f>_xlfn.XLOOKUP(A589,Dictonary!$A$2:$A$5,Dictonary!$B$2:$B$5)</f>
        <v>Negative balance</v>
      </c>
      <c r="W589" s="1" t="str">
        <f>_xlfn.XLOOKUP(D589,Dictonary!$D$2:$D$12,Dictonary!$E$2:$E$12)</f>
        <v>furniture/equipment</v>
      </c>
      <c r="X589" s="1" t="str">
        <f>_xlfn.XLOOKUP(F589,Dictonary!$G$2:$G$6,Dictonary!$H$2:$H$6)</f>
        <v>Less 100</v>
      </c>
      <c r="Y589" s="1" t="str">
        <f>_xlfn.XLOOKUP(I589,Dictonary!$J$2:$J$6,Dictonary!$K$2:$K$6)</f>
        <v>male : single</v>
      </c>
      <c r="Z589" s="1" t="str">
        <f>_xlfn.XLOOKUP(Q589,Dictonary!$M$2:$M$5,Dictonary!$N$2:$N$5)</f>
        <v>unskilled - resident</v>
      </c>
      <c r="AA589" s="1" t="str">
        <f>_xlfn.XLOOKUP(O589,Dictonary!$P$2:$P$4,Dictonary!$Q$2:$Q$4)</f>
        <v>own</v>
      </c>
    </row>
    <row r="590" spans="1:27" x14ac:dyDescent="0.3">
      <c r="A590" s="1" t="s">
        <v>21</v>
      </c>
      <c r="B590">
        <v>18</v>
      </c>
      <c r="C590" s="1" t="s">
        <v>36</v>
      </c>
      <c r="D590" s="1" t="s">
        <v>72</v>
      </c>
      <c r="E590">
        <v>1217</v>
      </c>
      <c r="F590" s="1" t="s">
        <v>37</v>
      </c>
      <c r="G590" s="1" t="s">
        <v>38</v>
      </c>
      <c r="H590">
        <v>4</v>
      </c>
      <c r="I590" s="1" t="s">
        <v>61</v>
      </c>
      <c r="J590" s="1" t="s">
        <v>27</v>
      </c>
      <c r="K590">
        <v>3</v>
      </c>
      <c r="L590" s="1" t="s">
        <v>28</v>
      </c>
      <c r="M590">
        <v>47</v>
      </c>
      <c r="N590" s="1" t="s">
        <v>29</v>
      </c>
      <c r="O590" s="1" t="s">
        <v>30</v>
      </c>
      <c r="P590">
        <v>1</v>
      </c>
      <c r="Q590" s="1" t="s">
        <v>45</v>
      </c>
      <c r="R590">
        <v>1</v>
      </c>
      <c r="S590" s="1" t="s">
        <v>32</v>
      </c>
      <c r="T590" s="1" t="s">
        <v>33</v>
      </c>
      <c r="U590" s="1" t="s">
        <v>41</v>
      </c>
      <c r="V590" s="1" t="str">
        <f>_xlfn.XLOOKUP(A590,Dictonary!$A$2:$A$5,Dictonary!$B$2:$B$5)</f>
        <v>Negative balance</v>
      </c>
      <c r="W590" s="1" t="str">
        <f>_xlfn.XLOOKUP(D590,Dictonary!$D$2:$D$12,Dictonary!$E$2:$E$12)</f>
        <v>domestic appliances</v>
      </c>
      <c r="X590" s="1" t="str">
        <f>_xlfn.XLOOKUP(F590,Dictonary!$G$2:$G$6,Dictonary!$H$2:$H$6)</f>
        <v>Less 100</v>
      </c>
      <c r="Y590" s="1" t="str">
        <f>_xlfn.XLOOKUP(I590,Dictonary!$J$2:$J$6,Dictonary!$K$2:$K$6)</f>
        <v>male : married/widowed</v>
      </c>
      <c r="Z590" s="1" t="str">
        <f>_xlfn.XLOOKUP(Q590,Dictonary!$M$2:$M$5,Dictonary!$N$2:$N$5)</f>
        <v>unskilled - resident</v>
      </c>
      <c r="AA590" s="1" t="str">
        <f>_xlfn.XLOOKUP(O590,Dictonary!$P$2:$P$4,Dictonary!$Q$2:$Q$4)</f>
        <v>own</v>
      </c>
    </row>
    <row r="591" spans="1:27" x14ac:dyDescent="0.3">
      <c r="A591" s="1" t="s">
        <v>21</v>
      </c>
      <c r="B591">
        <v>12</v>
      </c>
      <c r="C591" s="1" t="s">
        <v>22</v>
      </c>
      <c r="D591" s="1" t="s">
        <v>46</v>
      </c>
      <c r="E591">
        <v>2246</v>
      </c>
      <c r="F591" s="1" t="s">
        <v>37</v>
      </c>
      <c r="G591" s="1" t="s">
        <v>25</v>
      </c>
      <c r="H591">
        <v>3</v>
      </c>
      <c r="I591" s="1" t="s">
        <v>26</v>
      </c>
      <c r="J591" s="1" t="s">
        <v>27</v>
      </c>
      <c r="K591">
        <v>3</v>
      </c>
      <c r="L591" s="1" t="s">
        <v>48</v>
      </c>
      <c r="M591">
        <v>60</v>
      </c>
      <c r="N591" s="1" t="s">
        <v>29</v>
      </c>
      <c r="O591" s="1" t="s">
        <v>30</v>
      </c>
      <c r="P591">
        <v>2</v>
      </c>
      <c r="Q591" s="1" t="s">
        <v>31</v>
      </c>
      <c r="R591">
        <v>1</v>
      </c>
      <c r="S591" s="1" t="s">
        <v>40</v>
      </c>
      <c r="T591" s="1" t="s">
        <v>33</v>
      </c>
      <c r="U591" s="1" t="s">
        <v>41</v>
      </c>
      <c r="V591" s="1" t="str">
        <f>_xlfn.XLOOKUP(A591,Dictonary!$A$2:$A$5,Dictonary!$B$2:$B$5)</f>
        <v>Negative balance</v>
      </c>
      <c r="W591" s="1" t="str">
        <f>_xlfn.XLOOKUP(D591,Dictonary!$D$2:$D$12,Dictonary!$E$2:$E$12)</f>
        <v>furniture/equipment</v>
      </c>
      <c r="X591" s="1" t="str">
        <f>_xlfn.XLOOKUP(F591,Dictonary!$G$2:$G$6,Dictonary!$H$2:$H$6)</f>
        <v>Less 100</v>
      </c>
      <c r="Y591" s="1" t="str">
        <f>_xlfn.XLOOKUP(I591,Dictonary!$J$2:$J$6,Dictonary!$K$2:$K$6)</f>
        <v>male : single</v>
      </c>
      <c r="Z591" s="1" t="str">
        <f>_xlfn.XLOOKUP(Q591,Dictonary!$M$2:$M$5,Dictonary!$N$2:$N$5)</f>
        <v>skilled employee / official</v>
      </c>
      <c r="AA591" s="1" t="str">
        <f>_xlfn.XLOOKUP(O591,Dictonary!$P$2:$P$4,Dictonary!$Q$2:$Q$4)</f>
        <v>own</v>
      </c>
    </row>
    <row r="592" spans="1:27" x14ac:dyDescent="0.3">
      <c r="A592" s="1" t="s">
        <v>21</v>
      </c>
      <c r="B592">
        <v>12</v>
      </c>
      <c r="C592" s="1" t="s">
        <v>22</v>
      </c>
      <c r="D592" s="1" t="s">
        <v>23</v>
      </c>
      <c r="E592">
        <v>385</v>
      </c>
      <c r="F592" s="1" t="s">
        <v>37</v>
      </c>
      <c r="G592" s="1" t="s">
        <v>44</v>
      </c>
      <c r="H592">
        <v>4</v>
      </c>
      <c r="I592" s="1" t="s">
        <v>39</v>
      </c>
      <c r="J592" s="1" t="s">
        <v>27</v>
      </c>
      <c r="K592">
        <v>3</v>
      </c>
      <c r="L592" s="1" t="s">
        <v>28</v>
      </c>
      <c r="M592">
        <v>58</v>
      </c>
      <c r="N592" s="1" t="s">
        <v>29</v>
      </c>
      <c r="O592" s="1" t="s">
        <v>30</v>
      </c>
      <c r="P592">
        <v>4</v>
      </c>
      <c r="Q592" s="1" t="s">
        <v>45</v>
      </c>
      <c r="R592">
        <v>1</v>
      </c>
      <c r="S592" s="1" t="s">
        <v>32</v>
      </c>
      <c r="T592" s="1" t="s">
        <v>33</v>
      </c>
      <c r="U592" s="1" t="s">
        <v>34</v>
      </c>
      <c r="V592" s="1" t="str">
        <f>_xlfn.XLOOKUP(A592,Dictonary!$A$2:$A$5,Dictonary!$B$2:$B$5)</f>
        <v>Negative balance</v>
      </c>
      <c r="W592" s="1" t="str">
        <f>_xlfn.XLOOKUP(D592,Dictonary!$D$2:$D$12,Dictonary!$E$2:$E$12)</f>
        <v>radio/television</v>
      </c>
      <c r="X592" s="1" t="str">
        <f>_xlfn.XLOOKUP(F592,Dictonary!$G$2:$G$6,Dictonary!$H$2:$H$6)</f>
        <v>Less 100</v>
      </c>
      <c r="Y592" s="1" t="str">
        <f>_xlfn.XLOOKUP(I592,Dictonary!$J$2:$J$6,Dictonary!$K$2:$K$6)</f>
        <v>female : divorced/separated/married</v>
      </c>
      <c r="Z592" s="1" t="str">
        <f>_xlfn.XLOOKUP(Q592,Dictonary!$M$2:$M$5,Dictonary!$N$2:$N$5)</f>
        <v>unskilled - resident</v>
      </c>
      <c r="AA592" s="1" t="str">
        <f>_xlfn.XLOOKUP(O592,Dictonary!$P$2:$P$4,Dictonary!$Q$2:$Q$4)</f>
        <v>own</v>
      </c>
    </row>
    <row r="593" spans="1:27" x14ac:dyDescent="0.3">
      <c r="A593" s="1" t="s">
        <v>35</v>
      </c>
      <c r="B593">
        <v>24</v>
      </c>
      <c r="C593" s="1" t="s">
        <v>50</v>
      </c>
      <c r="D593" s="1" t="s">
        <v>51</v>
      </c>
      <c r="E593">
        <v>1965</v>
      </c>
      <c r="F593" s="1" t="s">
        <v>24</v>
      </c>
      <c r="G593" s="1" t="s">
        <v>38</v>
      </c>
      <c r="H593">
        <v>4</v>
      </c>
      <c r="I593" s="1" t="s">
        <v>39</v>
      </c>
      <c r="J593" s="1" t="s">
        <v>27</v>
      </c>
      <c r="K593">
        <v>4</v>
      </c>
      <c r="L593" s="1" t="s">
        <v>55</v>
      </c>
      <c r="M593">
        <v>42</v>
      </c>
      <c r="N593" s="1" t="s">
        <v>29</v>
      </c>
      <c r="O593" s="1" t="s">
        <v>56</v>
      </c>
      <c r="P593">
        <v>2</v>
      </c>
      <c r="Q593" s="1" t="s">
        <v>31</v>
      </c>
      <c r="R593">
        <v>1</v>
      </c>
      <c r="S593" s="1" t="s">
        <v>32</v>
      </c>
      <c r="T593" s="1" t="s">
        <v>33</v>
      </c>
      <c r="U593" s="1" t="s">
        <v>34</v>
      </c>
      <c r="V593" s="1" t="str">
        <f>_xlfn.XLOOKUP(A593,Dictonary!$A$2:$A$5,Dictonary!$B$2:$B$5)</f>
        <v>Low balance</v>
      </c>
      <c r="W593" s="1" t="str">
        <f>_xlfn.XLOOKUP(D593,Dictonary!$D$2:$D$12,Dictonary!$E$2:$E$12)</f>
        <v>car (new)</v>
      </c>
      <c r="X593" s="1" t="str">
        <f>_xlfn.XLOOKUP(F593,Dictonary!$G$2:$G$6,Dictonary!$H$2:$H$6)</f>
        <v>No information</v>
      </c>
      <c r="Y593" s="1" t="str">
        <f>_xlfn.XLOOKUP(I593,Dictonary!$J$2:$J$6,Dictonary!$K$2:$K$6)</f>
        <v>female : divorced/separated/married</v>
      </c>
      <c r="Z593" s="1" t="str">
        <f>_xlfn.XLOOKUP(Q593,Dictonary!$M$2:$M$5,Dictonary!$N$2:$N$5)</f>
        <v>skilled employee / official</v>
      </c>
      <c r="AA593" s="1" t="str">
        <f>_xlfn.XLOOKUP(O593,Dictonary!$P$2:$P$4,Dictonary!$Q$2:$Q$4)</f>
        <v>rent</v>
      </c>
    </row>
    <row r="594" spans="1:27" x14ac:dyDescent="0.3">
      <c r="A594" s="1" t="s">
        <v>42</v>
      </c>
      <c r="B594">
        <v>21</v>
      </c>
      <c r="C594" s="1" t="s">
        <v>36</v>
      </c>
      <c r="D594" s="1" t="s">
        <v>63</v>
      </c>
      <c r="E594">
        <v>1572</v>
      </c>
      <c r="F594" s="1" t="s">
        <v>58</v>
      </c>
      <c r="G594" s="1" t="s">
        <v>25</v>
      </c>
      <c r="H594">
        <v>4</v>
      </c>
      <c r="I594" s="1" t="s">
        <v>39</v>
      </c>
      <c r="J594" s="1" t="s">
        <v>27</v>
      </c>
      <c r="K594">
        <v>4</v>
      </c>
      <c r="L594" s="1" t="s">
        <v>28</v>
      </c>
      <c r="M594">
        <v>36</v>
      </c>
      <c r="N594" s="1" t="s">
        <v>66</v>
      </c>
      <c r="O594" s="1" t="s">
        <v>30</v>
      </c>
      <c r="P594">
        <v>1</v>
      </c>
      <c r="Q594" s="1" t="s">
        <v>45</v>
      </c>
      <c r="R594">
        <v>1</v>
      </c>
      <c r="S594" s="1" t="s">
        <v>40</v>
      </c>
      <c r="T594" s="1" t="s">
        <v>33</v>
      </c>
      <c r="U594" s="1" t="s">
        <v>34</v>
      </c>
      <c r="V594" s="1" t="str">
        <f>_xlfn.XLOOKUP(A594,Dictonary!$A$2:$A$5,Dictonary!$B$2:$B$5)</f>
        <v>No information</v>
      </c>
      <c r="W594" s="1" t="str">
        <f>_xlfn.XLOOKUP(D594,Dictonary!$D$2:$D$12,Dictonary!$E$2:$E$12)</f>
        <v>business</v>
      </c>
      <c r="X594" s="1" t="str">
        <f>_xlfn.XLOOKUP(F594,Dictonary!$G$2:$G$6,Dictonary!$H$2:$H$6)</f>
        <v>More 1000</v>
      </c>
      <c r="Y594" s="1" t="str">
        <f>_xlfn.XLOOKUP(I594,Dictonary!$J$2:$J$6,Dictonary!$K$2:$K$6)</f>
        <v>female : divorced/separated/married</v>
      </c>
      <c r="Z594" s="1" t="str">
        <f>_xlfn.XLOOKUP(Q594,Dictonary!$M$2:$M$5,Dictonary!$N$2:$N$5)</f>
        <v>unskilled - resident</v>
      </c>
      <c r="AA594" s="1" t="str">
        <f>_xlfn.XLOOKUP(O594,Dictonary!$P$2:$P$4,Dictonary!$Q$2:$Q$4)</f>
        <v>own</v>
      </c>
    </row>
    <row r="595" spans="1:27" x14ac:dyDescent="0.3">
      <c r="A595" s="1" t="s">
        <v>35</v>
      </c>
      <c r="B595">
        <v>24</v>
      </c>
      <c r="C595" s="1" t="s">
        <v>36</v>
      </c>
      <c r="D595" s="1" t="s">
        <v>51</v>
      </c>
      <c r="E595">
        <v>2718</v>
      </c>
      <c r="F595" s="1" t="s">
        <v>37</v>
      </c>
      <c r="G595" s="1" t="s">
        <v>38</v>
      </c>
      <c r="H595">
        <v>3</v>
      </c>
      <c r="I595" s="1" t="s">
        <v>39</v>
      </c>
      <c r="J595" s="1" t="s">
        <v>27</v>
      </c>
      <c r="K595">
        <v>4</v>
      </c>
      <c r="L595" s="1" t="s">
        <v>48</v>
      </c>
      <c r="M595">
        <v>20</v>
      </c>
      <c r="N595" s="1" t="s">
        <v>29</v>
      </c>
      <c r="O595" s="1" t="s">
        <v>56</v>
      </c>
      <c r="P595">
        <v>1</v>
      </c>
      <c r="Q595" s="1" t="s">
        <v>45</v>
      </c>
      <c r="R595">
        <v>1</v>
      </c>
      <c r="S595" s="1" t="s">
        <v>32</v>
      </c>
      <c r="T595" s="1" t="s">
        <v>33</v>
      </c>
      <c r="U595" s="1" t="s">
        <v>41</v>
      </c>
      <c r="V595" s="1" t="str">
        <f>_xlfn.XLOOKUP(A595,Dictonary!$A$2:$A$5,Dictonary!$B$2:$B$5)</f>
        <v>Low balance</v>
      </c>
      <c r="W595" s="1" t="str">
        <f>_xlfn.XLOOKUP(D595,Dictonary!$D$2:$D$12,Dictonary!$E$2:$E$12)</f>
        <v>car (new)</v>
      </c>
      <c r="X595" s="1" t="str">
        <f>_xlfn.XLOOKUP(F595,Dictonary!$G$2:$G$6,Dictonary!$H$2:$H$6)</f>
        <v>Less 100</v>
      </c>
      <c r="Y595" s="1" t="str">
        <f>_xlfn.XLOOKUP(I595,Dictonary!$J$2:$J$6,Dictonary!$K$2:$K$6)</f>
        <v>female : divorced/separated/married</v>
      </c>
      <c r="Z595" s="1" t="str">
        <f>_xlfn.XLOOKUP(Q595,Dictonary!$M$2:$M$5,Dictonary!$N$2:$N$5)</f>
        <v>unskilled - resident</v>
      </c>
      <c r="AA595" s="1" t="str">
        <f>_xlfn.XLOOKUP(O595,Dictonary!$P$2:$P$4,Dictonary!$Q$2:$Q$4)</f>
        <v>rent</v>
      </c>
    </row>
    <row r="596" spans="1:27" x14ac:dyDescent="0.3">
      <c r="A596" s="1" t="s">
        <v>21</v>
      </c>
      <c r="B596">
        <v>24</v>
      </c>
      <c r="C596" s="1" t="s">
        <v>69</v>
      </c>
      <c r="D596" s="1" t="s">
        <v>75</v>
      </c>
      <c r="E596">
        <v>1358</v>
      </c>
      <c r="F596" s="1" t="s">
        <v>24</v>
      </c>
      <c r="G596" s="1" t="s">
        <v>25</v>
      </c>
      <c r="H596">
        <v>4</v>
      </c>
      <c r="I596" s="1" t="s">
        <v>26</v>
      </c>
      <c r="J596" s="1" t="s">
        <v>27</v>
      </c>
      <c r="K596">
        <v>3</v>
      </c>
      <c r="L596" s="1" t="s">
        <v>55</v>
      </c>
      <c r="M596">
        <v>40</v>
      </c>
      <c r="N596" s="1" t="s">
        <v>70</v>
      </c>
      <c r="O596" s="1" t="s">
        <v>30</v>
      </c>
      <c r="P596">
        <v>1</v>
      </c>
      <c r="Q596" s="1" t="s">
        <v>57</v>
      </c>
      <c r="R596">
        <v>1</v>
      </c>
      <c r="S596" s="1" t="s">
        <v>32</v>
      </c>
      <c r="T596" s="1" t="s">
        <v>33</v>
      </c>
      <c r="U596" s="1" t="s">
        <v>41</v>
      </c>
      <c r="V596" s="1" t="str">
        <f>_xlfn.XLOOKUP(A596,Dictonary!$A$2:$A$5,Dictonary!$B$2:$B$5)</f>
        <v>Negative balance</v>
      </c>
      <c r="W596" s="1" t="str">
        <f>_xlfn.XLOOKUP(D596,Dictonary!$D$2:$D$12,Dictonary!$E$2:$E$12)</f>
        <v>others</v>
      </c>
      <c r="X596" s="1" t="str">
        <f>_xlfn.XLOOKUP(F596,Dictonary!$G$2:$G$6,Dictonary!$H$2:$H$6)</f>
        <v>No information</v>
      </c>
      <c r="Y596" s="1" t="str">
        <f>_xlfn.XLOOKUP(I596,Dictonary!$J$2:$J$6,Dictonary!$K$2:$K$6)</f>
        <v>male : single</v>
      </c>
      <c r="Z596" s="1" t="str">
        <f>_xlfn.XLOOKUP(Q596,Dictonary!$M$2:$M$5,Dictonary!$N$2:$N$5)</f>
        <v>management/ self-employed/ highly qualified employee/ officer</v>
      </c>
      <c r="AA596" s="1" t="str">
        <f>_xlfn.XLOOKUP(O596,Dictonary!$P$2:$P$4,Dictonary!$Q$2:$Q$4)</f>
        <v>own</v>
      </c>
    </row>
    <row r="597" spans="1:27" x14ac:dyDescent="0.3">
      <c r="A597" s="1" t="s">
        <v>35</v>
      </c>
      <c r="B597">
        <v>6</v>
      </c>
      <c r="C597" s="1" t="s">
        <v>69</v>
      </c>
      <c r="D597" s="1" t="s">
        <v>51</v>
      </c>
      <c r="E597">
        <v>931</v>
      </c>
      <c r="F597" s="1" t="s">
        <v>64</v>
      </c>
      <c r="G597" s="1" t="s">
        <v>62</v>
      </c>
      <c r="H597">
        <v>1</v>
      </c>
      <c r="I597" s="1" t="s">
        <v>39</v>
      </c>
      <c r="J597" s="1" t="s">
        <v>27</v>
      </c>
      <c r="K597">
        <v>1</v>
      </c>
      <c r="L597" s="1" t="s">
        <v>48</v>
      </c>
      <c r="M597">
        <v>32</v>
      </c>
      <c r="N597" s="1" t="s">
        <v>70</v>
      </c>
      <c r="O597" s="1" t="s">
        <v>30</v>
      </c>
      <c r="P597">
        <v>1</v>
      </c>
      <c r="Q597" s="1" t="s">
        <v>45</v>
      </c>
      <c r="R597">
        <v>1</v>
      </c>
      <c r="S597" s="1" t="s">
        <v>40</v>
      </c>
      <c r="T597" s="1" t="s">
        <v>33</v>
      </c>
      <c r="U597" s="1" t="s">
        <v>41</v>
      </c>
      <c r="V597" s="1" t="str">
        <f>_xlfn.XLOOKUP(A597,Dictonary!$A$2:$A$5,Dictonary!$B$2:$B$5)</f>
        <v>Low balance</v>
      </c>
      <c r="W597" s="1" t="str">
        <f>_xlfn.XLOOKUP(D597,Dictonary!$D$2:$D$12,Dictonary!$E$2:$E$12)</f>
        <v>car (new)</v>
      </c>
      <c r="X597" s="1" t="str">
        <f>_xlfn.XLOOKUP(F597,Dictonary!$G$2:$G$6,Dictonary!$H$2:$H$6)</f>
        <v>Up to 500</v>
      </c>
      <c r="Y597" s="1" t="str">
        <f>_xlfn.XLOOKUP(I597,Dictonary!$J$2:$J$6,Dictonary!$K$2:$K$6)</f>
        <v>female : divorced/separated/married</v>
      </c>
      <c r="Z597" s="1" t="str">
        <f>_xlfn.XLOOKUP(Q597,Dictonary!$M$2:$M$5,Dictonary!$N$2:$N$5)</f>
        <v>unskilled - resident</v>
      </c>
      <c r="AA597" s="1" t="str">
        <f>_xlfn.XLOOKUP(O597,Dictonary!$P$2:$P$4,Dictonary!$Q$2:$Q$4)</f>
        <v>own</v>
      </c>
    </row>
    <row r="598" spans="1:27" x14ac:dyDescent="0.3">
      <c r="A598" s="1" t="s">
        <v>21</v>
      </c>
      <c r="B598">
        <v>24</v>
      </c>
      <c r="C598" s="1" t="s">
        <v>36</v>
      </c>
      <c r="D598" s="1" t="s">
        <v>51</v>
      </c>
      <c r="E598">
        <v>1442</v>
      </c>
      <c r="F598" s="1" t="s">
        <v>37</v>
      </c>
      <c r="G598" s="1" t="s">
        <v>44</v>
      </c>
      <c r="H598">
        <v>4</v>
      </c>
      <c r="I598" s="1" t="s">
        <v>39</v>
      </c>
      <c r="J598" s="1" t="s">
        <v>27</v>
      </c>
      <c r="K598">
        <v>4</v>
      </c>
      <c r="L598" s="1" t="s">
        <v>55</v>
      </c>
      <c r="M598">
        <v>23</v>
      </c>
      <c r="N598" s="1" t="s">
        <v>29</v>
      </c>
      <c r="O598" s="1" t="s">
        <v>56</v>
      </c>
      <c r="P598">
        <v>2</v>
      </c>
      <c r="Q598" s="1" t="s">
        <v>31</v>
      </c>
      <c r="R598">
        <v>1</v>
      </c>
      <c r="S598" s="1" t="s">
        <v>40</v>
      </c>
      <c r="T598" s="1" t="s">
        <v>33</v>
      </c>
      <c r="U598" s="1" t="s">
        <v>41</v>
      </c>
      <c r="V598" s="1" t="str">
        <f>_xlfn.XLOOKUP(A598,Dictonary!$A$2:$A$5,Dictonary!$B$2:$B$5)</f>
        <v>Negative balance</v>
      </c>
      <c r="W598" s="1" t="str">
        <f>_xlfn.XLOOKUP(D598,Dictonary!$D$2:$D$12,Dictonary!$E$2:$E$12)</f>
        <v>car (new)</v>
      </c>
      <c r="X598" s="1" t="str">
        <f>_xlfn.XLOOKUP(F598,Dictonary!$G$2:$G$6,Dictonary!$H$2:$H$6)</f>
        <v>Less 100</v>
      </c>
      <c r="Y598" s="1" t="str">
        <f>_xlfn.XLOOKUP(I598,Dictonary!$J$2:$J$6,Dictonary!$K$2:$K$6)</f>
        <v>female : divorced/separated/married</v>
      </c>
      <c r="Z598" s="1" t="str">
        <f>_xlfn.XLOOKUP(Q598,Dictonary!$M$2:$M$5,Dictonary!$N$2:$N$5)</f>
        <v>skilled employee / official</v>
      </c>
      <c r="AA598" s="1" t="str">
        <f>_xlfn.XLOOKUP(O598,Dictonary!$P$2:$P$4,Dictonary!$Q$2:$Q$4)</f>
        <v>rent</v>
      </c>
    </row>
    <row r="599" spans="1:27" x14ac:dyDescent="0.3">
      <c r="A599" s="1" t="s">
        <v>35</v>
      </c>
      <c r="B599">
        <v>24</v>
      </c>
      <c r="C599" s="1" t="s">
        <v>65</v>
      </c>
      <c r="D599" s="1" t="s">
        <v>63</v>
      </c>
      <c r="E599">
        <v>4241</v>
      </c>
      <c r="F599" s="1" t="s">
        <v>37</v>
      </c>
      <c r="G599" s="1" t="s">
        <v>38</v>
      </c>
      <c r="H599">
        <v>1</v>
      </c>
      <c r="I599" s="1" t="s">
        <v>26</v>
      </c>
      <c r="J599" s="1" t="s">
        <v>27</v>
      </c>
      <c r="K599">
        <v>4</v>
      </c>
      <c r="L599" s="1" t="s">
        <v>28</v>
      </c>
      <c r="M599">
        <v>36</v>
      </c>
      <c r="N599" s="1" t="s">
        <v>29</v>
      </c>
      <c r="O599" s="1" t="s">
        <v>30</v>
      </c>
      <c r="P599">
        <v>3</v>
      </c>
      <c r="Q599" s="1" t="s">
        <v>45</v>
      </c>
      <c r="R599">
        <v>1</v>
      </c>
      <c r="S599" s="1" t="s">
        <v>32</v>
      </c>
      <c r="T599" s="1" t="s">
        <v>33</v>
      </c>
      <c r="U599" s="1" t="s">
        <v>41</v>
      </c>
      <c r="V599" s="1" t="str">
        <f>_xlfn.XLOOKUP(A599,Dictonary!$A$2:$A$5,Dictonary!$B$2:$B$5)</f>
        <v>Low balance</v>
      </c>
      <c r="W599" s="1" t="str">
        <f>_xlfn.XLOOKUP(D599,Dictonary!$D$2:$D$12,Dictonary!$E$2:$E$12)</f>
        <v>business</v>
      </c>
      <c r="X599" s="1" t="str">
        <f>_xlfn.XLOOKUP(F599,Dictonary!$G$2:$G$6,Dictonary!$H$2:$H$6)</f>
        <v>Less 100</v>
      </c>
      <c r="Y599" s="1" t="str">
        <f>_xlfn.XLOOKUP(I599,Dictonary!$J$2:$J$6,Dictonary!$K$2:$K$6)</f>
        <v>male : single</v>
      </c>
      <c r="Z599" s="1" t="str">
        <f>_xlfn.XLOOKUP(Q599,Dictonary!$M$2:$M$5,Dictonary!$N$2:$N$5)</f>
        <v>unskilled - resident</v>
      </c>
      <c r="AA599" s="1" t="str">
        <f>_xlfn.XLOOKUP(O599,Dictonary!$P$2:$P$4,Dictonary!$Q$2:$Q$4)</f>
        <v>own</v>
      </c>
    </row>
    <row r="600" spans="1:27" x14ac:dyDescent="0.3">
      <c r="A600" s="1" t="s">
        <v>42</v>
      </c>
      <c r="B600">
        <v>18</v>
      </c>
      <c r="C600" s="1" t="s">
        <v>22</v>
      </c>
      <c r="D600" s="1" t="s">
        <v>51</v>
      </c>
      <c r="E600">
        <v>2775</v>
      </c>
      <c r="F600" s="1" t="s">
        <v>37</v>
      </c>
      <c r="G600" s="1" t="s">
        <v>44</v>
      </c>
      <c r="H600">
        <v>2</v>
      </c>
      <c r="I600" s="1" t="s">
        <v>26</v>
      </c>
      <c r="J600" s="1" t="s">
        <v>27</v>
      </c>
      <c r="K600">
        <v>2</v>
      </c>
      <c r="L600" s="1" t="s">
        <v>48</v>
      </c>
      <c r="M600">
        <v>31</v>
      </c>
      <c r="N600" s="1" t="s">
        <v>66</v>
      </c>
      <c r="O600" s="1" t="s">
        <v>30</v>
      </c>
      <c r="P600">
        <v>2</v>
      </c>
      <c r="Q600" s="1" t="s">
        <v>31</v>
      </c>
      <c r="R600">
        <v>1</v>
      </c>
      <c r="S600" s="1" t="s">
        <v>40</v>
      </c>
      <c r="T600" s="1" t="s">
        <v>33</v>
      </c>
      <c r="U600" s="1" t="s">
        <v>41</v>
      </c>
      <c r="V600" s="1" t="str">
        <f>_xlfn.XLOOKUP(A600,Dictonary!$A$2:$A$5,Dictonary!$B$2:$B$5)</f>
        <v>No information</v>
      </c>
      <c r="W600" s="1" t="str">
        <f>_xlfn.XLOOKUP(D600,Dictonary!$D$2:$D$12,Dictonary!$E$2:$E$12)</f>
        <v>car (new)</v>
      </c>
      <c r="X600" s="1" t="str">
        <f>_xlfn.XLOOKUP(F600,Dictonary!$G$2:$G$6,Dictonary!$H$2:$H$6)</f>
        <v>Less 100</v>
      </c>
      <c r="Y600" s="1" t="str">
        <f>_xlfn.XLOOKUP(I600,Dictonary!$J$2:$J$6,Dictonary!$K$2:$K$6)</f>
        <v>male : single</v>
      </c>
      <c r="Z600" s="1" t="str">
        <f>_xlfn.XLOOKUP(Q600,Dictonary!$M$2:$M$5,Dictonary!$N$2:$N$5)</f>
        <v>skilled employee / official</v>
      </c>
      <c r="AA600" s="1" t="str">
        <f>_xlfn.XLOOKUP(O600,Dictonary!$P$2:$P$4,Dictonary!$Q$2:$Q$4)</f>
        <v>own</v>
      </c>
    </row>
    <row r="601" spans="1:27" x14ac:dyDescent="0.3">
      <c r="A601" s="1" t="s">
        <v>42</v>
      </c>
      <c r="B601">
        <v>24</v>
      </c>
      <c r="C601" s="1" t="s">
        <v>50</v>
      </c>
      <c r="D601" s="1" t="s">
        <v>63</v>
      </c>
      <c r="E601">
        <v>3863</v>
      </c>
      <c r="F601" s="1" t="s">
        <v>37</v>
      </c>
      <c r="G601" s="1" t="s">
        <v>38</v>
      </c>
      <c r="H601">
        <v>1</v>
      </c>
      <c r="I601" s="1" t="s">
        <v>26</v>
      </c>
      <c r="J601" s="1" t="s">
        <v>27</v>
      </c>
      <c r="K601">
        <v>2</v>
      </c>
      <c r="L601" s="1" t="s">
        <v>52</v>
      </c>
      <c r="M601">
        <v>32</v>
      </c>
      <c r="N601" s="1" t="s">
        <v>29</v>
      </c>
      <c r="O601" s="1" t="s">
        <v>49</v>
      </c>
      <c r="P601">
        <v>1</v>
      </c>
      <c r="Q601" s="1" t="s">
        <v>31</v>
      </c>
      <c r="R601">
        <v>1</v>
      </c>
      <c r="S601" s="1" t="s">
        <v>40</v>
      </c>
      <c r="T601" s="1" t="s">
        <v>33</v>
      </c>
      <c r="U601" s="1" t="s">
        <v>34</v>
      </c>
      <c r="V601" s="1" t="str">
        <f>_xlfn.XLOOKUP(A601,Dictonary!$A$2:$A$5,Dictonary!$B$2:$B$5)</f>
        <v>No information</v>
      </c>
      <c r="W601" s="1" t="str">
        <f>_xlfn.XLOOKUP(D601,Dictonary!$D$2:$D$12,Dictonary!$E$2:$E$12)</f>
        <v>business</v>
      </c>
      <c r="X601" s="1" t="str">
        <f>_xlfn.XLOOKUP(F601,Dictonary!$G$2:$G$6,Dictonary!$H$2:$H$6)</f>
        <v>Less 100</v>
      </c>
      <c r="Y601" s="1" t="str">
        <f>_xlfn.XLOOKUP(I601,Dictonary!$J$2:$J$6,Dictonary!$K$2:$K$6)</f>
        <v>male : single</v>
      </c>
      <c r="Z601" s="1" t="str">
        <f>_xlfn.XLOOKUP(Q601,Dictonary!$M$2:$M$5,Dictonary!$N$2:$N$5)</f>
        <v>skilled employee / official</v>
      </c>
      <c r="AA601" s="1" t="str">
        <f>_xlfn.XLOOKUP(O601,Dictonary!$P$2:$P$4,Dictonary!$Q$2:$Q$4)</f>
        <v>for free</v>
      </c>
    </row>
    <row r="602" spans="1:27" x14ac:dyDescent="0.3">
      <c r="A602" s="1" t="s">
        <v>35</v>
      </c>
      <c r="B602">
        <v>7</v>
      </c>
      <c r="C602" s="1" t="s">
        <v>36</v>
      </c>
      <c r="D602" s="1" t="s">
        <v>23</v>
      </c>
      <c r="E602">
        <v>2329</v>
      </c>
      <c r="F602" s="1" t="s">
        <v>37</v>
      </c>
      <c r="G602" s="1" t="s">
        <v>62</v>
      </c>
      <c r="H602">
        <v>1</v>
      </c>
      <c r="I602" s="1" t="s">
        <v>39</v>
      </c>
      <c r="J602" s="1" t="s">
        <v>47</v>
      </c>
      <c r="K602">
        <v>1</v>
      </c>
      <c r="L602" s="1" t="s">
        <v>28</v>
      </c>
      <c r="M602">
        <v>45</v>
      </c>
      <c r="N602" s="1" t="s">
        <v>29</v>
      </c>
      <c r="O602" s="1" t="s">
        <v>30</v>
      </c>
      <c r="P602">
        <v>1</v>
      </c>
      <c r="Q602" s="1" t="s">
        <v>31</v>
      </c>
      <c r="R602">
        <v>1</v>
      </c>
      <c r="S602" s="1" t="s">
        <v>40</v>
      </c>
      <c r="T602" s="1" t="s">
        <v>33</v>
      </c>
      <c r="U602" s="1" t="s">
        <v>34</v>
      </c>
      <c r="V602" s="1" t="str">
        <f>_xlfn.XLOOKUP(A602,Dictonary!$A$2:$A$5,Dictonary!$B$2:$B$5)</f>
        <v>Low balance</v>
      </c>
      <c r="W602" s="1" t="str">
        <f>_xlfn.XLOOKUP(D602,Dictonary!$D$2:$D$12,Dictonary!$E$2:$E$12)</f>
        <v>radio/television</v>
      </c>
      <c r="X602" s="1" t="str">
        <f>_xlfn.XLOOKUP(F602,Dictonary!$G$2:$G$6,Dictonary!$H$2:$H$6)</f>
        <v>Less 100</v>
      </c>
      <c r="Y602" s="1" t="str">
        <f>_xlfn.XLOOKUP(I602,Dictonary!$J$2:$J$6,Dictonary!$K$2:$K$6)</f>
        <v>female : divorced/separated/married</v>
      </c>
      <c r="Z602" s="1" t="str">
        <f>_xlfn.XLOOKUP(Q602,Dictonary!$M$2:$M$5,Dictonary!$N$2:$N$5)</f>
        <v>skilled employee / official</v>
      </c>
      <c r="AA602" s="1" t="str">
        <f>_xlfn.XLOOKUP(O602,Dictonary!$P$2:$P$4,Dictonary!$Q$2:$Q$4)</f>
        <v>own</v>
      </c>
    </row>
    <row r="603" spans="1:27" x14ac:dyDescent="0.3">
      <c r="A603" s="1" t="s">
        <v>35</v>
      </c>
      <c r="B603">
        <v>9</v>
      </c>
      <c r="C603" s="1" t="s">
        <v>36</v>
      </c>
      <c r="D603" s="1" t="s">
        <v>46</v>
      </c>
      <c r="E603">
        <v>918</v>
      </c>
      <c r="F603" s="1" t="s">
        <v>37</v>
      </c>
      <c r="G603" s="1" t="s">
        <v>38</v>
      </c>
      <c r="H603">
        <v>4</v>
      </c>
      <c r="I603" s="1" t="s">
        <v>39</v>
      </c>
      <c r="J603" s="1" t="s">
        <v>27</v>
      </c>
      <c r="K603">
        <v>1</v>
      </c>
      <c r="L603" s="1" t="s">
        <v>48</v>
      </c>
      <c r="M603">
        <v>30</v>
      </c>
      <c r="N603" s="1" t="s">
        <v>29</v>
      </c>
      <c r="O603" s="1" t="s">
        <v>30</v>
      </c>
      <c r="P603">
        <v>1</v>
      </c>
      <c r="Q603" s="1" t="s">
        <v>31</v>
      </c>
      <c r="R603">
        <v>1</v>
      </c>
      <c r="S603" s="1" t="s">
        <v>40</v>
      </c>
      <c r="T603" s="1" t="s">
        <v>33</v>
      </c>
      <c r="U603" s="1" t="s">
        <v>41</v>
      </c>
      <c r="V603" s="1" t="str">
        <f>_xlfn.XLOOKUP(A603,Dictonary!$A$2:$A$5,Dictonary!$B$2:$B$5)</f>
        <v>Low balance</v>
      </c>
      <c r="W603" s="1" t="str">
        <f>_xlfn.XLOOKUP(D603,Dictonary!$D$2:$D$12,Dictonary!$E$2:$E$12)</f>
        <v>furniture/equipment</v>
      </c>
      <c r="X603" s="1" t="str">
        <f>_xlfn.XLOOKUP(F603,Dictonary!$G$2:$G$6,Dictonary!$H$2:$H$6)</f>
        <v>Less 100</v>
      </c>
      <c r="Y603" s="1" t="str">
        <f>_xlfn.XLOOKUP(I603,Dictonary!$J$2:$J$6,Dictonary!$K$2:$K$6)</f>
        <v>female : divorced/separated/married</v>
      </c>
      <c r="Z603" s="1" t="str">
        <f>_xlfn.XLOOKUP(Q603,Dictonary!$M$2:$M$5,Dictonary!$N$2:$N$5)</f>
        <v>skilled employee / official</v>
      </c>
      <c r="AA603" s="1" t="str">
        <f>_xlfn.XLOOKUP(O603,Dictonary!$P$2:$P$4,Dictonary!$Q$2:$Q$4)</f>
        <v>own</v>
      </c>
    </row>
    <row r="604" spans="1:27" x14ac:dyDescent="0.3">
      <c r="A604" s="1" t="s">
        <v>35</v>
      </c>
      <c r="B604">
        <v>24</v>
      </c>
      <c r="C604" s="1" t="s">
        <v>69</v>
      </c>
      <c r="D604" s="1" t="s">
        <v>43</v>
      </c>
      <c r="E604">
        <v>1837</v>
      </c>
      <c r="F604" s="1" t="s">
        <v>37</v>
      </c>
      <c r="G604" s="1" t="s">
        <v>44</v>
      </c>
      <c r="H604">
        <v>4</v>
      </c>
      <c r="I604" s="1" t="s">
        <v>39</v>
      </c>
      <c r="J604" s="1" t="s">
        <v>27</v>
      </c>
      <c r="K604">
        <v>4</v>
      </c>
      <c r="L604" s="1" t="s">
        <v>52</v>
      </c>
      <c r="M604">
        <v>34</v>
      </c>
      <c r="N604" s="1" t="s">
        <v>66</v>
      </c>
      <c r="O604" s="1" t="s">
        <v>49</v>
      </c>
      <c r="P604">
        <v>1</v>
      </c>
      <c r="Q604" s="1" t="s">
        <v>45</v>
      </c>
      <c r="R604">
        <v>1</v>
      </c>
      <c r="S604" s="1" t="s">
        <v>40</v>
      </c>
      <c r="T604" s="1" t="s">
        <v>33</v>
      </c>
      <c r="U604" s="1" t="s">
        <v>41</v>
      </c>
      <c r="V604" s="1" t="str">
        <f>_xlfn.XLOOKUP(A604,Dictonary!$A$2:$A$5,Dictonary!$B$2:$B$5)</f>
        <v>Low balance</v>
      </c>
      <c r="W604" s="1" t="str">
        <f>_xlfn.XLOOKUP(D604,Dictonary!$D$2:$D$12,Dictonary!$E$2:$E$12)</f>
        <v>education</v>
      </c>
      <c r="X604" s="1" t="str">
        <f>_xlfn.XLOOKUP(F604,Dictonary!$G$2:$G$6,Dictonary!$H$2:$H$6)</f>
        <v>Less 100</v>
      </c>
      <c r="Y604" s="1" t="str">
        <f>_xlfn.XLOOKUP(I604,Dictonary!$J$2:$J$6,Dictonary!$K$2:$K$6)</f>
        <v>female : divorced/separated/married</v>
      </c>
      <c r="Z604" s="1" t="str">
        <f>_xlfn.XLOOKUP(Q604,Dictonary!$M$2:$M$5,Dictonary!$N$2:$N$5)</f>
        <v>unskilled - resident</v>
      </c>
      <c r="AA604" s="1" t="str">
        <f>_xlfn.XLOOKUP(O604,Dictonary!$P$2:$P$4,Dictonary!$Q$2:$Q$4)</f>
        <v>for free</v>
      </c>
    </row>
    <row r="605" spans="1:27" x14ac:dyDescent="0.3">
      <c r="A605" s="1" t="s">
        <v>42</v>
      </c>
      <c r="B605">
        <v>36</v>
      </c>
      <c r="C605" s="1" t="s">
        <v>36</v>
      </c>
      <c r="D605" s="1" t="s">
        <v>46</v>
      </c>
      <c r="E605">
        <v>3349</v>
      </c>
      <c r="F605" s="1" t="s">
        <v>37</v>
      </c>
      <c r="G605" s="1" t="s">
        <v>38</v>
      </c>
      <c r="H605">
        <v>4</v>
      </c>
      <c r="I605" s="1" t="s">
        <v>39</v>
      </c>
      <c r="J605" s="1" t="s">
        <v>27</v>
      </c>
      <c r="K605">
        <v>2</v>
      </c>
      <c r="L605" s="1" t="s">
        <v>55</v>
      </c>
      <c r="M605">
        <v>28</v>
      </c>
      <c r="N605" s="1" t="s">
        <v>29</v>
      </c>
      <c r="O605" s="1" t="s">
        <v>30</v>
      </c>
      <c r="P605">
        <v>1</v>
      </c>
      <c r="Q605" s="1" t="s">
        <v>57</v>
      </c>
      <c r="R605">
        <v>1</v>
      </c>
      <c r="S605" s="1" t="s">
        <v>32</v>
      </c>
      <c r="T605" s="1" t="s">
        <v>33</v>
      </c>
      <c r="U605" s="1" t="s">
        <v>41</v>
      </c>
      <c r="V605" s="1" t="str">
        <f>_xlfn.XLOOKUP(A605,Dictonary!$A$2:$A$5,Dictonary!$B$2:$B$5)</f>
        <v>No information</v>
      </c>
      <c r="W605" s="1" t="str">
        <f>_xlfn.XLOOKUP(D605,Dictonary!$D$2:$D$12,Dictonary!$E$2:$E$12)</f>
        <v>furniture/equipment</v>
      </c>
      <c r="X605" s="1" t="str">
        <f>_xlfn.XLOOKUP(F605,Dictonary!$G$2:$G$6,Dictonary!$H$2:$H$6)</f>
        <v>Less 100</v>
      </c>
      <c r="Y605" s="1" t="str">
        <f>_xlfn.XLOOKUP(I605,Dictonary!$J$2:$J$6,Dictonary!$K$2:$K$6)</f>
        <v>female : divorced/separated/married</v>
      </c>
      <c r="Z605" s="1" t="str">
        <f>_xlfn.XLOOKUP(Q605,Dictonary!$M$2:$M$5,Dictonary!$N$2:$N$5)</f>
        <v>management/ self-employed/ highly qualified employee/ officer</v>
      </c>
      <c r="AA605" s="1" t="str">
        <f>_xlfn.XLOOKUP(O605,Dictonary!$P$2:$P$4,Dictonary!$Q$2:$Q$4)</f>
        <v>own</v>
      </c>
    </row>
    <row r="606" spans="1:27" x14ac:dyDescent="0.3">
      <c r="A606" s="1" t="s">
        <v>68</v>
      </c>
      <c r="B606">
        <v>10</v>
      </c>
      <c r="C606" s="1" t="s">
        <v>36</v>
      </c>
      <c r="D606" s="1" t="s">
        <v>46</v>
      </c>
      <c r="E606">
        <v>1275</v>
      </c>
      <c r="F606" s="1" t="s">
        <v>37</v>
      </c>
      <c r="G606" s="1" t="s">
        <v>62</v>
      </c>
      <c r="H606">
        <v>4</v>
      </c>
      <c r="I606" s="1" t="s">
        <v>39</v>
      </c>
      <c r="J606" s="1" t="s">
        <v>27</v>
      </c>
      <c r="K606">
        <v>2</v>
      </c>
      <c r="L606" s="1" t="s">
        <v>48</v>
      </c>
      <c r="M606">
        <v>23</v>
      </c>
      <c r="N606" s="1" t="s">
        <v>29</v>
      </c>
      <c r="O606" s="1" t="s">
        <v>30</v>
      </c>
      <c r="P606">
        <v>1</v>
      </c>
      <c r="Q606" s="1" t="s">
        <v>31</v>
      </c>
      <c r="R606">
        <v>1</v>
      </c>
      <c r="S606" s="1" t="s">
        <v>40</v>
      </c>
      <c r="T606" s="1" t="s">
        <v>33</v>
      </c>
      <c r="U606" s="1" t="s">
        <v>34</v>
      </c>
      <c r="V606" s="1" t="str">
        <f>_xlfn.XLOOKUP(A606,Dictonary!$A$2:$A$5,Dictonary!$B$2:$B$5)</f>
        <v>Normal balance</v>
      </c>
      <c r="W606" s="1" t="str">
        <f>_xlfn.XLOOKUP(D606,Dictonary!$D$2:$D$12,Dictonary!$E$2:$E$12)</f>
        <v>furniture/equipment</v>
      </c>
      <c r="X606" s="1" t="str">
        <f>_xlfn.XLOOKUP(F606,Dictonary!$G$2:$G$6,Dictonary!$H$2:$H$6)</f>
        <v>Less 100</v>
      </c>
      <c r="Y606" s="1" t="str">
        <f>_xlfn.XLOOKUP(I606,Dictonary!$J$2:$J$6,Dictonary!$K$2:$K$6)</f>
        <v>female : divorced/separated/married</v>
      </c>
      <c r="Z606" s="1" t="str">
        <f>_xlfn.XLOOKUP(Q606,Dictonary!$M$2:$M$5,Dictonary!$N$2:$N$5)</f>
        <v>skilled employee / official</v>
      </c>
      <c r="AA606" s="1" t="str">
        <f>_xlfn.XLOOKUP(O606,Dictonary!$P$2:$P$4,Dictonary!$Q$2:$Q$4)</f>
        <v>own</v>
      </c>
    </row>
    <row r="607" spans="1:27" x14ac:dyDescent="0.3">
      <c r="A607" s="1" t="s">
        <v>21</v>
      </c>
      <c r="B607">
        <v>24</v>
      </c>
      <c r="C607" s="1" t="s">
        <v>69</v>
      </c>
      <c r="D607" s="1" t="s">
        <v>46</v>
      </c>
      <c r="E607">
        <v>2828</v>
      </c>
      <c r="F607" s="1" t="s">
        <v>53</v>
      </c>
      <c r="G607" s="1" t="s">
        <v>38</v>
      </c>
      <c r="H607">
        <v>4</v>
      </c>
      <c r="I607" s="1" t="s">
        <v>26</v>
      </c>
      <c r="J607" s="1" t="s">
        <v>27</v>
      </c>
      <c r="K607">
        <v>4</v>
      </c>
      <c r="L607" s="1" t="s">
        <v>28</v>
      </c>
      <c r="M607">
        <v>22</v>
      </c>
      <c r="N607" s="1" t="s">
        <v>70</v>
      </c>
      <c r="O607" s="1" t="s">
        <v>30</v>
      </c>
      <c r="P607">
        <v>1</v>
      </c>
      <c r="Q607" s="1" t="s">
        <v>31</v>
      </c>
      <c r="R607">
        <v>1</v>
      </c>
      <c r="S607" s="1" t="s">
        <v>32</v>
      </c>
      <c r="T607" s="1" t="s">
        <v>33</v>
      </c>
      <c r="U607" s="1" t="s">
        <v>34</v>
      </c>
      <c r="V607" s="1" t="str">
        <f>_xlfn.XLOOKUP(A607,Dictonary!$A$2:$A$5,Dictonary!$B$2:$B$5)</f>
        <v>Negative balance</v>
      </c>
      <c r="W607" s="1" t="str">
        <f>_xlfn.XLOOKUP(D607,Dictonary!$D$2:$D$12,Dictonary!$E$2:$E$12)</f>
        <v>furniture/equipment</v>
      </c>
      <c r="X607" s="1" t="str">
        <f>_xlfn.XLOOKUP(F607,Dictonary!$G$2:$G$6,Dictonary!$H$2:$H$6)</f>
        <v>Up to 1000</v>
      </c>
      <c r="Y607" s="1" t="str">
        <f>_xlfn.XLOOKUP(I607,Dictonary!$J$2:$J$6,Dictonary!$K$2:$K$6)</f>
        <v>male : single</v>
      </c>
      <c r="Z607" s="1" t="str">
        <f>_xlfn.XLOOKUP(Q607,Dictonary!$M$2:$M$5,Dictonary!$N$2:$N$5)</f>
        <v>skilled employee / official</v>
      </c>
      <c r="AA607" s="1" t="str">
        <f>_xlfn.XLOOKUP(O607,Dictonary!$P$2:$P$4,Dictonary!$Q$2:$Q$4)</f>
        <v>own</v>
      </c>
    </row>
    <row r="608" spans="1:27" x14ac:dyDescent="0.3">
      <c r="A608" s="1" t="s">
        <v>42</v>
      </c>
      <c r="B608">
        <v>24</v>
      </c>
      <c r="C608" s="1" t="s">
        <v>22</v>
      </c>
      <c r="D608" s="1" t="s">
        <v>63</v>
      </c>
      <c r="E608">
        <v>4526</v>
      </c>
      <c r="F608" s="1" t="s">
        <v>37</v>
      </c>
      <c r="G608" s="1" t="s">
        <v>38</v>
      </c>
      <c r="H608">
        <v>3</v>
      </c>
      <c r="I608" s="1" t="s">
        <v>26</v>
      </c>
      <c r="J608" s="1" t="s">
        <v>27</v>
      </c>
      <c r="K608">
        <v>2</v>
      </c>
      <c r="L608" s="1" t="s">
        <v>28</v>
      </c>
      <c r="M608">
        <v>74</v>
      </c>
      <c r="N608" s="1" t="s">
        <v>29</v>
      </c>
      <c r="O608" s="1" t="s">
        <v>30</v>
      </c>
      <c r="P608">
        <v>1</v>
      </c>
      <c r="Q608" s="1" t="s">
        <v>57</v>
      </c>
      <c r="R608">
        <v>1</v>
      </c>
      <c r="S608" s="1" t="s">
        <v>32</v>
      </c>
      <c r="T608" s="1" t="s">
        <v>33</v>
      </c>
      <c r="U608" s="1" t="s">
        <v>34</v>
      </c>
      <c r="V608" s="1" t="str">
        <f>_xlfn.XLOOKUP(A608,Dictonary!$A$2:$A$5,Dictonary!$B$2:$B$5)</f>
        <v>No information</v>
      </c>
      <c r="W608" s="1" t="str">
        <f>_xlfn.XLOOKUP(D608,Dictonary!$D$2:$D$12,Dictonary!$E$2:$E$12)</f>
        <v>business</v>
      </c>
      <c r="X608" s="1" t="str">
        <f>_xlfn.XLOOKUP(F608,Dictonary!$G$2:$G$6,Dictonary!$H$2:$H$6)</f>
        <v>Less 100</v>
      </c>
      <c r="Y608" s="1" t="str">
        <f>_xlfn.XLOOKUP(I608,Dictonary!$J$2:$J$6,Dictonary!$K$2:$K$6)</f>
        <v>male : single</v>
      </c>
      <c r="Z608" s="1" t="str">
        <f>_xlfn.XLOOKUP(Q608,Dictonary!$M$2:$M$5,Dictonary!$N$2:$N$5)</f>
        <v>management/ self-employed/ highly qualified employee/ officer</v>
      </c>
      <c r="AA608" s="1" t="str">
        <f>_xlfn.XLOOKUP(O608,Dictonary!$P$2:$P$4,Dictonary!$Q$2:$Q$4)</f>
        <v>own</v>
      </c>
    </row>
    <row r="609" spans="1:27" x14ac:dyDescent="0.3">
      <c r="A609" s="1" t="s">
        <v>35</v>
      </c>
      <c r="B609">
        <v>36</v>
      </c>
      <c r="C609" s="1" t="s">
        <v>36</v>
      </c>
      <c r="D609" s="1" t="s">
        <v>23</v>
      </c>
      <c r="E609">
        <v>2671</v>
      </c>
      <c r="F609" s="1" t="s">
        <v>64</v>
      </c>
      <c r="G609" s="1" t="s">
        <v>38</v>
      </c>
      <c r="H609">
        <v>4</v>
      </c>
      <c r="I609" s="1" t="s">
        <v>39</v>
      </c>
      <c r="J609" s="1" t="s">
        <v>71</v>
      </c>
      <c r="K609">
        <v>4</v>
      </c>
      <c r="L609" s="1" t="s">
        <v>52</v>
      </c>
      <c r="M609">
        <v>50</v>
      </c>
      <c r="N609" s="1" t="s">
        <v>29</v>
      </c>
      <c r="O609" s="1" t="s">
        <v>49</v>
      </c>
      <c r="P609">
        <v>1</v>
      </c>
      <c r="Q609" s="1" t="s">
        <v>31</v>
      </c>
      <c r="R609">
        <v>1</v>
      </c>
      <c r="S609" s="1" t="s">
        <v>40</v>
      </c>
      <c r="T609" s="1" t="s">
        <v>33</v>
      </c>
      <c r="U609" s="1" t="s">
        <v>41</v>
      </c>
      <c r="V609" s="1" t="str">
        <f>_xlfn.XLOOKUP(A609,Dictonary!$A$2:$A$5,Dictonary!$B$2:$B$5)</f>
        <v>Low balance</v>
      </c>
      <c r="W609" s="1" t="str">
        <f>_xlfn.XLOOKUP(D609,Dictonary!$D$2:$D$12,Dictonary!$E$2:$E$12)</f>
        <v>radio/television</v>
      </c>
      <c r="X609" s="1" t="str">
        <f>_xlfn.XLOOKUP(F609,Dictonary!$G$2:$G$6,Dictonary!$H$2:$H$6)</f>
        <v>Up to 500</v>
      </c>
      <c r="Y609" s="1" t="str">
        <f>_xlfn.XLOOKUP(I609,Dictonary!$J$2:$J$6,Dictonary!$K$2:$K$6)</f>
        <v>female : divorced/separated/married</v>
      </c>
      <c r="Z609" s="1" t="str">
        <f>_xlfn.XLOOKUP(Q609,Dictonary!$M$2:$M$5,Dictonary!$N$2:$N$5)</f>
        <v>skilled employee / official</v>
      </c>
      <c r="AA609" s="1" t="str">
        <f>_xlfn.XLOOKUP(O609,Dictonary!$P$2:$P$4,Dictonary!$Q$2:$Q$4)</f>
        <v>for free</v>
      </c>
    </row>
    <row r="610" spans="1:27" x14ac:dyDescent="0.3">
      <c r="A610" s="1" t="s">
        <v>42</v>
      </c>
      <c r="B610">
        <v>18</v>
      </c>
      <c r="C610" s="1" t="s">
        <v>36</v>
      </c>
      <c r="D610" s="1" t="s">
        <v>23</v>
      </c>
      <c r="E610">
        <v>2051</v>
      </c>
      <c r="F610" s="1" t="s">
        <v>37</v>
      </c>
      <c r="G610" s="1" t="s">
        <v>62</v>
      </c>
      <c r="H610">
        <v>4</v>
      </c>
      <c r="I610" s="1" t="s">
        <v>26</v>
      </c>
      <c r="J610" s="1" t="s">
        <v>27</v>
      </c>
      <c r="K610">
        <v>1</v>
      </c>
      <c r="L610" s="1" t="s">
        <v>28</v>
      </c>
      <c r="M610">
        <v>33</v>
      </c>
      <c r="N610" s="1" t="s">
        <v>29</v>
      </c>
      <c r="O610" s="1" t="s">
        <v>30</v>
      </c>
      <c r="P610">
        <v>1</v>
      </c>
      <c r="Q610" s="1" t="s">
        <v>31</v>
      </c>
      <c r="R610">
        <v>1</v>
      </c>
      <c r="S610" s="1" t="s">
        <v>40</v>
      </c>
      <c r="T610" s="1" t="s">
        <v>33</v>
      </c>
      <c r="U610" s="1" t="s">
        <v>34</v>
      </c>
      <c r="V610" s="1" t="str">
        <f>_xlfn.XLOOKUP(A610,Dictonary!$A$2:$A$5,Dictonary!$B$2:$B$5)</f>
        <v>No information</v>
      </c>
      <c r="W610" s="1" t="str">
        <f>_xlfn.XLOOKUP(D610,Dictonary!$D$2:$D$12,Dictonary!$E$2:$E$12)</f>
        <v>radio/television</v>
      </c>
      <c r="X610" s="1" t="str">
        <f>_xlfn.XLOOKUP(F610,Dictonary!$G$2:$G$6,Dictonary!$H$2:$H$6)</f>
        <v>Less 100</v>
      </c>
      <c r="Y610" s="1" t="str">
        <f>_xlfn.XLOOKUP(I610,Dictonary!$J$2:$J$6,Dictonary!$K$2:$K$6)</f>
        <v>male : single</v>
      </c>
      <c r="Z610" s="1" t="str">
        <f>_xlfn.XLOOKUP(Q610,Dictonary!$M$2:$M$5,Dictonary!$N$2:$N$5)</f>
        <v>skilled employee / official</v>
      </c>
      <c r="AA610" s="1" t="str">
        <f>_xlfn.XLOOKUP(O610,Dictonary!$P$2:$P$4,Dictonary!$Q$2:$Q$4)</f>
        <v>own</v>
      </c>
    </row>
    <row r="611" spans="1:27" x14ac:dyDescent="0.3">
      <c r="A611" s="1" t="s">
        <v>42</v>
      </c>
      <c r="B611">
        <v>15</v>
      </c>
      <c r="C611" s="1" t="s">
        <v>36</v>
      </c>
      <c r="D611" s="1" t="s">
        <v>54</v>
      </c>
      <c r="E611">
        <v>1300</v>
      </c>
      <c r="F611" s="1" t="s">
        <v>24</v>
      </c>
      <c r="G611" s="1" t="s">
        <v>25</v>
      </c>
      <c r="H611">
        <v>4</v>
      </c>
      <c r="I611" s="1" t="s">
        <v>26</v>
      </c>
      <c r="J611" s="1" t="s">
        <v>27</v>
      </c>
      <c r="K611">
        <v>4</v>
      </c>
      <c r="L611" s="1" t="s">
        <v>52</v>
      </c>
      <c r="M611">
        <v>45</v>
      </c>
      <c r="N611" s="1" t="s">
        <v>66</v>
      </c>
      <c r="O611" s="1" t="s">
        <v>49</v>
      </c>
      <c r="P611">
        <v>1</v>
      </c>
      <c r="Q611" s="1" t="s">
        <v>31</v>
      </c>
      <c r="R611">
        <v>2</v>
      </c>
      <c r="S611" s="1" t="s">
        <v>40</v>
      </c>
      <c r="T611" s="1" t="s">
        <v>33</v>
      </c>
      <c r="U611" s="1" t="s">
        <v>34</v>
      </c>
      <c r="V611" s="1" t="str">
        <f>_xlfn.XLOOKUP(A611,Dictonary!$A$2:$A$5,Dictonary!$B$2:$B$5)</f>
        <v>No information</v>
      </c>
      <c r="W611" s="1" t="str">
        <f>_xlfn.XLOOKUP(D611,Dictonary!$D$2:$D$12,Dictonary!$E$2:$E$12)</f>
        <v>car (used)</v>
      </c>
      <c r="X611" s="1" t="str">
        <f>_xlfn.XLOOKUP(F611,Dictonary!$G$2:$G$6,Dictonary!$H$2:$H$6)</f>
        <v>No information</v>
      </c>
      <c r="Y611" s="1" t="str">
        <f>_xlfn.XLOOKUP(I611,Dictonary!$J$2:$J$6,Dictonary!$K$2:$K$6)</f>
        <v>male : single</v>
      </c>
      <c r="Z611" s="1" t="str">
        <f>_xlfn.XLOOKUP(Q611,Dictonary!$M$2:$M$5,Dictonary!$N$2:$N$5)</f>
        <v>skilled employee / official</v>
      </c>
      <c r="AA611" s="1" t="str">
        <f>_xlfn.XLOOKUP(O611,Dictonary!$P$2:$P$4,Dictonary!$Q$2:$Q$4)</f>
        <v>for free</v>
      </c>
    </row>
    <row r="612" spans="1:27" x14ac:dyDescent="0.3">
      <c r="A612" s="1" t="s">
        <v>21</v>
      </c>
      <c r="B612">
        <v>12</v>
      </c>
      <c r="C612" s="1" t="s">
        <v>36</v>
      </c>
      <c r="D612" s="1" t="s">
        <v>72</v>
      </c>
      <c r="E612">
        <v>741</v>
      </c>
      <c r="F612" s="1" t="s">
        <v>64</v>
      </c>
      <c r="G612" s="1" t="s">
        <v>60</v>
      </c>
      <c r="H612">
        <v>4</v>
      </c>
      <c r="I612" s="1" t="s">
        <v>39</v>
      </c>
      <c r="J612" s="1" t="s">
        <v>27</v>
      </c>
      <c r="K612">
        <v>3</v>
      </c>
      <c r="L612" s="1" t="s">
        <v>48</v>
      </c>
      <c r="M612">
        <v>22</v>
      </c>
      <c r="N612" s="1" t="s">
        <v>29</v>
      </c>
      <c r="O612" s="1" t="s">
        <v>30</v>
      </c>
      <c r="P612">
        <v>1</v>
      </c>
      <c r="Q612" s="1" t="s">
        <v>31</v>
      </c>
      <c r="R612">
        <v>1</v>
      </c>
      <c r="S612" s="1" t="s">
        <v>40</v>
      </c>
      <c r="T612" s="1" t="s">
        <v>33</v>
      </c>
      <c r="U612" s="1" t="s">
        <v>41</v>
      </c>
      <c r="V612" s="1" t="str">
        <f>_xlfn.XLOOKUP(A612,Dictonary!$A$2:$A$5,Dictonary!$B$2:$B$5)</f>
        <v>Negative balance</v>
      </c>
      <c r="W612" s="1" t="str">
        <f>_xlfn.XLOOKUP(D612,Dictonary!$D$2:$D$12,Dictonary!$E$2:$E$12)</f>
        <v>domestic appliances</v>
      </c>
      <c r="X612" s="1" t="str">
        <f>_xlfn.XLOOKUP(F612,Dictonary!$G$2:$G$6,Dictonary!$H$2:$H$6)</f>
        <v>Up to 500</v>
      </c>
      <c r="Y612" s="1" t="str">
        <f>_xlfn.XLOOKUP(I612,Dictonary!$J$2:$J$6,Dictonary!$K$2:$K$6)</f>
        <v>female : divorced/separated/married</v>
      </c>
      <c r="Z612" s="1" t="str">
        <f>_xlfn.XLOOKUP(Q612,Dictonary!$M$2:$M$5,Dictonary!$N$2:$N$5)</f>
        <v>skilled employee / official</v>
      </c>
      <c r="AA612" s="1" t="str">
        <f>_xlfn.XLOOKUP(O612,Dictonary!$P$2:$P$4,Dictonary!$Q$2:$Q$4)</f>
        <v>own</v>
      </c>
    </row>
    <row r="613" spans="1:27" x14ac:dyDescent="0.3">
      <c r="A613" s="1" t="s">
        <v>68</v>
      </c>
      <c r="B613">
        <v>10</v>
      </c>
      <c r="C613" s="1" t="s">
        <v>36</v>
      </c>
      <c r="D613" s="1" t="s">
        <v>51</v>
      </c>
      <c r="E613">
        <v>1240</v>
      </c>
      <c r="F613" s="1" t="s">
        <v>64</v>
      </c>
      <c r="G613" s="1" t="s">
        <v>25</v>
      </c>
      <c r="H613">
        <v>1</v>
      </c>
      <c r="I613" s="1" t="s">
        <v>39</v>
      </c>
      <c r="J613" s="1" t="s">
        <v>27</v>
      </c>
      <c r="K613">
        <v>4</v>
      </c>
      <c r="L613" s="1" t="s">
        <v>52</v>
      </c>
      <c r="M613">
        <v>48</v>
      </c>
      <c r="N613" s="1" t="s">
        <v>29</v>
      </c>
      <c r="O613" s="1" t="s">
        <v>49</v>
      </c>
      <c r="P613">
        <v>1</v>
      </c>
      <c r="Q613" s="1" t="s">
        <v>45</v>
      </c>
      <c r="R613">
        <v>2</v>
      </c>
      <c r="S613" s="1" t="s">
        <v>40</v>
      </c>
      <c r="T613" s="1" t="s">
        <v>33</v>
      </c>
      <c r="U613" s="1" t="s">
        <v>41</v>
      </c>
      <c r="V613" s="1" t="str">
        <f>_xlfn.XLOOKUP(A613,Dictonary!$A$2:$A$5,Dictonary!$B$2:$B$5)</f>
        <v>Normal balance</v>
      </c>
      <c r="W613" s="1" t="str">
        <f>_xlfn.XLOOKUP(D613,Dictonary!$D$2:$D$12,Dictonary!$E$2:$E$12)</f>
        <v>car (new)</v>
      </c>
      <c r="X613" s="1" t="str">
        <f>_xlfn.XLOOKUP(F613,Dictonary!$G$2:$G$6,Dictonary!$H$2:$H$6)</f>
        <v>Up to 500</v>
      </c>
      <c r="Y613" s="1" t="str">
        <f>_xlfn.XLOOKUP(I613,Dictonary!$J$2:$J$6,Dictonary!$K$2:$K$6)</f>
        <v>female : divorced/separated/married</v>
      </c>
      <c r="Z613" s="1" t="str">
        <f>_xlfn.XLOOKUP(Q613,Dictonary!$M$2:$M$5,Dictonary!$N$2:$N$5)</f>
        <v>unskilled - resident</v>
      </c>
      <c r="AA613" s="1" t="str">
        <f>_xlfn.XLOOKUP(O613,Dictonary!$P$2:$P$4,Dictonary!$Q$2:$Q$4)</f>
        <v>for free</v>
      </c>
    </row>
    <row r="614" spans="1:27" x14ac:dyDescent="0.3">
      <c r="A614" s="1" t="s">
        <v>21</v>
      </c>
      <c r="B614">
        <v>21</v>
      </c>
      <c r="C614" s="1" t="s">
        <v>36</v>
      </c>
      <c r="D614" s="1" t="s">
        <v>23</v>
      </c>
      <c r="E614">
        <v>3357</v>
      </c>
      <c r="F614" s="1" t="s">
        <v>58</v>
      </c>
      <c r="G614" s="1" t="s">
        <v>62</v>
      </c>
      <c r="H614">
        <v>4</v>
      </c>
      <c r="I614" s="1" t="s">
        <v>39</v>
      </c>
      <c r="J614" s="1" t="s">
        <v>27</v>
      </c>
      <c r="K614">
        <v>2</v>
      </c>
      <c r="L614" s="1" t="s">
        <v>55</v>
      </c>
      <c r="M614">
        <v>29</v>
      </c>
      <c r="N614" s="1" t="s">
        <v>66</v>
      </c>
      <c r="O614" s="1" t="s">
        <v>30</v>
      </c>
      <c r="P614">
        <v>1</v>
      </c>
      <c r="Q614" s="1" t="s">
        <v>31</v>
      </c>
      <c r="R614">
        <v>1</v>
      </c>
      <c r="S614" s="1" t="s">
        <v>40</v>
      </c>
      <c r="T614" s="1" t="s">
        <v>33</v>
      </c>
      <c r="U614" s="1" t="s">
        <v>34</v>
      </c>
      <c r="V614" s="1" t="str">
        <f>_xlfn.XLOOKUP(A614,Dictonary!$A$2:$A$5,Dictonary!$B$2:$B$5)</f>
        <v>Negative balance</v>
      </c>
      <c r="W614" s="1" t="str">
        <f>_xlfn.XLOOKUP(D614,Dictonary!$D$2:$D$12,Dictonary!$E$2:$E$12)</f>
        <v>radio/television</v>
      </c>
      <c r="X614" s="1" t="str">
        <f>_xlfn.XLOOKUP(F614,Dictonary!$G$2:$G$6,Dictonary!$H$2:$H$6)</f>
        <v>More 1000</v>
      </c>
      <c r="Y614" s="1" t="str">
        <f>_xlfn.XLOOKUP(I614,Dictonary!$J$2:$J$6,Dictonary!$K$2:$K$6)</f>
        <v>female : divorced/separated/married</v>
      </c>
      <c r="Z614" s="1" t="str">
        <f>_xlfn.XLOOKUP(Q614,Dictonary!$M$2:$M$5,Dictonary!$N$2:$N$5)</f>
        <v>skilled employee / official</v>
      </c>
      <c r="AA614" s="1" t="str">
        <f>_xlfn.XLOOKUP(O614,Dictonary!$P$2:$P$4,Dictonary!$Q$2:$Q$4)</f>
        <v>own</v>
      </c>
    </row>
    <row r="615" spans="1:27" x14ac:dyDescent="0.3">
      <c r="A615" s="1" t="s">
        <v>21</v>
      </c>
      <c r="B615">
        <v>24</v>
      </c>
      <c r="C615" s="1" t="s">
        <v>69</v>
      </c>
      <c r="D615" s="1" t="s">
        <v>54</v>
      </c>
      <c r="E615">
        <v>3632</v>
      </c>
      <c r="F615" s="1" t="s">
        <v>37</v>
      </c>
      <c r="G615" s="1" t="s">
        <v>38</v>
      </c>
      <c r="H615">
        <v>1</v>
      </c>
      <c r="I615" s="1" t="s">
        <v>39</v>
      </c>
      <c r="J615" s="1" t="s">
        <v>47</v>
      </c>
      <c r="K615">
        <v>4</v>
      </c>
      <c r="L615" s="1" t="s">
        <v>55</v>
      </c>
      <c r="M615">
        <v>22</v>
      </c>
      <c r="N615" s="1" t="s">
        <v>66</v>
      </c>
      <c r="O615" s="1" t="s">
        <v>56</v>
      </c>
      <c r="P615">
        <v>1</v>
      </c>
      <c r="Q615" s="1" t="s">
        <v>31</v>
      </c>
      <c r="R615">
        <v>1</v>
      </c>
      <c r="S615" s="1" t="s">
        <v>40</v>
      </c>
      <c r="T615" s="1" t="s">
        <v>67</v>
      </c>
      <c r="U615" s="1" t="s">
        <v>34</v>
      </c>
      <c r="V615" s="1" t="str">
        <f>_xlfn.XLOOKUP(A615,Dictonary!$A$2:$A$5,Dictonary!$B$2:$B$5)</f>
        <v>Negative balance</v>
      </c>
      <c r="W615" s="1" t="str">
        <f>_xlfn.XLOOKUP(D615,Dictonary!$D$2:$D$12,Dictonary!$E$2:$E$12)</f>
        <v>car (used)</v>
      </c>
      <c r="X615" s="1" t="str">
        <f>_xlfn.XLOOKUP(F615,Dictonary!$G$2:$G$6,Dictonary!$H$2:$H$6)</f>
        <v>Less 100</v>
      </c>
      <c r="Y615" s="1" t="str">
        <f>_xlfn.XLOOKUP(I615,Dictonary!$J$2:$J$6,Dictonary!$K$2:$K$6)</f>
        <v>female : divorced/separated/married</v>
      </c>
      <c r="Z615" s="1" t="str">
        <f>_xlfn.XLOOKUP(Q615,Dictonary!$M$2:$M$5,Dictonary!$N$2:$N$5)</f>
        <v>skilled employee / official</v>
      </c>
      <c r="AA615" s="1" t="str">
        <f>_xlfn.XLOOKUP(O615,Dictonary!$P$2:$P$4,Dictonary!$Q$2:$Q$4)</f>
        <v>rent</v>
      </c>
    </row>
    <row r="616" spans="1:27" x14ac:dyDescent="0.3">
      <c r="A616" s="1" t="s">
        <v>42</v>
      </c>
      <c r="B616">
        <v>18</v>
      </c>
      <c r="C616" s="1" t="s">
        <v>50</v>
      </c>
      <c r="D616" s="1" t="s">
        <v>46</v>
      </c>
      <c r="E616">
        <v>1808</v>
      </c>
      <c r="F616" s="1" t="s">
        <v>37</v>
      </c>
      <c r="G616" s="1" t="s">
        <v>44</v>
      </c>
      <c r="H616">
        <v>4</v>
      </c>
      <c r="I616" s="1" t="s">
        <v>39</v>
      </c>
      <c r="J616" s="1" t="s">
        <v>27</v>
      </c>
      <c r="K616">
        <v>1</v>
      </c>
      <c r="L616" s="1" t="s">
        <v>28</v>
      </c>
      <c r="M616">
        <v>22</v>
      </c>
      <c r="N616" s="1" t="s">
        <v>29</v>
      </c>
      <c r="O616" s="1" t="s">
        <v>30</v>
      </c>
      <c r="P616">
        <v>1</v>
      </c>
      <c r="Q616" s="1" t="s">
        <v>31</v>
      </c>
      <c r="R616">
        <v>1</v>
      </c>
      <c r="S616" s="1" t="s">
        <v>40</v>
      </c>
      <c r="T616" s="1" t="s">
        <v>33</v>
      </c>
      <c r="U616" s="1" t="s">
        <v>41</v>
      </c>
      <c r="V616" s="1" t="str">
        <f>_xlfn.XLOOKUP(A616,Dictonary!$A$2:$A$5,Dictonary!$B$2:$B$5)</f>
        <v>No information</v>
      </c>
      <c r="W616" s="1" t="str">
        <f>_xlfn.XLOOKUP(D616,Dictonary!$D$2:$D$12,Dictonary!$E$2:$E$12)</f>
        <v>furniture/equipment</v>
      </c>
      <c r="X616" s="1" t="str">
        <f>_xlfn.XLOOKUP(F616,Dictonary!$G$2:$G$6,Dictonary!$H$2:$H$6)</f>
        <v>Less 100</v>
      </c>
      <c r="Y616" s="1" t="str">
        <f>_xlfn.XLOOKUP(I616,Dictonary!$J$2:$J$6,Dictonary!$K$2:$K$6)</f>
        <v>female : divorced/separated/married</v>
      </c>
      <c r="Z616" s="1" t="str">
        <f>_xlfn.XLOOKUP(Q616,Dictonary!$M$2:$M$5,Dictonary!$N$2:$N$5)</f>
        <v>skilled employee / official</v>
      </c>
      <c r="AA616" s="1" t="str">
        <f>_xlfn.XLOOKUP(O616,Dictonary!$P$2:$P$4,Dictonary!$Q$2:$Q$4)</f>
        <v>own</v>
      </c>
    </row>
    <row r="617" spans="1:27" x14ac:dyDescent="0.3">
      <c r="A617" s="1" t="s">
        <v>35</v>
      </c>
      <c r="B617">
        <v>48</v>
      </c>
      <c r="C617" s="1" t="s">
        <v>65</v>
      </c>
      <c r="D617" s="1" t="s">
        <v>63</v>
      </c>
      <c r="E617">
        <v>12204</v>
      </c>
      <c r="F617" s="1" t="s">
        <v>24</v>
      </c>
      <c r="G617" s="1" t="s">
        <v>38</v>
      </c>
      <c r="H617">
        <v>2</v>
      </c>
      <c r="I617" s="1" t="s">
        <v>26</v>
      </c>
      <c r="J617" s="1" t="s">
        <v>27</v>
      </c>
      <c r="K617">
        <v>2</v>
      </c>
      <c r="L617" s="1" t="s">
        <v>55</v>
      </c>
      <c r="M617">
        <v>48</v>
      </c>
      <c r="N617" s="1" t="s">
        <v>66</v>
      </c>
      <c r="O617" s="1" t="s">
        <v>30</v>
      </c>
      <c r="P617">
        <v>1</v>
      </c>
      <c r="Q617" s="1" t="s">
        <v>57</v>
      </c>
      <c r="R617">
        <v>1</v>
      </c>
      <c r="S617" s="1" t="s">
        <v>32</v>
      </c>
      <c r="T617" s="1" t="s">
        <v>33</v>
      </c>
      <c r="U617" s="1" t="s">
        <v>34</v>
      </c>
      <c r="V617" s="1" t="str">
        <f>_xlfn.XLOOKUP(A617,Dictonary!$A$2:$A$5,Dictonary!$B$2:$B$5)</f>
        <v>Low balance</v>
      </c>
      <c r="W617" s="1" t="str">
        <f>_xlfn.XLOOKUP(D617,Dictonary!$D$2:$D$12,Dictonary!$E$2:$E$12)</f>
        <v>business</v>
      </c>
      <c r="X617" s="1" t="str">
        <f>_xlfn.XLOOKUP(F617,Dictonary!$G$2:$G$6,Dictonary!$H$2:$H$6)</f>
        <v>No information</v>
      </c>
      <c r="Y617" s="1" t="str">
        <f>_xlfn.XLOOKUP(I617,Dictonary!$J$2:$J$6,Dictonary!$K$2:$K$6)</f>
        <v>male : single</v>
      </c>
      <c r="Z617" s="1" t="str">
        <f>_xlfn.XLOOKUP(Q617,Dictonary!$M$2:$M$5,Dictonary!$N$2:$N$5)</f>
        <v>management/ self-employed/ highly qualified employee/ officer</v>
      </c>
      <c r="AA617" s="1" t="str">
        <f>_xlfn.XLOOKUP(O617,Dictonary!$P$2:$P$4,Dictonary!$Q$2:$Q$4)</f>
        <v>own</v>
      </c>
    </row>
    <row r="618" spans="1:27" x14ac:dyDescent="0.3">
      <c r="A618" s="1" t="s">
        <v>35</v>
      </c>
      <c r="B618">
        <v>60</v>
      </c>
      <c r="C618" s="1" t="s">
        <v>50</v>
      </c>
      <c r="D618" s="1" t="s">
        <v>23</v>
      </c>
      <c r="E618">
        <v>9157</v>
      </c>
      <c r="F618" s="1" t="s">
        <v>24</v>
      </c>
      <c r="G618" s="1" t="s">
        <v>38</v>
      </c>
      <c r="H618">
        <v>2</v>
      </c>
      <c r="I618" s="1" t="s">
        <v>26</v>
      </c>
      <c r="J618" s="1" t="s">
        <v>27</v>
      </c>
      <c r="K618">
        <v>2</v>
      </c>
      <c r="L618" s="1" t="s">
        <v>52</v>
      </c>
      <c r="M618">
        <v>27</v>
      </c>
      <c r="N618" s="1" t="s">
        <v>29</v>
      </c>
      <c r="O618" s="1" t="s">
        <v>49</v>
      </c>
      <c r="P618">
        <v>1</v>
      </c>
      <c r="Q618" s="1" t="s">
        <v>57</v>
      </c>
      <c r="R618">
        <v>1</v>
      </c>
      <c r="S618" s="1" t="s">
        <v>40</v>
      </c>
      <c r="T618" s="1" t="s">
        <v>33</v>
      </c>
      <c r="U618" s="1" t="s">
        <v>34</v>
      </c>
      <c r="V618" s="1" t="str">
        <f>_xlfn.XLOOKUP(A618,Dictonary!$A$2:$A$5,Dictonary!$B$2:$B$5)</f>
        <v>Low balance</v>
      </c>
      <c r="W618" s="1" t="str">
        <f>_xlfn.XLOOKUP(D618,Dictonary!$D$2:$D$12,Dictonary!$E$2:$E$12)</f>
        <v>radio/television</v>
      </c>
      <c r="X618" s="1" t="str">
        <f>_xlfn.XLOOKUP(F618,Dictonary!$G$2:$G$6,Dictonary!$H$2:$H$6)</f>
        <v>No information</v>
      </c>
      <c r="Y618" s="1" t="str">
        <f>_xlfn.XLOOKUP(I618,Dictonary!$J$2:$J$6,Dictonary!$K$2:$K$6)</f>
        <v>male : single</v>
      </c>
      <c r="Z618" s="1" t="str">
        <f>_xlfn.XLOOKUP(Q618,Dictonary!$M$2:$M$5,Dictonary!$N$2:$N$5)</f>
        <v>management/ self-employed/ highly qualified employee/ officer</v>
      </c>
      <c r="AA618" s="1" t="str">
        <f>_xlfn.XLOOKUP(O618,Dictonary!$P$2:$P$4,Dictonary!$Q$2:$Q$4)</f>
        <v>for free</v>
      </c>
    </row>
    <row r="619" spans="1:27" x14ac:dyDescent="0.3">
      <c r="A619" s="1" t="s">
        <v>21</v>
      </c>
      <c r="B619">
        <v>6</v>
      </c>
      <c r="C619" s="1" t="s">
        <v>22</v>
      </c>
      <c r="D619" s="1" t="s">
        <v>51</v>
      </c>
      <c r="E619">
        <v>3676</v>
      </c>
      <c r="F619" s="1" t="s">
        <v>37</v>
      </c>
      <c r="G619" s="1" t="s">
        <v>38</v>
      </c>
      <c r="H619">
        <v>1</v>
      </c>
      <c r="I619" s="1" t="s">
        <v>26</v>
      </c>
      <c r="J619" s="1" t="s">
        <v>27</v>
      </c>
      <c r="K619">
        <v>3</v>
      </c>
      <c r="L619" s="1" t="s">
        <v>28</v>
      </c>
      <c r="M619">
        <v>37</v>
      </c>
      <c r="N619" s="1" t="s">
        <v>29</v>
      </c>
      <c r="O619" s="1" t="s">
        <v>56</v>
      </c>
      <c r="P619">
        <v>3</v>
      </c>
      <c r="Q619" s="1" t="s">
        <v>31</v>
      </c>
      <c r="R619">
        <v>2</v>
      </c>
      <c r="S619" s="1" t="s">
        <v>40</v>
      </c>
      <c r="T619" s="1" t="s">
        <v>33</v>
      </c>
      <c r="U619" s="1" t="s">
        <v>34</v>
      </c>
      <c r="V619" s="1" t="str">
        <f>_xlfn.XLOOKUP(A619,Dictonary!$A$2:$A$5,Dictonary!$B$2:$B$5)</f>
        <v>Negative balance</v>
      </c>
      <c r="W619" s="1" t="str">
        <f>_xlfn.XLOOKUP(D619,Dictonary!$D$2:$D$12,Dictonary!$E$2:$E$12)</f>
        <v>car (new)</v>
      </c>
      <c r="X619" s="1" t="str">
        <f>_xlfn.XLOOKUP(F619,Dictonary!$G$2:$G$6,Dictonary!$H$2:$H$6)</f>
        <v>Less 100</v>
      </c>
      <c r="Y619" s="1" t="str">
        <f>_xlfn.XLOOKUP(I619,Dictonary!$J$2:$J$6,Dictonary!$K$2:$K$6)</f>
        <v>male : single</v>
      </c>
      <c r="Z619" s="1" t="str">
        <f>_xlfn.XLOOKUP(Q619,Dictonary!$M$2:$M$5,Dictonary!$N$2:$N$5)</f>
        <v>skilled employee / official</v>
      </c>
      <c r="AA619" s="1" t="str">
        <f>_xlfn.XLOOKUP(O619,Dictonary!$P$2:$P$4,Dictonary!$Q$2:$Q$4)</f>
        <v>rent</v>
      </c>
    </row>
    <row r="620" spans="1:27" x14ac:dyDescent="0.3">
      <c r="A620" s="1" t="s">
        <v>35</v>
      </c>
      <c r="B620">
        <v>30</v>
      </c>
      <c r="C620" s="1" t="s">
        <v>36</v>
      </c>
      <c r="D620" s="1" t="s">
        <v>46</v>
      </c>
      <c r="E620">
        <v>3441</v>
      </c>
      <c r="F620" s="1" t="s">
        <v>64</v>
      </c>
      <c r="G620" s="1" t="s">
        <v>38</v>
      </c>
      <c r="H620">
        <v>2</v>
      </c>
      <c r="I620" s="1" t="s">
        <v>39</v>
      </c>
      <c r="J620" s="1" t="s">
        <v>71</v>
      </c>
      <c r="K620">
        <v>4</v>
      </c>
      <c r="L620" s="1" t="s">
        <v>55</v>
      </c>
      <c r="M620">
        <v>21</v>
      </c>
      <c r="N620" s="1" t="s">
        <v>29</v>
      </c>
      <c r="O620" s="1" t="s">
        <v>56</v>
      </c>
      <c r="P620">
        <v>1</v>
      </c>
      <c r="Q620" s="1" t="s">
        <v>31</v>
      </c>
      <c r="R620">
        <v>1</v>
      </c>
      <c r="S620" s="1" t="s">
        <v>40</v>
      </c>
      <c r="T620" s="1" t="s">
        <v>33</v>
      </c>
      <c r="U620" s="1" t="s">
        <v>41</v>
      </c>
      <c r="V620" s="1" t="str">
        <f>_xlfn.XLOOKUP(A620,Dictonary!$A$2:$A$5,Dictonary!$B$2:$B$5)</f>
        <v>Low balance</v>
      </c>
      <c r="W620" s="1" t="str">
        <f>_xlfn.XLOOKUP(D620,Dictonary!$D$2:$D$12,Dictonary!$E$2:$E$12)</f>
        <v>furniture/equipment</v>
      </c>
      <c r="X620" s="1" t="str">
        <f>_xlfn.XLOOKUP(F620,Dictonary!$G$2:$G$6,Dictonary!$H$2:$H$6)</f>
        <v>Up to 500</v>
      </c>
      <c r="Y620" s="1" t="str">
        <f>_xlfn.XLOOKUP(I620,Dictonary!$J$2:$J$6,Dictonary!$K$2:$K$6)</f>
        <v>female : divorced/separated/married</v>
      </c>
      <c r="Z620" s="1" t="str">
        <f>_xlfn.XLOOKUP(Q620,Dictonary!$M$2:$M$5,Dictonary!$N$2:$N$5)</f>
        <v>skilled employee / official</v>
      </c>
      <c r="AA620" s="1" t="str">
        <f>_xlfn.XLOOKUP(O620,Dictonary!$P$2:$P$4,Dictonary!$Q$2:$Q$4)</f>
        <v>rent</v>
      </c>
    </row>
    <row r="621" spans="1:27" x14ac:dyDescent="0.3">
      <c r="A621" s="1" t="s">
        <v>42</v>
      </c>
      <c r="B621">
        <v>12</v>
      </c>
      <c r="C621" s="1" t="s">
        <v>36</v>
      </c>
      <c r="D621" s="1" t="s">
        <v>51</v>
      </c>
      <c r="E621">
        <v>640</v>
      </c>
      <c r="F621" s="1" t="s">
        <v>37</v>
      </c>
      <c r="G621" s="1" t="s">
        <v>38</v>
      </c>
      <c r="H621">
        <v>4</v>
      </c>
      <c r="I621" s="1" t="s">
        <v>59</v>
      </c>
      <c r="J621" s="1" t="s">
        <v>27</v>
      </c>
      <c r="K621">
        <v>2</v>
      </c>
      <c r="L621" s="1" t="s">
        <v>28</v>
      </c>
      <c r="M621">
        <v>49</v>
      </c>
      <c r="N621" s="1" t="s">
        <v>29</v>
      </c>
      <c r="O621" s="1" t="s">
        <v>30</v>
      </c>
      <c r="P621">
        <v>1</v>
      </c>
      <c r="Q621" s="1" t="s">
        <v>45</v>
      </c>
      <c r="R621">
        <v>1</v>
      </c>
      <c r="S621" s="1" t="s">
        <v>40</v>
      </c>
      <c r="T621" s="1" t="s">
        <v>33</v>
      </c>
      <c r="U621" s="1" t="s">
        <v>34</v>
      </c>
      <c r="V621" s="1" t="str">
        <f>_xlfn.XLOOKUP(A621,Dictonary!$A$2:$A$5,Dictonary!$B$2:$B$5)</f>
        <v>No information</v>
      </c>
      <c r="W621" s="1" t="str">
        <f>_xlfn.XLOOKUP(D621,Dictonary!$D$2:$D$12,Dictonary!$E$2:$E$12)</f>
        <v>car (new)</v>
      </c>
      <c r="X621" s="1" t="str">
        <f>_xlfn.XLOOKUP(F621,Dictonary!$G$2:$G$6,Dictonary!$H$2:$H$6)</f>
        <v>Less 100</v>
      </c>
      <c r="Y621" s="1" t="str">
        <f>_xlfn.XLOOKUP(I621,Dictonary!$J$2:$J$6,Dictonary!$K$2:$K$6)</f>
        <v>male : divorced/separated</v>
      </c>
      <c r="Z621" s="1" t="str">
        <f>_xlfn.XLOOKUP(Q621,Dictonary!$M$2:$M$5,Dictonary!$N$2:$N$5)</f>
        <v>unskilled - resident</v>
      </c>
      <c r="AA621" s="1" t="str">
        <f>_xlfn.XLOOKUP(O621,Dictonary!$P$2:$P$4,Dictonary!$Q$2:$Q$4)</f>
        <v>own</v>
      </c>
    </row>
    <row r="622" spans="1:27" x14ac:dyDescent="0.3">
      <c r="A622" s="1" t="s">
        <v>35</v>
      </c>
      <c r="B622">
        <v>21</v>
      </c>
      <c r="C622" s="1" t="s">
        <v>22</v>
      </c>
      <c r="D622" s="1" t="s">
        <v>63</v>
      </c>
      <c r="E622">
        <v>3652</v>
      </c>
      <c r="F622" s="1" t="s">
        <v>37</v>
      </c>
      <c r="G622" s="1" t="s">
        <v>44</v>
      </c>
      <c r="H622">
        <v>2</v>
      </c>
      <c r="I622" s="1" t="s">
        <v>26</v>
      </c>
      <c r="J622" s="1" t="s">
        <v>27</v>
      </c>
      <c r="K622">
        <v>3</v>
      </c>
      <c r="L622" s="1" t="s">
        <v>48</v>
      </c>
      <c r="M622">
        <v>27</v>
      </c>
      <c r="N622" s="1" t="s">
        <v>29</v>
      </c>
      <c r="O622" s="1" t="s">
        <v>30</v>
      </c>
      <c r="P622">
        <v>2</v>
      </c>
      <c r="Q622" s="1" t="s">
        <v>31</v>
      </c>
      <c r="R622">
        <v>1</v>
      </c>
      <c r="S622" s="1" t="s">
        <v>40</v>
      </c>
      <c r="T622" s="1" t="s">
        <v>33</v>
      </c>
      <c r="U622" s="1" t="s">
        <v>34</v>
      </c>
      <c r="V622" s="1" t="str">
        <f>_xlfn.XLOOKUP(A622,Dictonary!$A$2:$A$5,Dictonary!$B$2:$B$5)</f>
        <v>Low balance</v>
      </c>
      <c r="W622" s="1" t="str">
        <f>_xlfn.XLOOKUP(D622,Dictonary!$D$2:$D$12,Dictonary!$E$2:$E$12)</f>
        <v>business</v>
      </c>
      <c r="X622" s="1" t="str">
        <f>_xlfn.XLOOKUP(F622,Dictonary!$G$2:$G$6,Dictonary!$H$2:$H$6)</f>
        <v>Less 100</v>
      </c>
      <c r="Y622" s="1" t="str">
        <f>_xlfn.XLOOKUP(I622,Dictonary!$J$2:$J$6,Dictonary!$K$2:$K$6)</f>
        <v>male : single</v>
      </c>
      <c r="Z622" s="1" t="str">
        <f>_xlfn.XLOOKUP(Q622,Dictonary!$M$2:$M$5,Dictonary!$N$2:$N$5)</f>
        <v>skilled employee / official</v>
      </c>
      <c r="AA622" s="1" t="str">
        <f>_xlfn.XLOOKUP(O622,Dictonary!$P$2:$P$4,Dictonary!$Q$2:$Q$4)</f>
        <v>own</v>
      </c>
    </row>
    <row r="623" spans="1:27" x14ac:dyDescent="0.3">
      <c r="A623" s="1" t="s">
        <v>42</v>
      </c>
      <c r="B623">
        <v>18</v>
      </c>
      <c r="C623" s="1" t="s">
        <v>22</v>
      </c>
      <c r="D623" s="1" t="s">
        <v>51</v>
      </c>
      <c r="E623">
        <v>1530</v>
      </c>
      <c r="F623" s="1" t="s">
        <v>37</v>
      </c>
      <c r="G623" s="1" t="s">
        <v>38</v>
      </c>
      <c r="H623">
        <v>3</v>
      </c>
      <c r="I623" s="1" t="s">
        <v>26</v>
      </c>
      <c r="J623" s="1" t="s">
        <v>27</v>
      </c>
      <c r="K623">
        <v>2</v>
      </c>
      <c r="L623" s="1" t="s">
        <v>48</v>
      </c>
      <c r="M623">
        <v>32</v>
      </c>
      <c r="N623" s="1" t="s">
        <v>66</v>
      </c>
      <c r="O623" s="1" t="s">
        <v>30</v>
      </c>
      <c r="P623">
        <v>2</v>
      </c>
      <c r="Q623" s="1" t="s">
        <v>31</v>
      </c>
      <c r="R623">
        <v>1</v>
      </c>
      <c r="S623" s="1" t="s">
        <v>40</v>
      </c>
      <c r="T623" s="1" t="s">
        <v>33</v>
      </c>
      <c r="U623" s="1" t="s">
        <v>41</v>
      </c>
      <c r="V623" s="1" t="str">
        <f>_xlfn.XLOOKUP(A623,Dictonary!$A$2:$A$5,Dictonary!$B$2:$B$5)</f>
        <v>No information</v>
      </c>
      <c r="W623" s="1" t="str">
        <f>_xlfn.XLOOKUP(D623,Dictonary!$D$2:$D$12,Dictonary!$E$2:$E$12)</f>
        <v>car (new)</v>
      </c>
      <c r="X623" s="1" t="str">
        <f>_xlfn.XLOOKUP(F623,Dictonary!$G$2:$G$6,Dictonary!$H$2:$H$6)</f>
        <v>Less 100</v>
      </c>
      <c r="Y623" s="1" t="str">
        <f>_xlfn.XLOOKUP(I623,Dictonary!$J$2:$J$6,Dictonary!$K$2:$K$6)</f>
        <v>male : single</v>
      </c>
      <c r="Z623" s="1" t="str">
        <f>_xlfn.XLOOKUP(Q623,Dictonary!$M$2:$M$5,Dictonary!$N$2:$N$5)</f>
        <v>skilled employee / official</v>
      </c>
      <c r="AA623" s="1" t="str">
        <f>_xlfn.XLOOKUP(O623,Dictonary!$P$2:$P$4,Dictonary!$Q$2:$Q$4)</f>
        <v>own</v>
      </c>
    </row>
    <row r="624" spans="1:27" x14ac:dyDescent="0.3">
      <c r="A624" s="1" t="s">
        <v>42</v>
      </c>
      <c r="B624">
        <v>48</v>
      </c>
      <c r="C624" s="1" t="s">
        <v>36</v>
      </c>
      <c r="D624" s="1" t="s">
        <v>63</v>
      </c>
      <c r="E624">
        <v>3914</v>
      </c>
      <c r="F624" s="1" t="s">
        <v>24</v>
      </c>
      <c r="G624" s="1" t="s">
        <v>38</v>
      </c>
      <c r="H624">
        <v>4</v>
      </c>
      <c r="I624" s="1" t="s">
        <v>59</v>
      </c>
      <c r="J624" s="1" t="s">
        <v>27</v>
      </c>
      <c r="K624">
        <v>2</v>
      </c>
      <c r="L624" s="1" t="s">
        <v>28</v>
      </c>
      <c r="M624">
        <v>38</v>
      </c>
      <c r="N624" s="1" t="s">
        <v>66</v>
      </c>
      <c r="O624" s="1" t="s">
        <v>30</v>
      </c>
      <c r="P624">
        <v>1</v>
      </c>
      <c r="Q624" s="1" t="s">
        <v>31</v>
      </c>
      <c r="R624">
        <v>1</v>
      </c>
      <c r="S624" s="1" t="s">
        <v>40</v>
      </c>
      <c r="T624" s="1" t="s">
        <v>33</v>
      </c>
      <c r="U624" s="1" t="s">
        <v>41</v>
      </c>
      <c r="V624" s="1" t="str">
        <f>_xlfn.XLOOKUP(A624,Dictonary!$A$2:$A$5,Dictonary!$B$2:$B$5)</f>
        <v>No information</v>
      </c>
      <c r="W624" s="1" t="str">
        <f>_xlfn.XLOOKUP(D624,Dictonary!$D$2:$D$12,Dictonary!$E$2:$E$12)</f>
        <v>business</v>
      </c>
      <c r="X624" s="1" t="str">
        <f>_xlfn.XLOOKUP(F624,Dictonary!$G$2:$G$6,Dictonary!$H$2:$H$6)</f>
        <v>No information</v>
      </c>
      <c r="Y624" s="1" t="str">
        <f>_xlfn.XLOOKUP(I624,Dictonary!$J$2:$J$6,Dictonary!$K$2:$K$6)</f>
        <v>male : divorced/separated</v>
      </c>
      <c r="Z624" s="1" t="str">
        <f>_xlfn.XLOOKUP(Q624,Dictonary!$M$2:$M$5,Dictonary!$N$2:$N$5)</f>
        <v>skilled employee / official</v>
      </c>
      <c r="AA624" s="1" t="str">
        <f>_xlfn.XLOOKUP(O624,Dictonary!$P$2:$P$4,Dictonary!$Q$2:$Q$4)</f>
        <v>own</v>
      </c>
    </row>
    <row r="625" spans="1:27" x14ac:dyDescent="0.3">
      <c r="A625" s="1" t="s">
        <v>21</v>
      </c>
      <c r="B625">
        <v>12</v>
      </c>
      <c r="C625" s="1" t="s">
        <v>36</v>
      </c>
      <c r="D625" s="1" t="s">
        <v>46</v>
      </c>
      <c r="E625">
        <v>1858</v>
      </c>
      <c r="F625" s="1" t="s">
        <v>37</v>
      </c>
      <c r="G625" s="1" t="s">
        <v>62</v>
      </c>
      <c r="H625">
        <v>4</v>
      </c>
      <c r="I625" s="1" t="s">
        <v>39</v>
      </c>
      <c r="J625" s="1" t="s">
        <v>27</v>
      </c>
      <c r="K625">
        <v>1</v>
      </c>
      <c r="L625" s="1" t="s">
        <v>55</v>
      </c>
      <c r="M625">
        <v>22</v>
      </c>
      <c r="N625" s="1" t="s">
        <v>29</v>
      </c>
      <c r="O625" s="1" t="s">
        <v>56</v>
      </c>
      <c r="P625">
        <v>1</v>
      </c>
      <c r="Q625" s="1" t="s">
        <v>31</v>
      </c>
      <c r="R625">
        <v>1</v>
      </c>
      <c r="S625" s="1" t="s">
        <v>40</v>
      </c>
      <c r="T625" s="1" t="s">
        <v>33</v>
      </c>
      <c r="U625" s="1" t="s">
        <v>34</v>
      </c>
      <c r="V625" s="1" t="str">
        <f>_xlfn.XLOOKUP(A625,Dictonary!$A$2:$A$5,Dictonary!$B$2:$B$5)</f>
        <v>Negative balance</v>
      </c>
      <c r="W625" s="1" t="str">
        <f>_xlfn.XLOOKUP(D625,Dictonary!$D$2:$D$12,Dictonary!$E$2:$E$12)</f>
        <v>furniture/equipment</v>
      </c>
      <c r="X625" s="1" t="str">
        <f>_xlfn.XLOOKUP(F625,Dictonary!$G$2:$G$6,Dictonary!$H$2:$H$6)</f>
        <v>Less 100</v>
      </c>
      <c r="Y625" s="1" t="str">
        <f>_xlfn.XLOOKUP(I625,Dictonary!$J$2:$J$6,Dictonary!$K$2:$K$6)</f>
        <v>female : divorced/separated/married</v>
      </c>
      <c r="Z625" s="1" t="str">
        <f>_xlfn.XLOOKUP(Q625,Dictonary!$M$2:$M$5,Dictonary!$N$2:$N$5)</f>
        <v>skilled employee / official</v>
      </c>
      <c r="AA625" s="1" t="str">
        <f>_xlfn.XLOOKUP(O625,Dictonary!$P$2:$P$4,Dictonary!$Q$2:$Q$4)</f>
        <v>rent</v>
      </c>
    </row>
    <row r="626" spans="1:27" x14ac:dyDescent="0.3">
      <c r="A626" s="1" t="s">
        <v>21</v>
      </c>
      <c r="B626">
        <v>18</v>
      </c>
      <c r="C626" s="1" t="s">
        <v>36</v>
      </c>
      <c r="D626" s="1" t="s">
        <v>23</v>
      </c>
      <c r="E626">
        <v>2600</v>
      </c>
      <c r="F626" s="1" t="s">
        <v>37</v>
      </c>
      <c r="G626" s="1" t="s">
        <v>38</v>
      </c>
      <c r="H626">
        <v>4</v>
      </c>
      <c r="I626" s="1" t="s">
        <v>26</v>
      </c>
      <c r="J626" s="1" t="s">
        <v>27</v>
      </c>
      <c r="K626">
        <v>4</v>
      </c>
      <c r="L626" s="1" t="s">
        <v>52</v>
      </c>
      <c r="M626">
        <v>65</v>
      </c>
      <c r="N626" s="1" t="s">
        <v>29</v>
      </c>
      <c r="O626" s="1" t="s">
        <v>49</v>
      </c>
      <c r="P626">
        <v>2</v>
      </c>
      <c r="Q626" s="1" t="s">
        <v>31</v>
      </c>
      <c r="R626">
        <v>1</v>
      </c>
      <c r="S626" s="1" t="s">
        <v>40</v>
      </c>
      <c r="T626" s="1" t="s">
        <v>33</v>
      </c>
      <c r="U626" s="1" t="s">
        <v>41</v>
      </c>
      <c r="V626" s="1" t="str">
        <f>_xlfn.XLOOKUP(A626,Dictonary!$A$2:$A$5,Dictonary!$B$2:$B$5)</f>
        <v>Negative balance</v>
      </c>
      <c r="W626" s="1" t="str">
        <f>_xlfn.XLOOKUP(D626,Dictonary!$D$2:$D$12,Dictonary!$E$2:$E$12)</f>
        <v>radio/television</v>
      </c>
      <c r="X626" s="1" t="str">
        <f>_xlfn.XLOOKUP(F626,Dictonary!$G$2:$G$6,Dictonary!$H$2:$H$6)</f>
        <v>Less 100</v>
      </c>
      <c r="Y626" s="1" t="str">
        <f>_xlfn.XLOOKUP(I626,Dictonary!$J$2:$J$6,Dictonary!$K$2:$K$6)</f>
        <v>male : single</v>
      </c>
      <c r="Z626" s="1" t="str">
        <f>_xlfn.XLOOKUP(Q626,Dictonary!$M$2:$M$5,Dictonary!$N$2:$N$5)</f>
        <v>skilled employee / official</v>
      </c>
      <c r="AA626" s="1" t="str">
        <f>_xlfn.XLOOKUP(O626,Dictonary!$P$2:$P$4,Dictonary!$Q$2:$Q$4)</f>
        <v>for free</v>
      </c>
    </row>
    <row r="627" spans="1:27" x14ac:dyDescent="0.3">
      <c r="A627" s="1" t="s">
        <v>42</v>
      </c>
      <c r="B627">
        <v>15</v>
      </c>
      <c r="C627" s="1" t="s">
        <v>36</v>
      </c>
      <c r="D627" s="1" t="s">
        <v>23</v>
      </c>
      <c r="E627">
        <v>1979</v>
      </c>
      <c r="F627" s="1" t="s">
        <v>24</v>
      </c>
      <c r="G627" s="1" t="s">
        <v>25</v>
      </c>
      <c r="H627">
        <v>4</v>
      </c>
      <c r="I627" s="1" t="s">
        <v>26</v>
      </c>
      <c r="J627" s="1" t="s">
        <v>27</v>
      </c>
      <c r="K627">
        <v>2</v>
      </c>
      <c r="L627" s="1" t="s">
        <v>55</v>
      </c>
      <c r="M627">
        <v>35</v>
      </c>
      <c r="N627" s="1" t="s">
        <v>29</v>
      </c>
      <c r="O627" s="1" t="s">
        <v>30</v>
      </c>
      <c r="P627">
        <v>1</v>
      </c>
      <c r="Q627" s="1" t="s">
        <v>31</v>
      </c>
      <c r="R627">
        <v>1</v>
      </c>
      <c r="S627" s="1" t="s">
        <v>40</v>
      </c>
      <c r="T627" s="1" t="s">
        <v>33</v>
      </c>
      <c r="U627" s="1" t="s">
        <v>34</v>
      </c>
      <c r="V627" s="1" t="str">
        <f>_xlfn.XLOOKUP(A627,Dictonary!$A$2:$A$5,Dictonary!$B$2:$B$5)</f>
        <v>No information</v>
      </c>
      <c r="W627" s="1" t="str">
        <f>_xlfn.XLOOKUP(D627,Dictonary!$D$2:$D$12,Dictonary!$E$2:$E$12)</f>
        <v>radio/television</v>
      </c>
      <c r="X627" s="1" t="str">
        <f>_xlfn.XLOOKUP(F627,Dictonary!$G$2:$G$6,Dictonary!$H$2:$H$6)</f>
        <v>No information</v>
      </c>
      <c r="Y627" s="1" t="str">
        <f>_xlfn.XLOOKUP(I627,Dictonary!$J$2:$J$6,Dictonary!$K$2:$K$6)</f>
        <v>male : single</v>
      </c>
      <c r="Z627" s="1" t="str">
        <f>_xlfn.XLOOKUP(Q627,Dictonary!$M$2:$M$5,Dictonary!$N$2:$N$5)</f>
        <v>skilled employee / official</v>
      </c>
      <c r="AA627" s="1" t="str">
        <f>_xlfn.XLOOKUP(O627,Dictonary!$P$2:$P$4,Dictonary!$Q$2:$Q$4)</f>
        <v>own</v>
      </c>
    </row>
    <row r="628" spans="1:27" x14ac:dyDescent="0.3">
      <c r="A628" s="1" t="s">
        <v>68</v>
      </c>
      <c r="B628">
        <v>6</v>
      </c>
      <c r="C628" s="1" t="s">
        <v>36</v>
      </c>
      <c r="D628" s="1" t="s">
        <v>46</v>
      </c>
      <c r="E628">
        <v>2116</v>
      </c>
      <c r="F628" s="1" t="s">
        <v>37</v>
      </c>
      <c r="G628" s="1" t="s">
        <v>38</v>
      </c>
      <c r="H628">
        <v>2</v>
      </c>
      <c r="I628" s="1" t="s">
        <v>26</v>
      </c>
      <c r="J628" s="1" t="s">
        <v>27</v>
      </c>
      <c r="K628">
        <v>2</v>
      </c>
      <c r="L628" s="1" t="s">
        <v>28</v>
      </c>
      <c r="M628">
        <v>41</v>
      </c>
      <c r="N628" s="1" t="s">
        <v>29</v>
      </c>
      <c r="O628" s="1" t="s">
        <v>30</v>
      </c>
      <c r="P628">
        <v>1</v>
      </c>
      <c r="Q628" s="1" t="s">
        <v>31</v>
      </c>
      <c r="R628">
        <v>1</v>
      </c>
      <c r="S628" s="1" t="s">
        <v>32</v>
      </c>
      <c r="T628" s="1" t="s">
        <v>33</v>
      </c>
      <c r="U628" s="1" t="s">
        <v>34</v>
      </c>
      <c r="V628" s="1" t="str">
        <f>_xlfn.XLOOKUP(A628,Dictonary!$A$2:$A$5,Dictonary!$B$2:$B$5)</f>
        <v>Normal balance</v>
      </c>
      <c r="W628" s="1" t="str">
        <f>_xlfn.XLOOKUP(D628,Dictonary!$D$2:$D$12,Dictonary!$E$2:$E$12)</f>
        <v>furniture/equipment</v>
      </c>
      <c r="X628" s="1" t="str">
        <f>_xlfn.XLOOKUP(F628,Dictonary!$G$2:$G$6,Dictonary!$H$2:$H$6)</f>
        <v>Less 100</v>
      </c>
      <c r="Y628" s="1" t="str">
        <f>_xlfn.XLOOKUP(I628,Dictonary!$J$2:$J$6,Dictonary!$K$2:$K$6)</f>
        <v>male : single</v>
      </c>
      <c r="Z628" s="1" t="str">
        <f>_xlfn.XLOOKUP(Q628,Dictonary!$M$2:$M$5,Dictonary!$N$2:$N$5)</f>
        <v>skilled employee / official</v>
      </c>
      <c r="AA628" s="1" t="str">
        <f>_xlfn.XLOOKUP(O628,Dictonary!$P$2:$P$4,Dictonary!$Q$2:$Q$4)</f>
        <v>own</v>
      </c>
    </row>
    <row r="629" spans="1:27" x14ac:dyDescent="0.3">
      <c r="A629" s="1" t="s">
        <v>35</v>
      </c>
      <c r="B629">
        <v>9</v>
      </c>
      <c r="C629" s="1" t="s">
        <v>69</v>
      </c>
      <c r="D629" s="1" t="s">
        <v>51</v>
      </c>
      <c r="E629">
        <v>1437</v>
      </c>
      <c r="F629" s="1" t="s">
        <v>64</v>
      </c>
      <c r="G629" s="1" t="s">
        <v>44</v>
      </c>
      <c r="H629">
        <v>2</v>
      </c>
      <c r="I629" s="1" t="s">
        <v>26</v>
      </c>
      <c r="J629" s="1" t="s">
        <v>27</v>
      </c>
      <c r="K629">
        <v>3</v>
      </c>
      <c r="L629" s="1" t="s">
        <v>52</v>
      </c>
      <c r="M629">
        <v>29</v>
      </c>
      <c r="N629" s="1" t="s">
        <v>29</v>
      </c>
      <c r="O629" s="1" t="s">
        <v>30</v>
      </c>
      <c r="P629">
        <v>1</v>
      </c>
      <c r="Q629" s="1" t="s">
        <v>31</v>
      </c>
      <c r="R629">
        <v>1</v>
      </c>
      <c r="S629" s="1" t="s">
        <v>40</v>
      </c>
      <c r="T629" s="1" t="s">
        <v>33</v>
      </c>
      <c r="U629" s="1" t="s">
        <v>41</v>
      </c>
      <c r="V629" s="1" t="str">
        <f>_xlfn.XLOOKUP(A629,Dictonary!$A$2:$A$5,Dictonary!$B$2:$B$5)</f>
        <v>Low balance</v>
      </c>
      <c r="W629" s="1" t="str">
        <f>_xlfn.XLOOKUP(D629,Dictonary!$D$2:$D$12,Dictonary!$E$2:$E$12)</f>
        <v>car (new)</v>
      </c>
      <c r="X629" s="1" t="str">
        <f>_xlfn.XLOOKUP(F629,Dictonary!$G$2:$G$6,Dictonary!$H$2:$H$6)</f>
        <v>Up to 500</v>
      </c>
      <c r="Y629" s="1" t="str">
        <f>_xlfn.XLOOKUP(I629,Dictonary!$J$2:$J$6,Dictonary!$K$2:$K$6)</f>
        <v>male : single</v>
      </c>
      <c r="Z629" s="1" t="str">
        <f>_xlfn.XLOOKUP(Q629,Dictonary!$M$2:$M$5,Dictonary!$N$2:$N$5)</f>
        <v>skilled employee / official</v>
      </c>
      <c r="AA629" s="1" t="str">
        <f>_xlfn.XLOOKUP(O629,Dictonary!$P$2:$P$4,Dictonary!$Q$2:$Q$4)</f>
        <v>own</v>
      </c>
    </row>
    <row r="630" spans="1:27" x14ac:dyDescent="0.3">
      <c r="A630" s="1" t="s">
        <v>42</v>
      </c>
      <c r="B630">
        <v>42</v>
      </c>
      <c r="C630" s="1" t="s">
        <v>22</v>
      </c>
      <c r="D630" s="1" t="s">
        <v>46</v>
      </c>
      <c r="E630">
        <v>4042</v>
      </c>
      <c r="F630" s="1" t="s">
        <v>53</v>
      </c>
      <c r="G630" s="1" t="s">
        <v>38</v>
      </c>
      <c r="H630">
        <v>4</v>
      </c>
      <c r="I630" s="1" t="s">
        <v>26</v>
      </c>
      <c r="J630" s="1" t="s">
        <v>27</v>
      </c>
      <c r="K630">
        <v>4</v>
      </c>
      <c r="L630" s="1" t="s">
        <v>28</v>
      </c>
      <c r="M630">
        <v>36</v>
      </c>
      <c r="N630" s="1" t="s">
        <v>29</v>
      </c>
      <c r="O630" s="1" t="s">
        <v>30</v>
      </c>
      <c r="P630">
        <v>2</v>
      </c>
      <c r="Q630" s="1" t="s">
        <v>31</v>
      </c>
      <c r="R630">
        <v>1</v>
      </c>
      <c r="S630" s="1" t="s">
        <v>32</v>
      </c>
      <c r="T630" s="1" t="s">
        <v>33</v>
      </c>
      <c r="U630" s="1" t="s">
        <v>34</v>
      </c>
      <c r="V630" s="1" t="str">
        <f>_xlfn.XLOOKUP(A630,Dictonary!$A$2:$A$5,Dictonary!$B$2:$B$5)</f>
        <v>No information</v>
      </c>
      <c r="W630" s="1" t="str">
        <f>_xlfn.XLOOKUP(D630,Dictonary!$D$2:$D$12,Dictonary!$E$2:$E$12)</f>
        <v>furniture/equipment</v>
      </c>
      <c r="X630" s="1" t="str">
        <f>_xlfn.XLOOKUP(F630,Dictonary!$G$2:$G$6,Dictonary!$H$2:$H$6)</f>
        <v>Up to 1000</v>
      </c>
      <c r="Y630" s="1" t="str">
        <f>_xlfn.XLOOKUP(I630,Dictonary!$J$2:$J$6,Dictonary!$K$2:$K$6)</f>
        <v>male : single</v>
      </c>
      <c r="Z630" s="1" t="str">
        <f>_xlfn.XLOOKUP(Q630,Dictonary!$M$2:$M$5,Dictonary!$N$2:$N$5)</f>
        <v>skilled employee / official</v>
      </c>
      <c r="AA630" s="1" t="str">
        <f>_xlfn.XLOOKUP(O630,Dictonary!$P$2:$P$4,Dictonary!$Q$2:$Q$4)</f>
        <v>own</v>
      </c>
    </row>
    <row r="631" spans="1:27" x14ac:dyDescent="0.3">
      <c r="A631" s="1" t="s">
        <v>42</v>
      </c>
      <c r="B631">
        <v>9</v>
      </c>
      <c r="C631" s="1" t="s">
        <v>36</v>
      </c>
      <c r="D631" s="1" t="s">
        <v>43</v>
      </c>
      <c r="E631">
        <v>3832</v>
      </c>
      <c r="F631" s="1" t="s">
        <v>24</v>
      </c>
      <c r="G631" s="1" t="s">
        <v>25</v>
      </c>
      <c r="H631">
        <v>1</v>
      </c>
      <c r="I631" s="1" t="s">
        <v>26</v>
      </c>
      <c r="J631" s="1" t="s">
        <v>27</v>
      </c>
      <c r="K631">
        <v>4</v>
      </c>
      <c r="L631" s="1" t="s">
        <v>28</v>
      </c>
      <c r="M631">
        <v>64</v>
      </c>
      <c r="N631" s="1" t="s">
        <v>29</v>
      </c>
      <c r="O631" s="1" t="s">
        <v>30</v>
      </c>
      <c r="P631">
        <v>1</v>
      </c>
      <c r="Q631" s="1" t="s">
        <v>45</v>
      </c>
      <c r="R631">
        <v>1</v>
      </c>
      <c r="S631" s="1" t="s">
        <v>40</v>
      </c>
      <c r="T631" s="1" t="s">
        <v>33</v>
      </c>
      <c r="U631" s="1" t="s">
        <v>34</v>
      </c>
      <c r="V631" s="1" t="str">
        <f>_xlfn.XLOOKUP(A631,Dictonary!$A$2:$A$5,Dictonary!$B$2:$B$5)</f>
        <v>No information</v>
      </c>
      <c r="W631" s="1" t="str">
        <f>_xlfn.XLOOKUP(D631,Dictonary!$D$2:$D$12,Dictonary!$E$2:$E$12)</f>
        <v>education</v>
      </c>
      <c r="X631" s="1" t="str">
        <f>_xlfn.XLOOKUP(F631,Dictonary!$G$2:$G$6,Dictonary!$H$2:$H$6)</f>
        <v>No information</v>
      </c>
      <c r="Y631" s="1" t="str">
        <f>_xlfn.XLOOKUP(I631,Dictonary!$J$2:$J$6,Dictonary!$K$2:$K$6)</f>
        <v>male : single</v>
      </c>
      <c r="Z631" s="1" t="str">
        <f>_xlfn.XLOOKUP(Q631,Dictonary!$M$2:$M$5,Dictonary!$N$2:$N$5)</f>
        <v>unskilled - resident</v>
      </c>
      <c r="AA631" s="1" t="str">
        <f>_xlfn.XLOOKUP(O631,Dictonary!$P$2:$P$4,Dictonary!$Q$2:$Q$4)</f>
        <v>own</v>
      </c>
    </row>
    <row r="632" spans="1:27" x14ac:dyDescent="0.3">
      <c r="A632" s="1" t="s">
        <v>21</v>
      </c>
      <c r="B632">
        <v>24</v>
      </c>
      <c r="C632" s="1" t="s">
        <v>36</v>
      </c>
      <c r="D632" s="1" t="s">
        <v>23</v>
      </c>
      <c r="E632">
        <v>3660</v>
      </c>
      <c r="F632" s="1" t="s">
        <v>37</v>
      </c>
      <c r="G632" s="1" t="s">
        <v>38</v>
      </c>
      <c r="H632">
        <v>2</v>
      </c>
      <c r="I632" s="1" t="s">
        <v>39</v>
      </c>
      <c r="J632" s="1" t="s">
        <v>27</v>
      </c>
      <c r="K632">
        <v>4</v>
      </c>
      <c r="L632" s="1" t="s">
        <v>55</v>
      </c>
      <c r="M632">
        <v>28</v>
      </c>
      <c r="N632" s="1" t="s">
        <v>29</v>
      </c>
      <c r="O632" s="1" t="s">
        <v>30</v>
      </c>
      <c r="P632">
        <v>1</v>
      </c>
      <c r="Q632" s="1" t="s">
        <v>31</v>
      </c>
      <c r="R632">
        <v>1</v>
      </c>
      <c r="S632" s="1" t="s">
        <v>40</v>
      </c>
      <c r="T632" s="1" t="s">
        <v>33</v>
      </c>
      <c r="U632" s="1" t="s">
        <v>34</v>
      </c>
      <c r="V632" s="1" t="str">
        <f>_xlfn.XLOOKUP(A632,Dictonary!$A$2:$A$5,Dictonary!$B$2:$B$5)</f>
        <v>Negative balance</v>
      </c>
      <c r="W632" s="1" t="str">
        <f>_xlfn.XLOOKUP(D632,Dictonary!$D$2:$D$12,Dictonary!$E$2:$E$12)</f>
        <v>radio/television</v>
      </c>
      <c r="X632" s="1" t="str">
        <f>_xlfn.XLOOKUP(F632,Dictonary!$G$2:$G$6,Dictonary!$H$2:$H$6)</f>
        <v>Less 100</v>
      </c>
      <c r="Y632" s="1" t="str">
        <f>_xlfn.XLOOKUP(I632,Dictonary!$J$2:$J$6,Dictonary!$K$2:$K$6)</f>
        <v>female : divorced/separated/married</v>
      </c>
      <c r="Z632" s="1" t="str">
        <f>_xlfn.XLOOKUP(Q632,Dictonary!$M$2:$M$5,Dictonary!$N$2:$N$5)</f>
        <v>skilled employee / official</v>
      </c>
      <c r="AA632" s="1" t="str">
        <f>_xlfn.XLOOKUP(O632,Dictonary!$P$2:$P$4,Dictonary!$Q$2:$Q$4)</f>
        <v>own</v>
      </c>
    </row>
    <row r="633" spans="1:27" x14ac:dyDescent="0.3">
      <c r="A633" s="1" t="s">
        <v>21</v>
      </c>
      <c r="B633">
        <v>18</v>
      </c>
      <c r="C633" s="1" t="s">
        <v>69</v>
      </c>
      <c r="D633" s="1" t="s">
        <v>46</v>
      </c>
      <c r="E633">
        <v>1553</v>
      </c>
      <c r="F633" s="1" t="s">
        <v>37</v>
      </c>
      <c r="G633" s="1" t="s">
        <v>38</v>
      </c>
      <c r="H633">
        <v>4</v>
      </c>
      <c r="I633" s="1" t="s">
        <v>26</v>
      </c>
      <c r="J633" s="1" t="s">
        <v>27</v>
      </c>
      <c r="K633">
        <v>3</v>
      </c>
      <c r="L633" s="1" t="s">
        <v>55</v>
      </c>
      <c r="M633">
        <v>44</v>
      </c>
      <c r="N633" s="1" t="s">
        <v>66</v>
      </c>
      <c r="O633" s="1" t="s">
        <v>30</v>
      </c>
      <c r="P633">
        <v>1</v>
      </c>
      <c r="Q633" s="1" t="s">
        <v>31</v>
      </c>
      <c r="R633">
        <v>1</v>
      </c>
      <c r="S633" s="1" t="s">
        <v>40</v>
      </c>
      <c r="T633" s="1" t="s">
        <v>33</v>
      </c>
      <c r="U633" s="1" t="s">
        <v>41</v>
      </c>
      <c r="V633" s="1" t="str">
        <f>_xlfn.XLOOKUP(A633,Dictonary!$A$2:$A$5,Dictonary!$B$2:$B$5)</f>
        <v>Negative balance</v>
      </c>
      <c r="W633" s="1" t="str">
        <f>_xlfn.XLOOKUP(D633,Dictonary!$D$2:$D$12,Dictonary!$E$2:$E$12)</f>
        <v>furniture/equipment</v>
      </c>
      <c r="X633" s="1" t="str">
        <f>_xlfn.XLOOKUP(F633,Dictonary!$G$2:$G$6,Dictonary!$H$2:$H$6)</f>
        <v>Less 100</v>
      </c>
      <c r="Y633" s="1" t="str">
        <f>_xlfn.XLOOKUP(I633,Dictonary!$J$2:$J$6,Dictonary!$K$2:$K$6)</f>
        <v>male : single</v>
      </c>
      <c r="Z633" s="1" t="str">
        <f>_xlfn.XLOOKUP(Q633,Dictonary!$M$2:$M$5,Dictonary!$N$2:$N$5)</f>
        <v>skilled employee / official</v>
      </c>
      <c r="AA633" s="1" t="str">
        <f>_xlfn.XLOOKUP(O633,Dictonary!$P$2:$P$4,Dictonary!$Q$2:$Q$4)</f>
        <v>own</v>
      </c>
    </row>
    <row r="634" spans="1:27" x14ac:dyDescent="0.3">
      <c r="A634" s="1" t="s">
        <v>35</v>
      </c>
      <c r="B634">
        <v>15</v>
      </c>
      <c r="C634" s="1" t="s">
        <v>36</v>
      </c>
      <c r="D634" s="1" t="s">
        <v>23</v>
      </c>
      <c r="E634">
        <v>1444</v>
      </c>
      <c r="F634" s="1" t="s">
        <v>24</v>
      </c>
      <c r="G634" s="1" t="s">
        <v>62</v>
      </c>
      <c r="H634">
        <v>4</v>
      </c>
      <c r="I634" s="1" t="s">
        <v>26</v>
      </c>
      <c r="J634" s="1" t="s">
        <v>27</v>
      </c>
      <c r="K634">
        <v>1</v>
      </c>
      <c r="L634" s="1" t="s">
        <v>48</v>
      </c>
      <c r="M634">
        <v>23</v>
      </c>
      <c r="N634" s="1" t="s">
        <v>29</v>
      </c>
      <c r="O634" s="1" t="s">
        <v>30</v>
      </c>
      <c r="P634">
        <v>1</v>
      </c>
      <c r="Q634" s="1" t="s">
        <v>31</v>
      </c>
      <c r="R634">
        <v>1</v>
      </c>
      <c r="S634" s="1" t="s">
        <v>40</v>
      </c>
      <c r="T634" s="1" t="s">
        <v>33</v>
      </c>
      <c r="U634" s="1" t="s">
        <v>34</v>
      </c>
      <c r="V634" s="1" t="str">
        <f>_xlfn.XLOOKUP(A634,Dictonary!$A$2:$A$5,Dictonary!$B$2:$B$5)</f>
        <v>Low balance</v>
      </c>
      <c r="W634" s="1" t="str">
        <f>_xlfn.XLOOKUP(D634,Dictonary!$D$2:$D$12,Dictonary!$E$2:$E$12)</f>
        <v>radio/television</v>
      </c>
      <c r="X634" s="1" t="str">
        <f>_xlfn.XLOOKUP(F634,Dictonary!$G$2:$G$6,Dictonary!$H$2:$H$6)</f>
        <v>No information</v>
      </c>
      <c r="Y634" s="1" t="str">
        <f>_xlfn.XLOOKUP(I634,Dictonary!$J$2:$J$6,Dictonary!$K$2:$K$6)</f>
        <v>male : single</v>
      </c>
      <c r="Z634" s="1" t="str">
        <f>_xlfn.XLOOKUP(Q634,Dictonary!$M$2:$M$5,Dictonary!$N$2:$N$5)</f>
        <v>skilled employee / official</v>
      </c>
      <c r="AA634" s="1" t="str">
        <f>_xlfn.XLOOKUP(O634,Dictonary!$P$2:$P$4,Dictonary!$Q$2:$Q$4)</f>
        <v>own</v>
      </c>
    </row>
    <row r="635" spans="1:27" x14ac:dyDescent="0.3">
      <c r="A635" s="1" t="s">
        <v>42</v>
      </c>
      <c r="B635">
        <v>9</v>
      </c>
      <c r="C635" s="1" t="s">
        <v>36</v>
      </c>
      <c r="D635" s="1" t="s">
        <v>46</v>
      </c>
      <c r="E635">
        <v>1980</v>
      </c>
      <c r="F635" s="1" t="s">
        <v>37</v>
      </c>
      <c r="G635" s="1" t="s">
        <v>62</v>
      </c>
      <c r="H635">
        <v>2</v>
      </c>
      <c r="I635" s="1" t="s">
        <v>39</v>
      </c>
      <c r="J635" s="1" t="s">
        <v>71</v>
      </c>
      <c r="K635">
        <v>2</v>
      </c>
      <c r="L635" s="1" t="s">
        <v>55</v>
      </c>
      <c r="M635">
        <v>19</v>
      </c>
      <c r="N635" s="1" t="s">
        <v>29</v>
      </c>
      <c r="O635" s="1" t="s">
        <v>56</v>
      </c>
      <c r="P635">
        <v>2</v>
      </c>
      <c r="Q635" s="1" t="s">
        <v>31</v>
      </c>
      <c r="R635">
        <v>1</v>
      </c>
      <c r="S635" s="1" t="s">
        <v>40</v>
      </c>
      <c r="T635" s="1" t="s">
        <v>33</v>
      </c>
      <c r="U635" s="1" t="s">
        <v>41</v>
      </c>
      <c r="V635" s="1" t="str">
        <f>_xlfn.XLOOKUP(A635,Dictonary!$A$2:$A$5,Dictonary!$B$2:$B$5)</f>
        <v>No information</v>
      </c>
      <c r="W635" s="1" t="str">
        <f>_xlfn.XLOOKUP(D635,Dictonary!$D$2:$D$12,Dictonary!$E$2:$E$12)</f>
        <v>furniture/equipment</v>
      </c>
      <c r="X635" s="1" t="str">
        <f>_xlfn.XLOOKUP(F635,Dictonary!$G$2:$G$6,Dictonary!$H$2:$H$6)</f>
        <v>Less 100</v>
      </c>
      <c r="Y635" s="1" t="str">
        <f>_xlfn.XLOOKUP(I635,Dictonary!$J$2:$J$6,Dictonary!$K$2:$K$6)</f>
        <v>female : divorced/separated/married</v>
      </c>
      <c r="Z635" s="1" t="str">
        <f>_xlfn.XLOOKUP(Q635,Dictonary!$M$2:$M$5,Dictonary!$N$2:$N$5)</f>
        <v>skilled employee / official</v>
      </c>
      <c r="AA635" s="1" t="str">
        <f>_xlfn.XLOOKUP(O635,Dictonary!$P$2:$P$4,Dictonary!$Q$2:$Q$4)</f>
        <v>rent</v>
      </c>
    </row>
    <row r="636" spans="1:27" x14ac:dyDescent="0.3">
      <c r="A636" s="1" t="s">
        <v>35</v>
      </c>
      <c r="B636">
        <v>24</v>
      </c>
      <c r="C636" s="1" t="s">
        <v>36</v>
      </c>
      <c r="D636" s="1" t="s">
        <v>51</v>
      </c>
      <c r="E636">
        <v>1355</v>
      </c>
      <c r="F636" s="1" t="s">
        <v>37</v>
      </c>
      <c r="G636" s="1" t="s">
        <v>62</v>
      </c>
      <c r="H636">
        <v>3</v>
      </c>
      <c r="I636" s="1" t="s">
        <v>39</v>
      </c>
      <c r="J636" s="1" t="s">
        <v>27</v>
      </c>
      <c r="K636">
        <v>4</v>
      </c>
      <c r="L636" s="1" t="s">
        <v>55</v>
      </c>
      <c r="M636">
        <v>25</v>
      </c>
      <c r="N636" s="1" t="s">
        <v>29</v>
      </c>
      <c r="O636" s="1" t="s">
        <v>30</v>
      </c>
      <c r="P636">
        <v>1</v>
      </c>
      <c r="Q636" s="1" t="s">
        <v>45</v>
      </c>
      <c r="R636">
        <v>1</v>
      </c>
      <c r="S636" s="1" t="s">
        <v>32</v>
      </c>
      <c r="T636" s="1" t="s">
        <v>33</v>
      </c>
      <c r="U636" s="1" t="s">
        <v>41</v>
      </c>
      <c r="V636" s="1" t="str">
        <f>_xlfn.XLOOKUP(A636,Dictonary!$A$2:$A$5,Dictonary!$B$2:$B$5)</f>
        <v>Low balance</v>
      </c>
      <c r="W636" s="1" t="str">
        <f>_xlfn.XLOOKUP(D636,Dictonary!$D$2:$D$12,Dictonary!$E$2:$E$12)</f>
        <v>car (new)</v>
      </c>
      <c r="X636" s="1" t="str">
        <f>_xlfn.XLOOKUP(F636,Dictonary!$G$2:$G$6,Dictonary!$H$2:$H$6)</f>
        <v>Less 100</v>
      </c>
      <c r="Y636" s="1" t="str">
        <f>_xlfn.XLOOKUP(I636,Dictonary!$J$2:$J$6,Dictonary!$K$2:$K$6)</f>
        <v>female : divorced/separated/married</v>
      </c>
      <c r="Z636" s="1" t="str">
        <f>_xlfn.XLOOKUP(Q636,Dictonary!$M$2:$M$5,Dictonary!$N$2:$N$5)</f>
        <v>unskilled - resident</v>
      </c>
      <c r="AA636" s="1" t="str">
        <f>_xlfn.XLOOKUP(O636,Dictonary!$P$2:$P$4,Dictonary!$Q$2:$Q$4)</f>
        <v>own</v>
      </c>
    </row>
    <row r="637" spans="1:27" x14ac:dyDescent="0.3">
      <c r="A637" s="1" t="s">
        <v>42</v>
      </c>
      <c r="B637">
        <v>12</v>
      </c>
      <c r="C637" s="1" t="s">
        <v>36</v>
      </c>
      <c r="D637" s="1" t="s">
        <v>43</v>
      </c>
      <c r="E637">
        <v>1393</v>
      </c>
      <c r="F637" s="1" t="s">
        <v>37</v>
      </c>
      <c r="G637" s="1" t="s">
        <v>25</v>
      </c>
      <c r="H637">
        <v>4</v>
      </c>
      <c r="I637" s="1" t="s">
        <v>26</v>
      </c>
      <c r="J637" s="1" t="s">
        <v>27</v>
      </c>
      <c r="K637">
        <v>4</v>
      </c>
      <c r="L637" s="1" t="s">
        <v>48</v>
      </c>
      <c r="M637">
        <v>47</v>
      </c>
      <c r="N637" s="1" t="s">
        <v>66</v>
      </c>
      <c r="O637" s="1" t="s">
        <v>30</v>
      </c>
      <c r="P637">
        <v>3</v>
      </c>
      <c r="Q637" s="1" t="s">
        <v>31</v>
      </c>
      <c r="R637">
        <v>2</v>
      </c>
      <c r="S637" s="1" t="s">
        <v>32</v>
      </c>
      <c r="T637" s="1" t="s">
        <v>33</v>
      </c>
      <c r="U637" s="1" t="s">
        <v>34</v>
      </c>
      <c r="V637" s="1" t="str">
        <f>_xlfn.XLOOKUP(A637,Dictonary!$A$2:$A$5,Dictonary!$B$2:$B$5)</f>
        <v>No information</v>
      </c>
      <c r="W637" s="1" t="str">
        <f>_xlfn.XLOOKUP(D637,Dictonary!$D$2:$D$12,Dictonary!$E$2:$E$12)</f>
        <v>education</v>
      </c>
      <c r="X637" s="1" t="str">
        <f>_xlfn.XLOOKUP(F637,Dictonary!$G$2:$G$6,Dictonary!$H$2:$H$6)</f>
        <v>Less 100</v>
      </c>
      <c r="Y637" s="1" t="str">
        <f>_xlfn.XLOOKUP(I637,Dictonary!$J$2:$J$6,Dictonary!$K$2:$K$6)</f>
        <v>male : single</v>
      </c>
      <c r="Z637" s="1" t="str">
        <f>_xlfn.XLOOKUP(Q637,Dictonary!$M$2:$M$5,Dictonary!$N$2:$N$5)</f>
        <v>skilled employee / official</v>
      </c>
      <c r="AA637" s="1" t="str">
        <f>_xlfn.XLOOKUP(O637,Dictonary!$P$2:$P$4,Dictonary!$Q$2:$Q$4)</f>
        <v>own</v>
      </c>
    </row>
    <row r="638" spans="1:27" x14ac:dyDescent="0.3">
      <c r="A638" s="1" t="s">
        <v>42</v>
      </c>
      <c r="B638">
        <v>24</v>
      </c>
      <c r="C638" s="1" t="s">
        <v>36</v>
      </c>
      <c r="D638" s="1" t="s">
        <v>23</v>
      </c>
      <c r="E638">
        <v>1376</v>
      </c>
      <c r="F638" s="1" t="s">
        <v>53</v>
      </c>
      <c r="G638" s="1" t="s">
        <v>44</v>
      </c>
      <c r="H638">
        <v>4</v>
      </c>
      <c r="I638" s="1" t="s">
        <v>39</v>
      </c>
      <c r="J638" s="1" t="s">
        <v>27</v>
      </c>
      <c r="K638">
        <v>1</v>
      </c>
      <c r="L638" s="1" t="s">
        <v>55</v>
      </c>
      <c r="M638">
        <v>28</v>
      </c>
      <c r="N638" s="1" t="s">
        <v>29</v>
      </c>
      <c r="O638" s="1" t="s">
        <v>30</v>
      </c>
      <c r="P638">
        <v>1</v>
      </c>
      <c r="Q638" s="1" t="s">
        <v>31</v>
      </c>
      <c r="R638">
        <v>1</v>
      </c>
      <c r="S638" s="1" t="s">
        <v>40</v>
      </c>
      <c r="T638" s="1" t="s">
        <v>33</v>
      </c>
      <c r="U638" s="1" t="s">
        <v>34</v>
      </c>
      <c r="V638" s="1" t="str">
        <f>_xlfn.XLOOKUP(A638,Dictonary!$A$2:$A$5,Dictonary!$B$2:$B$5)</f>
        <v>No information</v>
      </c>
      <c r="W638" s="1" t="str">
        <f>_xlfn.XLOOKUP(D638,Dictonary!$D$2:$D$12,Dictonary!$E$2:$E$12)</f>
        <v>radio/television</v>
      </c>
      <c r="X638" s="1" t="str">
        <f>_xlfn.XLOOKUP(F638,Dictonary!$G$2:$G$6,Dictonary!$H$2:$H$6)</f>
        <v>Up to 1000</v>
      </c>
      <c r="Y638" s="1" t="str">
        <f>_xlfn.XLOOKUP(I638,Dictonary!$J$2:$J$6,Dictonary!$K$2:$K$6)</f>
        <v>female : divorced/separated/married</v>
      </c>
      <c r="Z638" s="1" t="str">
        <f>_xlfn.XLOOKUP(Q638,Dictonary!$M$2:$M$5,Dictonary!$N$2:$N$5)</f>
        <v>skilled employee / official</v>
      </c>
      <c r="AA638" s="1" t="str">
        <f>_xlfn.XLOOKUP(O638,Dictonary!$P$2:$P$4,Dictonary!$Q$2:$Q$4)</f>
        <v>own</v>
      </c>
    </row>
    <row r="639" spans="1:27" x14ac:dyDescent="0.3">
      <c r="A639" s="1" t="s">
        <v>42</v>
      </c>
      <c r="B639">
        <v>60</v>
      </c>
      <c r="C639" s="1" t="s">
        <v>50</v>
      </c>
      <c r="D639" s="1" t="s">
        <v>23</v>
      </c>
      <c r="E639">
        <v>15653</v>
      </c>
      <c r="F639" s="1" t="s">
        <v>37</v>
      </c>
      <c r="G639" s="1" t="s">
        <v>44</v>
      </c>
      <c r="H639">
        <v>2</v>
      </c>
      <c r="I639" s="1" t="s">
        <v>26</v>
      </c>
      <c r="J639" s="1" t="s">
        <v>27</v>
      </c>
      <c r="K639">
        <v>4</v>
      </c>
      <c r="L639" s="1" t="s">
        <v>55</v>
      </c>
      <c r="M639">
        <v>21</v>
      </c>
      <c r="N639" s="1" t="s">
        <v>29</v>
      </c>
      <c r="O639" s="1" t="s">
        <v>30</v>
      </c>
      <c r="P639">
        <v>2</v>
      </c>
      <c r="Q639" s="1" t="s">
        <v>31</v>
      </c>
      <c r="R639">
        <v>1</v>
      </c>
      <c r="S639" s="1" t="s">
        <v>32</v>
      </c>
      <c r="T639" s="1" t="s">
        <v>33</v>
      </c>
      <c r="U639" s="1" t="s">
        <v>34</v>
      </c>
      <c r="V639" s="1" t="str">
        <f>_xlfn.XLOOKUP(A639,Dictonary!$A$2:$A$5,Dictonary!$B$2:$B$5)</f>
        <v>No information</v>
      </c>
      <c r="W639" s="1" t="str">
        <f>_xlfn.XLOOKUP(D639,Dictonary!$D$2:$D$12,Dictonary!$E$2:$E$12)</f>
        <v>radio/television</v>
      </c>
      <c r="X639" s="1" t="str">
        <f>_xlfn.XLOOKUP(F639,Dictonary!$G$2:$G$6,Dictonary!$H$2:$H$6)</f>
        <v>Less 100</v>
      </c>
      <c r="Y639" s="1" t="str">
        <f>_xlfn.XLOOKUP(I639,Dictonary!$J$2:$J$6,Dictonary!$K$2:$K$6)</f>
        <v>male : single</v>
      </c>
      <c r="Z639" s="1" t="str">
        <f>_xlfn.XLOOKUP(Q639,Dictonary!$M$2:$M$5,Dictonary!$N$2:$N$5)</f>
        <v>skilled employee / official</v>
      </c>
      <c r="AA639" s="1" t="str">
        <f>_xlfn.XLOOKUP(O639,Dictonary!$P$2:$P$4,Dictonary!$Q$2:$Q$4)</f>
        <v>own</v>
      </c>
    </row>
    <row r="640" spans="1:27" x14ac:dyDescent="0.3">
      <c r="A640" s="1" t="s">
        <v>42</v>
      </c>
      <c r="B640">
        <v>12</v>
      </c>
      <c r="C640" s="1" t="s">
        <v>36</v>
      </c>
      <c r="D640" s="1" t="s">
        <v>23</v>
      </c>
      <c r="E640">
        <v>1493</v>
      </c>
      <c r="F640" s="1" t="s">
        <v>37</v>
      </c>
      <c r="G640" s="1" t="s">
        <v>62</v>
      </c>
      <c r="H640">
        <v>4</v>
      </c>
      <c r="I640" s="1" t="s">
        <v>39</v>
      </c>
      <c r="J640" s="1" t="s">
        <v>27</v>
      </c>
      <c r="K640">
        <v>3</v>
      </c>
      <c r="L640" s="1" t="s">
        <v>55</v>
      </c>
      <c r="M640">
        <v>34</v>
      </c>
      <c r="N640" s="1" t="s">
        <v>29</v>
      </c>
      <c r="O640" s="1" t="s">
        <v>30</v>
      </c>
      <c r="P640">
        <v>1</v>
      </c>
      <c r="Q640" s="1" t="s">
        <v>31</v>
      </c>
      <c r="R640">
        <v>2</v>
      </c>
      <c r="S640" s="1" t="s">
        <v>40</v>
      </c>
      <c r="T640" s="1" t="s">
        <v>33</v>
      </c>
      <c r="U640" s="1" t="s">
        <v>34</v>
      </c>
      <c r="V640" s="1" t="str">
        <f>_xlfn.XLOOKUP(A640,Dictonary!$A$2:$A$5,Dictonary!$B$2:$B$5)</f>
        <v>No information</v>
      </c>
      <c r="W640" s="1" t="str">
        <f>_xlfn.XLOOKUP(D640,Dictonary!$D$2:$D$12,Dictonary!$E$2:$E$12)</f>
        <v>radio/television</v>
      </c>
      <c r="X640" s="1" t="str">
        <f>_xlfn.XLOOKUP(F640,Dictonary!$G$2:$G$6,Dictonary!$H$2:$H$6)</f>
        <v>Less 100</v>
      </c>
      <c r="Y640" s="1" t="str">
        <f>_xlfn.XLOOKUP(I640,Dictonary!$J$2:$J$6,Dictonary!$K$2:$K$6)</f>
        <v>female : divorced/separated/married</v>
      </c>
      <c r="Z640" s="1" t="str">
        <f>_xlfn.XLOOKUP(Q640,Dictonary!$M$2:$M$5,Dictonary!$N$2:$N$5)</f>
        <v>skilled employee / official</v>
      </c>
      <c r="AA640" s="1" t="str">
        <f>_xlfn.XLOOKUP(O640,Dictonary!$P$2:$P$4,Dictonary!$Q$2:$Q$4)</f>
        <v>own</v>
      </c>
    </row>
    <row r="641" spans="1:27" x14ac:dyDescent="0.3">
      <c r="A641" s="1" t="s">
        <v>21</v>
      </c>
      <c r="B641">
        <v>42</v>
      </c>
      <c r="C641" s="1" t="s">
        <v>50</v>
      </c>
      <c r="D641" s="1" t="s">
        <v>23</v>
      </c>
      <c r="E641">
        <v>4370</v>
      </c>
      <c r="F641" s="1" t="s">
        <v>37</v>
      </c>
      <c r="G641" s="1" t="s">
        <v>44</v>
      </c>
      <c r="H641">
        <v>3</v>
      </c>
      <c r="I641" s="1" t="s">
        <v>26</v>
      </c>
      <c r="J641" s="1" t="s">
        <v>27</v>
      </c>
      <c r="K641">
        <v>2</v>
      </c>
      <c r="L641" s="1" t="s">
        <v>48</v>
      </c>
      <c r="M641">
        <v>26</v>
      </c>
      <c r="N641" s="1" t="s">
        <v>66</v>
      </c>
      <c r="O641" s="1" t="s">
        <v>30</v>
      </c>
      <c r="P641">
        <v>2</v>
      </c>
      <c r="Q641" s="1" t="s">
        <v>31</v>
      </c>
      <c r="R641">
        <v>2</v>
      </c>
      <c r="S641" s="1" t="s">
        <v>32</v>
      </c>
      <c r="T641" s="1" t="s">
        <v>33</v>
      </c>
      <c r="U641" s="1" t="s">
        <v>41</v>
      </c>
      <c r="V641" s="1" t="str">
        <f>_xlfn.XLOOKUP(A641,Dictonary!$A$2:$A$5,Dictonary!$B$2:$B$5)</f>
        <v>Negative balance</v>
      </c>
      <c r="W641" s="1" t="str">
        <f>_xlfn.XLOOKUP(D641,Dictonary!$D$2:$D$12,Dictonary!$E$2:$E$12)</f>
        <v>radio/television</v>
      </c>
      <c r="X641" s="1" t="str">
        <f>_xlfn.XLOOKUP(F641,Dictonary!$G$2:$G$6,Dictonary!$H$2:$H$6)</f>
        <v>Less 100</v>
      </c>
      <c r="Y641" s="1" t="str">
        <f>_xlfn.XLOOKUP(I641,Dictonary!$J$2:$J$6,Dictonary!$K$2:$K$6)</f>
        <v>male : single</v>
      </c>
      <c r="Z641" s="1" t="str">
        <f>_xlfn.XLOOKUP(Q641,Dictonary!$M$2:$M$5,Dictonary!$N$2:$N$5)</f>
        <v>skilled employee / official</v>
      </c>
      <c r="AA641" s="1" t="str">
        <f>_xlfn.XLOOKUP(O641,Dictonary!$P$2:$P$4,Dictonary!$Q$2:$Q$4)</f>
        <v>own</v>
      </c>
    </row>
    <row r="642" spans="1:27" x14ac:dyDescent="0.3">
      <c r="A642" s="1" t="s">
        <v>21</v>
      </c>
      <c r="B642">
        <v>18</v>
      </c>
      <c r="C642" s="1" t="s">
        <v>36</v>
      </c>
      <c r="D642" s="1" t="s">
        <v>43</v>
      </c>
      <c r="E642">
        <v>750</v>
      </c>
      <c r="F642" s="1" t="s">
        <v>37</v>
      </c>
      <c r="G642" s="1" t="s">
        <v>60</v>
      </c>
      <c r="H642">
        <v>4</v>
      </c>
      <c r="I642" s="1" t="s">
        <v>39</v>
      </c>
      <c r="J642" s="1" t="s">
        <v>27</v>
      </c>
      <c r="K642">
        <v>1</v>
      </c>
      <c r="L642" s="1" t="s">
        <v>28</v>
      </c>
      <c r="M642">
        <v>27</v>
      </c>
      <c r="N642" s="1" t="s">
        <v>29</v>
      </c>
      <c r="O642" s="1" t="s">
        <v>30</v>
      </c>
      <c r="P642">
        <v>1</v>
      </c>
      <c r="Q642" s="1" t="s">
        <v>74</v>
      </c>
      <c r="R642">
        <v>1</v>
      </c>
      <c r="S642" s="1" t="s">
        <v>40</v>
      </c>
      <c r="T642" s="1" t="s">
        <v>33</v>
      </c>
      <c r="U642" s="1" t="s">
        <v>41</v>
      </c>
      <c r="V642" s="1" t="str">
        <f>_xlfn.XLOOKUP(A642,Dictonary!$A$2:$A$5,Dictonary!$B$2:$B$5)</f>
        <v>Negative balance</v>
      </c>
      <c r="W642" s="1" t="str">
        <f>_xlfn.XLOOKUP(D642,Dictonary!$D$2:$D$12,Dictonary!$E$2:$E$12)</f>
        <v>education</v>
      </c>
      <c r="X642" s="1" t="str">
        <f>_xlfn.XLOOKUP(F642,Dictonary!$G$2:$G$6,Dictonary!$H$2:$H$6)</f>
        <v>Less 100</v>
      </c>
      <c r="Y642" s="1" t="str">
        <f>_xlfn.XLOOKUP(I642,Dictonary!$J$2:$J$6,Dictonary!$K$2:$K$6)</f>
        <v>female : divorced/separated/married</v>
      </c>
      <c r="Z642" s="1" t="str">
        <f>_xlfn.XLOOKUP(Q642,Dictonary!$M$2:$M$5,Dictonary!$N$2:$N$5)</f>
        <v>unemployed/ unskilled  - non-resident</v>
      </c>
      <c r="AA642" s="1" t="str">
        <f>_xlfn.XLOOKUP(O642,Dictonary!$P$2:$P$4,Dictonary!$Q$2:$Q$4)</f>
        <v>own</v>
      </c>
    </row>
    <row r="643" spans="1:27" x14ac:dyDescent="0.3">
      <c r="A643" s="1" t="s">
        <v>35</v>
      </c>
      <c r="B643">
        <v>15</v>
      </c>
      <c r="C643" s="1" t="s">
        <v>36</v>
      </c>
      <c r="D643" s="1" t="s">
        <v>73</v>
      </c>
      <c r="E643">
        <v>1308</v>
      </c>
      <c r="F643" s="1" t="s">
        <v>37</v>
      </c>
      <c r="G643" s="1" t="s">
        <v>25</v>
      </c>
      <c r="H643">
        <v>4</v>
      </c>
      <c r="I643" s="1" t="s">
        <v>26</v>
      </c>
      <c r="J643" s="1" t="s">
        <v>27</v>
      </c>
      <c r="K643">
        <v>4</v>
      </c>
      <c r="L643" s="1" t="s">
        <v>55</v>
      </c>
      <c r="M643">
        <v>38</v>
      </c>
      <c r="N643" s="1" t="s">
        <v>29</v>
      </c>
      <c r="O643" s="1" t="s">
        <v>30</v>
      </c>
      <c r="P643">
        <v>2</v>
      </c>
      <c r="Q643" s="1" t="s">
        <v>45</v>
      </c>
      <c r="R643">
        <v>1</v>
      </c>
      <c r="S643" s="1" t="s">
        <v>40</v>
      </c>
      <c r="T643" s="1" t="s">
        <v>33</v>
      </c>
      <c r="U643" s="1" t="s">
        <v>34</v>
      </c>
      <c r="V643" s="1" t="str">
        <f>_xlfn.XLOOKUP(A643,Dictonary!$A$2:$A$5,Dictonary!$B$2:$B$5)</f>
        <v>Low balance</v>
      </c>
      <c r="W643" s="1" t="str">
        <f>_xlfn.XLOOKUP(D643,Dictonary!$D$2:$D$12,Dictonary!$E$2:$E$12)</f>
        <v>repairs</v>
      </c>
      <c r="X643" s="1" t="str">
        <f>_xlfn.XLOOKUP(F643,Dictonary!$G$2:$G$6,Dictonary!$H$2:$H$6)</f>
        <v>Less 100</v>
      </c>
      <c r="Y643" s="1" t="str">
        <f>_xlfn.XLOOKUP(I643,Dictonary!$J$2:$J$6,Dictonary!$K$2:$K$6)</f>
        <v>male : single</v>
      </c>
      <c r="Z643" s="1" t="str">
        <f>_xlfn.XLOOKUP(Q643,Dictonary!$M$2:$M$5,Dictonary!$N$2:$N$5)</f>
        <v>unskilled - resident</v>
      </c>
      <c r="AA643" s="1" t="str">
        <f>_xlfn.XLOOKUP(O643,Dictonary!$P$2:$P$4,Dictonary!$Q$2:$Q$4)</f>
        <v>own</v>
      </c>
    </row>
    <row r="644" spans="1:27" x14ac:dyDescent="0.3">
      <c r="A644" s="1" t="s">
        <v>42</v>
      </c>
      <c r="B644">
        <v>15</v>
      </c>
      <c r="C644" s="1" t="s">
        <v>36</v>
      </c>
      <c r="D644" s="1" t="s">
        <v>43</v>
      </c>
      <c r="E644">
        <v>4623</v>
      </c>
      <c r="F644" s="1" t="s">
        <v>64</v>
      </c>
      <c r="G644" s="1" t="s">
        <v>38</v>
      </c>
      <c r="H644">
        <v>3</v>
      </c>
      <c r="I644" s="1" t="s">
        <v>26</v>
      </c>
      <c r="J644" s="1" t="s">
        <v>27</v>
      </c>
      <c r="K644">
        <v>2</v>
      </c>
      <c r="L644" s="1" t="s">
        <v>48</v>
      </c>
      <c r="M644">
        <v>40</v>
      </c>
      <c r="N644" s="1" t="s">
        <v>29</v>
      </c>
      <c r="O644" s="1" t="s">
        <v>30</v>
      </c>
      <c r="P644">
        <v>1</v>
      </c>
      <c r="Q644" s="1" t="s">
        <v>57</v>
      </c>
      <c r="R644">
        <v>1</v>
      </c>
      <c r="S644" s="1" t="s">
        <v>32</v>
      </c>
      <c r="T644" s="1" t="s">
        <v>33</v>
      </c>
      <c r="U644" s="1" t="s">
        <v>41</v>
      </c>
      <c r="V644" s="1" t="str">
        <f>_xlfn.XLOOKUP(A644,Dictonary!$A$2:$A$5,Dictonary!$B$2:$B$5)</f>
        <v>No information</v>
      </c>
      <c r="W644" s="1" t="str">
        <f>_xlfn.XLOOKUP(D644,Dictonary!$D$2:$D$12,Dictonary!$E$2:$E$12)</f>
        <v>education</v>
      </c>
      <c r="X644" s="1" t="str">
        <f>_xlfn.XLOOKUP(F644,Dictonary!$G$2:$G$6,Dictonary!$H$2:$H$6)</f>
        <v>Up to 500</v>
      </c>
      <c r="Y644" s="1" t="str">
        <f>_xlfn.XLOOKUP(I644,Dictonary!$J$2:$J$6,Dictonary!$K$2:$K$6)</f>
        <v>male : single</v>
      </c>
      <c r="Z644" s="1" t="str">
        <f>_xlfn.XLOOKUP(Q644,Dictonary!$M$2:$M$5,Dictonary!$N$2:$N$5)</f>
        <v>management/ self-employed/ highly qualified employee/ officer</v>
      </c>
      <c r="AA644" s="1" t="str">
        <f>_xlfn.XLOOKUP(O644,Dictonary!$P$2:$P$4,Dictonary!$Q$2:$Q$4)</f>
        <v>own</v>
      </c>
    </row>
    <row r="645" spans="1:27" x14ac:dyDescent="0.3">
      <c r="A645" s="1" t="s">
        <v>42</v>
      </c>
      <c r="B645">
        <v>24</v>
      </c>
      <c r="C645" s="1" t="s">
        <v>22</v>
      </c>
      <c r="D645" s="1" t="s">
        <v>23</v>
      </c>
      <c r="E645">
        <v>1851</v>
      </c>
      <c r="F645" s="1" t="s">
        <v>37</v>
      </c>
      <c r="G645" s="1" t="s">
        <v>44</v>
      </c>
      <c r="H645">
        <v>4</v>
      </c>
      <c r="I645" s="1" t="s">
        <v>61</v>
      </c>
      <c r="J645" s="1" t="s">
        <v>47</v>
      </c>
      <c r="K645">
        <v>2</v>
      </c>
      <c r="L645" s="1" t="s">
        <v>55</v>
      </c>
      <c r="M645">
        <v>33</v>
      </c>
      <c r="N645" s="1" t="s">
        <v>29</v>
      </c>
      <c r="O645" s="1" t="s">
        <v>30</v>
      </c>
      <c r="P645">
        <v>2</v>
      </c>
      <c r="Q645" s="1" t="s">
        <v>31</v>
      </c>
      <c r="R645">
        <v>1</v>
      </c>
      <c r="S645" s="1" t="s">
        <v>32</v>
      </c>
      <c r="T645" s="1" t="s">
        <v>33</v>
      </c>
      <c r="U645" s="1" t="s">
        <v>34</v>
      </c>
      <c r="V645" s="1" t="str">
        <f>_xlfn.XLOOKUP(A645,Dictonary!$A$2:$A$5,Dictonary!$B$2:$B$5)</f>
        <v>No information</v>
      </c>
      <c r="W645" s="1" t="str">
        <f>_xlfn.XLOOKUP(D645,Dictonary!$D$2:$D$12,Dictonary!$E$2:$E$12)</f>
        <v>radio/television</v>
      </c>
      <c r="X645" s="1" t="str">
        <f>_xlfn.XLOOKUP(F645,Dictonary!$G$2:$G$6,Dictonary!$H$2:$H$6)</f>
        <v>Less 100</v>
      </c>
      <c r="Y645" s="1" t="str">
        <f>_xlfn.XLOOKUP(I645,Dictonary!$J$2:$J$6,Dictonary!$K$2:$K$6)</f>
        <v>male : married/widowed</v>
      </c>
      <c r="Z645" s="1" t="str">
        <f>_xlfn.XLOOKUP(Q645,Dictonary!$M$2:$M$5,Dictonary!$N$2:$N$5)</f>
        <v>skilled employee / official</v>
      </c>
      <c r="AA645" s="1" t="str">
        <f>_xlfn.XLOOKUP(O645,Dictonary!$P$2:$P$4,Dictonary!$Q$2:$Q$4)</f>
        <v>own</v>
      </c>
    </row>
    <row r="646" spans="1:27" x14ac:dyDescent="0.3">
      <c r="A646" s="1" t="s">
        <v>21</v>
      </c>
      <c r="B646">
        <v>18</v>
      </c>
      <c r="C646" s="1" t="s">
        <v>22</v>
      </c>
      <c r="D646" s="1" t="s">
        <v>23</v>
      </c>
      <c r="E646">
        <v>1880</v>
      </c>
      <c r="F646" s="1" t="s">
        <v>37</v>
      </c>
      <c r="G646" s="1" t="s">
        <v>44</v>
      </c>
      <c r="H646">
        <v>4</v>
      </c>
      <c r="I646" s="1" t="s">
        <v>61</v>
      </c>
      <c r="J646" s="1" t="s">
        <v>27</v>
      </c>
      <c r="K646">
        <v>1</v>
      </c>
      <c r="L646" s="1" t="s">
        <v>48</v>
      </c>
      <c r="M646">
        <v>32</v>
      </c>
      <c r="N646" s="1" t="s">
        <v>29</v>
      </c>
      <c r="O646" s="1" t="s">
        <v>30</v>
      </c>
      <c r="P646">
        <v>2</v>
      </c>
      <c r="Q646" s="1" t="s">
        <v>57</v>
      </c>
      <c r="R646">
        <v>1</v>
      </c>
      <c r="S646" s="1" t="s">
        <v>32</v>
      </c>
      <c r="T646" s="1" t="s">
        <v>33</v>
      </c>
      <c r="U646" s="1" t="s">
        <v>34</v>
      </c>
      <c r="V646" s="1" t="str">
        <f>_xlfn.XLOOKUP(A646,Dictonary!$A$2:$A$5,Dictonary!$B$2:$B$5)</f>
        <v>Negative balance</v>
      </c>
      <c r="W646" s="1" t="str">
        <f>_xlfn.XLOOKUP(D646,Dictonary!$D$2:$D$12,Dictonary!$E$2:$E$12)</f>
        <v>radio/television</v>
      </c>
      <c r="X646" s="1" t="str">
        <f>_xlfn.XLOOKUP(F646,Dictonary!$G$2:$G$6,Dictonary!$H$2:$H$6)</f>
        <v>Less 100</v>
      </c>
      <c r="Y646" s="1" t="str">
        <f>_xlfn.XLOOKUP(I646,Dictonary!$J$2:$J$6,Dictonary!$K$2:$K$6)</f>
        <v>male : married/widowed</v>
      </c>
      <c r="Z646" s="1" t="str">
        <f>_xlfn.XLOOKUP(Q646,Dictonary!$M$2:$M$5,Dictonary!$N$2:$N$5)</f>
        <v>management/ self-employed/ highly qualified employee/ officer</v>
      </c>
      <c r="AA646" s="1" t="str">
        <f>_xlfn.XLOOKUP(O646,Dictonary!$P$2:$P$4,Dictonary!$Q$2:$Q$4)</f>
        <v>own</v>
      </c>
    </row>
    <row r="647" spans="1:27" x14ac:dyDescent="0.3">
      <c r="A647" s="1" t="s">
        <v>42</v>
      </c>
      <c r="B647">
        <v>36</v>
      </c>
      <c r="C647" s="1" t="s">
        <v>50</v>
      </c>
      <c r="D647" s="1" t="s">
        <v>63</v>
      </c>
      <c r="E647">
        <v>7980</v>
      </c>
      <c r="F647" s="1" t="s">
        <v>24</v>
      </c>
      <c r="G647" s="1" t="s">
        <v>62</v>
      </c>
      <c r="H647">
        <v>4</v>
      </c>
      <c r="I647" s="1" t="s">
        <v>26</v>
      </c>
      <c r="J647" s="1" t="s">
        <v>27</v>
      </c>
      <c r="K647">
        <v>4</v>
      </c>
      <c r="L647" s="1" t="s">
        <v>55</v>
      </c>
      <c r="M647">
        <v>27</v>
      </c>
      <c r="N647" s="1" t="s">
        <v>29</v>
      </c>
      <c r="O647" s="1" t="s">
        <v>56</v>
      </c>
      <c r="P647">
        <v>2</v>
      </c>
      <c r="Q647" s="1" t="s">
        <v>31</v>
      </c>
      <c r="R647">
        <v>1</v>
      </c>
      <c r="S647" s="1" t="s">
        <v>32</v>
      </c>
      <c r="T647" s="1" t="s">
        <v>33</v>
      </c>
      <c r="U647" s="1" t="s">
        <v>41</v>
      </c>
      <c r="V647" s="1" t="str">
        <f>_xlfn.XLOOKUP(A647,Dictonary!$A$2:$A$5,Dictonary!$B$2:$B$5)</f>
        <v>No information</v>
      </c>
      <c r="W647" s="1" t="str">
        <f>_xlfn.XLOOKUP(D647,Dictonary!$D$2:$D$12,Dictonary!$E$2:$E$12)</f>
        <v>business</v>
      </c>
      <c r="X647" s="1" t="str">
        <f>_xlfn.XLOOKUP(F647,Dictonary!$G$2:$G$6,Dictonary!$H$2:$H$6)</f>
        <v>No information</v>
      </c>
      <c r="Y647" s="1" t="str">
        <f>_xlfn.XLOOKUP(I647,Dictonary!$J$2:$J$6,Dictonary!$K$2:$K$6)</f>
        <v>male : single</v>
      </c>
      <c r="Z647" s="1" t="str">
        <f>_xlfn.XLOOKUP(Q647,Dictonary!$M$2:$M$5,Dictonary!$N$2:$N$5)</f>
        <v>skilled employee / official</v>
      </c>
      <c r="AA647" s="1" t="str">
        <f>_xlfn.XLOOKUP(O647,Dictonary!$P$2:$P$4,Dictonary!$Q$2:$Q$4)</f>
        <v>rent</v>
      </c>
    </row>
    <row r="648" spans="1:27" x14ac:dyDescent="0.3">
      <c r="A648" s="1" t="s">
        <v>21</v>
      </c>
      <c r="B648">
        <v>30</v>
      </c>
      <c r="C648" s="1" t="s">
        <v>65</v>
      </c>
      <c r="D648" s="1" t="s">
        <v>46</v>
      </c>
      <c r="E648">
        <v>4583</v>
      </c>
      <c r="F648" s="1" t="s">
        <v>37</v>
      </c>
      <c r="G648" s="1" t="s">
        <v>38</v>
      </c>
      <c r="H648">
        <v>2</v>
      </c>
      <c r="I648" s="1" t="s">
        <v>59</v>
      </c>
      <c r="J648" s="1" t="s">
        <v>47</v>
      </c>
      <c r="K648">
        <v>2</v>
      </c>
      <c r="L648" s="1" t="s">
        <v>28</v>
      </c>
      <c r="M648">
        <v>32</v>
      </c>
      <c r="N648" s="1" t="s">
        <v>29</v>
      </c>
      <c r="O648" s="1" t="s">
        <v>30</v>
      </c>
      <c r="P648">
        <v>2</v>
      </c>
      <c r="Q648" s="1" t="s">
        <v>31</v>
      </c>
      <c r="R648">
        <v>1</v>
      </c>
      <c r="S648" s="1" t="s">
        <v>40</v>
      </c>
      <c r="T648" s="1" t="s">
        <v>33</v>
      </c>
      <c r="U648" s="1" t="s">
        <v>34</v>
      </c>
      <c r="V648" s="1" t="str">
        <f>_xlfn.XLOOKUP(A648,Dictonary!$A$2:$A$5,Dictonary!$B$2:$B$5)</f>
        <v>Negative balance</v>
      </c>
      <c r="W648" s="1" t="str">
        <f>_xlfn.XLOOKUP(D648,Dictonary!$D$2:$D$12,Dictonary!$E$2:$E$12)</f>
        <v>furniture/equipment</v>
      </c>
      <c r="X648" s="1" t="str">
        <f>_xlfn.XLOOKUP(F648,Dictonary!$G$2:$G$6,Dictonary!$H$2:$H$6)</f>
        <v>Less 100</v>
      </c>
      <c r="Y648" s="1" t="str">
        <f>_xlfn.XLOOKUP(I648,Dictonary!$J$2:$J$6,Dictonary!$K$2:$K$6)</f>
        <v>male : divorced/separated</v>
      </c>
      <c r="Z648" s="1" t="str">
        <f>_xlfn.XLOOKUP(Q648,Dictonary!$M$2:$M$5,Dictonary!$N$2:$N$5)</f>
        <v>skilled employee / official</v>
      </c>
      <c r="AA648" s="1" t="str">
        <f>_xlfn.XLOOKUP(O648,Dictonary!$P$2:$P$4,Dictonary!$Q$2:$Q$4)</f>
        <v>own</v>
      </c>
    </row>
    <row r="649" spans="1:27" x14ac:dyDescent="0.3">
      <c r="A649" s="1" t="s">
        <v>42</v>
      </c>
      <c r="B649">
        <v>12</v>
      </c>
      <c r="C649" s="1" t="s">
        <v>36</v>
      </c>
      <c r="D649" s="1" t="s">
        <v>51</v>
      </c>
      <c r="E649">
        <v>1386</v>
      </c>
      <c r="F649" s="1" t="s">
        <v>53</v>
      </c>
      <c r="G649" s="1" t="s">
        <v>38</v>
      </c>
      <c r="H649">
        <v>2</v>
      </c>
      <c r="I649" s="1" t="s">
        <v>39</v>
      </c>
      <c r="J649" s="1" t="s">
        <v>27</v>
      </c>
      <c r="K649">
        <v>2</v>
      </c>
      <c r="L649" s="1" t="s">
        <v>48</v>
      </c>
      <c r="M649">
        <v>26</v>
      </c>
      <c r="N649" s="1" t="s">
        <v>29</v>
      </c>
      <c r="O649" s="1" t="s">
        <v>30</v>
      </c>
      <c r="P649">
        <v>1</v>
      </c>
      <c r="Q649" s="1" t="s">
        <v>31</v>
      </c>
      <c r="R649">
        <v>1</v>
      </c>
      <c r="S649" s="1" t="s">
        <v>40</v>
      </c>
      <c r="T649" s="1" t="s">
        <v>33</v>
      </c>
      <c r="U649" s="1" t="s">
        <v>41</v>
      </c>
      <c r="V649" s="1" t="str">
        <f>_xlfn.XLOOKUP(A649,Dictonary!$A$2:$A$5,Dictonary!$B$2:$B$5)</f>
        <v>No information</v>
      </c>
      <c r="W649" s="1" t="str">
        <f>_xlfn.XLOOKUP(D649,Dictonary!$D$2:$D$12,Dictonary!$E$2:$E$12)</f>
        <v>car (new)</v>
      </c>
      <c r="X649" s="1" t="str">
        <f>_xlfn.XLOOKUP(F649,Dictonary!$G$2:$G$6,Dictonary!$H$2:$H$6)</f>
        <v>Up to 1000</v>
      </c>
      <c r="Y649" s="1" t="str">
        <f>_xlfn.XLOOKUP(I649,Dictonary!$J$2:$J$6,Dictonary!$K$2:$K$6)</f>
        <v>female : divorced/separated/married</v>
      </c>
      <c r="Z649" s="1" t="str">
        <f>_xlfn.XLOOKUP(Q649,Dictonary!$M$2:$M$5,Dictonary!$N$2:$N$5)</f>
        <v>skilled employee / official</v>
      </c>
      <c r="AA649" s="1" t="str">
        <f>_xlfn.XLOOKUP(O649,Dictonary!$P$2:$P$4,Dictonary!$Q$2:$Q$4)</f>
        <v>own</v>
      </c>
    </row>
    <row r="650" spans="1:27" x14ac:dyDescent="0.3">
      <c r="A650" s="1" t="s">
        <v>68</v>
      </c>
      <c r="B650">
        <v>24</v>
      </c>
      <c r="C650" s="1" t="s">
        <v>36</v>
      </c>
      <c r="D650" s="1" t="s">
        <v>51</v>
      </c>
      <c r="E650">
        <v>947</v>
      </c>
      <c r="F650" s="1" t="s">
        <v>37</v>
      </c>
      <c r="G650" s="1" t="s">
        <v>44</v>
      </c>
      <c r="H650">
        <v>4</v>
      </c>
      <c r="I650" s="1" t="s">
        <v>26</v>
      </c>
      <c r="J650" s="1" t="s">
        <v>27</v>
      </c>
      <c r="K650">
        <v>3</v>
      </c>
      <c r="L650" s="1" t="s">
        <v>52</v>
      </c>
      <c r="M650">
        <v>38</v>
      </c>
      <c r="N650" s="1" t="s">
        <v>66</v>
      </c>
      <c r="O650" s="1" t="s">
        <v>49</v>
      </c>
      <c r="P650">
        <v>1</v>
      </c>
      <c r="Q650" s="1" t="s">
        <v>31</v>
      </c>
      <c r="R650">
        <v>2</v>
      </c>
      <c r="S650" s="1" t="s">
        <v>40</v>
      </c>
      <c r="T650" s="1" t="s">
        <v>33</v>
      </c>
      <c r="U650" s="1" t="s">
        <v>41</v>
      </c>
      <c r="V650" s="1" t="str">
        <f>_xlfn.XLOOKUP(A650,Dictonary!$A$2:$A$5,Dictonary!$B$2:$B$5)</f>
        <v>Normal balance</v>
      </c>
      <c r="W650" s="1" t="str">
        <f>_xlfn.XLOOKUP(D650,Dictonary!$D$2:$D$12,Dictonary!$E$2:$E$12)</f>
        <v>car (new)</v>
      </c>
      <c r="X650" s="1" t="str">
        <f>_xlfn.XLOOKUP(F650,Dictonary!$G$2:$G$6,Dictonary!$H$2:$H$6)</f>
        <v>Less 100</v>
      </c>
      <c r="Y650" s="1" t="str">
        <f>_xlfn.XLOOKUP(I650,Dictonary!$J$2:$J$6,Dictonary!$K$2:$K$6)</f>
        <v>male : single</v>
      </c>
      <c r="Z650" s="1" t="str">
        <f>_xlfn.XLOOKUP(Q650,Dictonary!$M$2:$M$5,Dictonary!$N$2:$N$5)</f>
        <v>skilled employee / official</v>
      </c>
      <c r="AA650" s="1" t="str">
        <f>_xlfn.XLOOKUP(O650,Dictonary!$P$2:$P$4,Dictonary!$Q$2:$Q$4)</f>
        <v>for free</v>
      </c>
    </row>
    <row r="651" spans="1:27" x14ac:dyDescent="0.3">
      <c r="A651" s="1" t="s">
        <v>21</v>
      </c>
      <c r="B651">
        <v>12</v>
      </c>
      <c r="C651" s="1" t="s">
        <v>36</v>
      </c>
      <c r="D651" s="1" t="s">
        <v>43</v>
      </c>
      <c r="E651">
        <v>684</v>
      </c>
      <c r="F651" s="1" t="s">
        <v>37</v>
      </c>
      <c r="G651" s="1" t="s">
        <v>38</v>
      </c>
      <c r="H651">
        <v>4</v>
      </c>
      <c r="I651" s="1" t="s">
        <v>26</v>
      </c>
      <c r="J651" s="1" t="s">
        <v>27</v>
      </c>
      <c r="K651">
        <v>4</v>
      </c>
      <c r="L651" s="1" t="s">
        <v>55</v>
      </c>
      <c r="M651">
        <v>40</v>
      </c>
      <c r="N651" s="1" t="s">
        <v>29</v>
      </c>
      <c r="O651" s="1" t="s">
        <v>56</v>
      </c>
      <c r="P651">
        <v>1</v>
      </c>
      <c r="Q651" s="1" t="s">
        <v>45</v>
      </c>
      <c r="R651">
        <v>2</v>
      </c>
      <c r="S651" s="1" t="s">
        <v>40</v>
      </c>
      <c r="T651" s="1" t="s">
        <v>33</v>
      </c>
      <c r="U651" s="1" t="s">
        <v>41</v>
      </c>
      <c r="V651" s="1" t="str">
        <f>_xlfn.XLOOKUP(A651,Dictonary!$A$2:$A$5,Dictonary!$B$2:$B$5)</f>
        <v>Negative balance</v>
      </c>
      <c r="W651" s="1" t="str">
        <f>_xlfn.XLOOKUP(D651,Dictonary!$D$2:$D$12,Dictonary!$E$2:$E$12)</f>
        <v>education</v>
      </c>
      <c r="X651" s="1" t="str">
        <f>_xlfn.XLOOKUP(F651,Dictonary!$G$2:$G$6,Dictonary!$H$2:$H$6)</f>
        <v>Less 100</v>
      </c>
      <c r="Y651" s="1" t="str">
        <f>_xlfn.XLOOKUP(I651,Dictonary!$J$2:$J$6,Dictonary!$K$2:$K$6)</f>
        <v>male : single</v>
      </c>
      <c r="Z651" s="1" t="str">
        <f>_xlfn.XLOOKUP(Q651,Dictonary!$M$2:$M$5,Dictonary!$N$2:$N$5)</f>
        <v>unskilled - resident</v>
      </c>
      <c r="AA651" s="1" t="str">
        <f>_xlfn.XLOOKUP(O651,Dictonary!$P$2:$P$4,Dictonary!$Q$2:$Q$4)</f>
        <v>rent</v>
      </c>
    </row>
    <row r="652" spans="1:27" x14ac:dyDescent="0.3">
      <c r="A652" s="1" t="s">
        <v>21</v>
      </c>
      <c r="B652">
        <v>48</v>
      </c>
      <c r="C652" s="1" t="s">
        <v>36</v>
      </c>
      <c r="D652" s="1" t="s">
        <v>43</v>
      </c>
      <c r="E652">
        <v>7476</v>
      </c>
      <c r="F652" s="1" t="s">
        <v>37</v>
      </c>
      <c r="G652" s="1" t="s">
        <v>44</v>
      </c>
      <c r="H652">
        <v>4</v>
      </c>
      <c r="I652" s="1" t="s">
        <v>26</v>
      </c>
      <c r="J652" s="1" t="s">
        <v>27</v>
      </c>
      <c r="K652">
        <v>1</v>
      </c>
      <c r="L652" s="1" t="s">
        <v>52</v>
      </c>
      <c r="M652">
        <v>50</v>
      </c>
      <c r="N652" s="1" t="s">
        <v>29</v>
      </c>
      <c r="O652" s="1" t="s">
        <v>49</v>
      </c>
      <c r="P652">
        <v>1</v>
      </c>
      <c r="Q652" s="1" t="s">
        <v>57</v>
      </c>
      <c r="R652">
        <v>1</v>
      </c>
      <c r="S652" s="1" t="s">
        <v>32</v>
      </c>
      <c r="T652" s="1" t="s">
        <v>33</v>
      </c>
      <c r="U652" s="1" t="s">
        <v>34</v>
      </c>
      <c r="V652" s="1" t="str">
        <f>_xlfn.XLOOKUP(A652,Dictonary!$A$2:$A$5,Dictonary!$B$2:$B$5)</f>
        <v>Negative balance</v>
      </c>
      <c r="W652" s="1" t="str">
        <f>_xlfn.XLOOKUP(D652,Dictonary!$D$2:$D$12,Dictonary!$E$2:$E$12)</f>
        <v>education</v>
      </c>
      <c r="X652" s="1" t="str">
        <f>_xlfn.XLOOKUP(F652,Dictonary!$G$2:$G$6,Dictonary!$H$2:$H$6)</f>
        <v>Less 100</v>
      </c>
      <c r="Y652" s="1" t="str">
        <f>_xlfn.XLOOKUP(I652,Dictonary!$J$2:$J$6,Dictonary!$K$2:$K$6)</f>
        <v>male : single</v>
      </c>
      <c r="Z652" s="1" t="str">
        <f>_xlfn.XLOOKUP(Q652,Dictonary!$M$2:$M$5,Dictonary!$N$2:$N$5)</f>
        <v>management/ self-employed/ highly qualified employee/ officer</v>
      </c>
      <c r="AA652" s="1" t="str">
        <f>_xlfn.XLOOKUP(O652,Dictonary!$P$2:$P$4,Dictonary!$Q$2:$Q$4)</f>
        <v>for free</v>
      </c>
    </row>
    <row r="653" spans="1:27" x14ac:dyDescent="0.3">
      <c r="A653" s="1" t="s">
        <v>35</v>
      </c>
      <c r="B653">
        <v>12</v>
      </c>
      <c r="C653" s="1" t="s">
        <v>36</v>
      </c>
      <c r="D653" s="1" t="s">
        <v>46</v>
      </c>
      <c r="E653">
        <v>1922</v>
      </c>
      <c r="F653" s="1" t="s">
        <v>37</v>
      </c>
      <c r="G653" s="1" t="s">
        <v>38</v>
      </c>
      <c r="H653">
        <v>4</v>
      </c>
      <c r="I653" s="1" t="s">
        <v>26</v>
      </c>
      <c r="J653" s="1" t="s">
        <v>27</v>
      </c>
      <c r="K653">
        <v>2</v>
      </c>
      <c r="L653" s="1" t="s">
        <v>48</v>
      </c>
      <c r="M653">
        <v>37</v>
      </c>
      <c r="N653" s="1" t="s">
        <v>29</v>
      </c>
      <c r="O653" s="1" t="s">
        <v>30</v>
      </c>
      <c r="P653">
        <v>1</v>
      </c>
      <c r="Q653" s="1" t="s">
        <v>45</v>
      </c>
      <c r="R653">
        <v>1</v>
      </c>
      <c r="S653" s="1" t="s">
        <v>40</v>
      </c>
      <c r="T653" s="1" t="s">
        <v>33</v>
      </c>
      <c r="U653" s="1" t="s">
        <v>41</v>
      </c>
      <c r="V653" s="1" t="str">
        <f>_xlfn.XLOOKUP(A653,Dictonary!$A$2:$A$5,Dictonary!$B$2:$B$5)</f>
        <v>Low balance</v>
      </c>
      <c r="W653" s="1" t="str">
        <f>_xlfn.XLOOKUP(D653,Dictonary!$D$2:$D$12,Dictonary!$E$2:$E$12)</f>
        <v>furniture/equipment</v>
      </c>
      <c r="X653" s="1" t="str">
        <f>_xlfn.XLOOKUP(F653,Dictonary!$G$2:$G$6,Dictonary!$H$2:$H$6)</f>
        <v>Less 100</v>
      </c>
      <c r="Y653" s="1" t="str">
        <f>_xlfn.XLOOKUP(I653,Dictonary!$J$2:$J$6,Dictonary!$K$2:$K$6)</f>
        <v>male : single</v>
      </c>
      <c r="Z653" s="1" t="str">
        <f>_xlfn.XLOOKUP(Q653,Dictonary!$M$2:$M$5,Dictonary!$N$2:$N$5)</f>
        <v>unskilled - resident</v>
      </c>
      <c r="AA653" s="1" t="str">
        <f>_xlfn.XLOOKUP(O653,Dictonary!$P$2:$P$4,Dictonary!$Q$2:$Q$4)</f>
        <v>own</v>
      </c>
    </row>
    <row r="654" spans="1:27" x14ac:dyDescent="0.3">
      <c r="A654" s="1" t="s">
        <v>21</v>
      </c>
      <c r="B654">
        <v>24</v>
      </c>
      <c r="C654" s="1" t="s">
        <v>36</v>
      </c>
      <c r="D654" s="1" t="s">
        <v>51</v>
      </c>
      <c r="E654">
        <v>2303</v>
      </c>
      <c r="F654" s="1" t="s">
        <v>37</v>
      </c>
      <c r="G654" s="1" t="s">
        <v>25</v>
      </c>
      <c r="H654">
        <v>4</v>
      </c>
      <c r="I654" s="1" t="s">
        <v>26</v>
      </c>
      <c r="J654" s="1" t="s">
        <v>71</v>
      </c>
      <c r="K654">
        <v>1</v>
      </c>
      <c r="L654" s="1" t="s">
        <v>28</v>
      </c>
      <c r="M654">
        <v>45</v>
      </c>
      <c r="N654" s="1" t="s">
        <v>29</v>
      </c>
      <c r="O654" s="1" t="s">
        <v>30</v>
      </c>
      <c r="P654">
        <v>1</v>
      </c>
      <c r="Q654" s="1" t="s">
        <v>31</v>
      </c>
      <c r="R654">
        <v>1</v>
      </c>
      <c r="S654" s="1" t="s">
        <v>40</v>
      </c>
      <c r="T654" s="1" t="s">
        <v>33</v>
      </c>
      <c r="U654" s="1" t="s">
        <v>41</v>
      </c>
      <c r="V654" s="1" t="str">
        <f>_xlfn.XLOOKUP(A654,Dictonary!$A$2:$A$5,Dictonary!$B$2:$B$5)</f>
        <v>Negative balance</v>
      </c>
      <c r="W654" s="1" t="str">
        <f>_xlfn.XLOOKUP(D654,Dictonary!$D$2:$D$12,Dictonary!$E$2:$E$12)</f>
        <v>car (new)</v>
      </c>
      <c r="X654" s="1" t="str">
        <f>_xlfn.XLOOKUP(F654,Dictonary!$G$2:$G$6,Dictonary!$H$2:$H$6)</f>
        <v>Less 100</v>
      </c>
      <c r="Y654" s="1" t="str">
        <f>_xlfn.XLOOKUP(I654,Dictonary!$J$2:$J$6,Dictonary!$K$2:$K$6)</f>
        <v>male : single</v>
      </c>
      <c r="Z654" s="1" t="str">
        <f>_xlfn.XLOOKUP(Q654,Dictonary!$M$2:$M$5,Dictonary!$N$2:$N$5)</f>
        <v>skilled employee / official</v>
      </c>
      <c r="AA654" s="1" t="str">
        <f>_xlfn.XLOOKUP(O654,Dictonary!$P$2:$P$4,Dictonary!$Q$2:$Q$4)</f>
        <v>own</v>
      </c>
    </row>
    <row r="655" spans="1:27" x14ac:dyDescent="0.3">
      <c r="A655" s="1" t="s">
        <v>35</v>
      </c>
      <c r="B655">
        <v>36</v>
      </c>
      <c r="C655" s="1" t="s">
        <v>50</v>
      </c>
      <c r="D655" s="1" t="s">
        <v>51</v>
      </c>
      <c r="E655">
        <v>8086</v>
      </c>
      <c r="F655" s="1" t="s">
        <v>64</v>
      </c>
      <c r="G655" s="1" t="s">
        <v>25</v>
      </c>
      <c r="H655">
        <v>2</v>
      </c>
      <c r="I655" s="1" t="s">
        <v>26</v>
      </c>
      <c r="J655" s="1" t="s">
        <v>27</v>
      </c>
      <c r="K655">
        <v>4</v>
      </c>
      <c r="L655" s="1" t="s">
        <v>55</v>
      </c>
      <c r="M655">
        <v>42</v>
      </c>
      <c r="N655" s="1" t="s">
        <v>29</v>
      </c>
      <c r="O655" s="1" t="s">
        <v>30</v>
      </c>
      <c r="P655">
        <v>4</v>
      </c>
      <c r="Q655" s="1" t="s">
        <v>57</v>
      </c>
      <c r="R655">
        <v>1</v>
      </c>
      <c r="S655" s="1" t="s">
        <v>32</v>
      </c>
      <c r="T655" s="1" t="s">
        <v>33</v>
      </c>
      <c r="U655" s="1" t="s">
        <v>41</v>
      </c>
      <c r="V655" s="1" t="str">
        <f>_xlfn.XLOOKUP(A655,Dictonary!$A$2:$A$5,Dictonary!$B$2:$B$5)</f>
        <v>Low balance</v>
      </c>
      <c r="W655" s="1" t="str">
        <f>_xlfn.XLOOKUP(D655,Dictonary!$D$2:$D$12,Dictonary!$E$2:$E$12)</f>
        <v>car (new)</v>
      </c>
      <c r="X655" s="1" t="str">
        <f>_xlfn.XLOOKUP(F655,Dictonary!$G$2:$G$6,Dictonary!$H$2:$H$6)</f>
        <v>Up to 500</v>
      </c>
      <c r="Y655" s="1" t="str">
        <f>_xlfn.XLOOKUP(I655,Dictonary!$J$2:$J$6,Dictonary!$K$2:$K$6)</f>
        <v>male : single</v>
      </c>
      <c r="Z655" s="1" t="str">
        <f>_xlfn.XLOOKUP(Q655,Dictonary!$M$2:$M$5,Dictonary!$N$2:$N$5)</f>
        <v>management/ self-employed/ highly qualified employee/ officer</v>
      </c>
      <c r="AA655" s="1" t="str">
        <f>_xlfn.XLOOKUP(O655,Dictonary!$P$2:$P$4,Dictonary!$Q$2:$Q$4)</f>
        <v>own</v>
      </c>
    </row>
    <row r="656" spans="1:27" x14ac:dyDescent="0.3">
      <c r="A656" s="1" t="s">
        <v>42</v>
      </c>
      <c r="B656">
        <v>24</v>
      </c>
      <c r="C656" s="1" t="s">
        <v>22</v>
      </c>
      <c r="D656" s="1" t="s">
        <v>54</v>
      </c>
      <c r="E656">
        <v>2346</v>
      </c>
      <c r="F656" s="1" t="s">
        <v>37</v>
      </c>
      <c r="G656" s="1" t="s">
        <v>44</v>
      </c>
      <c r="H656">
        <v>4</v>
      </c>
      <c r="I656" s="1" t="s">
        <v>26</v>
      </c>
      <c r="J656" s="1" t="s">
        <v>27</v>
      </c>
      <c r="K656">
        <v>3</v>
      </c>
      <c r="L656" s="1" t="s">
        <v>55</v>
      </c>
      <c r="M656">
        <v>35</v>
      </c>
      <c r="N656" s="1" t="s">
        <v>29</v>
      </c>
      <c r="O656" s="1" t="s">
        <v>30</v>
      </c>
      <c r="P656">
        <v>2</v>
      </c>
      <c r="Q656" s="1" t="s">
        <v>31</v>
      </c>
      <c r="R656">
        <v>1</v>
      </c>
      <c r="S656" s="1" t="s">
        <v>32</v>
      </c>
      <c r="T656" s="1" t="s">
        <v>33</v>
      </c>
      <c r="U656" s="1" t="s">
        <v>34</v>
      </c>
      <c r="V656" s="1" t="str">
        <f>_xlfn.XLOOKUP(A656,Dictonary!$A$2:$A$5,Dictonary!$B$2:$B$5)</f>
        <v>No information</v>
      </c>
      <c r="W656" s="1" t="str">
        <f>_xlfn.XLOOKUP(D656,Dictonary!$D$2:$D$12,Dictonary!$E$2:$E$12)</f>
        <v>car (used)</v>
      </c>
      <c r="X656" s="1" t="str">
        <f>_xlfn.XLOOKUP(F656,Dictonary!$G$2:$G$6,Dictonary!$H$2:$H$6)</f>
        <v>Less 100</v>
      </c>
      <c r="Y656" s="1" t="str">
        <f>_xlfn.XLOOKUP(I656,Dictonary!$J$2:$J$6,Dictonary!$K$2:$K$6)</f>
        <v>male : single</v>
      </c>
      <c r="Z656" s="1" t="str">
        <f>_xlfn.XLOOKUP(Q656,Dictonary!$M$2:$M$5,Dictonary!$N$2:$N$5)</f>
        <v>skilled employee / official</v>
      </c>
      <c r="AA656" s="1" t="str">
        <f>_xlfn.XLOOKUP(O656,Dictonary!$P$2:$P$4,Dictonary!$Q$2:$Q$4)</f>
        <v>own</v>
      </c>
    </row>
    <row r="657" spans="1:27" x14ac:dyDescent="0.3">
      <c r="A657" s="1" t="s">
        <v>21</v>
      </c>
      <c r="B657">
        <v>14</v>
      </c>
      <c r="C657" s="1" t="s">
        <v>36</v>
      </c>
      <c r="D657" s="1" t="s">
        <v>51</v>
      </c>
      <c r="E657">
        <v>3973</v>
      </c>
      <c r="F657" s="1" t="s">
        <v>37</v>
      </c>
      <c r="G657" s="1" t="s">
        <v>60</v>
      </c>
      <c r="H657">
        <v>1</v>
      </c>
      <c r="I657" s="1" t="s">
        <v>26</v>
      </c>
      <c r="J657" s="1" t="s">
        <v>27</v>
      </c>
      <c r="K657">
        <v>4</v>
      </c>
      <c r="L657" s="1" t="s">
        <v>52</v>
      </c>
      <c r="M657">
        <v>22</v>
      </c>
      <c r="N657" s="1" t="s">
        <v>29</v>
      </c>
      <c r="O657" s="1" t="s">
        <v>49</v>
      </c>
      <c r="P657">
        <v>1</v>
      </c>
      <c r="Q657" s="1" t="s">
        <v>31</v>
      </c>
      <c r="R657">
        <v>1</v>
      </c>
      <c r="S657" s="1" t="s">
        <v>40</v>
      </c>
      <c r="T657" s="1" t="s">
        <v>33</v>
      </c>
      <c r="U657" s="1" t="s">
        <v>34</v>
      </c>
      <c r="V657" s="1" t="str">
        <f>_xlfn.XLOOKUP(A657,Dictonary!$A$2:$A$5,Dictonary!$B$2:$B$5)</f>
        <v>Negative balance</v>
      </c>
      <c r="W657" s="1" t="str">
        <f>_xlfn.XLOOKUP(D657,Dictonary!$D$2:$D$12,Dictonary!$E$2:$E$12)</f>
        <v>car (new)</v>
      </c>
      <c r="X657" s="1" t="str">
        <f>_xlfn.XLOOKUP(F657,Dictonary!$G$2:$G$6,Dictonary!$H$2:$H$6)</f>
        <v>Less 100</v>
      </c>
      <c r="Y657" s="1" t="str">
        <f>_xlfn.XLOOKUP(I657,Dictonary!$J$2:$J$6,Dictonary!$K$2:$K$6)</f>
        <v>male : single</v>
      </c>
      <c r="Z657" s="1" t="str">
        <f>_xlfn.XLOOKUP(Q657,Dictonary!$M$2:$M$5,Dictonary!$N$2:$N$5)</f>
        <v>skilled employee / official</v>
      </c>
      <c r="AA657" s="1" t="str">
        <f>_xlfn.XLOOKUP(O657,Dictonary!$P$2:$P$4,Dictonary!$Q$2:$Q$4)</f>
        <v>for free</v>
      </c>
    </row>
    <row r="658" spans="1:27" x14ac:dyDescent="0.3">
      <c r="A658" s="1" t="s">
        <v>35</v>
      </c>
      <c r="B658">
        <v>12</v>
      </c>
      <c r="C658" s="1" t="s">
        <v>36</v>
      </c>
      <c r="D658" s="1" t="s">
        <v>51</v>
      </c>
      <c r="E658">
        <v>888</v>
      </c>
      <c r="F658" s="1" t="s">
        <v>37</v>
      </c>
      <c r="G658" s="1" t="s">
        <v>25</v>
      </c>
      <c r="H658">
        <v>4</v>
      </c>
      <c r="I658" s="1" t="s">
        <v>26</v>
      </c>
      <c r="J658" s="1" t="s">
        <v>27</v>
      </c>
      <c r="K658">
        <v>4</v>
      </c>
      <c r="L658" s="1" t="s">
        <v>55</v>
      </c>
      <c r="M658">
        <v>41</v>
      </c>
      <c r="N658" s="1" t="s">
        <v>66</v>
      </c>
      <c r="O658" s="1" t="s">
        <v>30</v>
      </c>
      <c r="P658">
        <v>1</v>
      </c>
      <c r="Q658" s="1" t="s">
        <v>45</v>
      </c>
      <c r="R658">
        <v>2</v>
      </c>
      <c r="S658" s="1" t="s">
        <v>40</v>
      </c>
      <c r="T658" s="1" t="s">
        <v>33</v>
      </c>
      <c r="U658" s="1" t="s">
        <v>41</v>
      </c>
      <c r="V658" s="1" t="str">
        <f>_xlfn.XLOOKUP(A658,Dictonary!$A$2:$A$5,Dictonary!$B$2:$B$5)</f>
        <v>Low balance</v>
      </c>
      <c r="W658" s="1" t="str">
        <f>_xlfn.XLOOKUP(D658,Dictonary!$D$2:$D$12,Dictonary!$E$2:$E$12)</f>
        <v>car (new)</v>
      </c>
      <c r="X658" s="1" t="str">
        <f>_xlfn.XLOOKUP(F658,Dictonary!$G$2:$G$6,Dictonary!$H$2:$H$6)</f>
        <v>Less 100</v>
      </c>
      <c r="Y658" s="1" t="str">
        <f>_xlfn.XLOOKUP(I658,Dictonary!$J$2:$J$6,Dictonary!$K$2:$K$6)</f>
        <v>male : single</v>
      </c>
      <c r="Z658" s="1" t="str">
        <f>_xlfn.XLOOKUP(Q658,Dictonary!$M$2:$M$5,Dictonary!$N$2:$N$5)</f>
        <v>unskilled - resident</v>
      </c>
      <c r="AA658" s="1" t="str">
        <f>_xlfn.XLOOKUP(O658,Dictonary!$P$2:$P$4,Dictonary!$Q$2:$Q$4)</f>
        <v>own</v>
      </c>
    </row>
    <row r="659" spans="1:27" x14ac:dyDescent="0.3">
      <c r="A659" s="1" t="s">
        <v>42</v>
      </c>
      <c r="B659">
        <v>48</v>
      </c>
      <c r="C659" s="1" t="s">
        <v>36</v>
      </c>
      <c r="D659" s="1" t="s">
        <v>23</v>
      </c>
      <c r="E659">
        <v>10222</v>
      </c>
      <c r="F659" s="1" t="s">
        <v>24</v>
      </c>
      <c r="G659" s="1" t="s">
        <v>44</v>
      </c>
      <c r="H659">
        <v>4</v>
      </c>
      <c r="I659" s="1" t="s">
        <v>26</v>
      </c>
      <c r="J659" s="1" t="s">
        <v>27</v>
      </c>
      <c r="K659">
        <v>3</v>
      </c>
      <c r="L659" s="1" t="s">
        <v>55</v>
      </c>
      <c r="M659">
        <v>37</v>
      </c>
      <c r="N659" s="1" t="s">
        <v>70</v>
      </c>
      <c r="O659" s="1" t="s">
        <v>30</v>
      </c>
      <c r="P659">
        <v>1</v>
      </c>
      <c r="Q659" s="1" t="s">
        <v>31</v>
      </c>
      <c r="R659">
        <v>1</v>
      </c>
      <c r="S659" s="1" t="s">
        <v>32</v>
      </c>
      <c r="T659" s="1" t="s">
        <v>33</v>
      </c>
      <c r="U659" s="1" t="s">
        <v>34</v>
      </c>
      <c r="V659" s="1" t="str">
        <f>_xlfn.XLOOKUP(A659,Dictonary!$A$2:$A$5,Dictonary!$B$2:$B$5)</f>
        <v>No information</v>
      </c>
      <c r="W659" s="1" t="str">
        <f>_xlfn.XLOOKUP(D659,Dictonary!$D$2:$D$12,Dictonary!$E$2:$E$12)</f>
        <v>radio/television</v>
      </c>
      <c r="X659" s="1" t="str">
        <f>_xlfn.XLOOKUP(F659,Dictonary!$G$2:$G$6,Dictonary!$H$2:$H$6)</f>
        <v>No information</v>
      </c>
      <c r="Y659" s="1" t="str">
        <f>_xlfn.XLOOKUP(I659,Dictonary!$J$2:$J$6,Dictonary!$K$2:$K$6)</f>
        <v>male : single</v>
      </c>
      <c r="Z659" s="1" t="str">
        <f>_xlfn.XLOOKUP(Q659,Dictonary!$M$2:$M$5,Dictonary!$N$2:$N$5)</f>
        <v>skilled employee / official</v>
      </c>
      <c r="AA659" s="1" t="str">
        <f>_xlfn.XLOOKUP(O659,Dictonary!$P$2:$P$4,Dictonary!$Q$2:$Q$4)</f>
        <v>own</v>
      </c>
    </row>
    <row r="660" spans="1:27" x14ac:dyDescent="0.3">
      <c r="A660" s="1" t="s">
        <v>35</v>
      </c>
      <c r="B660">
        <v>30</v>
      </c>
      <c r="C660" s="1" t="s">
        <v>65</v>
      </c>
      <c r="D660" s="1" t="s">
        <v>63</v>
      </c>
      <c r="E660">
        <v>4221</v>
      </c>
      <c r="F660" s="1" t="s">
        <v>37</v>
      </c>
      <c r="G660" s="1" t="s">
        <v>38</v>
      </c>
      <c r="H660">
        <v>2</v>
      </c>
      <c r="I660" s="1" t="s">
        <v>39</v>
      </c>
      <c r="J660" s="1" t="s">
        <v>27</v>
      </c>
      <c r="K660">
        <v>1</v>
      </c>
      <c r="L660" s="1" t="s">
        <v>55</v>
      </c>
      <c r="M660">
        <v>28</v>
      </c>
      <c r="N660" s="1" t="s">
        <v>29</v>
      </c>
      <c r="O660" s="1" t="s">
        <v>30</v>
      </c>
      <c r="P660">
        <v>2</v>
      </c>
      <c r="Q660" s="1" t="s">
        <v>31</v>
      </c>
      <c r="R660">
        <v>1</v>
      </c>
      <c r="S660" s="1" t="s">
        <v>40</v>
      </c>
      <c r="T660" s="1" t="s">
        <v>33</v>
      </c>
      <c r="U660" s="1" t="s">
        <v>34</v>
      </c>
      <c r="V660" s="1" t="str">
        <f>_xlfn.XLOOKUP(A660,Dictonary!$A$2:$A$5,Dictonary!$B$2:$B$5)</f>
        <v>Low balance</v>
      </c>
      <c r="W660" s="1" t="str">
        <f>_xlfn.XLOOKUP(D660,Dictonary!$D$2:$D$12,Dictonary!$E$2:$E$12)</f>
        <v>business</v>
      </c>
      <c r="X660" s="1" t="str">
        <f>_xlfn.XLOOKUP(F660,Dictonary!$G$2:$G$6,Dictonary!$H$2:$H$6)</f>
        <v>Less 100</v>
      </c>
      <c r="Y660" s="1" t="str">
        <f>_xlfn.XLOOKUP(I660,Dictonary!$J$2:$J$6,Dictonary!$K$2:$K$6)</f>
        <v>female : divorced/separated/married</v>
      </c>
      <c r="Z660" s="1" t="str">
        <f>_xlfn.XLOOKUP(Q660,Dictonary!$M$2:$M$5,Dictonary!$N$2:$N$5)</f>
        <v>skilled employee / official</v>
      </c>
      <c r="AA660" s="1" t="str">
        <f>_xlfn.XLOOKUP(O660,Dictonary!$P$2:$P$4,Dictonary!$Q$2:$Q$4)</f>
        <v>own</v>
      </c>
    </row>
    <row r="661" spans="1:27" x14ac:dyDescent="0.3">
      <c r="A661" s="1" t="s">
        <v>35</v>
      </c>
      <c r="B661">
        <v>18</v>
      </c>
      <c r="C661" s="1" t="s">
        <v>22</v>
      </c>
      <c r="D661" s="1" t="s">
        <v>46</v>
      </c>
      <c r="E661">
        <v>6361</v>
      </c>
      <c r="F661" s="1" t="s">
        <v>37</v>
      </c>
      <c r="G661" s="1" t="s">
        <v>25</v>
      </c>
      <c r="H661">
        <v>2</v>
      </c>
      <c r="I661" s="1" t="s">
        <v>26</v>
      </c>
      <c r="J661" s="1" t="s">
        <v>27</v>
      </c>
      <c r="K661">
        <v>1</v>
      </c>
      <c r="L661" s="1" t="s">
        <v>52</v>
      </c>
      <c r="M661">
        <v>41</v>
      </c>
      <c r="N661" s="1" t="s">
        <v>29</v>
      </c>
      <c r="O661" s="1" t="s">
        <v>30</v>
      </c>
      <c r="P661">
        <v>1</v>
      </c>
      <c r="Q661" s="1" t="s">
        <v>31</v>
      </c>
      <c r="R661">
        <v>1</v>
      </c>
      <c r="S661" s="1" t="s">
        <v>32</v>
      </c>
      <c r="T661" s="1" t="s">
        <v>33</v>
      </c>
      <c r="U661" s="1" t="s">
        <v>34</v>
      </c>
      <c r="V661" s="1" t="str">
        <f>_xlfn.XLOOKUP(A661,Dictonary!$A$2:$A$5,Dictonary!$B$2:$B$5)</f>
        <v>Low balance</v>
      </c>
      <c r="W661" s="1" t="str">
        <f>_xlfn.XLOOKUP(D661,Dictonary!$D$2:$D$12,Dictonary!$E$2:$E$12)</f>
        <v>furniture/equipment</v>
      </c>
      <c r="X661" s="1" t="str">
        <f>_xlfn.XLOOKUP(F661,Dictonary!$G$2:$G$6,Dictonary!$H$2:$H$6)</f>
        <v>Less 100</v>
      </c>
      <c r="Y661" s="1" t="str">
        <f>_xlfn.XLOOKUP(I661,Dictonary!$J$2:$J$6,Dictonary!$K$2:$K$6)</f>
        <v>male : single</v>
      </c>
      <c r="Z661" s="1" t="str">
        <f>_xlfn.XLOOKUP(Q661,Dictonary!$M$2:$M$5,Dictonary!$N$2:$N$5)</f>
        <v>skilled employee / official</v>
      </c>
      <c r="AA661" s="1" t="str">
        <f>_xlfn.XLOOKUP(O661,Dictonary!$P$2:$P$4,Dictonary!$Q$2:$Q$4)</f>
        <v>own</v>
      </c>
    </row>
    <row r="662" spans="1:27" x14ac:dyDescent="0.3">
      <c r="A662" s="1" t="s">
        <v>68</v>
      </c>
      <c r="B662">
        <v>12</v>
      </c>
      <c r="C662" s="1" t="s">
        <v>36</v>
      </c>
      <c r="D662" s="1" t="s">
        <v>23</v>
      </c>
      <c r="E662">
        <v>1297</v>
      </c>
      <c r="F662" s="1" t="s">
        <v>37</v>
      </c>
      <c r="G662" s="1" t="s">
        <v>38</v>
      </c>
      <c r="H662">
        <v>3</v>
      </c>
      <c r="I662" s="1" t="s">
        <v>61</v>
      </c>
      <c r="J662" s="1" t="s">
        <v>27</v>
      </c>
      <c r="K662">
        <v>4</v>
      </c>
      <c r="L662" s="1" t="s">
        <v>28</v>
      </c>
      <c r="M662">
        <v>23</v>
      </c>
      <c r="N662" s="1" t="s">
        <v>29</v>
      </c>
      <c r="O662" s="1" t="s">
        <v>56</v>
      </c>
      <c r="P662">
        <v>1</v>
      </c>
      <c r="Q662" s="1" t="s">
        <v>31</v>
      </c>
      <c r="R662">
        <v>1</v>
      </c>
      <c r="S662" s="1" t="s">
        <v>40</v>
      </c>
      <c r="T662" s="1" t="s">
        <v>33</v>
      </c>
      <c r="U662" s="1" t="s">
        <v>34</v>
      </c>
      <c r="V662" s="1" t="str">
        <f>_xlfn.XLOOKUP(A662,Dictonary!$A$2:$A$5,Dictonary!$B$2:$B$5)</f>
        <v>Normal balance</v>
      </c>
      <c r="W662" s="1" t="str">
        <f>_xlfn.XLOOKUP(D662,Dictonary!$D$2:$D$12,Dictonary!$E$2:$E$12)</f>
        <v>radio/television</v>
      </c>
      <c r="X662" s="1" t="str">
        <f>_xlfn.XLOOKUP(F662,Dictonary!$G$2:$G$6,Dictonary!$H$2:$H$6)</f>
        <v>Less 100</v>
      </c>
      <c r="Y662" s="1" t="str">
        <f>_xlfn.XLOOKUP(I662,Dictonary!$J$2:$J$6,Dictonary!$K$2:$K$6)</f>
        <v>male : married/widowed</v>
      </c>
      <c r="Z662" s="1" t="str">
        <f>_xlfn.XLOOKUP(Q662,Dictonary!$M$2:$M$5,Dictonary!$N$2:$N$5)</f>
        <v>skilled employee / official</v>
      </c>
      <c r="AA662" s="1" t="str">
        <f>_xlfn.XLOOKUP(O662,Dictonary!$P$2:$P$4,Dictonary!$Q$2:$Q$4)</f>
        <v>rent</v>
      </c>
    </row>
    <row r="663" spans="1:27" x14ac:dyDescent="0.3">
      <c r="A663" s="1" t="s">
        <v>21</v>
      </c>
      <c r="B663">
        <v>12</v>
      </c>
      <c r="C663" s="1" t="s">
        <v>36</v>
      </c>
      <c r="D663" s="1" t="s">
        <v>51</v>
      </c>
      <c r="E663">
        <v>900</v>
      </c>
      <c r="F663" s="1" t="s">
        <v>24</v>
      </c>
      <c r="G663" s="1" t="s">
        <v>38</v>
      </c>
      <c r="H663">
        <v>4</v>
      </c>
      <c r="I663" s="1" t="s">
        <v>61</v>
      </c>
      <c r="J663" s="1" t="s">
        <v>27</v>
      </c>
      <c r="K663">
        <v>2</v>
      </c>
      <c r="L663" s="1" t="s">
        <v>55</v>
      </c>
      <c r="M663">
        <v>23</v>
      </c>
      <c r="N663" s="1" t="s">
        <v>29</v>
      </c>
      <c r="O663" s="1" t="s">
        <v>30</v>
      </c>
      <c r="P663">
        <v>1</v>
      </c>
      <c r="Q663" s="1" t="s">
        <v>31</v>
      </c>
      <c r="R663">
        <v>1</v>
      </c>
      <c r="S663" s="1" t="s">
        <v>40</v>
      </c>
      <c r="T663" s="1" t="s">
        <v>33</v>
      </c>
      <c r="U663" s="1" t="s">
        <v>41</v>
      </c>
      <c r="V663" s="1" t="str">
        <f>_xlfn.XLOOKUP(A663,Dictonary!$A$2:$A$5,Dictonary!$B$2:$B$5)</f>
        <v>Negative balance</v>
      </c>
      <c r="W663" s="1" t="str">
        <f>_xlfn.XLOOKUP(D663,Dictonary!$D$2:$D$12,Dictonary!$E$2:$E$12)</f>
        <v>car (new)</v>
      </c>
      <c r="X663" s="1" t="str">
        <f>_xlfn.XLOOKUP(F663,Dictonary!$G$2:$G$6,Dictonary!$H$2:$H$6)</f>
        <v>No information</v>
      </c>
      <c r="Y663" s="1" t="str">
        <f>_xlfn.XLOOKUP(I663,Dictonary!$J$2:$J$6,Dictonary!$K$2:$K$6)</f>
        <v>male : married/widowed</v>
      </c>
      <c r="Z663" s="1" t="str">
        <f>_xlfn.XLOOKUP(Q663,Dictonary!$M$2:$M$5,Dictonary!$N$2:$N$5)</f>
        <v>skilled employee / official</v>
      </c>
      <c r="AA663" s="1" t="str">
        <f>_xlfn.XLOOKUP(O663,Dictonary!$P$2:$P$4,Dictonary!$Q$2:$Q$4)</f>
        <v>own</v>
      </c>
    </row>
    <row r="664" spans="1:27" x14ac:dyDescent="0.3">
      <c r="A664" s="1" t="s">
        <v>42</v>
      </c>
      <c r="B664">
        <v>21</v>
      </c>
      <c r="C664" s="1" t="s">
        <v>36</v>
      </c>
      <c r="D664" s="1" t="s">
        <v>46</v>
      </c>
      <c r="E664">
        <v>2241</v>
      </c>
      <c r="F664" s="1" t="s">
        <v>37</v>
      </c>
      <c r="G664" s="1" t="s">
        <v>25</v>
      </c>
      <c r="H664">
        <v>4</v>
      </c>
      <c r="I664" s="1" t="s">
        <v>26</v>
      </c>
      <c r="J664" s="1" t="s">
        <v>27</v>
      </c>
      <c r="K664">
        <v>2</v>
      </c>
      <c r="L664" s="1" t="s">
        <v>28</v>
      </c>
      <c r="M664">
        <v>50</v>
      </c>
      <c r="N664" s="1" t="s">
        <v>29</v>
      </c>
      <c r="O664" s="1" t="s">
        <v>30</v>
      </c>
      <c r="P664">
        <v>2</v>
      </c>
      <c r="Q664" s="1" t="s">
        <v>31</v>
      </c>
      <c r="R664">
        <v>1</v>
      </c>
      <c r="S664" s="1" t="s">
        <v>40</v>
      </c>
      <c r="T664" s="1" t="s">
        <v>33</v>
      </c>
      <c r="U664" s="1" t="s">
        <v>34</v>
      </c>
      <c r="V664" s="1" t="str">
        <f>_xlfn.XLOOKUP(A664,Dictonary!$A$2:$A$5,Dictonary!$B$2:$B$5)</f>
        <v>No information</v>
      </c>
      <c r="W664" s="1" t="str">
        <f>_xlfn.XLOOKUP(D664,Dictonary!$D$2:$D$12,Dictonary!$E$2:$E$12)</f>
        <v>furniture/equipment</v>
      </c>
      <c r="X664" s="1" t="str">
        <f>_xlfn.XLOOKUP(F664,Dictonary!$G$2:$G$6,Dictonary!$H$2:$H$6)</f>
        <v>Less 100</v>
      </c>
      <c r="Y664" s="1" t="str">
        <f>_xlfn.XLOOKUP(I664,Dictonary!$J$2:$J$6,Dictonary!$K$2:$K$6)</f>
        <v>male : single</v>
      </c>
      <c r="Z664" s="1" t="str">
        <f>_xlfn.XLOOKUP(Q664,Dictonary!$M$2:$M$5,Dictonary!$N$2:$N$5)</f>
        <v>skilled employee / official</v>
      </c>
      <c r="AA664" s="1" t="str">
        <f>_xlfn.XLOOKUP(O664,Dictonary!$P$2:$P$4,Dictonary!$Q$2:$Q$4)</f>
        <v>own</v>
      </c>
    </row>
    <row r="665" spans="1:27" x14ac:dyDescent="0.3">
      <c r="A665" s="1" t="s">
        <v>35</v>
      </c>
      <c r="B665">
        <v>6</v>
      </c>
      <c r="C665" s="1" t="s">
        <v>50</v>
      </c>
      <c r="D665" s="1" t="s">
        <v>46</v>
      </c>
      <c r="E665">
        <v>1050</v>
      </c>
      <c r="F665" s="1" t="s">
        <v>37</v>
      </c>
      <c r="G665" s="1" t="s">
        <v>60</v>
      </c>
      <c r="H665">
        <v>4</v>
      </c>
      <c r="I665" s="1" t="s">
        <v>26</v>
      </c>
      <c r="J665" s="1" t="s">
        <v>27</v>
      </c>
      <c r="K665">
        <v>1</v>
      </c>
      <c r="L665" s="1" t="s">
        <v>48</v>
      </c>
      <c r="M665">
        <v>35</v>
      </c>
      <c r="N665" s="1" t="s">
        <v>70</v>
      </c>
      <c r="O665" s="1" t="s">
        <v>30</v>
      </c>
      <c r="P665">
        <v>2</v>
      </c>
      <c r="Q665" s="1" t="s">
        <v>57</v>
      </c>
      <c r="R665">
        <v>1</v>
      </c>
      <c r="S665" s="1" t="s">
        <v>32</v>
      </c>
      <c r="T665" s="1" t="s">
        <v>33</v>
      </c>
      <c r="U665" s="1" t="s">
        <v>34</v>
      </c>
      <c r="V665" s="1" t="str">
        <f>_xlfn.XLOOKUP(A665,Dictonary!$A$2:$A$5,Dictonary!$B$2:$B$5)</f>
        <v>Low balance</v>
      </c>
      <c r="W665" s="1" t="str">
        <f>_xlfn.XLOOKUP(D665,Dictonary!$D$2:$D$12,Dictonary!$E$2:$E$12)</f>
        <v>furniture/equipment</v>
      </c>
      <c r="X665" s="1" t="str">
        <f>_xlfn.XLOOKUP(F665,Dictonary!$G$2:$G$6,Dictonary!$H$2:$H$6)</f>
        <v>Less 100</v>
      </c>
      <c r="Y665" s="1" t="str">
        <f>_xlfn.XLOOKUP(I665,Dictonary!$J$2:$J$6,Dictonary!$K$2:$K$6)</f>
        <v>male : single</v>
      </c>
      <c r="Z665" s="1" t="str">
        <f>_xlfn.XLOOKUP(Q665,Dictonary!$M$2:$M$5,Dictonary!$N$2:$N$5)</f>
        <v>management/ self-employed/ highly qualified employee/ officer</v>
      </c>
      <c r="AA665" s="1" t="str">
        <f>_xlfn.XLOOKUP(O665,Dictonary!$P$2:$P$4,Dictonary!$Q$2:$Q$4)</f>
        <v>own</v>
      </c>
    </row>
    <row r="666" spans="1:27" x14ac:dyDescent="0.3">
      <c r="A666" s="1" t="s">
        <v>68</v>
      </c>
      <c r="B666">
        <v>6</v>
      </c>
      <c r="C666" s="1" t="s">
        <v>22</v>
      </c>
      <c r="D666" s="1" t="s">
        <v>43</v>
      </c>
      <c r="E666">
        <v>1047</v>
      </c>
      <c r="F666" s="1" t="s">
        <v>37</v>
      </c>
      <c r="G666" s="1" t="s">
        <v>38</v>
      </c>
      <c r="H666">
        <v>2</v>
      </c>
      <c r="I666" s="1" t="s">
        <v>39</v>
      </c>
      <c r="J666" s="1" t="s">
        <v>27</v>
      </c>
      <c r="K666">
        <v>4</v>
      </c>
      <c r="L666" s="1" t="s">
        <v>48</v>
      </c>
      <c r="M666">
        <v>50</v>
      </c>
      <c r="N666" s="1" t="s">
        <v>29</v>
      </c>
      <c r="O666" s="1" t="s">
        <v>30</v>
      </c>
      <c r="P666">
        <v>1</v>
      </c>
      <c r="Q666" s="1" t="s">
        <v>45</v>
      </c>
      <c r="R666">
        <v>1</v>
      </c>
      <c r="S666" s="1" t="s">
        <v>40</v>
      </c>
      <c r="T666" s="1" t="s">
        <v>33</v>
      </c>
      <c r="U666" s="1" t="s">
        <v>34</v>
      </c>
      <c r="V666" s="1" t="str">
        <f>_xlfn.XLOOKUP(A666,Dictonary!$A$2:$A$5,Dictonary!$B$2:$B$5)</f>
        <v>Normal balance</v>
      </c>
      <c r="W666" s="1" t="str">
        <f>_xlfn.XLOOKUP(D666,Dictonary!$D$2:$D$12,Dictonary!$E$2:$E$12)</f>
        <v>education</v>
      </c>
      <c r="X666" s="1" t="str">
        <f>_xlfn.XLOOKUP(F666,Dictonary!$G$2:$G$6,Dictonary!$H$2:$H$6)</f>
        <v>Less 100</v>
      </c>
      <c r="Y666" s="1" t="str">
        <f>_xlfn.XLOOKUP(I666,Dictonary!$J$2:$J$6,Dictonary!$K$2:$K$6)</f>
        <v>female : divorced/separated/married</v>
      </c>
      <c r="Z666" s="1" t="str">
        <f>_xlfn.XLOOKUP(Q666,Dictonary!$M$2:$M$5,Dictonary!$N$2:$N$5)</f>
        <v>unskilled - resident</v>
      </c>
      <c r="AA666" s="1" t="str">
        <f>_xlfn.XLOOKUP(O666,Dictonary!$P$2:$P$4,Dictonary!$Q$2:$Q$4)</f>
        <v>own</v>
      </c>
    </row>
    <row r="667" spans="1:27" x14ac:dyDescent="0.3">
      <c r="A667" s="1" t="s">
        <v>42</v>
      </c>
      <c r="B667">
        <v>24</v>
      </c>
      <c r="C667" s="1" t="s">
        <v>22</v>
      </c>
      <c r="D667" s="1" t="s">
        <v>75</v>
      </c>
      <c r="E667">
        <v>6314</v>
      </c>
      <c r="F667" s="1" t="s">
        <v>37</v>
      </c>
      <c r="G667" s="1" t="s">
        <v>60</v>
      </c>
      <c r="H667">
        <v>4</v>
      </c>
      <c r="I667" s="1" t="s">
        <v>26</v>
      </c>
      <c r="J667" s="1" t="s">
        <v>71</v>
      </c>
      <c r="K667">
        <v>2</v>
      </c>
      <c r="L667" s="1" t="s">
        <v>52</v>
      </c>
      <c r="M667">
        <v>27</v>
      </c>
      <c r="N667" s="1" t="s">
        <v>66</v>
      </c>
      <c r="O667" s="1" t="s">
        <v>30</v>
      </c>
      <c r="P667">
        <v>2</v>
      </c>
      <c r="Q667" s="1" t="s">
        <v>57</v>
      </c>
      <c r="R667">
        <v>1</v>
      </c>
      <c r="S667" s="1" t="s">
        <v>32</v>
      </c>
      <c r="T667" s="1" t="s">
        <v>33</v>
      </c>
      <c r="U667" s="1" t="s">
        <v>34</v>
      </c>
      <c r="V667" s="1" t="str">
        <f>_xlfn.XLOOKUP(A667,Dictonary!$A$2:$A$5,Dictonary!$B$2:$B$5)</f>
        <v>No information</v>
      </c>
      <c r="W667" s="1" t="str">
        <f>_xlfn.XLOOKUP(D667,Dictonary!$D$2:$D$12,Dictonary!$E$2:$E$12)</f>
        <v>others</v>
      </c>
      <c r="X667" s="1" t="str">
        <f>_xlfn.XLOOKUP(F667,Dictonary!$G$2:$G$6,Dictonary!$H$2:$H$6)</f>
        <v>Less 100</v>
      </c>
      <c r="Y667" s="1" t="str">
        <f>_xlfn.XLOOKUP(I667,Dictonary!$J$2:$J$6,Dictonary!$K$2:$K$6)</f>
        <v>male : single</v>
      </c>
      <c r="Z667" s="1" t="str">
        <f>_xlfn.XLOOKUP(Q667,Dictonary!$M$2:$M$5,Dictonary!$N$2:$N$5)</f>
        <v>management/ self-employed/ highly qualified employee/ officer</v>
      </c>
      <c r="AA667" s="1" t="str">
        <f>_xlfn.XLOOKUP(O667,Dictonary!$P$2:$P$4,Dictonary!$Q$2:$Q$4)</f>
        <v>own</v>
      </c>
    </row>
    <row r="668" spans="1:27" x14ac:dyDescent="0.3">
      <c r="A668" s="1" t="s">
        <v>35</v>
      </c>
      <c r="B668">
        <v>30</v>
      </c>
      <c r="C668" s="1" t="s">
        <v>69</v>
      </c>
      <c r="D668" s="1" t="s">
        <v>46</v>
      </c>
      <c r="E668">
        <v>3496</v>
      </c>
      <c r="F668" s="1" t="s">
        <v>58</v>
      </c>
      <c r="G668" s="1" t="s">
        <v>38</v>
      </c>
      <c r="H668">
        <v>4</v>
      </c>
      <c r="I668" s="1" t="s">
        <v>26</v>
      </c>
      <c r="J668" s="1" t="s">
        <v>27</v>
      </c>
      <c r="K668">
        <v>2</v>
      </c>
      <c r="L668" s="1" t="s">
        <v>55</v>
      </c>
      <c r="M668">
        <v>34</v>
      </c>
      <c r="N668" s="1" t="s">
        <v>70</v>
      </c>
      <c r="O668" s="1" t="s">
        <v>30</v>
      </c>
      <c r="P668">
        <v>1</v>
      </c>
      <c r="Q668" s="1" t="s">
        <v>31</v>
      </c>
      <c r="R668">
        <v>2</v>
      </c>
      <c r="S668" s="1" t="s">
        <v>32</v>
      </c>
      <c r="T668" s="1" t="s">
        <v>33</v>
      </c>
      <c r="U668" s="1" t="s">
        <v>34</v>
      </c>
      <c r="V668" s="1" t="str">
        <f>_xlfn.XLOOKUP(A668,Dictonary!$A$2:$A$5,Dictonary!$B$2:$B$5)</f>
        <v>Low balance</v>
      </c>
      <c r="W668" s="1" t="str">
        <f>_xlfn.XLOOKUP(D668,Dictonary!$D$2:$D$12,Dictonary!$E$2:$E$12)</f>
        <v>furniture/equipment</v>
      </c>
      <c r="X668" s="1" t="str">
        <f>_xlfn.XLOOKUP(F668,Dictonary!$G$2:$G$6,Dictonary!$H$2:$H$6)</f>
        <v>More 1000</v>
      </c>
      <c r="Y668" s="1" t="str">
        <f>_xlfn.XLOOKUP(I668,Dictonary!$J$2:$J$6,Dictonary!$K$2:$K$6)</f>
        <v>male : single</v>
      </c>
      <c r="Z668" s="1" t="str">
        <f>_xlfn.XLOOKUP(Q668,Dictonary!$M$2:$M$5,Dictonary!$N$2:$N$5)</f>
        <v>skilled employee / official</v>
      </c>
      <c r="AA668" s="1" t="str">
        <f>_xlfn.XLOOKUP(O668,Dictonary!$P$2:$P$4,Dictonary!$Q$2:$Q$4)</f>
        <v>own</v>
      </c>
    </row>
    <row r="669" spans="1:27" x14ac:dyDescent="0.3">
      <c r="A669" s="1" t="s">
        <v>42</v>
      </c>
      <c r="B669">
        <v>48</v>
      </c>
      <c r="C669" s="1" t="s">
        <v>69</v>
      </c>
      <c r="D669" s="1" t="s">
        <v>63</v>
      </c>
      <c r="E669">
        <v>3609</v>
      </c>
      <c r="F669" s="1" t="s">
        <v>37</v>
      </c>
      <c r="G669" s="1" t="s">
        <v>38</v>
      </c>
      <c r="H669">
        <v>1</v>
      </c>
      <c r="I669" s="1" t="s">
        <v>39</v>
      </c>
      <c r="J669" s="1" t="s">
        <v>27</v>
      </c>
      <c r="K669">
        <v>1</v>
      </c>
      <c r="L669" s="1" t="s">
        <v>28</v>
      </c>
      <c r="M669">
        <v>27</v>
      </c>
      <c r="N669" s="1" t="s">
        <v>70</v>
      </c>
      <c r="O669" s="1" t="s">
        <v>30</v>
      </c>
      <c r="P669">
        <v>1</v>
      </c>
      <c r="Q669" s="1" t="s">
        <v>31</v>
      </c>
      <c r="R669">
        <v>1</v>
      </c>
      <c r="S669" s="1" t="s">
        <v>40</v>
      </c>
      <c r="T669" s="1" t="s">
        <v>33</v>
      </c>
      <c r="U669" s="1" t="s">
        <v>34</v>
      </c>
      <c r="V669" s="1" t="str">
        <f>_xlfn.XLOOKUP(A669,Dictonary!$A$2:$A$5,Dictonary!$B$2:$B$5)</f>
        <v>No information</v>
      </c>
      <c r="W669" s="1" t="str">
        <f>_xlfn.XLOOKUP(D669,Dictonary!$D$2:$D$12,Dictonary!$E$2:$E$12)</f>
        <v>business</v>
      </c>
      <c r="X669" s="1" t="str">
        <f>_xlfn.XLOOKUP(F669,Dictonary!$G$2:$G$6,Dictonary!$H$2:$H$6)</f>
        <v>Less 100</v>
      </c>
      <c r="Y669" s="1" t="str">
        <f>_xlfn.XLOOKUP(I669,Dictonary!$J$2:$J$6,Dictonary!$K$2:$K$6)</f>
        <v>female : divorced/separated/married</v>
      </c>
      <c r="Z669" s="1" t="str">
        <f>_xlfn.XLOOKUP(Q669,Dictonary!$M$2:$M$5,Dictonary!$N$2:$N$5)</f>
        <v>skilled employee / official</v>
      </c>
      <c r="AA669" s="1" t="str">
        <f>_xlfn.XLOOKUP(O669,Dictonary!$P$2:$P$4,Dictonary!$Q$2:$Q$4)</f>
        <v>own</v>
      </c>
    </row>
    <row r="670" spans="1:27" x14ac:dyDescent="0.3">
      <c r="A670" s="1" t="s">
        <v>21</v>
      </c>
      <c r="B670">
        <v>12</v>
      </c>
      <c r="C670" s="1" t="s">
        <v>22</v>
      </c>
      <c r="D670" s="1" t="s">
        <v>51</v>
      </c>
      <c r="E670">
        <v>4843</v>
      </c>
      <c r="F670" s="1" t="s">
        <v>37</v>
      </c>
      <c r="G670" s="1" t="s">
        <v>25</v>
      </c>
      <c r="H670">
        <v>3</v>
      </c>
      <c r="I670" s="1" t="s">
        <v>26</v>
      </c>
      <c r="J670" s="1" t="s">
        <v>71</v>
      </c>
      <c r="K670">
        <v>4</v>
      </c>
      <c r="L670" s="1" t="s">
        <v>48</v>
      </c>
      <c r="M670">
        <v>43</v>
      </c>
      <c r="N670" s="1" t="s">
        <v>29</v>
      </c>
      <c r="O670" s="1" t="s">
        <v>56</v>
      </c>
      <c r="P670">
        <v>2</v>
      </c>
      <c r="Q670" s="1" t="s">
        <v>31</v>
      </c>
      <c r="R670">
        <v>1</v>
      </c>
      <c r="S670" s="1" t="s">
        <v>32</v>
      </c>
      <c r="T670" s="1" t="s">
        <v>33</v>
      </c>
      <c r="U670" s="1" t="s">
        <v>41</v>
      </c>
      <c r="V670" s="1" t="str">
        <f>_xlfn.XLOOKUP(A670,Dictonary!$A$2:$A$5,Dictonary!$B$2:$B$5)</f>
        <v>Negative balance</v>
      </c>
      <c r="W670" s="1" t="str">
        <f>_xlfn.XLOOKUP(D670,Dictonary!$D$2:$D$12,Dictonary!$E$2:$E$12)</f>
        <v>car (new)</v>
      </c>
      <c r="X670" s="1" t="str">
        <f>_xlfn.XLOOKUP(F670,Dictonary!$G$2:$G$6,Dictonary!$H$2:$H$6)</f>
        <v>Less 100</v>
      </c>
      <c r="Y670" s="1" t="str">
        <f>_xlfn.XLOOKUP(I670,Dictonary!$J$2:$J$6,Dictonary!$K$2:$K$6)</f>
        <v>male : single</v>
      </c>
      <c r="Z670" s="1" t="str">
        <f>_xlfn.XLOOKUP(Q670,Dictonary!$M$2:$M$5,Dictonary!$N$2:$N$5)</f>
        <v>skilled employee / official</v>
      </c>
      <c r="AA670" s="1" t="str">
        <f>_xlfn.XLOOKUP(O670,Dictonary!$P$2:$P$4,Dictonary!$Q$2:$Q$4)</f>
        <v>rent</v>
      </c>
    </row>
    <row r="671" spans="1:27" x14ac:dyDescent="0.3">
      <c r="A671" s="1" t="s">
        <v>68</v>
      </c>
      <c r="B671">
        <v>30</v>
      </c>
      <c r="C671" s="1" t="s">
        <v>22</v>
      </c>
      <c r="D671" s="1" t="s">
        <v>23</v>
      </c>
      <c r="E671">
        <v>3017</v>
      </c>
      <c r="F671" s="1" t="s">
        <v>37</v>
      </c>
      <c r="G671" s="1" t="s">
        <v>25</v>
      </c>
      <c r="H671">
        <v>4</v>
      </c>
      <c r="I671" s="1" t="s">
        <v>26</v>
      </c>
      <c r="J671" s="1" t="s">
        <v>27</v>
      </c>
      <c r="K671">
        <v>4</v>
      </c>
      <c r="L671" s="1" t="s">
        <v>48</v>
      </c>
      <c r="M671">
        <v>47</v>
      </c>
      <c r="N671" s="1" t="s">
        <v>29</v>
      </c>
      <c r="O671" s="1" t="s">
        <v>30</v>
      </c>
      <c r="P671">
        <v>1</v>
      </c>
      <c r="Q671" s="1" t="s">
        <v>31</v>
      </c>
      <c r="R671">
        <v>1</v>
      </c>
      <c r="S671" s="1" t="s">
        <v>40</v>
      </c>
      <c r="T671" s="1" t="s">
        <v>33</v>
      </c>
      <c r="U671" s="1" t="s">
        <v>34</v>
      </c>
      <c r="V671" s="1" t="str">
        <f>_xlfn.XLOOKUP(A671,Dictonary!$A$2:$A$5,Dictonary!$B$2:$B$5)</f>
        <v>Normal balance</v>
      </c>
      <c r="W671" s="1" t="str">
        <f>_xlfn.XLOOKUP(D671,Dictonary!$D$2:$D$12,Dictonary!$E$2:$E$12)</f>
        <v>radio/television</v>
      </c>
      <c r="X671" s="1" t="str">
        <f>_xlfn.XLOOKUP(F671,Dictonary!$G$2:$G$6,Dictonary!$H$2:$H$6)</f>
        <v>Less 100</v>
      </c>
      <c r="Y671" s="1" t="str">
        <f>_xlfn.XLOOKUP(I671,Dictonary!$J$2:$J$6,Dictonary!$K$2:$K$6)</f>
        <v>male : single</v>
      </c>
      <c r="Z671" s="1" t="str">
        <f>_xlfn.XLOOKUP(Q671,Dictonary!$M$2:$M$5,Dictonary!$N$2:$N$5)</f>
        <v>skilled employee / official</v>
      </c>
      <c r="AA671" s="1" t="str">
        <f>_xlfn.XLOOKUP(O671,Dictonary!$P$2:$P$4,Dictonary!$Q$2:$Q$4)</f>
        <v>own</v>
      </c>
    </row>
    <row r="672" spans="1:27" x14ac:dyDescent="0.3">
      <c r="A672" s="1" t="s">
        <v>42</v>
      </c>
      <c r="B672">
        <v>24</v>
      </c>
      <c r="C672" s="1" t="s">
        <v>22</v>
      </c>
      <c r="D672" s="1" t="s">
        <v>63</v>
      </c>
      <c r="E672">
        <v>4139</v>
      </c>
      <c r="F672" s="1" t="s">
        <v>64</v>
      </c>
      <c r="G672" s="1" t="s">
        <v>38</v>
      </c>
      <c r="H672">
        <v>3</v>
      </c>
      <c r="I672" s="1" t="s">
        <v>26</v>
      </c>
      <c r="J672" s="1" t="s">
        <v>27</v>
      </c>
      <c r="K672">
        <v>3</v>
      </c>
      <c r="L672" s="1" t="s">
        <v>48</v>
      </c>
      <c r="M672">
        <v>27</v>
      </c>
      <c r="N672" s="1" t="s">
        <v>29</v>
      </c>
      <c r="O672" s="1" t="s">
        <v>30</v>
      </c>
      <c r="P672">
        <v>2</v>
      </c>
      <c r="Q672" s="1" t="s">
        <v>45</v>
      </c>
      <c r="R672">
        <v>1</v>
      </c>
      <c r="S672" s="1" t="s">
        <v>32</v>
      </c>
      <c r="T672" s="1" t="s">
        <v>33</v>
      </c>
      <c r="U672" s="1" t="s">
        <v>34</v>
      </c>
      <c r="V672" s="1" t="str">
        <f>_xlfn.XLOOKUP(A672,Dictonary!$A$2:$A$5,Dictonary!$B$2:$B$5)</f>
        <v>No information</v>
      </c>
      <c r="W672" s="1" t="str">
        <f>_xlfn.XLOOKUP(D672,Dictonary!$D$2:$D$12,Dictonary!$E$2:$E$12)</f>
        <v>business</v>
      </c>
      <c r="X672" s="1" t="str">
        <f>_xlfn.XLOOKUP(F672,Dictonary!$G$2:$G$6,Dictonary!$H$2:$H$6)</f>
        <v>Up to 500</v>
      </c>
      <c r="Y672" s="1" t="str">
        <f>_xlfn.XLOOKUP(I672,Dictonary!$J$2:$J$6,Dictonary!$K$2:$K$6)</f>
        <v>male : single</v>
      </c>
      <c r="Z672" s="1" t="str">
        <f>_xlfn.XLOOKUP(Q672,Dictonary!$M$2:$M$5,Dictonary!$N$2:$N$5)</f>
        <v>unskilled - resident</v>
      </c>
      <c r="AA672" s="1" t="str">
        <f>_xlfn.XLOOKUP(O672,Dictonary!$P$2:$P$4,Dictonary!$Q$2:$Q$4)</f>
        <v>own</v>
      </c>
    </row>
    <row r="673" spans="1:27" x14ac:dyDescent="0.3">
      <c r="A673" s="1" t="s">
        <v>42</v>
      </c>
      <c r="B673">
        <v>36</v>
      </c>
      <c r="C673" s="1" t="s">
        <v>36</v>
      </c>
      <c r="D673" s="1" t="s">
        <v>63</v>
      </c>
      <c r="E673">
        <v>5742</v>
      </c>
      <c r="F673" s="1" t="s">
        <v>64</v>
      </c>
      <c r="G673" s="1" t="s">
        <v>44</v>
      </c>
      <c r="H673">
        <v>2</v>
      </c>
      <c r="I673" s="1" t="s">
        <v>26</v>
      </c>
      <c r="J673" s="1" t="s">
        <v>27</v>
      </c>
      <c r="K673">
        <v>2</v>
      </c>
      <c r="L673" s="1" t="s">
        <v>55</v>
      </c>
      <c r="M673">
        <v>31</v>
      </c>
      <c r="N673" s="1" t="s">
        <v>29</v>
      </c>
      <c r="O673" s="1" t="s">
        <v>30</v>
      </c>
      <c r="P673">
        <v>2</v>
      </c>
      <c r="Q673" s="1" t="s">
        <v>31</v>
      </c>
      <c r="R673">
        <v>1</v>
      </c>
      <c r="S673" s="1" t="s">
        <v>32</v>
      </c>
      <c r="T673" s="1" t="s">
        <v>33</v>
      </c>
      <c r="U673" s="1" t="s">
        <v>34</v>
      </c>
      <c r="V673" s="1" t="str">
        <f>_xlfn.XLOOKUP(A673,Dictonary!$A$2:$A$5,Dictonary!$B$2:$B$5)</f>
        <v>No information</v>
      </c>
      <c r="W673" s="1" t="str">
        <f>_xlfn.XLOOKUP(D673,Dictonary!$D$2:$D$12,Dictonary!$E$2:$E$12)</f>
        <v>business</v>
      </c>
      <c r="X673" s="1" t="str">
        <f>_xlfn.XLOOKUP(F673,Dictonary!$G$2:$G$6,Dictonary!$H$2:$H$6)</f>
        <v>Up to 500</v>
      </c>
      <c r="Y673" s="1" t="str">
        <f>_xlfn.XLOOKUP(I673,Dictonary!$J$2:$J$6,Dictonary!$K$2:$K$6)</f>
        <v>male : single</v>
      </c>
      <c r="Z673" s="1" t="str">
        <f>_xlfn.XLOOKUP(Q673,Dictonary!$M$2:$M$5,Dictonary!$N$2:$N$5)</f>
        <v>skilled employee / official</v>
      </c>
      <c r="AA673" s="1" t="str">
        <f>_xlfn.XLOOKUP(O673,Dictonary!$P$2:$P$4,Dictonary!$Q$2:$Q$4)</f>
        <v>own</v>
      </c>
    </row>
    <row r="674" spans="1:27" x14ac:dyDescent="0.3">
      <c r="A674" s="1" t="s">
        <v>42</v>
      </c>
      <c r="B674">
        <v>60</v>
      </c>
      <c r="C674" s="1" t="s">
        <v>36</v>
      </c>
      <c r="D674" s="1" t="s">
        <v>51</v>
      </c>
      <c r="E674">
        <v>10366</v>
      </c>
      <c r="F674" s="1" t="s">
        <v>37</v>
      </c>
      <c r="G674" s="1" t="s">
        <v>25</v>
      </c>
      <c r="H674">
        <v>2</v>
      </c>
      <c r="I674" s="1" t="s">
        <v>26</v>
      </c>
      <c r="J674" s="1" t="s">
        <v>27</v>
      </c>
      <c r="K674">
        <v>4</v>
      </c>
      <c r="L674" s="1" t="s">
        <v>48</v>
      </c>
      <c r="M674">
        <v>42</v>
      </c>
      <c r="N674" s="1" t="s">
        <v>29</v>
      </c>
      <c r="O674" s="1" t="s">
        <v>30</v>
      </c>
      <c r="P674">
        <v>1</v>
      </c>
      <c r="Q674" s="1" t="s">
        <v>57</v>
      </c>
      <c r="R674">
        <v>1</v>
      </c>
      <c r="S674" s="1" t="s">
        <v>32</v>
      </c>
      <c r="T674" s="1" t="s">
        <v>33</v>
      </c>
      <c r="U674" s="1" t="s">
        <v>34</v>
      </c>
      <c r="V674" s="1" t="str">
        <f>_xlfn.XLOOKUP(A674,Dictonary!$A$2:$A$5,Dictonary!$B$2:$B$5)</f>
        <v>No information</v>
      </c>
      <c r="W674" s="1" t="str">
        <f>_xlfn.XLOOKUP(D674,Dictonary!$D$2:$D$12,Dictonary!$E$2:$E$12)</f>
        <v>car (new)</v>
      </c>
      <c r="X674" s="1" t="str">
        <f>_xlfn.XLOOKUP(F674,Dictonary!$G$2:$G$6,Dictonary!$H$2:$H$6)</f>
        <v>Less 100</v>
      </c>
      <c r="Y674" s="1" t="str">
        <f>_xlfn.XLOOKUP(I674,Dictonary!$J$2:$J$6,Dictonary!$K$2:$K$6)</f>
        <v>male : single</v>
      </c>
      <c r="Z674" s="1" t="str">
        <f>_xlfn.XLOOKUP(Q674,Dictonary!$M$2:$M$5,Dictonary!$N$2:$N$5)</f>
        <v>management/ self-employed/ highly qualified employee/ officer</v>
      </c>
      <c r="AA674" s="1" t="str">
        <f>_xlfn.XLOOKUP(O674,Dictonary!$P$2:$P$4,Dictonary!$Q$2:$Q$4)</f>
        <v>own</v>
      </c>
    </row>
    <row r="675" spans="1:27" x14ac:dyDescent="0.3">
      <c r="A675" s="1" t="s">
        <v>42</v>
      </c>
      <c r="B675">
        <v>6</v>
      </c>
      <c r="C675" s="1" t="s">
        <v>22</v>
      </c>
      <c r="D675" s="1" t="s">
        <v>51</v>
      </c>
      <c r="E675">
        <v>2080</v>
      </c>
      <c r="F675" s="1" t="s">
        <v>53</v>
      </c>
      <c r="G675" s="1" t="s">
        <v>38</v>
      </c>
      <c r="H675">
        <v>1</v>
      </c>
      <c r="I675" s="1" t="s">
        <v>61</v>
      </c>
      <c r="J675" s="1" t="s">
        <v>27</v>
      </c>
      <c r="K675">
        <v>2</v>
      </c>
      <c r="L675" s="1" t="s">
        <v>55</v>
      </c>
      <c r="M675">
        <v>24</v>
      </c>
      <c r="N675" s="1" t="s">
        <v>29</v>
      </c>
      <c r="O675" s="1" t="s">
        <v>30</v>
      </c>
      <c r="P675">
        <v>1</v>
      </c>
      <c r="Q675" s="1" t="s">
        <v>31</v>
      </c>
      <c r="R675">
        <v>1</v>
      </c>
      <c r="S675" s="1" t="s">
        <v>40</v>
      </c>
      <c r="T675" s="1" t="s">
        <v>33</v>
      </c>
      <c r="U675" s="1" t="s">
        <v>34</v>
      </c>
      <c r="V675" s="1" t="str">
        <f>_xlfn.XLOOKUP(A675,Dictonary!$A$2:$A$5,Dictonary!$B$2:$B$5)</f>
        <v>No information</v>
      </c>
      <c r="W675" s="1" t="str">
        <f>_xlfn.XLOOKUP(D675,Dictonary!$D$2:$D$12,Dictonary!$E$2:$E$12)</f>
        <v>car (new)</v>
      </c>
      <c r="X675" s="1" t="str">
        <f>_xlfn.XLOOKUP(F675,Dictonary!$G$2:$G$6,Dictonary!$H$2:$H$6)</f>
        <v>Up to 1000</v>
      </c>
      <c r="Y675" s="1" t="str">
        <f>_xlfn.XLOOKUP(I675,Dictonary!$J$2:$J$6,Dictonary!$K$2:$K$6)</f>
        <v>male : married/widowed</v>
      </c>
      <c r="Z675" s="1" t="str">
        <f>_xlfn.XLOOKUP(Q675,Dictonary!$M$2:$M$5,Dictonary!$N$2:$N$5)</f>
        <v>skilled employee / official</v>
      </c>
      <c r="AA675" s="1" t="str">
        <f>_xlfn.XLOOKUP(O675,Dictonary!$P$2:$P$4,Dictonary!$Q$2:$Q$4)</f>
        <v>own</v>
      </c>
    </row>
    <row r="676" spans="1:27" x14ac:dyDescent="0.3">
      <c r="A676" s="1" t="s">
        <v>42</v>
      </c>
      <c r="B676">
        <v>21</v>
      </c>
      <c r="C676" s="1" t="s">
        <v>50</v>
      </c>
      <c r="D676" s="1" t="s">
        <v>63</v>
      </c>
      <c r="E676">
        <v>2580</v>
      </c>
      <c r="F676" s="1" t="s">
        <v>53</v>
      </c>
      <c r="G676" s="1" t="s">
        <v>62</v>
      </c>
      <c r="H676">
        <v>4</v>
      </c>
      <c r="I676" s="1" t="s">
        <v>26</v>
      </c>
      <c r="J676" s="1" t="s">
        <v>27</v>
      </c>
      <c r="K676">
        <v>2</v>
      </c>
      <c r="L676" s="1" t="s">
        <v>28</v>
      </c>
      <c r="M676">
        <v>41</v>
      </c>
      <c r="N676" s="1" t="s">
        <v>66</v>
      </c>
      <c r="O676" s="1" t="s">
        <v>30</v>
      </c>
      <c r="P676">
        <v>1</v>
      </c>
      <c r="Q676" s="1" t="s">
        <v>45</v>
      </c>
      <c r="R676">
        <v>2</v>
      </c>
      <c r="S676" s="1" t="s">
        <v>40</v>
      </c>
      <c r="T676" s="1" t="s">
        <v>33</v>
      </c>
      <c r="U676" s="1" t="s">
        <v>41</v>
      </c>
      <c r="V676" s="1" t="str">
        <f>_xlfn.XLOOKUP(A676,Dictonary!$A$2:$A$5,Dictonary!$B$2:$B$5)</f>
        <v>No information</v>
      </c>
      <c r="W676" s="1" t="str">
        <f>_xlfn.XLOOKUP(D676,Dictonary!$D$2:$D$12,Dictonary!$E$2:$E$12)</f>
        <v>business</v>
      </c>
      <c r="X676" s="1" t="str">
        <f>_xlfn.XLOOKUP(F676,Dictonary!$G$2:$G$6,Dictonary!$H$2:$H$6)</f>
        <v>Up to 1000</v>
      </c>
      <c r="Y676" s="1" t="str">
        <f>_xlfn.XLOOKUP(I676,Dictonary!$J$2:$J$6,Dictonary!$K$2:$K$6)</f>
        <v>male : single</v>
      </c>
      <c r="Z676" s="1" t="str">
        <f>_xlfn.XLOOKUP(Q676,Dictonary!$M$2:$M$5,Dictonary!$N$2:$N$5)</f>
        <v>unskilled - resident</v>
      </c>
      <c r="AA676" s="1" t="str">
        <f>_xlfn.XLOOKUP(O676,Dictonary!$P$2:$P$4,Dictonary!$Q$2:$Q$4)</f>
        <v>own</v>
      </c>
    </row>
    <row r="677" spans="1:27" x14ac:dyDescent="0.3">
      <c r="A677" s="1" t="s">
        <v>42</v>
      </c>
      <c r="B677">
        <v>30</v>
      </c>
      <c r="C677" s="1" t="s">
        <v>22</v>
      </c>
      <c r="D677" s="1" t="s">
        <v>23</v>
      </c>
      <c r="E677">
        <v>4530</v>
      </c>
      <c r="F677" s="1" t="s">
        <v>37</v>
      </c>
      <c r="G677" s="1" t="s">
        <v>44</v>
      </c>
      <c r="H677">
        <v>4</v>
      </c>
      <c r="I677" s="1" t="s">
        <v>39</v>
      </c>
      <c r="J677" s="1" t="s">
        <v>27</v>
      </c>
      <c r="K677">
        <v>4</v>
      </c>
      <c r="L677" s="1" t="s">
        <v>55</v>
      </c>
      <c r="M677">
        <v>26</v>
      </c>
      <c r="N677" s="1" t="s">
        <v>29</v>
      </c>
      <c r="O677" s="1" t="s">
        <v>56</v>
      </c>
      <c r="P677">
        <v>1</v>
      </c>
      <c r="Q677" s="1" t="s">
        <v>57</v>
      </c>
      <c r="R677">
        <v>1</v>
      </c>
      <c r="S677" s="1" t="s">
        <v>32</v>
      </c>
      <c r="T677" s="1" t="s">
        <v>33</v>
      </c>
      <c r="U677" s="1" t="s">
        <v>34</v>
      </c>
      <c r="V677" s="1" t="str">
        <f>_xlfn.XLOOKUP(A677,Dictonary!$A$2:$A$5,Dictonary!$B$2:$B$5)</f>
        <v>No information</v>
      </c>
      <c r="W677" s="1" t="str">
        <f>_xlfn.XLOOKUP(D677,Dictonary!$D$2:$D$12,Dictonary!$E$2:$E$12)</f>
        <v>radio/television</v>
      </c>
      <c r="X677" s="1" t="str">
        <f>_xlfn.XLOOKUP(F677,Dictonary!$G$2:$G$6,Dictonary!$H$2:$H$6)</f>
        <v>Less 100</v>
      </c>
      <c r="Y677" s="1" t="str">
        <f>_xlfn.XLOOKUP(I677,Dictonary!$J$2:$J$6,Dictonary!$K$2:$K$6)</f>
        <v>female : divorced/separated/married</v>
      </c>
      <c r="Z677" s="1" t="str">
        <f>_xlfn.XLOOKUP(Q677,Dictonary!$M$2:$M$5,Dictonary!$N$2:$N$5)</f>
        <v>management/ self-employed/ highly qualified employee/ officer</v>
      </c>
      <c r="AA677" s="1" t="str">
        <f>_xlfn.XLOOKUP(O677,Dictonary!$P$2:$P$4,Dictonary!$Q$2:$Q$4)</f>
        <v>rent</v>
      </c>
    </row>
    <row r="678" spans="1:27" x14ac:dyDescent="0.3">
      <c r="A678" s="1" t="s">
        <v>42</v>
      </c>
      <c r="B678">
        <v>24</v>
      </c>
      <c r="C678" s="1" t="s">
        <v>22</v>
      </c>
      <c r="D678" s="1" t="s">
        <v>46</v>
      </c>
      <c r="E678">
        <v>5150</v>
      </c>
      <c r="F678" s="1" t="s">
        <v>37</v>
      </c>
      <c r="G678" s="1" t="s">
        <v>25</v>
      </c>
      <c r="H678">
        <v>4</v>
      </c>
      <c r="I678" s="1" t="s">
        <v>26</v>
      </c>
      <c r="J678" s="1" t="s">
        <v>27</v>
      </c>
      <c r="K678">
        <v>4</v>
      </c>
      <c r="L678" s="1" t="s">
        <v>55</v>
      </c>
      <c r="M678">
        <v>33</v>
      </c>
      <c r="N678" s="1" t="s">
        <v>29</v>
      </c>
      <c r="O678" s="1" t="s">
        <v>30</v>
      </c>
      <c r="P678">
        <v>1</v>
      </c>
      <c r="Q678" s="1" t="s">
        <v>31</v>
      </c>
      <c r="R678">
        <v>1</v>
      </c>
      <c r="S678" s="1" t="s">
        <v>32</v>
      </c>
      <c r="T678" s="1" t="s">
        <v>33</v>
      </c>
      <c r="U678" s="1" t="s">
        <v>34</v>
      </c>
      <c r="V678" s="1" t="str">
        <f>_xlfn.XLOOKUP(A678,Dictonary!$A$2:$A$5,Dictonary!$B$2:$B$5)</f>
        <v>No information</v>
      </c>
      <c r="W678" s="1" t="str">
        <f>_xlfn.XLOOKUP(D678,Dictonary!$D$2:$D$12,Dictonary!$E$2:$E$12)</f>
        <v>furniture/equipment</v>
      </c>
      <c r="X678" s="1" t="str">
        <f>_xlfn.XLOOKUP(F678,Dictonary!$G$2:$G$6,Dictonary!$H$2:$H$6)</f>
        <v>Less 100</v>
      </c>
      <c r="Y678" s="1" t="str">
        <f>_xlfn.XLOOKUP(I678,Dictonary!$J$2:$J$6,Dictonary!$K$2:$K$6)</f>
        <v>male : single</v>
      </c>
      <c r="Z678" s="1" t="str">
        <f>_xlfn.XLOOKUP(Q678,Dictonary!$M$2:$M$5,Dictonary!$N$2:$N$5)</f>
        <v>skilled employee / official</v>
      </c>
      <c r="AA678" s="1" t="str">
        <f>_xlfn.XLOOKUP(O678,Dictonary!$P$2:$P$4,Dictonary!$Q$2:$Q$4)</f>
        <v>own</v>
      </c>
    </row>
    <row r="679" spans="1:27" x14ac:dyDescent="0.3">
      <c r="A679" s="1" t="s">
        <v>35</v>
      </c>
      <c r="B679">
        <v>72</v>
      </c>
      <c r="C679" s="1" t="s">
        <v>36</v>
      </c>
      <c r="D679" s="1" t="s">
        <v>23</v>
      </c>
      <c r="E679">
        <v>5595</v>
      </c>
      <c r="F679" s="1" t="s">
        <v>64</v>
      </c>
      <c r="G679" s="1" t="s">
        <v>38</v>
      </c>
      <c r="H679">
        <v>2</v>
      </c>
      <c r="I679" s="1" t="s">
        <v>61</v>
      </c>
      <c r="J679" s="1" t="s">
        <v>27</v>
      </c>
      <c r="K679">
        <v>2</v>
      </c>
      <c r="L679" s="1" t="s">
        <v>55</v>
      </c>
      <c r="M679">
        <v>24</v>
      </c>
      <c r="N679" s="1" t="s">
        <v>29</v>
      </c>
      <c r="O679" s="1" t="s">
        <v>30</v>
      </c>
      <c r="P679">
        <v>1</v>
      </c>
      <c r="Q679" s="1" t="s">
        <v>31</v>
      </c>
      <c r="R679">
        <v>1</v>
      </c>
      <c r="S679" s="1" t="s">
        <v>40</v>
      </c>
      <c r="T679" s="1" t="s">
        <v>33</v>
      </c>
      <c r="U679" s="1" t="s">
        <v>41</v>
      </c>
      <c r="V679" s="1" t="str">
        <f>_xlfn.XLOOKUP(A679,Dictonary!$A$2:$A$5,Dictonary!$B$2:$B$5)</f>
        <v>Low balance</v>
      </c>
      <c r="W679" s="1" t="str">
        <f>_xlfn.XLOOKUP(D679,Dictonary!$D$2:$D$12,Dictonary!$E$2:$E$12)</f>
        <v>radio/television</v>
      </c>
      <c r="X679" s="1" t="str">
        <f>_xlfn.XLOOKUP(F679,Dictonary!$G$2:$G$6,Dictonary!$H$2:$H$6)</f>
        <v>Up to 500</v>
      </c>
      <c r="Y679" s="1" t="str">
        <f>_xlfn.XLOOKUP(I679,Dictonary!$J$2:$J$6,Dictonary!$K$2:$K$6)</f>
        <v>male : married/widowed</v>
      </c>
      <c r="Z679" s="1" t="str">
        <f>_xlfn.XLOOKUP(Q679,Dictonary!$M$2:$M$5,Dictonary!$N$2:$N$5)</f>
        <v>skilled employee / official</v>
      </c>
      <c r="AA679" s="1" t="str">
        <f>_xlfn.XLOOKUP(O679,Dictonary!$P$2:$P$4,Dictonary!$Q$2:$Q$4)</f>
        <v>own</v>
      </c>
    </row>
    <row r="680" spans="1:27" x14ac:dyDescent="0.3">
      <c r="A680" s="1" t="s">
        <v>21</v>
      </c>
      <c r="B680">
        <v>24</v>
      </c>
      <c r="C680" s="1" t="s">
        <v>36</v>
      </c>
      <c r="D680" s="1" t="s">
        <v>23</v>
      </c>
      <c r="E680">
        <v>2384</v>
      </c>
      <c r="F680" s="1" t="s">
        <v>37</v>
      </c>
      <c r="G680" s="1" t="s">
        <v>25</v>
      </c>
      <c r="H680">
        <v>4</v>
      </c>
      <c r="I680" s="1" t="s">
        <v>26</v>
      </c>
      <c r="J680" s="1" t="s">
        <v>27</v>
      </c>
      <c r="K680">
        <v>4</v>
      </c>
      <c r="L680" s="1" t="s">
        <v>28</v>
      </c>
      <c r="M680">
        <v>64</v>
      </c>
      <c r="N680" s="1" t="s">
        <v>66</v>
      </c>
      <c r="O680" s="1" t="s">
        <v>56</v>
      </c>
      <c r="P680">
        <v>1</v>
      </c>
      <c r="Q680" s="1" t="s">
        <v>45</v>
      </c>
      <c r="R680">
        <v>1</v>
      </c>
      <c r="S680" s="1" t="s">
        <v>40</v>
      </c>
      <c r="T680" s="1" t="s">
        <v>33</v>
      </c>
      <c r="U680" s="1" t="s">
        <v>34</v>
      </c>
      <c r="V680" s="1" t="str">
        <f>_xlfn.XLOOKUP(A680,Dictonary!$A$2:$A$5,Dictonary!$B$2:$B$5)</f>
        <v>Negative balance</v>
      </c>
      <c r="W680" s="1" t="str">
        <f>_xlfn.XLOOKUP(D680,Dictonary!$D$2:$D$12,Dictonary!$E$2:$E$12)</f>
        <v>radio/television</v>
      </c>
      <c r="X680" s="1" t="str">
        <f>_xlfn.XLOOKUP(F680,Dictonary!$G$2:$G$6,Dictonary!$H$2:$H$6)</f>
        <v>Less 100</v>
      </c>
      <c r="Y680" s="1" t="str">
        <f>_xlfn.XLOOKUP(I680,Dictonary!$J$2:$J$6,Dictonary!$K$2:$K$6)</f>
        <v>male : single</v>
      </c>
      <c r="Z680" s="1" t="str">
        <f>_xlfn.XLOOKUP(Q680,Dictonary!$M$2:$M$5,Dictonary!$N$2:$N$5)</f>
        <v>unskilled - resident</v>
      </c>
      <c r="AA680" s="1" t="str">
        <f>_xlfn.XLOOKUP(O680,Dictonary!$P$2:$P$4,Dictonary!$Q$2:$Q$4)</f>
        <v>rent</v>
      </c>
    </row>
    <row r="681" spans="1:27" x14ac:dyDescent="0.3">
      <c r="A681" s="1" t="s">
        <v>42</v>
      </c>
      <c r="B681">
        <v>18</v>
      </c>
      <c r="C681" s="1" t="s">
        <v>36</v>
      </c>
      <c r="D681" s="1" t="s">
        <v>23</v>
      </c>
      <c r="E681">
        <v>1453</v>
      </c>
      <c r="F681" s="1" t="s">
        <v>37</v>
      </c>
      <c r="G681" s="1" t="s">
        <v>62</v>
      </c>
      <c r="H681">
        <v>3</v>
      </c>
      <c r="I681" s="1" t="s">
        <v>39</v>
      </c>
      <c r="J681" s="1" t="s">
        <v>27</v>
      </c>
      <c r="K681">
        <v>1</v>
      </c>
      <c r="L681" s="1" t="s">
        <v>28</v>
      </c>
      <c r="M681">
        <v>26</v>
      </c>
      <c r="N681" s="1" t="s">
        <v>29</v>
      </c>
      <c r="O681" s="1" t="s">
        <v>30</v>
      </c>
      <c r="P681">
        <v>1</v>
      </c>
      <c r="Q681" s="1" t="s">
        <v>31</v>
      </c>
      <c r="R681">
        <v>1</v>
      </c>
      <c r="S681" s="1" t="s">
        <v>40</v>
      </c>
      <c r="T681" s="1" t="s">
        <v>33</v>
      </c>
      <c r="U681" s="1" t="s">
        <v>34</v>
      </c>
      <c r="V681" s="1" t="str">
        <f>_xlfn.XLOOKUP(A681,Dictonary!$A$2:$A$5,Dictonary!$B$2:$B$5)</f>
        <v>No information</v>
      </c>
      <c r="W681" s="1" t="str">
        <f>_xlfn.XLOOKUP(D681,Dictonary!$D$2:$D$12,Dictonary!$E$2:$E$12)</f>
        <v>radio/television</v>
      </c>
      <c r="X681" s="1" t="str">
        <f>_xlfn.XLOOKUP(F681,Dictonary!$G$2:$G$6,Dictonary!$H$2:$H$6)</f>
        <v>Less 100</v>
      </c>
      <c r="Y681" s="1" t="str">
        <f>_xlfn.XLOOKUP(I681,Dictonary!$J$2:$J$6,Dictonary!$K$2:$K$6)</f>
        <v>female : divorced/separated/married</v>
      </c>
      <c r="Z681" s="1" t="str">
        <f>_xlfn.XLOOKUP(Q681,Dictonary!$M$2:$M$5,Dictonary!$N$2:$N$5)</f>
        <v>skilled employee / official</v>
      </c>
      <c r="AA681" s="1" t="str">
        <f>_xlfn.XLOOKUP(O681,Dictonary!$P$2:$P$4,Dictonary!$Q$2:$Q$4)</f>
        <v>own</v>
      </c>
    </row>
    <row r="682" spans="1:27" x14ac:dyDescent="0.3">
      <c r="A682" s="1" t="s">
        <v>42</v>
      </c>
      <c r="B682">
        <v>6</v>
      </c>
      <c r="C682" s="1" t="s">
        <v>36</v>
      </c>
      <c r="D682" s="1" t="s">
        <v>43</v>
      </c>
      <c r="E682">
        <v>1538</v>
      </c>
      <c r="F682" s="1" t="s">
        <v>37</v>
      </c>
      <c r="G682" s="1" t="s">
        <v>62</v>
      </c>
      <c r="H682">
        <v>1</v>
      </c>
      <c r="I682" s="1" t="s">
        <v>39</v>
      </c>
      <c r="J682" s="1" t="s">
        <v>27</v>
      </c>
      <c r="K682">
        <v>2</v>
      </c>
      <c r="L682" s="1" t="s">
        <v>52</v>
      </c>
      <c r="M682">
        <v>56</v>
      </c>
      <c r="N682" s="1" t="s">
        <v>29</v>
      </c>
      <c r="O682" s="1" t="s">
        <v>30</v>
      </c>
      <c r="P682">
        <v>1</v>
      </c>
      <c r="Q682" s="1" t="s">
        <v>31</v>
      </c>
      <c r="R682">
        <v>1</v>
      </c>
      <c r="S682" s="1" t="s">
        <v>40</v>
      </c>
      <c r="T682" s="1" t="s">
        <v>33</v>
      </c>
      <c r="U682" s="1" t="s">
        <v>34</v>
      </c>
      <c r="V682" s="1" t="str">
        <f>_xlfn.XLOOKUP(A682,Dictonary!$A$2:$A$5,Dictonary!$B$2:$B$5)</f>
        <v>No information</v>
      </c>
      <c r="W682" s="1" t="str">
        <f>_xlfn.XLOOKUP(D682,Dictonary!$D$2:$D$12,Dictonary!$E$2:$E$12)</f>
        <v>education</v>
      </c>
      <c r="X682" s="1" t="str">
        <f>_xlfn.XLOOKUP(F682,Dictonary!$G$2:$G$6,Dictonary!$H$2:$H$6)</f>
        <v>Less 100</v>
      </c>
      <c r="Y682" s="1" t="str">
        <f>_xlfn.XLOOKUP(I682,Dictonary!$J$2:$J$6,Dictonary!$K$2:$K$6)</f>
        <v>female : divorced/separated/married</v>
      </c>
      <c r="Z682" s="1" t="str">
        <f>_xlfn.XLOOKUP(Q682,Dictonary!$M$2:$M$5,Dictonary!$N$2:$N$5)</f>
        <v>skilled employee / official</v>
      </c>
      <c r="AA682" s="1" t="str">
        <f>_xlfn.XLOOKUP(O682,Dictonary!$P$2:$P$4,Dictonary!$Q$2:$Q$4)</f>
        <v>own</v>
      </c>
    </row>
    <row r="683" spans="1:27" x14ac:dyDescent="0.3">
      <c r="A683" s="1" t="s">
        <v>42</v>
      </c>
      <c r="B683">
        <v>12</v>
      </c>
      <c r="C683" s="1" t="s">
        <v>36</v>
      </c>
      <c r="D683" s="1" t="s">
        <v>23</v>
      </c>
      <c r="E683">
        <v>2279</v>
      </c>
      <c r="F683" s="1" t="s">
        <v>24</v>
      </c>
      <c r="G683" s="1" t="s">
        <v>38</v>
      </c>
      <c r="H683">
        <v>4</v>
      </c>
      <c r="I683" s="1" t="s">
        <v>26</v>
      </c>
      <c r="J683" s="1" t="s">
        <v>27</v>
      </c>
      <c r="K683">
        <v>4</v>
      </c>
      <c r="L683" s="1" t="s">
        <v>52</v>
      </c>
      <c r="M683">
        <v>37</v>
      </c>
      <c r="N683" s="1" t="s">
        <v>29</v>
      </c>
      <c r="O683" s="1" t="s">
        <v>49</v>
      </c>
      <c r="P683">
        <v>1</v>
      </c>
      <c r="Q683" s="1" t="s">
        <v>31</v>
      </c>
      <c r="R683">
        <v>1</v>
      </c>
      <c r="S683" s="1" t="s">
        <v>32</v>
      </c>
      <c r="T683" s="1" t="s">
        <v>33</v>
      </c>
      <c r="U683" s="1" t="s">
        <v>34</v>
      </c>
      <c r="V683" s="1" t="str">
        <f>_xlfn.XLOOKUP(A683,Dictonary!$A$2:$A$5,Dictonary!$B$2:$B$5)</f>
        <v>No information</v>
      </c>
      <c r="W683" s="1" t="str">
        <f>_xlfn.XLOOKUP(D683,Dictonary!$D$2:$D$12,Dictonary!$E$2:$E$12)</f>
        <v>radio/television</v>
      </c>
      <c r="X683" s="1" t="str">
        <f>_xlfn.XLOOKUP(F683,Dictonary!$G$2:$G$6,Dictonary!$H$2:$H$6)</f>
        <v>No information</v>
      </c>
      <c r="Y683" s="1" t="str">
        <f>_xlfn.XLOOKUP(I683,Dictonary!$J$2:$J$6,Dictonary!$K$2:$K$6)</f>
        <v>male : single</v>
      </c>
      <c r="Z683" s="1" t="str">
        <f>_xlfn.XLOOKUP(Q683,Dictonary!$M$2:$M$5,Dictonary!$N$2:$N$5)</f>
        <v>skilled employee / official</v>
      </c>
      <c r="AA683" s="1" t="str">
        <f>_xlfn.XLOOKUP(O683,Dictonary!$P$2:$P$4,Dictonary!$Q$2:$Q$4)</f>
        <v>for free</v>
      </c>
    </row>
    <row r="684" spans="1:27" x14ac:dyDescent="0.3">
      <c r="A684" s="1" t="s">
        <v>42</v>
      </c>
      <c r="B684">
        <v>15</v>
      </c>
      <c r="C684" s="1" t="s">
        <v>50</v>
      </c>
      <c r="D684" s="1" t="s">
        <v>23</v>
      </c>
      <c r="E684">
        <v>1478</v>
      </c>
      <c r="F684" s="1" t="s">
        <v>37</v>
      </c>
      <c r="G684" s="1" t="s">
        <v>38</v>
      </c>
      <c r="H684">
        <v>4</v>
      </c>
      <c r="I684" s="1" t="s">
        <v>61</v>
      </c>
      <c r="J684" s="1" t="s">
        <v>27</v>
      </c>
      <c r="K684">
        <v>3</v>
      </c>
      <c r="L684" s="1" t="s">
        <v>28</v>
      </c>
      <c r="M684">
        <v>33</v>
      </c>
      <c r="N684" s="1" t="s">
        <v>66</v>
      </c>
      <c r="O684" s="1" t="s">
        <v>30</v>
      </c>
      <c r="P684">
        <v>2</v>
      </c>
      <c r="Q684" s="1" t="s">
        <v>31</v>
      </c>
      <c r="R684">
        <v>1</v>
      </c>
      <c r="S684" s="1" t="s">
        <v>40</v>
      </c>
      <c r="T684" s="1" t="s">
        <v>33</v>
      </c>
      <c r="U684" s="1" t="s">
        <v>34</v>
      </c>
      <c r="V684" s="1" t="str">
        <f>_xlfn.XLOOKUP(A684,Dictonary!$A$2:$A$5,Dictonary!$B$2:$B$5)</f>
        <v>No information</v>
      </c>
      <c r="W684" s="1" t="str">
        <f>_xlfn.XLOOKUP(D684,Dictonary!$D$2:$D$12,Dictonary!$E$2:$E$12)</f>
        <v>radio/television</v>
      </c>
      <c r="X684" s="1" t="str">
        <f>_xlfn.XLOOKUP(F684,Dictonary!$G$2:$G$6,Dictonary!$H$2:$H$6)</f>
        <v>Less 100</v>
      </c>
      <c r="Y684" s="1" t="str">
        <f>_xlfn.XLOOKUP(I684,Dictonary!$J$2:$J$6,Dictonary!$K$2:$K$6)</f>
        <v>male : married/widowed</v>
      </c>
      <c r="Z684" s="1" t="str">
        <f>_xlfn.XLOOKUP(Q684,Dictonary!$M$2:$M$5,Dictonary!$N$2:$N$5)</f>
        <v>skilled employee / official</v>
      </c>
      <c r="AA684" s="1" t="str">
        <f>_xlfn.XLOOKUP(O684,Dictonary!$P$2:$P$4,Dictonary!$Q$2:$Q$4)</f>
        <v>own</v>
      </c>
    </row>
    <row r="685" spans="1:27" x14ac:dyDescent="0.3">
      <c r="A685" s="1" t="s">
        <v>42</v>
      </c>
      <c r="B685">
        <v>24</v>
      </c>
      <c r="C685" s="1" t="s">
        <v>22</v>
      </c>
      <c r="D685" s="1" t="s">
        <v>23</v>
      </c>
      <c r="E685">
        <v>5103</v>
      </c>
      <c r="F685" s="1" t="s">
        <v>37</v>
      </c>
      <c r="G685" s="1" t="s">
        <v>62</v>
      </c>
      <c r="H685">
        <v>3</v>
      </c>
      <c r="I685" s="1" t="s">
        <v>61</v>
      </c>
      <c r="J685" s="1" t="s">
        <v>27</v>
      </c>
      <c r="K685">
        <v>3</v>
      </c>
      <c r="L685" s="1" t="s">
        <v>52</v>
      </c>
      <c r="M685">
        <v>47</v>
      </c>
      <c r="N685" s="1" t="s">
        <v>29</v>
      </c>
      <c r="O685" s="1" t="s">
        <v>49</v>
      </c>
      <c r="P685">
        <v>3</v>
      </c>
      <c r="Q685" s="1" t="s">
        <v>31</v>
      </c>
      <c r="R685">
        <v>1</v>
      </c>
      <c r="S685" s="1" t="s">
        <v>32</v>
      </c>
      <c r="T685" s="1" t="s">
        <v>33</v>
      </c>
      <c r="U685" s="1" t="s">
        <v>34</v>
      </c>
      <c r="V685" s="1" t="str">
        <f>_xlfn.XLOOKUP(A685,Dictonary!$A$2:$A$5,Dictonary!$B$2:$B$5)</f>
        <v>No information</v>
      </c>
      <c r="W685" s="1" t="str">
        <f>_xlfn.XLOOKUP(D685,Dictonary!$D$2:$D$12,Dictonary!$E$2:$E$12)</f>
        <v>radio/television</v>
      </c>
      <c r="X685" s="1" t="str">
        <f>_xlfn.XLOOKUP(F685,Dictonary!$G$2:$G$6,Dictonary!$H$2:$H$6)</f>
        <v>Less 100</v>
      </c>
      <c r="Y685" s="1" t="str">
        <f>_xlfn.XLOOKUP(I685,Dictonary!$J$2:$J$6,Dictonary!$K$2:$K$6)</f>
        <v>male : married/widowed</v>
      </c>
      <c r="Z685" s="1" t="str">
        <f>_xlfn.XLOOKUP(Q685,Dictonary!$M$2:$M$5,Dictonary!$N$2:$N$5)</f>
        <v>skilled employee / official</v>
      </c>
      <c r="AA685" s="1" t="str">
        <f>_xlfn.XLOOKUP(O685,Dictonary!$P$2:$P$4,Dictonary!$Q$2:$Q$4)</f>
        <v>for free</v>
      </c>
    </row>
    <row r="686" spans="1:27" x14ac:dyDescent="0.3">
      <c r="A686" s="1" t="s">
        <v>35</v>
      </c>
      <c r="B686">
        <v>36</v>
      </c>
      <c r="C686" s="1" t="s">
        <v>50</v>
      </c>
      <c r="D686" s="1" t="s">
        <v>63</v>
      </c>
      <c r="E686">
        <v>9857</v>
      </c>
      <c r="F686" s="1" t="s">
        <v>64</v>
      </c>
      <c r="G686" s="1" t="s">
        <v>44</v>
      </c>
      <c r="H686">
        <v>1</v>
      </c>
      <c r="I686" s="1" t="s">
        <v>26</v>
      </c>
      <c r="J686" s="1" t="s">
        <v>27</v>
      </c>
      <c r="K686">
        <v>3</v>
      </c>
      <c r="L686" s="1" t="s">
        <v>48</v>
      </c>
      <c r="M686">
        <v>31</v>
      </c>
      <c r="N686" s="1" t="s">
        <v>29</v>
      </c>
      <c r="O686" s="1" t="s">
        <v>30</v>
      </c>
      <c r="P686">
        <v>2</v>
      </c>
      <c r="Q686" s="1" t="s">
        <v>45</v>
      </c>
      <c r="R686">
        <v>2</v>
      </c>
      <c r="S686" s="1" t="s">
        <v>32</v>
      </c>
      <c r="T686" s="1" t="s">
        <v>33</v>
      </c>
      <c r="U686" s="1" t="s">
        <v>34</v>
      </c>
      <c r="V686" s="1" t="str">
        <f>_xlfn.XLOOKUP(A686,Dictonary!$A$2:$A$5,Dictonary!$B$2:$B$5)</f>
        <v>Low balance</v>
      </c>
      <c r="W686" s="1" t="str">
        <f>_xlfn.XLOOKUP(D686,Dictonary!$D$2:$D$12,Dictonary!$E$2:$E$12)</f>
        <v>business</v>
      </c>
      <c r="X686" s="1" t="str">
        <f>_xlfn.XLOOKUP(F686,Dictonary!$G$2:$G$6,Dictonary!$H$2:$H$6)</f>
        <v>Up to 500</v>
      </c>
      <c r="Y686" s="1" t="str">
        <f>_xlfn.XLOOKUP(I686,Dictonary!$J$2:$J$6,Dictonary!$K$2:$K$6)</f>
        <v>male : single</v>
      </c>
      <c r="Z686" s="1" t="str">
        <f>_xlfn.XLOOKUP(Q686,Dictonary!$M$2:$M$5,Dictonary!$N$2:$N$5)</f>
        <v>unskilled - resident</v>
      </c>
      <c r="AA686" s="1" t="str">
        <f>_xlfn.XLOOKUP(O686,Dictonary!$P$2:$P$4,Dictonary!$Q$2:$Q$4)</f>
        <v>own</v>
      </c>
    </row>
    <row r="687" spans="1:27" x14ac:dyDescent="0.3">
      <c r="A687" s="1" t="s">
        <v>42</v>
      </c>
      <c r="B687">
        <v>60</v>
      </c>
      <c r="C687" s="1" t="s">
        <v>36</v>
      </c>
      <c r="D687" s="1" t="s">
        <v>51</v>
      </c>
      <c r="E687">
        <v>6527</v>
      </c>
      <c r="F687" s="1" t="s">
        <v>24</v>
      </c>
      <c r="G687" s="1" t="s">
        <v>38</v>
      </c>
      <c r="H687">
        <v>4</v>
      </c>
      <c r="I687" s="1" t="s">
        <v>26</v>
      </c>
      <c r="J687" s="1" t="s">
        <v>27</v>
      </c>
      <c r="K687">
        <v>4</v>
      </c>
      <c r="L687" s="1" t="s">
        <v>52</v>
      </c>
      <c r="M687">
        <v>34</v>
      </c>
      <c r="N687" s="1" t="s">
        <v>29</v>
      </c>
      <c r="O687" s="1" t="s">
        <v>49</v>
      </c>
      <c r="P687">
        <v>1</v>
      </c>
      <c r="Q687" s="1" t="s">
        <v>31</v>
      </c>
      <c r="R687">
        <v>2</v>
      </c>
      <c r="S687" s="1" t="s">
        <v>32</v>
      </c>
      <c r="T687" s="1" t="s">
        <v>33</v>
      </c>
      <c r="U687" s="1" t="s">
        <v>34</v>
      </c>
      <c r="V687" s="1" t="str">
        <f>_xlfn.XLOOKUP(A687,Dictonary!$A$2:$A$5,Dictonary!$B$2:$B$5)</f>
        <v>No information</v>
      </c>
      <c r="W687" s="1" t="str">
        <f>_xlfn.XLOOKUP(D687,Dictonary!$D$2:$D$12,Dictonary!$E$2:$E$12)</f>
        <v>car (new)</v>
      </c>
      <c r="X687" s="1" t="str">
        <f>_xlfn.XLOOKUP(F687,Dictonary!$G$2:$G$6,Dictonary!$H$2:$H$6)</f>
        <v>No information</v>
      </c>
      <c r="Y687" s="1" t="str">
        <f>_xlfn.XLOOKUP(I687,Dictonary!$J$2:$J$6,Dictonary!$K$2:$K$6)</f>
        <v>male : single</v>
      </c>
      <c r="Z687" s="1" t="str">
        <f>_xlfn.XLOOKUP(Q687,Dictonary!$M$2:$M$5,Dictonary!$N$2:$N$5)</f>
        <v>skilled employee / official</v>
      </c>
      <c r="AA687" s="1" t="str">
        <f>_xlfn.XLOOKUP(O687,Dictonary!$P$2:$P$4,Dictonary!$Q$2:$Q$4)</f>
        <v>for free</v>
      </c>
    </row>
    <row r="688" spans="1:27" x14ac:dyDescent="0.3">
      <c r="A688" s="1" t="s">
        <v>68</v>
      </c>
      <c r="B688">
        <v>10</v>
      </c>
      <c r="C688" s="1" t="s">
        <v>22</v>
      </c>
      <c r="D688" s="1" t="s">
        <v>23</v>
      </c>
      <c r="E688">
        <v>1347</v>
      </c>
      <c r="F688" s="1" t="s">
        <v>24</v>
      </c>
      <c r="G688" s="1" t="s">
        <v>44</v>
      </c>
      <c r="H688">
        <v>4</v>
      </c>
      <c r="I688" s="1" t="s">
        <v>26</v>
      </c>
      <c r="J688" s="1" t="s">
        <v>27</v>
      </c>
      <c r="K688">
        <v>2</v>
      </c>
      <c r="L688" s="1" t="s">
        <v>48</v>
      </c>
      <c r="M688">
        <v>27</v>
      </c>
      <c r="N688" s="1" t="s">
        <v>29</v>
      </c>
      <c r="O688" s="1" t="s">
        <v>30</v>
      </c>
      <c r="P688">
        <v>2</v>
      </c>
      <c r="Q688" s="1" t="s">
        <v>31</v>
      </c>
      <c r="R688">
        <v>1</v>
      </c>
      <c r="S688" s="1" t="s">
        <v>32</v>
      </c>
      <c r="T688" s="1" t="s">
        <v>33</v>
      </c>
      <c r="U688" s="1" t="s">
        <v>34</v>
      </c>
      <c r="V688" s="1" t="str">
        <f>_xlfn.XLOOKUP(A688,Dictonary!$A$2:$A$5,Dictonary!$B$2:$B$5)</f>
        <v>Normal balance</v>
      </c>
      <c r="W688" s="1" t="str">
        <f>_xlfn.XLOOKUP(D688,Dictonary!$D$2:$D$12,Dictonary!$E$2:$E$12)</f>
        <v>radio/television</v>
      </c>
      <c r="X688" s="1" t="str">
        <f>_xlfn.XLOOKUP(F688,Dictonary!$G$2:$G$6,Dictonary!$H$2:$H$6)</f>
        <v>No information</v>
      </c>
      <c r="Y688" s="1" t="str">
        <f>_xlfn.XLOOKUP(I688,Dictonary!$J$2:$J$6,Dictonary!$K$2:$K$6)</f>
        <v>male : single</v>
      </c>
      <c r="Z688" s="1" t="str">
        <f>_xlfn.XLOOKUP(Q688,Dictonary!$M$2:$M$5,Dictonary!$N$2:$N$5)</f>
        <v>skilled employee / official</v>
      </c>
      <c r="AA688" s="1" t="str">
        <f>_xlfn.XLOOKUP(O688,Dictonary!$P$2:$P$4,Dictonary!$Q$2:$Q$4)</f>
        <v>own</v>
      </c>
    </row>
    <row r="689" spans="1:27" x14ac:dyDescent="0.3">
      <c r="A689" s="1" t="s">
        <v>35</v>
      </c>
      <c r="B689">
        <v>36</v>
      </c>
      <c r="C689" s="1" t="s">
        <v>50</v>
      </c>
      <c r="D689" s="1" t="s">
        <v>51</v>
      </c>
      <c r="E689">
        <v>2862</v>
      </c>
      <c r="F689" s="1" t="s">
        <v>64</v>
      </c>
      <c r="G689" s="1" t="s">
        <v>25</v>
      </c>
      <c r="H689">
        <v>4</v>
      </c>
      <c r="I689" s="1" t="s">
        <v>26</v>
      </c>
      <c r="J689" s="1" t="s">
        <v>27</v>
      </c>
      <c r="K689">
        <v>3</v>
      </c>
      <c r="L689" s="1" t="s">
        <v>52</v>
      </c>
      <c r="M689">
        <v>30</v>
      </c>
      <c r="N689" s="1" t="s">
        <v>29</v>
      </c>
      <c r="O689" s="1" t="s">
        <v>49</v>
      </c>
      <c r="P689">
        <v>1</v>
      </c>
      <c r="Q689" s="1" t="s">
        <v>31</v>
      </c>
      <c r="R689">
        <v>1</v>
      </c>
      <c r="S689" s="1" t="s">
        <v>40</v>
      </c>
      <c r="T689" s="1" t="s">
        <v>33</v>
      </c>
      <c r="U689" s="1" t="s">
        <v>34</v>
      </c>
      <c r="V689" s="1" t="str">
        <f>_xlfn.XLOOKUP(A689,Dictonary!$A$2:$A$5,Dictonary!$B$2:$B$5)</f>
        <v>Low balance</v>
      </c>
      <c r="W689" s="1" t="str">
        <f>_xlfn.XLOOKUP(D689,Dictonary!$D$2:$D$12,Dictonary!$E$2:$E$12)</f>
        <v>car (new)</v>
      </c>
      <c r="X689" s="1" t="str">
        <f>_xlfn.XLOOKUP(F689,Dictonary!$G$2:$G$6,Dictonary!$H$2:$H$6)</f>
        <v>Up to 500</v>
      </c>
      <c r="Y689" s="1" t="str">
        <f>_xlfn.XLOOKUP(I689,Dictonary!$J$2:$J$6,Dictonary!$K$2:$K$6)</f>
        <v>male : single</v>
      </c>
      <c r="Z689" s="1" t="str">
        <f>_xlfn.XLOOKUP(Q689,Dictonary!$M$2:$M$5,Dictonary!$N$2:$N$5)</f>
        <v>skilled employee / official</v>
      </c>
      <c r="AA689" s="1" t="str">
        <f>_xlfn.XLOOKUP(O689,Dictonary!$P$2:$P$4,Dictonary!$Q$2:$Q$4)</f>
        <v>for free</v>
      </c>
    </row>
    <row r="690" spans="1:27" x14ac:dyDescent="0.3">
      <c r="A690" s="1" t="s">
        <v>42</v>
      </c>
      <c r="B690">
        <v>9</v>
      </c>
      <c r="C690" s="1" t="s">
        <v>36</v>
      </c>
      <c r="D690" s="1" t="s">
        <v>23</v>
      </c>
      <c r="E690">
        <v>2753</v>
      </c>
      <c r="F690" s="1" t="s">
        <v>64</v>
      </c>
      <c r="G690" s="1" t="s">
        <v>25</v>
      </c>
      <c r="H690">
        <v>3</v>
      </c>
      <c r="I690" s="1" t="s">
        <v>26</v>
      </c>
      <c r="J690" s="1" t="s">
        <v>71</v>
      </c>
      <c r="K690">
        <v>4</v>
      </c>
      <c r="L690" s="1" t="s">
        <v>55</v>
      </c>
      <c r="M690">
        <v>35</v>
      </c>
      <c r="N690" s="1" t="s">
        <v>29</v>
      </c>
      <c r="O690" s="1" t="s">
        <v>30</v>
      </c>
      <c r="P690">
        <v>1</v>
      </c>
      <c r="Q690" s="1" t="s">
        <v>31</v>
      </c>
      <c r="R690">
        <v>1</v>
      </c>
      <c r="S690" s="1" t="s">
        <v>32</v>
      </c>
      <c r="T690" s="1" t="s">
        <v>33</v>
      </c>
      <c r="U690" s="1" t="s">
        <v>34</v>
      </c>
      <c r="V690" s="1" t="str">
        <f>_xlfn.XLOOKUP(A690,Dictonary!$A$2:$A$5,Dictonary!$B$2:$B$5)</f>
        <v>No information</v>
      </c>
      <c r="W690" s="1" t="str">
        <f>_xlfn.XLOOKUP(D690,Dictonary!$D$2:$D$12,Dictonary!$E$2:$E$12)</f>
        <v>radio/television</v>
      </c>
      <c r="X690" s="1" t="str">
        <f>_xlfn.XLOOKUP(F690,Dictonary!$G$2:$G$6,Dictonary!$H$2:$H$6)</f>
        <v>Up to 500</v>
      </c>
      <c r="Y690" s="1" t="str">
        <f>_xlfn.XLOOKUP(I690,Dictonary!$J$2:$J$6,Dictonary!$K$2:$K$6)</f>
        <v>male : single</v>
      </c>
      <c r="Z690" s="1" t="str">
        <f>_xlfn.XLOOKUP(Q690,Dictonary!$M$2:$M$5,Dictonary!$N$2:$N$5)</f>
        <v>skilled employee / official</v>
      </c>
      <c r="AA690" s="1" t="str">
        <f>_xlfn.XLOOKUP(O690,Dictonary!$P$2:$P$4,Dictonary!$Q$2:$Q$4)</f>
        <v>own</v>
      </c>
    </row>
    <row r="691" spans="1:27" x14ac:dyDescent="0.3">
      <c r="A691" s="1" t="s">
        <v>21</v>
      </c>
      <c r="B691">
        <v>12</v>
      </c>
      <c r="C691" s="1" t="s">
        <v>36</v>
      </c>
      <c r="D691" s="1" t="s">
        <v>51</v>
      </c>
      <c r="E691">
        <v>3651</v>
      </c>
      <c r="F691" s="1" t="s">
        <v>58</v>
      </c>
      <c r="G691" s="1" t="s">
        <v>38</v>
      </c>
      <c r="H691">
        <v>1</v>
      </c>
      <c r="I691" s="1" t="s">
        <v>26</v>
      </c>
      <c r="J691" s="1" t="s">
        <v>27</v>
      </c>
      <c r="K691">
        <v>3</v>
      </c>
      <c r="L691" s="1" t="s">
        <v>48</v>
      </c>
      <c r="M691">
        <v>31</v>
      </c>
      <c r="N691" s="1" t="s">
        <v>29</v>
      </c>
      <c r="O691" s="1" t="s">
        <v>30</v>
      </c>
      <c r="P691">
        <v>1</v>
      </c>
      <c r="Q691" s="1" t="s">
        <v>31</v>
      </c>
      <c r="R691">
        <v>2</v>
      </c>
      <c r="S691" s="1" t="s">
        <v>40</v>
      </c>
      <c r="T691" s="1" t="s">
        <v>33</v>
      </c>
      <c r="U691" s="1" t="s">
        <v>34</v>
      </c>
      <c r="V691" s="1" t="str">
        <f>_xlfn.XLOOKUP(A691,Dictonary!$A$2:$A$5,Dictonary!$B$2:$B$5)</f>
        <v>Negative balance</v>
      </c>
      <c r="W691" s="1" t="str">
        <f>_xlfn.XLOOKUP(D691,Dictonary!$D$2:$D$12,Dictonary!$E$2:$E$12)</f>
        <v>car (new)</v>
      </c>
      <c r="X691" s="1" t="str">
        <f>_xlfn.XLOOKUP(F691,Dictonary!$G$2:$G$6,Dictonary!$H$2:$H$6)</f>
        <v>More 1000</v>
      </c>
      <c r="Y691" s="1" t="str">
        <f>_xlfn.XLOOKUP(I691,Dictonary!$J$2:$J$6,Dictonary!$K$2:$K$6)</f>
        <v>male : single</v>
      </c>
      <c r="Z691" s="1" t="str">
        <f>_xlfn.XLOOKUP(Q691,Dictonary!$M$2:$M$5,Dictonary!$N$2:$N$5)</f>
        <v>skilled employee / official</v>
      </c>
      <c r="AA691" s="1" t="str">
        <f>_xlfn.XLOOKUP(O691,Dictonary!$P$2:$P$4,Dictonary!$Q$2:$Q$4)</f>
        <v>own</v>
      </c>
    </row>
    <row r="692" spans="1:27" x14ac:dyDescent="0.3">
      <c r="A692" s="1" t="s">
        <v>21</v>
      </c>
      <c r="B692">
        <v>15</v>
      </c>
      <c r="C692" s="1" t="s">
        <v>22</v>
      </c>
      <c r="D692" s="1" t="s">
        <v>46</v>
      </c>
      <c r="E692">
        <v>975</v>
      </c>
      <c r="F692" s="1" t="s">
        <v>37</v>
      </c>
      <c r="G692" s="1" t="s">
        <v>38</v>
      </c>
      <c r="H692">
        <v>2</v>
      </c>
      <c r="I692" s="1" t="s">
        <v>59</v>
      </c>
      <c r="J692" s="1" t="s">
        <v>27</v>
      </c>
      <c r="K692">
        <v>3</v>
      </c>
      <c r="L692" s="1" t="s">
        <v>48</v>
      </c>
      <c r="M692">
        <v>25</v>
      </c>
      <c r="N692" s="1" t="s">
        <v>29</v>
      </c>
      <c r="O692" s="1" t="s">
        <v>30</v>
      </c>
      <c r="P692">
        <v>2</v>
      </c>
      <c r="Q692" s="1" t="s">
        <v>31</v>
      </c>
      <c r="R692">
        <v>1</v>
      </c>
      <c r="S692" s="1" t="s">
        <v>40</v>
      </c>
      <c r="T692" s="1" t="s">
        <v>33</v>
      </c>
      <c r="U692" s="1" t="s">
        <v>34</v>
      </c>
      <c r="V692" s="1" t="str">
        <f>_xlfn.XLOOKUP(A692,Dictonary!$A$2:$A$5,Dictonary!$B$2:$B$5)</f>
        <v>Negative balance</v>
      </c>
      <c r="W692" s="1" t="str">
        <f>_xlfn.XLOOKUP(D692,Dictonary!$D$2:$D$12,Dictonary!$E$2:$E$12)</f>
        <v>furniture/equipment</v>
      </c>
      <c r="X692" s="1" t="str">
        <f>_xlfn.XLOOKUP(F692,Dictonary!$G$2:$G$6,Dictonary!$H$2:$H$6)</f>
        <v>Less 100</v>
      </c>
      <c r="Y692" s="1" t="str">
        <f>_xlfn.XLOOKUP(I692,Dictonary!$J$2:$J$6,Dictonary!$K$2:$K$6)</f>
        <v>male : divorced/separated</v>
      </c>
      <c r="Z692" s="1" t="str">
        <f>_xlfn.XLOOKUP(Q692,Dictonary!$M$2:$M$5,Dictonary!$N$2:$N$5)</f>
        <v>skilled employee / official</v>
      </c>
      <c r="AA692" s="1" t="str">
        <f>_xlfn.XLOOKUP(O692,Dictonary!$P$2:$P$4,Dictonary!$Q$2:$Q$4)</f>
        <v>own</v>
      </c>
    </row>
    <row r="693" spans="1:27" x14ac:dyDescent="0.3">
      <c r="A693" s="1" t="s">
        <v>35</v>
      </c>
      <c r="B693">
        <v>15</v>
      </c>
      <c r="C693" s="1" t="s">
        <v>36</v>
      </c>
      <c r="D693" s="1" t="s">
        <v>73</v>
      </c>
      <c r="E693">
        <v>2631</v>
      </c>
      <c r="F693" s="1" t="s">
        <v>64</v>
      </c>
      <c r="G693" s="1" t="s">
        <v>38</v>
      </c>
      <c r="H693">
        <v>3</v>
      </c>
      <c r="I693" s="1" t="s">
        <v>39</v>
      </c>
      <c r="J693" s="1" t="s">
        <v>27</v>
      </c>
      <c r="K693">
        <v>2</v>
      </c>
      <c r="L693" s="1" t="s">
        <v>28</v>
      </c>
      <c r="M693">
        <v>25</v>
      </c>
      <c r="N693" s="1" t="s">
        <v>29</v>
      </c>
      <c r="O693" s="1" t="s">
        <v>30</v>
      </c>
      <c r="P693">
        <v>1</v>
      </c>
      <c r="Q693" s="1" t="s">
        <v>45</v>
      </c>
      <c r="R693">
        <v>1</v>
      </c>
      <c r="S693" s="1" t="s">
        <v>40</v>
      </c>
      <c r="T693" s="1" t="s">
        <v>33</v>
      </c>
      <c r="U693" s="1" t="s">
        <v>34</v>
      </c>
      <c r="V693" s="1" t="str">
        <f>_xlfn.XLOOKUP(A693,Dictonary!$A$2:$A$5,Dictonary!$B$2:$B$5)</f>
        <v>Low balance</v>
      </c>
      <c r="W693" s="1" t="str">
        <f>_xlfn.XLOOKUP(D693,Dictonary!$D$2:$D$12,Dictonary!$E$2:$E$12)</f>
        <v>repairs</v>
      </c>
      <c r="X693" s="1" t="str">
        <f>_xlfn.XLOOKUP(F693,Dictonary!$G$2:$G$6,Dictonary!$H$2:$H$6)</f>
        <v>Up to 500</v>
      </c>
      <c r="Y693" s="1" t="str">
        <f>_xlfn.XLOOKUP(I693,Dictonary!$J$2:$J$6,Dictonary!$K$2:$K$6)</f>
        <v>female : divorced/separated/married</v>
      </c>
      <c r="Z693" s="1" t="str">
        <f>_xlfn.XLOOKUP(Q693,Dictonary!$M$2:$M$5,Dictonary!$N$2:$N$5)</f>
        <v>unskilled - resident</v>
      </c>
      <c r="AA693" s="1" t="str">
        <f>_xlfn.XLOOKUP(O693,Dictonary!$P$2:$P$4,Dictonary!$Q$2:$Q$4)</f>
        <v>own</v>
      </c>
    </row>
    <row r="694" spans="1:27" x14ac:dyDescent="0.3">
      <c r="A694" s="1" t="s">
        <v>35</v>
      </c>
      <c r="B694">
        <v>24</v>
      </c>
      <c r="C694" s="1" t="s">
        <v>36</v>
      </c>
      <c r="D694" s="1" t="s">
        <v>23</v>
      </c>
      <c r="E694">
        <v>2896</v>
      </c>
      <c r="F694" s="1" t="s">
        <v>64</v>
      </c>
      <c r="G694" s="1" t="s">
        <v>62</v>
      </c>
      <c r="H694">
        <v>2</v>
      </c>
      <c r="I694" s="1" t="s">
        <v>26</v>
      </c>
      <c r="J694" s="1" t="s">
        <v>27</v>
      </c>
      <c r="K694">
        <v>1</v>
      </c>
      <c r="L694" s="1" t="s">
        <v>55</v>
      </c>
      <c r="M694">
        <v>29</v>
      </c>
      <c r="N694" s="1" t="s">
        <v>29</v>
      </c>
      <c r="O694" s="1" t="s">
        <v>30</v>
      </c>
      <c r="P694">
        <v>1</v>
      </c>
      <c r="Q694" s="1" t="s">
        <v>31</v>
      </c>
      <c r="R694">
        <v>1</v>
      </c>
      <c r="S694" s="1" t="s">
        <v>40</v>
      </c>
      <c r="T694" s="1" t="s">
        <v>33</v>
      </c>
      <c r="U694" s="1" t="s">
        <v>34</v>
      </c>
      <c r="V694" s="1" t="str">
        <f>_xlfn.XLOOKUP(A694,Dictonary!$A$2:$A$5,Dictonary!$B$2:$B$5)</f>
        <v>Low balance</v>
      </c>
      <c r="W694" s="1" t="str">
        <f>_xlfn.XLOOKUP(D694,Dictonary!$D$2:$D$12,Dictonary!$E$2:$E$12)</f>
        <v>radio/television</v>
      </c>
      <c r="X694" s="1" t="str">
        <f>_xlfn.XLOOKUP(F694,Dictonary!$G$2:$G$6,Dictonary!$H$2:$H$6)</f>
        <v>Up to 500</v>
      </c>
      <c r="Y694" s="1" t="str">
        <f>_xlfn.XLOOKUP(I694,Dictonary!$J$2:$J$6,Dictonary!$K$2:$K$6)</f>
        <v>male : single</v>
      </c>
      <c r="Z694" s="1" t="str">
        <f>_xlfn.XLOOKUP(Q694,Dictonary!$M$2:$M$5,Dictonary!$N$2:$N$5)</f>
        <v>skilled employee / official</v>
      </c>
      <c r="AA694" s="1" t="str">
        <f>_xlfn.XLOOKUP(O694,Dictonary!$P$2:$P$4,Dictonary!$Q$2:$Q$4)</f>
        <v>own</v>
      </c>
    </row>
    <row r="695" spans="1:27" x14ac:dyDescent="0.3">
      <c r="A695" s="1" t="s">
        <v>21</v>
      </c>
      <c r="B695">
        <v>6</v>
      </c>
      <c r="C695" s="1" t="s">
        <v>22</v>
      </c>
      <c r="D695" s="1" t="s">
        <v>51</v>
      </c>
      <c r="E695">
        <v>4716</v>
      </c>
      <c r="F695" s="1" t="s">
        <v>24</v>
      </c>
      <c r="G695" s="1" t="s">
        <v>62</v>
      </c>
      <c r="H695">
        <v>1</v>
      </c>
      <c r="I695" s="1" t="s">
        <v>26</v>
      </c>
      <c r="J695" s="1" t="s">
        <v>27</v>
      </c>
      <c r="K695">
        <v>3</v>
      </c>
      <c r="L695" s="1" t="s">
        <v>28</v>
      </c>
      <c r="M695">
        <v>44</v>
      </c>
      <c r="N695" s="1" t="s">
        <v>29</v>
      </c>
      <c r="O695" s="1" t="s">
        <v>30</v>
      </c>
      <c r="P695">
        <v>2</v>
      </c>
      <c r="Q695" s="1" t="s">
        <v>45</v>
      </c>
      <c r="R695">
        <v>2</v>
      </c>
      <c r="S695" s="1" t="s">
        <v>40</v>
      </c>
      <c r="T695" s="1" t="s">
        <v>33</v>
      </c>
      <c r="U695" s="1" t="s">
        <v>34</v>
      </c>
      <c r="V695" s="1" t="str">
        <f>_xlfn.XLOOKUP(A695,Dictonary!$A$2:$A$5,Dictonary!$B$2:$B$5)</f>
        <v>Negative balance</v>
      </c>
      <c r="W695" s="1" t="str">
        <f>_xlfn.XLOOKUP(D695,Dictonary!$D$2:$D$12,Dictonary!$E$2:$E$12)</f>
        <v>car (new)</v>
      </c>
      <c r="X695" s="1" t="str">
        <f>_xlfn.XLOOKUP(F695,Dictonary!$G$2:$G$6,Dictonary!$H$2:$H$6)</f>
        <v>No information</v>
      </c>
      <c r="Y695" s="1" t="str">
        <f>_xlfn.XLOOKUP(I695,Dictonary!$J$2:$J$6,Dictonary!$K$2:$K$6)</f>
        <v>male : single</v>
      </c>
      <c r="Z695" s="1" t="str">
        <f>_xlfn.XLOOKUP(Q695,Dictonary!$M$2:$M$5,Dictonary!$N$2:$N$5)</f>
        <v>unskilled - resident</v>
      </c>
      <c r="AA695" s="1" t="str">
        <f>_xlfn.XLOOKUP(O695,Dictonary!$P$2:$P$4,Dictonary!$Q$2:$Q$4)</f>
        <v>own</v>
      </c>
    </row>
    <row r="696" spans="1:27" x14ac:dyDescent="0.3">
      <c r="A696" s="1" t="s">
        <v>42</v>
      </c>
      <c r="B696">
        <v>24</v>
      </c>
      <c r="C696" s="1" t="s">
        <v>36</v>
      </c>
      <c r="D696" s="1" t="s">
        <v>23</v>
      </c>
      <c r="E696">
        <v>2284</v>
      </c>
      <c r="F696" s="1" t="s">
        <v>37</v>
      </c>
      <c r="G696" s="1" t="s">
        <v>44</v>
      </c>
      <c r="H696">
        <v>4</v>
      </c>
      <c r="I696" s="1" t="s">
        <v>26</v>
      </c>
      <c r="J696" s="1" t="s">
        <v>27</v>
      </c>
      <c r="K696">
        <v>2</v>
      </c>
      <c r="L696" s="1" t="s">
        <v>55</v>
      </c>
      <c r="M696">
        <v>28</v>
      </c>
      <c r="N696" s="1" t="s">
        <v>29</v>
      </c>
      <c r="O696" s="1" t="s">
        <v>30</v>
      </c>
      <c r="P696">
        <v>1</v>
      </c>
      <c r="Q696" s="1" t="s">
        <v>31</v>
      </c>
      <c r="R696">
        <v>1</v>
      </c>
      <c r="S696" s="1" t="s">
        <v>32</v>
      </c>
      <c r="T696" s="1" t="s">
        <v>33</v>
      </c>
      <c r="U696" s="1" t="s">
        <v>34</v>
      </c>
      <c r="V696" s="1" t="str">
        <f>_xlfn.XLOOKUP(A696,Dictonary!$A$2:$A$5,Dictonary!$B$2:$B$5)</f>
        <v>No information</v>
      </c>
      <c r="W696" s="1" t="str">
        <f>_xlfn.XLOOKUP(D696,Dictonary!$D$2:$D$12,Dictonary!$E$2:$E$12)</f>
        <v>radio/television</v>
      </c>
      <c r="X696" s="1" t="str">
        <f>_xlfn.XLOOKUP(F696,Dictonary!$G$2:$G$6,Dictonary!$H$2:$H$6)</f>
        <v>Less 100</v>
      </c>
      <c r="Y696" s="1" t="str">
        <f>_xlfn.XLOOKUP(I696,Dictonary!$J$2:$J$6,Dictonary!$K$2:$K$6)</f>
        <v>male : single</v>
      </c>
      <c r="Z696" s="1" t="str">
        <f>_xlfn.XLOOKUP(Q696,Dictonary!$M$2:$M$5,Dictonary!$N$2:$N$5)</f>
        <v>skilled employee / official</v>
      </c>
      <c r="AA696" s="1" t="str">
        <f>_xlfn.XLOOKUP(O696,Dictonary!$P$2:$P$4,Dictonary!$Q$2:$Q$4)</f>
        <v>own</v>
      </c>
    </row>
    <row r="697" spans="1:27" x14ac:dyDescent="0.3">
      <c r="A697" s="1" t="s">
        <v>42</v>
      </c>
      <c r="B697">
        <v>6</v>
      </c>
      <c r="C697" s="1" t="s">
        <v>36</v>
      </c>
      <c r="D697" s="1" t="s">
        <v>54</v>
      </c>
      <c r="E697">
        <v>1236</v>
      </c>
      <c r="F697" s="1" t="s">
        <v>53</v>
      </c>
      <c r="G697" s="1" t="s">
        <v>38</v>
      </c>
      <c r="H697">
        <v>2</v>
      </c>
      <c r="I697" s="1" t="s">
        <v>26</v>
      </c>
      <c r="J697" s="1" t="s">
        <v>27</v>
      </c>
      <c r="K697">
        <v>4</v>
      </c>
      <c r="L697" s="1" t="s">
        <v>48</v>
      </c>
      <c r="M697">
        <v>50</v>
      </c>
      <c r="N697" s="1" t="s">
        <v>29</v>
      </c>
      <c r="O697" s="1" t="s">
        <v>56</v>
      </c>
      <c r="P697">
        <v>1</v>
      </c>
      <c r="Q697" s="1" t="s">
        <v>31</v>
      </c>
      <c r="R697">
        <v>1</v>
      </c>
      <c r="S697" s="1" t="s">
        <v>40</v>
      </c>
      <c r="T697" s="1" t="s">
        <v>33</v>
      </c>
      <c r="U697" s="1" t="s">
        <v>34</v>
      </c>
      <c r="V697" s="1" t="str">
        <f>_xlfn.XLOOKUP(A697,Dictonary!$A$2:$A$5,Dictonary!$B$2:$B$5)</f>
        <v>No information</v>
      </c>
      <c r="W697" s="1" t="str">
        <f>_xlfn.XLOOKUP(D697,Dictonary!$D$2:$D$12,Dictonary!$E$2:$E$12)</f>
        <v>car (used)</v>
      </c>
      <c r="X697" s="1" t="str">
        <f>_xlfn.XLOOKUP(F697,Dictonary!$G$2:$G$6,Dictonary!$H$2:$H$6)</f>
        <v>Up to 1000</v>
      </c>
      <c r="Y697" s="1" t="str">
        <f>_xlfn.XLOOKUP(I697,Dictonary!$J$2:$J$6,Dictonary!$K$2:$K$6)</f>
        <v>male : single</v>
      </c>
      <c r="Z697" s="1" t="str">
        <f>_xlfn.XLOOKUP(Q697,Dictonary!$M$2:$M$5,Dictonary!$N$2:$N$5)</f>
        <v>skilled employee / official</v>
      </c>
      <c r="AA697" s="1" t="str">
        <f>_xlfn.XLOOKUP(O697,Dictonary!$P$2:$P$4,Dictonary!$Q$2:$Q$4)</f>
        <v>rent</v>
      </c>
    </row>
    <row r="698" spans="1:27" x14ac:dyDescent="0.3">
      <c r="A698" s="1" t="s">
        <v>35</v>
      </c>
      <c r="B698">
        <v>12</v>
      </c>
      <c r="C698" s="1" t="s">
        <v>36</v>
      </c>
      <c r="D698" s="1" t="s">
        <v>23</v>
      </c>
      <c r="E698">
        <v>1103</v>
      </c>
      <c r="F698" s="1" t="s">
        <v>37</v>
      </c>
      <c r="G698" s="1" t="s">
        <v>44</v>
      </c>
      <c r="H698">
        <v>4</v>
      </c>
      <c r="I698" s="1" t="s">
        <v>26</v>
      </c>
      <c r="J698" s="1" t="s">
        <v>47</v>
      </c>
      <c r="K698">
        <v>3</v>
      </c>
      <c r="L698" s="1" t="s">
        <v>28</v>
      </c>
      <c r="M698">
        <v>29</v>
      </c>
      <c r="N698" s="1" t="s">
        <v>29</v>
      </c>
      <c r="O698" s="1" t="s">
        <v>30</v>
      </c>
      <c r="P698">
        <v>2</v>
      </c>
      <c r="Q698" s="1" t="s">
        <v>31</v>
      </c>
      <c r="R698">
        <v>1</v>
      </c>
      <c r="S698" s="1" t="s">
        <v>40</v>
      </c>
      <c r="T698" s="1" t="s">
        <v>67</v>
      </c>
      <c r="U698" s="1" t="s">
        <v>34</v>
      </c>
      <c r="V698" s="1" t="str">
        <f>_xlfn.XLOOKUP(A698,Dictonary!$A$2:$A$5,Dictonary!$B$2:$B$5)</f>
        <v>Low balance</v>
      </c>
      <c r="W698" s="1" t="str">
        <f>_xlfn.XLOOKUP(D698,Dictonary!$D$2:$D$12,Dictonary!$E$2:$E$12)</f>
        <v>radio/television</v>
      </c>
      <c r="X698" s="1" t="str">
        <f>_xlfn.XLOOKUP(F698,Dictonary!$G$2:$G$6,Dictonary!$H$2:$H$6)</f>
        <v>Less 100</v>
      </c>
      <c r="Y698" s="1" t="str">
        <f>_xlfn.XLOOKUP(I698,Dictonary!$J$2:$J$6,Dictonary!$K$2:$K$6)</f>
        <v>male : single</v>
      </c>
      <c r="Z698" s="1" t="str">
        <f>_xlfn.XLOOKUP(Q698,Dictonary!$M$2:$M$5,Dictonary!$N$2:$N$5)</f>
        <v>skilled employee / official</v>
      </c>
      <c r="AA698" s="1" t="str">
        <f>_xlfn.XLOOKUP(O698,Dictonary!$P$2:$P$4,Dictonary!$Q$2:$Q$4)</f>
        <v>own</v>
      </c>
    </row>
    <row r="699" spans="1:27" x14ac:dyDescent="0.3">
      <c r="A699" s="1" t="s">
        <v>42</v>
      </c>
      <c r="B699">
        <v>12</v>
      </c>
      <c r="C699" s="1" t="s">
        <v>22</v>
      </c>
      <c r="D699" s="1" t="s">
        <v>51</v>
      </c>
      <c r="E699">
        <v>926</v>
      </c>
      <c r="F699" s="1" t="s">
        <v>37</v>
      </c>
      <c r="G699" s="1" t="s">
        <v>60</v>
      </c>
      <c r="H699">
        <v>1</v>
      </c>
      <c r="I699" s="1" t="s">
        <v>39</v>
      </c>
      <c r="J699" s="1" t="s">
        <v>27</v>
      </c>
      <c r="K699">
        <v>2</v>
      </c>
      <c r="L699" s="1" t="s">
        <v>48</v>
      </c>
      <c r="M699">
        <v>38</v>
      </c>
      <c r="N699" s="1" t="s">
        <v>29</v>
      </c>
      <c r="O699" s="1" t="s">
        <v>30</v>
      </c>
      <c r="P699">
        <v>1</v>
      </c>
      <c r="Q699" s="1" t="s">
        <v>74</v>
      </c>
      <c r="R699">
        <v>1</v>
      </c>
      <c r="S699" s="1" t="s">
        <v>40</v>
      </c>
      <c r="T699" s="1" t="s">
        <v>33</v>
      </c>
      <c r="U699" s="1" t="s">
        <v>34</v>
      </c>
      <c r="V699" s="1" t="str">
        <f>_xlfn.XLOOKUP(A699,Dictonary!$A$2:$A$5,Dictonary!$B$2:$B$5)</f>
        <v>No information</v>
      </c>
      <c r="W699" s="1" t="str">
        <f>_xlfn.XLOOKUP(D699,Dictonary!$D$2:$D$12,Dictonary!$E$2:$E$12)</f>
        <v>car (new)</v>
      </c>
      <c r="X699" s="1" t="str">
        <f>_xlfn.XLOOKUP(F699,Dictonary!$G$2:$G$6,Dictonary!$H$2:$H$6)</f>
        <v>Less 100</v>
      </c>
      <c r="Y699" s="1" t="str">
        <f>_xlfn.XLOOKUP(I699,Dictonary!$J$2:$J$6,Dictonary!$K$2:$K$6)</f>
        <v>female : divorced/separated/married</v>
      </c>
      <c r="Z699" s="1" t="str">
        <f>_xlfn.XLOOKUP(Q699,Dictonary!$M$2:$M$5,Dictonary!$N$2:$N$5)</f>
        <v>unemployed/ unskilled  - non-resident</v>
      </c>
      <c r="AA699" s="1" t="str">
        <f>_xlfn.XLOOKUP(O699,Dictonary!$P$2:$P$4,Dictonary!$Q$2:$Q$4)</f>
        <v>own</v>
      </c>
    </row>
    <row r="700" spans="1:27" x14ac:dyDescent="0.3">
      <c r="A700" s="1" t="s">
        <v>42</v>
      </c>
      <c r="B700">
        <v>18</v>
      </c>
      <c r="C700" s="1" t="s">
        <v>22</v>
      </c>
      <c r="D700" s="1" t="s">
        <v>23</v>
      </c>
      <c r="E700">
        <v>1800</v>
      </c>
      <c r="F700" s="1" t="s">
        <v>37</v>
      </c>
      <c r="G700" s="1" t="s">
        <v>38</v>
      </c>
      <c r="H700">
        <v>4</v>
      </c>
      <c r="I700" s="1" t="s">
        <v>26</v>
      </c>
      <c r="J700" s="1" t="s">
        <v>27</v>
      </c>
      <c r="K700">
        <v>2</v>
      </c>
      <c r="L700" s="1" t="s">
        <v>55</v>
      </c>
      <c r="M700">
        <v>24</v>
      </c>
      <c r="N700" s="1" t="s">
        <v>29</v>
      </c>
      <c r="O700" s="1" t="s">
        <v>30</v>
      </c>
      <c r="P700">
        <v>2</v>
      </c>
      <c r="Q700" s="1" t="s">
        <v>31</v>
      </c>
      <c r="R700">
        <v>1</v>
      </c>
      <c r="S700" s="1" t="s">
        <v>40</v>
      </c>
      <c r="T700" s="1" t="s">
        <v>33</v>
      </c>
      <c r="U700" s="1" t="s">
        <v>34</v>
      </c>
      <c r="V700" s="1" t="str">
        <f>_xlfn.XLOOKUP(A700,Dictonary!$A$2:$A$5,Dictonary!$B$2:$B$5)</f>
        <v>No information</v>
      </c>
      <c r="W700" s="1" t="str">
        <f>_xlfn.XLOOKUP(D700,Dictonary!$D$2:$D$12,Dictonary!$E$2:$E$12)</f>
        <v>radio/television</v>
      </c>
      <c r="X700" s="1" t="str">
        <f>_xlfn.XLOOKUP(F700,Dictonary!$G$2:$G$6,Dictonary!$H$2:$H$6)</f>
        <v>Less 100</v>
      </c>
      <c r="Y700" s="1" t="str">
        <f>_xlfn.XLOOKUP(I700,Dictonary!$J$2:$J$6,Dictonary!$K$2:$K$6)</f>
        <v>male : single</v>
      </c>
      <c r="Z700" s="1" t="str">
        <f>_xlfn.XLOOKUP(Q700,Dictonary!$M$2:$M$5,Dictonary!$N$2:$N$5)</f>
        <v>skilled employee / official</v>
      </c>
      <c r="AA700" s="1" t="str">
        <f>_xlfn.XLOOKUP(O700,Dictonary!$P$2:$P$4,Dictonary!$Q$2:$Q$4)</f>
        <v>own</v>
      </c>
    </row>
    <row r="701" spans="1:27" x14ac:dyDescent="0.3">
      <c r="A701" s="1" t="s">
        <v>68</v>
      </c>
      <c r="B701">
        <v>15</v>
      </c>
      <c r="C701" s="1" t="s">
        <v>36</v>
      </c>
      <c r="D701" s="1" t="s">
        <v>43</v>
      </c>
      <c r="E701">
        <v>1905</v>
      </c>
      <c r="F701" s="1" t="s">
        <v>37</v>
      </c>
      <c r="G701" s="1" t="s">
        <v>25</v>
      </c>
      <c r="H701">
        <v>4</v>
      </c>
      <c r="I701" s="1" t="s">
        <v>26</v>
      </c>
      <c r="J701" s="1" t="s">
        <v>27</v>
      </c>
      <c r="K701">
        <v>4</v>
      </c>
      <c r="L701" s="1" t="s">
        <v>55</v>
      </c>
      <c r="M701">
        <v>40</v>
      </c>
      <c r="N701" s="1" t="s">
        <v>29</v>
      </c>
      <c r="O701" s="1" t="s">
        <v>56</v>
      </c>
      <c r="P701">
        <v>1</v>
      </c>
      <c r="Q701" s="1" t="s">
        <v>57</v>
      </c>
      <c r="R701">
        <v>1</v>
      </c>
      <c r="S701" s="1" t="s">
        <v>32</v>
      </c>
      <c r="T701" s="1" t="s">
        <v>33</v>
      </c>
      <c r="U701" s="1" t="s">
        <v>34</v>
      </c>
      <c r="V701" s="1" t="str">
        <f>_xlfn.XLOOKUP(A701,Dictonary!$A$2:$A$5,Dictonary!$B$2:$B$5)</f>
        <v>Normal balance</v>
      </c>
      <c r="W701" s="1" t="str">
        <f>_xlfn.XLOOKUP(D701,Dictonary!$D$2:$D$12,Dictonary!$E$2:$E$12)</f>
        <v>education</v>
      </c>
      <c r="X701" s="1" t="str">
        <f>_xlfn.XLOOKUP(F701,Dictonary!$G$2:$G$6,Dictonary!$H$2:$H$6)</f>
        <v>Less 100</v>
      </c>
      <c r="Y701" s="1" t="str">
        <f>_xlfn.XLOOKUP(I701,Dictonary!$J$2:$J$6,Dictonary!$K$2:$K$6)</f>
        <v>male : single</v>
      </c>
      <c r="Z701" s="1" t="str">
        <f>_xlfn.XLOOKUP(Q701,Dictonary!$M$2:$M$5,Dictonary!$N$2:$N$5)</f>
        <v>management/ self-employed/ highly qualified employee/ officer</v>
      </c>
      <c r="AA701" s="1" t="str">
        <f>_xlfn.XLOOKUP(O701,Dictonary!$P$2:$P$4,Dictonary!$Q$2:$Q$4)</f>
        <v>rent</v>
      </c>
    </row>
    <row r="702" spans="1:27" x14ac:dyDescent="0.3">
      <c r="A702" s="1" t="s">
        <v>42</v>
      </c>
      <c r="B702">
        <v>12</v>
      </c>
      <c r="C702" s="1" t="s">
        <v>36</v>
      </c>
      <c r="D702" s="1" t="s">
        <v>46</v>
      </c>
      <c r="E702">
        <v>1123</v>
      </c>
      <c r="F702" s="1" t="s">
        <v>53</v>
      </c>
      <c r="G702" s="1" t="s">
        <v>38</v>
      </c>
      <c r="H702">
        <v>4</v>
      </c>
      <c r="I702" s="1" t="s">
        <v>39</v>
      </c>
      <c r="J702" s="1" t="s">
        <v>27</v>
      </c>
      <c r="K702">
        <v>4</v>
      </c>
      <c r="L702" s="1" t="s">
        <v>55</v>
      </c>
      <c r="M702">
        <v>29</v>
      </c>
      <c r="N702" s="1" t="s">
        <v>29</v>
      </c>
      <c r="O702" s="1" t="s">
        <v>56</v>
      </c>
      <c r="P702">
        <v>1</v>
      </c>
      <c r="Q702" s="1" t="s">
        <v>45</v>
      </c>
      <c r="R702">
        <v>1</v>
      </c>
      <c r="S702" s="1" t="s">
        <v>40</v>
      </c>
      <c r="T702" s="1" t="s">
        <v>33</v>
      </c>
      <c r="U702" s="1" t="s">
        <v>41</v>
      </c>
      <c r="V702" s="1" t="str">
        <f>_xlfn.XLOOKUP(A702,Dictonary!$A$2:$A$5,Dictonary!$B$2:$B$5)</f>
        <v>No information</v>
      </c>
      <c r="W702" s="1" t="str">
        <f>_xlfn.XLOOKUP(D702,Dictonary!$D$2:$D$12,Dictonary!$E$2:$E$12)</f>
        <v>furniture/equipment</v>
      </c>
      <c r="X702" s="1" t="str">
        <f>_xlfn.XLOOKUP(F702,Dictonary!$G$2:$G$6,Dictonary!$H$2:$H$6)</f>
        <v>Up to 1000</v>
      </c>
      <c r="Y702" s="1" t="str">
        <f>_xlfn.XLOOKUP(I702,Dictonary!$J$2:$J$6,Dictonary!$K$2:$K$6)</f>
        <v>female : divorced/separated/married</v>
      </c>
      <c r="Z702" s="1" t="str">
        <f>_xlfn.XLOOKUP(Q702,Dictonary!$M$2:$M$5,Dictonary!$N$2:$N$5)</f>
        <v>unskilled - resident</v>
      </c>
      <c r="AA702" s="1" t="str">
        <f>_xlfn.XLOOKUP(O702,Dictonary!$P$2:$P$4,Dictonary!$Q$2:$Q$4)</f>
        <v>rent</v>
      </c>
    </row>
    <row r="703" spans="1:27" x14ac:dyDescent="0.3">
      <c r="A703" s="1" t="s">
        <v>21</v>
      </c>
      <c r="B703">
        <v>48</v>
      </c>
      <c r="C703" s="1" t="s">
        <v>22</v>
      </c>
      <c r="D703" s="1" t="s">
        <v>54</v>
      </c>
      <c r="E703">
        <v>6331</v>
      </c>
      <c r="F703" s="1" t="s">
        <v>37</v>
      </c>
      <c r="G703" s="1" t="s">
        <v>25</v>
      </c>
      <c r="H703">
        <v>4</v>
      </c>
      <c r="I703" s="1" t="s">
        <v>26</v>
      </c>
      <c r="J703" s="1" t="s">
        <v>27</v>
      </c>
      <c r="K703">
        <v>4</v>
      </c>
      <c r="L703" s="1" t="s">
        <v>52</v>
      </c>
      <c r="M703">
        <v>46</v>
      </c>
      <c r="N703" s="1" t="s">
        <v>29</v>
      </c>
      <c r="O703" s="1" t="s">
        <v>49</v>
      </c>
      <c r="P703">
        <v>2</v>
      </c>
      <c r="Q703" s="1" t="s">
        <v>31</v>
      </c>
      <c r="R703">
        <v>1</v>
      </c>
      <c r="S703" s="1" t="s">
        <v>32</v>
      </c>
      <c r="T703" s="1" t="s">
        <v>33</v>
      </c>
      <c r="U703" s="1" t="s">
        <v>41</v>
      </c>
      <c r="V703" s="1" t="str">
        <f>_xlfn.XLOOKUP(A703,Dictonary!$A$2:$A$5,Dictonary!$B$2:$B$5)</f>
        <v>Negative balance</v>
      </c>
      <c r="W703" s="1" t="str">
        <f>_xlfn.XLOOKUP(D703,Dictonary!$D$2:$D$12,Dictonary!$E$2:$E$12)</f>
        <v>car (used)</v>
      </c>
      <c r="X703" s="1" t="str">
        <f>_xlfn.XLOOKUP(F703,Dictonary!$G$2:$G$6,Dictonary!$H$2:$H$6)</f>
        <v>Less 100</v>
      </c>
      <c r="Y703" s="1" t="str">
        <f>_xlfn.XLOOKUP(I703,Dictonary!$J$2:$J$6,Dictonary!$K$2:$K$6)</f>
        <v>male : single</v>
      </c>
      <c r="Z703" s="1" t="str">
        <f>_xlfn.XLOOKUP(Q703,Dictonary!$M$2:$M$5,Dictonary!$N$2:$N$5)</f>
        <v>skilled employee / official</v>
      </c>
      <c r="AA703" s="1" t="str">
        <f>_xlfn.XLOOKUP(O703,Dictonary!$P$2:$P$4,Dictonary!$Q$2:$Q$4)</f>
        <v>for free</v>
      </c>
    </row>
    <row r="704" spans="1:27" x14ac:dyDescent="0.3">
      <c r="A704" s="1" t="s">
        <v>68</v>
      </c>
      <c r="B704">
        <v>24</v>
      </c>
      <c r="C704" s="1" t="s">
        <v>36</v>
      </c>
      <c r="D704" s="1" t="s">
        <v>23</v>
      </c>
      <c r="E704">
        <v>1377</v>
      </c>
      <c r="F704" s="1" t="s">
        <v>64</v>
      </c>
      <c r="G704" s="1" t="s">
        <v>25</v>
      </c>
      <c r="H704">
        <v>4</v>
      </c>
      <c r="I704" s="1" t="s">
        <v>39</v>
      </c>
      <c r="J704" s="1" t="s">
        <v>27</v>
      </c>
      <c r="K704">
        <v>2</v>
      </c>
      <c r="L704" s="1" t="s">
        <v>52</v>
      </c>
      <c r="M704">
        <v>47</v>
      </c>
      <c r="N704" s="1" t="s">
        <v>29</v>
      </c>
      <c r="O704" s="1" t="s">
        <v>49</v>
      </c>
      <c r="P704">
        <v>1</v>
      </c>
      <c r="Q704" s="1" t="s">
        <v>31</v>
      </c>
      <c r="R704">
        <v>1</v>
      </c>
      <c r="S704" s="1" t="s">
        <v>32</v>
      </c>
      <c r="T704" s="1" t="s">
        <v>33</v>
      </c>
      <c r="U704" s="1" t="s">
        <v>34</v>
      </c>
      <c r="V704" s="1" t="str">
        <f>_xlfn.XLOOKUP(A704,Dictonary!$A$2:$A$5,Dictonary!$B$2:$B$5)</f>
        <v>Normal balance</v>
      </c>
      <c r="W704" s="1" t="str">
        <f>_xlfn.XLOOKUP(D704,Dictonary!$D$2:$D$12,Dictonary!$E$2:$E$12)</f>
        <v>radio/television</v>
      </c>
      <c r="X704" s="1" t="str">
        <f>_xlfn.XLOOKUP(F704,Dictonary!$G$2:$G$6,Dictonary!$H$2:$H$6)</f>
        <v>Up to 500</v>
      </c>
      <c r="Y704" s="1" t="str">
        <f>_xlfn.XLOOKUP(I704,Dictonary!$J$2:$J$6,Dictonary!$K$2:$K$6)</f>
        <v>female : divorced/separated/married</v>
      </c>
      <c r="Z704" s="1" t="str">
        <f>_xlfn.XLOOKUP(Q704,Dictonary!$M$2:$M$5,Dictonary!$N$2:$N$5)</f>
        <v>skilled employee / official</v>
      </c>
      <c r="AA704" s="1" t="str">
        <f>_xlfn.XLOOKUP(O704,Dictonary!$P$2:$P$4,Dictonary!$Q$2:$Q$4)</f>
        <v>for free</v>
      </c>
    </row>
    <row r="705" spans="1:27" x14ac:dyDescent="0.3">
      <c r="A705" s="1" t="s">
        <v>35</v>
      </c>
      <c r="B705">
        <v>30</v>
      </c>
      <c r="C705" s="1" t="s">
        <v>50</v>
      </c>
      <c r="D705" s="1" t="s">
        <v>63</v>
      </c>
      <c r="E705">
        <v>2503</v>
      </c>
      <c r="F705" s="1" t="s">
        <v>64</v>
      </c>
      <c r="G705" s="1" t="s">
        <v>25</v>
      </c>
      <c r="H705">
        <v>4</v>
      </c>
      <c r="I705" s="1" t="s">
        <v>26</v>
      </c>
      <c r="J705" s="1" t="s">
        <v>27</v>
      </c>
      <c r="K705">
        <v>2</v>
      </c>
      <c r="L705" s="1" t="s">
        <v>48</v>
      </c>
      <c r="M705">
        <v>41</v>
      </c>
      <c r="N705" s="1" t="s">
        <v>70</v>
      </c>
      <c r="O705" s="1" t="s">
        <v>30</v>
      </c>
      <c r="P705">
        <v>2</v>
      </c>
      <c r="Q705" s="1" t="s">
        <v>31</v>
      </c>
      <c r="R705">
        <v>1</v>
      </c>
      <c r="S705" s="1" t="s">
        <v>40</v>
      </c>
      <c r="T705" s="1" t="s">
        <v>33</v>
      </c>
      <c r="U705" s="1" t="s">
        <v>34</v>
      </c>
      <c r="V705" s="1" t="str">
        <f>_xlfn.XLOOKUP(A705,Dictonary!$A$2:$A$5,Dictonary!$B$2:$B$5)</f>
        <v>Low balance</v>
      </c>
      <c r="W705" s="1" t="str">
        <f>_xlfn.XLOOKUP(D705,Dictonary!$D$2:$D$12,Dictonary!$E$2:$E$12)</f>
        <v>business</v>
      </c>
      <c r="X705" s="1" t="str">
        <f>_xlfn.XLOOKUP(F705,Dictonary!$G$2:$G$6,Dictonary!$H$2:$H$6)</f>
        <v>Up to 500</v>
      </c>
      <c r="Y705" s="1" t="str">
        <f>_xlfn.XLOOKUP(I705,Dictonary!$J$2:$J$6,Dictonary!$K$2:$K$6)</f>
        <v>male : single</v>
      </c>
      <c r="Z705" s="1" t="str">
        <f>_xlfn.XLOOKUP(Q705,Dictonary!$M$2:$M$5,Dictonary!$N$2:$N$5)</f>
        <v>skilled employee / official</v>
      </c>
      <c r="AA705" s="1" t="str">
        <f>_xlfn.XLOOKUP(O705,Dictonary!$P$2:$P$4,Dictonary!$Q$2:$Q$4)</f>
        <v>own</v>
      </c>
    </row>
    <row r="706" spans="1:27" x14ac:dyDescent="0.3">
      <c r="A706" s="1" t="s">
        <v>35</v>
      </c>
      <c r="B706">
        <v>27</v>
      </c>
      <c r="C706" s="1" t="s">
        <v>36</v>
      </c>
      <c r="D706" s="1" t="s">
        <v>63</v>
      </c>
      <c r="E706">
        <v>2528</v>
      </c>
      <c r="F706" s="1" t="s">
        <v>37</v>
      </c>
      <c r="G706" s="1" t="s">
        <v>62</v>
      </c>
      <c r="H706">
        <v>4</v>
      </c>
      <c r="I706" s="1" t="s">
        <v>39</v>
      </c>
      <c r="J706" s="1" t="s">
        <v>27</v>
      </c>
      <c r="K706">
        <v>1</v>
      </c>
      <c r="L706" s="1" t="s">
        <v>48</v>
      </c>
      <c r="M706">
        <v>32</v>
      </c>
      <c r="N706" s="1" t="s">
        <v>29</v>
      </c>
      <c r="O706" s="1" t="s">
        <v>30</v>
      </c>
      <c r="P706">
        <v>1</v>
      </c>
      <c r="Q706" s="1" t="s">
        <v>31</v>
      </c>
      <c r="R706">
        <v>2</v>
      </c>
      <c r="S706" s="1" t="s">
        <v>32</v>
      </c>
      <c r="T706" s="1" t="s">
        <v>33</v>
      </c>
      <c r="U706" s="1" t="s">
        <v>34</v>
      </c>
      <c r="V706" s="1" t="str">
        <f>_xlfn.XLOOKUP(A706,Dictonary!$A$2:$A$5,Dictonary!$B$2:$B$5)</f>
        <v>Low balance</v>
      </c>
      <c r="W706" s="1" t="str">
        <f>_xlfn.XLOOKUP(D706,Dictonary!$D$2:$D$12,Dictonary!$E$2:$E$12)</f>
        <v>business</v>
      </c>
      <c r="X706" s="1" t="str">
        <f>_xlfn.XLOOKUP(F706,Dictonary!$G$2:$G$6,Dictonary!$H$2:$H$6)</f>
        <v>Less 100</v>
      </c>
      <c r="Y706" s="1" t="str">
        <f>_xlfn.XLOOKUP(I706,Dictonary!$J$2:$J$6,Dictonary!$K$2:$K$6)</f>
        <v>female : divorced/separated/married</v>
      </c>
      <c r="Z706" s="1" t="str">
        <f>_xlfn.XLOOKUP(Q706,Dictonary!$M$2:$M$5,Dictonary!$N$2:$N$5)</f>
        <v>skilled employee / official</v>
      </c>
      <c r="AA706" s="1" t="str">
        <f>_xlfn.XLOOKUP(O706,Dictonary!$P$2:$P$4,Dictonary!$Q$2:$Q$4)</f>
        <v>own</v>
      </c>
    </row>
    <row r="707" spans="1:27" x14ac:dyDescent="0.3">
      <c r="A707" s="1" t="s">
        <v>42</v>
      </c>
      <c r="B707">
        <v>15</v>
      </c>
      <c r="C707" s="1" t="s">
        <v>36</v>
      </c>
      <c r="D707" s="1" t="s">
        <v>51</v>
      </c>
      <c r="E707">
        <v>5324</v>
      </c>
      <c r="F707" s="1" t="s">
        <v>53</v>
      </c>
      <c r="G707" s="1" t="s">
        <v>25</v>
      </c>
      <c r="H707">
        <v>1</v>
      </c>
      <c r="I707" s="1" t="s">
        <v>39</v>
      </c>
      <c r="J707" s="1" t="s">
        <v>27</v>
      </c>
      <c r="K707">
        <v>4</v>
      </c>
      <c r="L707" s="1" t="s">
        <v>52</v>
      </c>
      <c r="M707">
        <v>35</v>
      </c>
      <c r="N707" s="1" t="s">
        <v>29</v>
      </c>
      <c r="O707" s="1" t="s">
        <v>49</v>
      </c>
      <c r="P707">
        <v>1</v>
      </c>
      <c r="Q707" s="1" t="s">
        <v>31</v>
      </c>
      <c r="R707">
        <v>1</v>
      </c>
      <c r="S707" s="1" t="s">
        <v>40</v>
      </c>
      <c r="T707" s="1" t="s">
        <v>33</v>
      </c>
      <c r="U707" s="1" t="s">
        <v>34</v>
      </c>
      <c r="V707" s="1" t="str">
        <f>_xlfn.XLOOKUP(A707,Dictonary!$A$2:$A$5,Dictonary!$B$2:$B$5)</f>
        <v>No information</v>
      </c>
      <c r="W707" s="1" t="str">
        <f>_xlfn.XLOOKUP(D707,Dictonary!$D$2:$D$12,Dictonary!$E$2:$E$12)</f>
        <v>car (new)</v>
      </c>
      <c r="X707" s="1" t="str">
        <f>_xlfn.XLOOKUP(F707,Dictonary!$G$2:$G$6,Dictonary!$H$2:$H$6)</f>
        <v>Up to 1000</v>
      </c>
      <c r="Y707" s="1" t="str">
        <f>_xlfn.XLOOKUP(I707,Dictonary!$J$2:$J$6,Dictonary!$K$2:$K$6)</f>
        <v>female : divorced/separated/married</v>
      </c>
      <c r="Z707" s="1" t="str">
        <f>_xlfn.XLOOKUP(Q707,Dictonary!$M$2:$M$5,Dictonary!$N$2:$N$5)</f>
        <v>skilled employee / official</v>
      </c>
      <c r="AA707" s="1" t="str">
        <f>_xlfn.XLOOKUP(O707,Dictonary!$P$2:$P$4,Dictonary!$Q$2:$Q$4)</f>
        <v>for free</v>
      </c>
    </row>
    <row r="708" spans="1:27" x14ac:dyDescent="0.3">
      <c r="A708" s="1" t="s">
        <v>35</v>
      </c>
      <c r="B708">
        <v>48</v>
      </c>
      <c r="C708" s="1" t="s">
        <v>36</v>
      </c>
      <c r="D708" s="1" t="s">
        <v>51</v>
      </c>
      <c r="E708">
        <v>6560</v>
      </c>
      <c r="F708" s="1" t="s">
        <v>64</v>
      </c>
      <c r="G708" s="1" t="s">
        <v>44</v>
      </c>
      <c r="H708">
        <v>3</v>
      </c>
      <c r="I708" s="1" t="s">
        <v>26</v>
      </c>
      <c r="J708" s="1" t="s">
        <v>27</v>
      </c>
      <c r="K708">
        <v>2</v>
      </c>
      <c r="L708" s="1" t="s">
        <v>48</v>
      </c>
      <c r="M708">
        <v>24</v>
      </c>
      <c r="N708" s="1" t="s">
        <v>29</v>
      </c>
      <c r="O708" s="1" t="s">
        <v>30</v>
      </c>
      <c r="P708">
        <v>1</v>
      </c>
      <c r="Q708" s="1" t="s">
        <v>31</v>
      </c>
      <c r="R708">
        <v>1</v>
      </c>
      <c r="S708" s="1" t="s">
        <v>40</v>
      </c>
      <c r="T708" s="1" t="s">
        <v>33</v>
      </c>
      <c r="U708" s="1" t="s">
        <v>41</v>
      </c>
      <c r="V708" s="1" t="str">
        <f>_xlfn.XLOOKUP(A708,Dictonary!$A$2:$A$5,Dictonary!$B$2:$B$5)</f>
        <v>Low balance</v>
      </c>
      <c r="W708" s="1" t="str">
        <f>_xlfn.XLOOKUP(D708,Dictonary!$D$2:$D$12,Dictonary!$E$2:$E$12)</f>
        <v>car (new)</v>
      </c>
      <c r="X708" s="1" t="str">
        <f>_xlfn.XLOOKUP(F708,Dictonary!$G$2:$G$6,Dictonary!$H$2:$H$6)</f>
        <v>Up to 500</v>
      </c>
      <c r="Y708" s="1" t="str">
        <f>_xlfn.XLOOKUP(I708,Dictonary!$J$2:$J$6,Dictonary!$K$2:$K$6)</f>
        <v>male : single</v>
      </c>
      <c r="Z708" s="1" t="str">
        <f>_xlfn.XLOOKUP(Q708,Dictonary!$M$2:$M$5,Dictonary!$N$2:$N$5)</f>
        <v>skilled employee / official</v>
      </c>
      <c r="AA708" s="1" t="str">
        <f>_xlfn.XLOOKUP(O708,Dictonary!$P$2:$P$4,Dictonary!$Q$2:$Q$4)</f>
        <v>own</v>
      </c>
    </row>
    <row r="709" spans="1:27" x14ac:dyDescent="0.3">
      <c r="A709" s="1" t="s">
        <v>35</v>
      </c>
      <c r="B709">
        <v>12</v>
      </c>
      <c r="C709" s="1" t="s">
        <v>65</v>
      </c>
      <c r="D709" s="1" t="s">
        <v>46</v>
      </c>
      <c r="E709">
        <v>2969</v>
      </c>
      <c r="F709" s="1" t="s">
        <v>37</v>
      </c>
      <c r="G709" s="1" t="s">
        <v>62</v>
      </c>
      <c r="H709">
        <v>4</v>
      </c>
      <c r="I709" s="1" t="s">
        <v>39</v>
      </c>
      <c r="J709" s="1" t="s">
        <v>27</v>
      </c>
      <c r="K709">
        <v>3</v>
      </c>
      <c r="L709" s="1" t="s">
        <v>48</v>
      </c>
      <c r="M709">
        <v>25</v>
      </c>
      <c r="N709" s="1" t="s">
        <v>29</v>
      </c>
      <c r="O709" s="1" t="s">
        <v>56</v>
      </c>
      <c r="P709">
        <v>2</v>
      </c>
      <c r="Q709" s="1" t="s">
        <v>31</v>
      </c>
      <c r="R709">
        <v>1</v>
      </c>
      <c r="S709" s="1" t="s">
        <v>40</v>
      </c>
      <c r="T709" s="1" t="s">
        <v>33</v>
      </c>
      <c r="U709" s="1" t="s">
        <v>41</v>
      </c>
      <c r="V709" s="1" t="str">
        <f>_xlfn.XLOOKUP(A709,Dictonary!$A$2:$A$5,Dictonary!$B$2:$B$5)</f>
        <v>Low balance</v>
      </c>
      <c r="W709" s="1" t="str">
        <f>_xlfn.XLOOKUP(D709,Dictonary!$D$2:$D$12,Dictonary!$E$2:$E$12)</f>
        <v>furniture/equipment</v>
      </c>
      <c r="X709" s="1" t="str">
        <f>_xlfn.XLOOKUP(F709,Dictonary!$G$2:$G$6,Dictonary!$H$2:$H$6)</f>
        <v>Less 100</v>
      </c>
      <c r="Y709" s="1" t="str">
        <f>_xlfn.XLOOKUP(I709,Dictonary!$J$2:$J$6,Dictonary!$K$2:$K$6)</f>
        <v>female : divorced/separated/married</v>
      </c>
      <c r="Z709" s="1" t="str">
        <f>_xlfn.XLOOKUP(Q709,Dictonary!$M$2:$M$5,Dictonary!$N$2:$N$5)</f>
        <v>skilled employee / official</v>
      </c>
      <c r="AA709" s="1" t="str">
        <f>_xlfn.XLOOKUP(O709,Dictonary!$P$2:$P$4,Dictonary!$Q$2:$Q$4)</f>
        <v>rent</v>
      </c>
    </row>
    <row r="710" spans="1:27" x14ac:dyDescent="0.3">
      <c r="A710" s="1" t="s">
        <v>35</v>
      </c>
      <c r="B710">
        <v>9</v>
      </c>
      <c r="C710" s="1" t="s">
        <v>36</v>
      </c>
      <c r="D710" s="1" t="s">
        <v>23</v>
      </c>
      <c r="E710">
        <v>1206</v>
      </c>
      <c r="F710" s="1" t="s">
        <v>37</v>
      </c>
      <c r="G710" s="1" t="s">
        <v>25</v>
      </c>
      <c r="H710">
        <v>4</v>
      </c>
      <c r="I710" s="1" t="s">
        <v>39</v>
      </c>
      <c r="J710" s="1" t="s">
        <v>27</v>
      </c>
      <c r="K710">
        <v>4</v>
      </c>
      <c r="L710" s="1" t="s">
        <v>28</v>
      </c>
      <c r="M710">
        <v>25</v>
      </c>
      <c r="N710" s="1" t="s">
        <v>29</v>
      </c>
      <c r="O710" s="1" t="s">
        <v>30</v>
      </c>
      <c r="P710">
        <v>1</v>
      </c>
      <c r="Q710" s="1" t="s">
        <v>31</v>
      </c>
      <c r="R710">
        <v>1</v>
      </c>
      <c r="S710" s="1" t="s">
        <v>40</v>
      </c>
      <c r="T710" s="1" t="s">
        <v>33</v>
      </c>
      <c r="U710" s="1" t="s">
        <v>34</v>
      </c>
      <c r="V710" s="1" t="str">
        <f>_xlfn.XLOOKUP(A710,Dictonary!$A$2:$A$5,Dictonary!$B$2:$B$5)</f>
        <v>Low balance</v>
      </c>
      <c r="W710" s="1" t="str">
        <f>_xlfn.XLOOKUP(D710,Dictonary!$D$2:$D$12,Dictonary!$E$2:$E$12)</f>
        <v>radio/television</v>
      </c>
      <c r="X710" s="1" t="str">
        <f>_xlfn.XLOOKUP(F710,Dictonary!$G$2:$G$6,Dictonary!$H$2:$H$6)</f>
        <v>Less 100</v>
      </c>
      <c r="Y710" s="1" t="str">
        <f>_xlfn.XLOOKUP(I710,Dictonary!$J$2:$J$6,Dictonary!$K$2:$K$6)</f>
        <v>female : divorced/separated/married</v>
      </c>
      <c r="Z710" s="1" t="str">
        <f>_xlfn.XLOOKUP(Q710,Dictonary!$M$2:$M$5,Dictonary!$N$2:$N$5)</f>
        <v>skilled employee / official</v>
      </c>
      <c r="AA710" s="1" t="str">
        <f>_xlfn.XLOOKUP(O710,Dictonary!$P$2:$P$4,Dictonary!$Q$2:$Q$4)</f>
        <v>own</v>
      </c>
    </row>
    <row r="711" spans="1:27" x14ac:dyDescent="0.3">
      <c r="A711" s="1" t="s">
        <v>35</v>
      </c>
      <c r="B711">
        <v>9</v>
      </c>
      <c r="C711" s="1" t="s">
        <v>36</v>
      </c>
      <c r="D711" s="1" t="s">
        <v>23</v>
      </c>
      <c r="E711">
        <v>2118</v>
      </c>
      <c r="F711" s="1" t="s">
        <v>37</v>
      </c>
      <c r="G711" s="1" t="s">
        <v>38</v>
      </c>
      <c r="H711">
        <v>2</v>
      </c>
      <c r="I711" s="1" t="s">
        <v>26</v>
      </c>
      <c r="J711" s="1" t="s">
        <v>27</v>
      </c>
      <c r="K711">
        <v>2</v>
      </c>
      <c r="L711" s="1" t="s">
        <v>28</v>
      </c>
      <c r="M711">
        <v>37</v>
      </c>
      <c r="N711" s="1" t="s">
        <v>29</v>
      </c>
      <c r="O711" s="1" t="s">
        <v>30</v>
      </c>
      <c r="P711">
        <v>1</v>
      </c>
      <c r="Q711" s="1" t="s">
        <v>45</v>
      </c>
      <c r="R711">
        <v>2</v>
      </c>
      <c r="S711" s="1" t="s">
        <v>40</v>
      </c>
      <c r="T711" s="1" t="s">
        <v>33</v>
      </c>
      <c r="U711" s="1" t="s">
        <v>34</v>
      </c>
      <c r="V711" s="1" t="str">
        <f>_xlfn.XLOOKUP(A711,Dictonary!$A$2:$A$5,Dictonary!$B$2:$B$5)</f>
        <v>Low balance</v>
      </c>
      <c r="W711" s="1" t="str">
        <f>_xlfn.XLOOKUP(D711,Dictonary!$D$2:$D$12,Dictonary!$E$2:$E$12)</f>
        <v>radio/television</v>
      </c>
      <c r="X711" s="1" t="str">
        <f>_xlfn.XLOOKUP(F711,Dictonary!$G$2:$G$6,Dictonary!$H$2:$H$6)</f>
        <v>Less 100</v>
      </c>
      <c r="Y711" s="1" t="str">
        <f>_xlfn.XLOOKUP(I711,Dictonary!$J$2:$J$6,Dictonary!$K$2:$K$6)</f>
        <v>male : single</v>
      </c>
      <c r="Z711" s="1" t="str">
        <f>_xlfn.XLOOKUP(Q711,Dictonary!$M$2:$M$5,Dictonary!$N$2:$N$5)</f>
        <v>unskilled - resident</v>
      </c>
      <c r="AA711" s="1" t="str">
        <f>_xlfn.XLOOKUP(O711,Dictonary!$P$2:$P$4,Dictonary!$Q$2:$Q$4)</f>
        <v>own</v>
      </c>
    </row>
    <row r="712" spans="1:27" x14ac:dyDescent="0.3">
      <c r="A712" s="1" t="s">
        <v>42</v>
      </c>
      <c r="B712">
        <v>18</v>
      </c>
      <c r="C712" s="1" t="s">
        <v>22</v>
      </c>
      <c r="D712" s="1" t="s">
        <v>23</v>
      </c>
      <c r="E712">
        <v>629</v>
      </c>
      <c r="F712" s="1" t="s">
        <v>53</v>
      </c>
      <c r="G712" s="1" t="s">
        <v>25</v>
      </c>
      <c r="H712">
        <v>4</v>
      </c>
      <c r="I712" s="1" t="s">
        <v>26</v>
      </c>
      <c r="J712" s="1" t="s">
        <v>27</v>
      </c>
      <c r="K712">
        <v>3</v>
      </c>
      <c r="L712" s="1" t="s">
        <v>48</v>
      </c>
      <c r="M712">
        <v>32</v>
      </c>
      <c r="N712" s="1" t="s">
        <v>66</v>
      </c>
      <c r="O712" s="1" t="s">
        <v>30</v>
      </c>
      <c r="P712">
        <v>2</v>
      </c>
      <c r="Q712" s="1" t="s">
        <v>57</v>
      </c>
      <c r="R712">
        <v>1</v>
      </c>
      <c r="S712" s="1" t="s">
        <v>32</v>
      </c>
      <c r="T712" s="1" t="s">
        <v>33</v>
      </c>
      <c r="U712" s="1" t="s">
        <v>34</v>
      </c>
      <c r="V712" s="1" t="str">
        <f>_xlfn.XLOOKUP(A712,Dictonary!$A$2:$A$5,Dictonary!$B$2:$B$5)</f>
        <v>No information</v>
      </c>
      <c r="W712" s="1" t="str">
        <f>_xlfn.XLOOKUP(D712,Dictonary!$D$2:$D$12,Dictonary!$E$2:$E$12)</f>
        <v>radio/television</v>
      </c>
      <c r="X712" s="1" t="str">
        <f>_xlfn.XLOOKUP(F712,Dictonary!$G$2:$G$6,Dictonary!$H$2:$H$6)</f>
        <v>Up to 1000</v>
      </c>
      <c r="Y712" s="1" t="str">
        <f>_xlfn.XLOOKUP(I712,Dictonary!$J$2:$J$6,Dictonary!$K$2:$K$6)</f>
        <v>male : single</v>
      </c>
      <c r="Z712" s="1" t="str">
        <f>_xlfn.XLOOKUP(Q712,Dictonary!$M$2:$M$5,Dictonary!$N$2:$N$5)</f>
        <v>management/ self-employed/ highly qualified employee/ officer</v>
      </c>
      <c r="AA712" s="1" t="str">
        <f>_xlfn.XLOOKUP(O712,Dictonary!$P$2:$P$4,Dictonary!$Q$2:$Q$4)</f>
        <v>own</v>
      </c>
    </row>
    <row r="713" spans="1:27" x14ac:dyDescent="0.3">
      <c r="A713" s="1" t="s">
        <v>21</v>
      </c>
      <c r="B713">
        <v>6</v>
      </c>
      <c r="C713" s="1" t="s">
        <v>69</v>
      </c>
      <c r="D713" s="1" t="s">
        <v>43</v>
      </c>
      <c r="E713">
        <v>1198</v>
      </c>
      <c r="F713" s="1" t="s">
        <v>37</v>
      </c>
      <c r="G713" s="1" t="s">
        <v>25</v>
      </c>
      <c r="H713">
        <v>4</v>
      </c>
      <c r="I713" s="1" t="s">
        <v>39</v>
      </c>
      <c r="J713" s="1" t="s">
        <v>27</v>
      </c>
      <c r="K713">
        <v>4</v>
      </c>
      <c r="L713" s="1" t="s">
        <v>52</v>
      </c>
      <c r="M713">
        <v>35</v>
      </c>
      <c r="N713" s="1" t="s">
        <v>29</v>
      </c>
      <c r="O713" s="1" t="s">
        <v>49</v>
      </c>
      <c r="P713">
        <v>1</v>
      </c>
      <c r="Q713" s="1" t="s">
        <v>31</v>
      </c>
      <c r="R713">
        <v>1</v>
      </c>
      <c r="S713" s="1" t="s">
        <v>40</v>
      </c>
      <c r="T713" s="1" t="s">
        <v>33</v>
      </c>
      <c r="U713" s="1" t="s">
        <v>41</v>
      </c>
      <c r="V713" s="1" t="str">
        <f>_xlfn.XLOOKUP(A713,Dictonary!$A$2:$A$5,Dictonary!$B$2:$B$5)</f>
        <v>Negative balance</v>
      </c>
      <c r="W713" s="1" t="str">
        <f>_xlfn.XLOOKUP(D713,Dictonary!$D$2:$D$12,Dictonary!$E$2:$E$12)</f>
        <v>education</v>
      </c>
      <c r="X713" s="1" t="str">
        <f>_xlfn.XLOOKUP(F713,Dictonary!$G$2:$G$6,Dictonary!$H$2:$H$6)</f>
        <v>Less 100</v>
      </c>
      <c r="Y713" s="1" t="str">
        <f>_xlfn.XLOOKUP(I713,Dictonary!$J$2:$J$6,Dictonary!$K$2:$K$6)</f>
        <v>female : divorced/separated/married</v>
      </c>
      <c r="Z713" s="1" t="str">
        <f>_xlfn.XLOOKUP(Q713,Dictonary!$M$2:$M$5,Dictonary!$N$2:$N$5)</f>
        <v>skilled employee / official</v>
      </c>
      <c r="AA713" s="1" t="str">
        <f>_xlfn.XLOOKUP(O713,Dictonary!$P$2:$P$4,Dictonary!$Q$2:$Q$4)</f>
        <v>for free</v>
      </c>
    </row>
    <row r="714" spans="1:27" x14ac:dyDescent="0.3">
      <c r="A714" s="1" t="s">
        <v>42</v>
      </c>
      <c r="B714">
        <v>21</v>
      </c>
      <c r="C714" s="1" t="s">
        <v>36</v>
      </c>
      <c r="D714" s="1" t="s">
        <v>54</v>
      </c>
      <c r="E714">
        <v>2476</v>
      </c>
      <c r="F714" s="1" t="s">
        <v>24</v>
      </c>
      <c r="G714" s="1" t="s">
        <v>25</v>
      </c>
      <c r="H714">
        <v>4</v>
      </c>
      <c r="I714" s="1" t="s">
        <v>26</v>
      </c>
      <c r="J714" s="1" t="s">
        <v>27</v>
      </c>
      <c r="K714">
        <v>4</v>
      </c>
      <c r="L714" s="1" t="s">
        <v>28</v>
      </c>
      <c r="M714">
        <v>46</v>
      </c>
      <c r="N714" s="1" t="s">
        <v>29</v>
      </c>
      <c r="O714" s="1" t="s">
        <v>30</v>
      </c>
      <c r="P714">
        <v>1</v>
      </c>
      <c r="Q714" s="1" t="s">
        <v>57</v>
      </c>
      <c r="R714">
        <v>1</v>
      </c>
      <c r="S714" s="1" t="s">
        <v>32</v>
      </c>
      <c r="T714" s="1" t="s">
        <v>33</v>
      </c>
      <c r="U714" s="1" t="s">
        <v>34</v>
      </c>
      <c r="V714" s="1" t="str">
        <f>_xlfn.XLOOKUP(A714,Dictonary!$A$2:$A$5,Dictonary!$B$2:$B$5)</f>
        <v>No information</v>
      </c>
      <c r="W714" s="1" t="str">
        <f>_xlfn.XLOOKUP(D714,Dictonary!$D$2:$D$12,Dictonary!$E$2:$E$12)</f>
        <v>car (used)</v>
      </c>
      <c r="X714" s="1" t="str">
        <f>_xlfn.XLOOKUP(F714,Dictonary!$G$2:$G$6,Dictonary!$H$2:$H$6)</f>
        <v>No information</v>
      </c>
      <c r="Y714" s="1" t="str">
        <f>_xlfn.XLOOKUP(I714,Dictonary!$J$2:$J$6,Dictonary!$K$2:$K$6)</f>
        <v>male : single</v>
      </c>
      <c r="Z714" s="1" t="str">
        <f>_xlfn.XLOOKUP(Q714,Dictonary!$M$2:$M$5,Dictonary!$N$2:$N$5)</f>
        <v>management/ self-employed/ highly qualified employee/ officer</v>
      </c>
      <c r="AA714" s="1" t="str">
        <f>_xlfn.XLOOKUP(O714,Dictonary!$P$2:$P$4,Dictonary!$Q$2:$Q$4)</f>
        <v>own</v>
      </c>
    </row>
    <row r="715" spans="1:27" x14ac:dyDescent="0.3">
      <c r="A715" s="1" t="s">
        <v>21</v>
      </c>
      <c r="B715">
        <v>9</v>
      </c>
      <c r="C715" s="1" t="s">
        <v>22</v>
      </c>
      <c r="D715" s="1" t="s">
        <v>23</v>
      </c>
      <c r="E715">
        <v>1138</v>
      </c>
      <c r="F715" s="1" t="s">
        <v>37</v>
      </c>
      <c r="G715" s="1" t="s">
        <v>38</v>
      </c>
      <c r="H715">
        <v>4</v>
      </c>
      <c r="I715" s="1" t="s">
        <v>26</v>
      </c>
      <c r="J715" s="1" t="s">
        <v>27</v>
      </c>
      <c r="K715">
        <v>4</v>
      </c>
      <c r="L715" s="1" t="s">
        <v>28</v>
      </c>
      <c r="M715">
        <v>25</v>
      </c>
      <c r="N715" s="1" t="s">
        <v>29</v>
      </c>
      <c r="O715" s="1" t="s">
        <v>30</v>
      </c>
      <c r="P715">
        <v>2</v>
      </c>
      <c r="Q715" s="1" t="s">
        <v>45</v>
      </c>
      <c r="R715">
        <v>1</v>
      </c>
      <c r="S715" s="1" t="s">
        <v>40</v>
      </c>
      <c r="T715" s="1" t="s">
        <v>33</v>
      </c>
      <c r="U715" s="1" t="s">
        <v>34</v>
      </c>
      <c r="V715" s="1" t="str">
        <f>_xlfn.XLOOKUP(A715,Dictonary!$A$2:$A$5,Dictonary!$B$2:$B$5)</f>
        <v>Negative balance</v>
      </c>
      <c r="W715" s="1" t="str">
        <f>_xlfn.XLOOKUP(D715,Dictonary!$D$2:$D$12,Dictonary!$E$2:$E$12)</f>
        <v>radio/television</v>
      </c>
      <c r="X715" s="1" t="str">
        <f>_xlfn.XLOOKUP(F715,Dictonary!$G$2:$G$6,Dictonary!$H$2:$H$6)</f>
        <v>Less 100</v>
      </c>
      <c r="Y715" s="1" t="str">
        <f>_xlfn.XLOOKUP(I715,Dictonary!$J$2:$J$6,Dictonary!$K$2:$K$6)</f>
        <v>male : single</v>
      </c>
      <c r="Z715" s="1" t="str">
        <f>_xlfn.XLOOKUP(Q715,Dictonary!$M$2:$M$5,Dictonary!$N$2:$N$5)</f>
        <v>unskilled - resident</v>
      </c>
      <c r="AA715" s="1" t="str">
        <f>_xlfn.XLOOKUP(O715,Dictonary!$P$2:$P$4,Dictonary!$Q$2:$Q$4)</f>
        <v>own</v>
      </c>
    </row>
    <row r="716" spans="1:27" x14ac:dyDescent="0.3">
      <c r="A716" s="1" t="s">
        <v>35</v>
      </c>
      <c r="B716">
        <v>60</v>
      </c>
      <c r="C716" s="1" t="s">
        <v>36</v>
      </c>
      <c r="D716" s="1" t="s">
        <v>51</v>
      </c>
      <c r="E716">
        <v>14027</v>
      </c>
      <c r="F716" s="1" t="s">
        <v>37</v>
      </c>
      <c r="G716" s="1" t="s">
        <v>44</v>
      </c>
      <c r="H716">
        <v>4</v>
      </c>
      <c r="I716" s="1" t="s">
        <v>26</v>
      </c>
      <c r="J716" s="1" t="s">
        <v>27</v>
      </c>
      <c r="K716">
        <v>2</v>
      </c>
      <c r="L716" s="1" t="s">
        <v>52</v>
      </c>
      <c r="M716">
        <v>27</v>
      </c>
      <c r="N716" s="1" t="s">
        <v>29</v>
      </c>
      <c r="O716" s="1" t="s">
        <v>30</v>
      </c>
      <c r="P716">
        <v>1</v>
      </c>
      <c r="Q716" s="1" t="s">
        <v>57</v>
      </c>
      <c r="R716">
        <v>1</v>
      </c>
      <c r="S716" s="1" t="s">
        <v>32</v>
      </c>
      <c r="T716" s="1" t="s">
        <v>33</v>
      </c>
      <c r="U716" s="1" t="s">
        <v>41</v>
      </c>
      <c r="V716" s="1" t="str">
        <f>_xlfn.XLOOKUP(A716,Dictonary!$A$2:$A$5,Dictonary!$B$2:$B$5)</f>
        <v>Low balance</v>
      </c>
      <c r="W716" s="1" t="str">
        <f>_xlfn.XLOOKUP(D716,Dictonary!$D$2:$D$12,Dictonary!$E$2:$E$12)</f>
        <v>car (new)</v>
      </c>
      <c r="X716" s="1" t="str">
        <f>_xlfn.XLOOKUP(F716,Dictonary!$G$2:$G$6,Dictonary!$H$2:$H$6)</f>
        <v>Less 100</v>
      </c>
      <c r="Y716" s="1" t="str">
        <f>_xlfn.XLOOKUP(I716,Dictonary!$J$2:$J$6,Dictonary!$K$2:$K$6)</f>
        <v>male : single</v>
      </c>
      <c r="Z716" s="1" t="str">
        <f>_xlfn.XLOOKUP(Q716,Dictonary!$M$2:$M$5,Dictonary!$N$2:$N$5)</f>
        <v>management/ self-employed/ highly qualified employee/ officer</v>
      </c>
      <c r="AA716" s="1" t="str">
        <f>_xlfn.XLOOKUP(O716,Dictonary!$P$2:$P$4,Dictonary!$Q$2:$Q$4)</f>
        <v>own</v>
      </c>
    </row>
    <row r="717" spans="1:27" x14ac:dyDescent="0.3">
      <c r="A717" s="1" t="s">
        <v>42</v>
      </c>
      <c r="B717">
        <v>30</v>
      </c>
      <c r="C717" s="1" t="s">
        <v>22</v>
      </c>
      <c r="D717" s="1" t="s">
        <v>54</v>
      </c>
      <c r="E717">
        <v>7596</v>
      </c>
      <c r="F717" s="1" t="s">
        <v>24</v>
      </c>
      <c r="G717" s="1" t="s">
        <v>25</v>
      </c>
      <c r="H717">
        <v>1</v>
      </c>
      <c r="I717" s="1" t="s">
        <v>26</v>
      </c>
      <c r="J717" s="1" t="s">
        <v>27</v>
      </c>
      <c r="K717">
        <v>4</v>
      </c>
      <c r="L717" s="1" t="s">
        <v>55</v>
      </c>
      <c r="M717">
        <v>63</v>
      </c>
      <c r="N717" s="1" t="s">
        <v>29</v>
      </c>
      <c r="O717" s="1" t="s">
        <v>30</v>
      </c>
      <c r="P717">
        <v>2</v>
      </c>
      <c r="Q717" s="1" t="s">
        <v>31</v>
      </c>
      <c r="R717">
        <v>1</v>
      </c>
      <c r="S717" s="1" t="s">
        <v>40</v>
      </c>
      <c r="T717" s="1" t="s">
        <v>33</v>
      </c>
      <c r="U717" s="1" t="s">
        <v>34</v>
      </c>
      <c r="V717" s="1" t="str">
        <f>_xlfn.XLOOKUP(A717,Dictonary!$A$2:$A$5,Dictonary!$B$2:$B$5)</f>
        <v>No information</v>
      </c>
      <c r="W717" s="1" t="str">
        <f>_xlfn.XLOOKUP(D717,Dictonary!$D$2:$D$12,Dictonary!$E$2:$E$12)</f>
        <v>car (used)</v>
      </c>
      <c r="X717" s="1" t="str">
        <f>_xlfn.XLOOKUP(F717,Dictonary!$G$2:$G$6,Dictonary!$H$2:$H$6)</f>
        <v>No information</v>
      </c>
      <c r="Y717" s="1" t="str">
        <f>_xlfn.XLOOKUP(I717,Dictonary!$J$2:$J$6,Dictonary!$K$2:$K$6)</f>
        <v>male : single</v>
      </c>
      <c r="Z717" s="1" t="str">
        <f>_xlfn.XLOOKUP(Q717,Dictonary!$M$2:$M$5,Dictonary!$N$2:$N$5)</f>
        <v>skilled employee / official</v>
      </c>
      <c r="AA717" s="1" t="str">
        <f>_xlfn.XLOOKUP(O717,Dictonary!$P$2:$P$4,Dictonary!$Q$2:$Q$4)</f>
        <v>own</v>
      </c>
    </row>
    <row r="718" spans="1:27" x14ac:dyDescent="0.3">
      <c r="A718" s="1" t="s">
        <v>42</v>
      </c>
      <c r="B718">
        <v>30</v>
      </c>
      <c r="C718" s="1" t="s">
        <v>22</v>
      </c>
      <c r="D718" s="1" t="s">
        <v>23</v>
      </c>
      <c r="E718">
        <v>3077</v>
      </c>
      <c r="F718" s="1" t="s">
        <v>24</v>
      </c>
      <c r="G718" s="1" t="s">
        <v>25</v>
      </c>
      <c r="H718">
        <v>3</v>
      </c>
      <c r="I718" s="1" t="s">
        <v>26</v>
      </c>
      <c r="J718" s="1" t="s">
        <v>27</v>
      </c>
      <c r="K718">
        <v>2</v>
      </c>
      <c r="L718" s="1" t="s">
        <v>55</v>
      </c>
      <c r="M718">
        <v>40</v>
      </c>
      <c r="N718" s="1" t="s">
        <v>29</v>
      </c>
      <c r="O718" s="1" t="s">
        <v>30</v>
      </c>
      <c r="P718">
        <v>2</v>
      </c>
      <c r="Q718" s="1" t="s">
        <v>31</v>
      </c>
      <c r="R718">
        <v>2</v>
      </c>
      <c r="S718" s="1" t="s">
        <v>32</v>
      </c>
      <c r="T718" s="1" t="s">
        <v>33</v>
      </c>
      <c r="U718" s="1" t="s">
        <v>34</v>
      </c>
      <c r="V718" s="1" t="str">
        <f>_xlfn.XLOOKUP(A718,Dictonary!$A$2:$A$5,Dictonary!$B$2:$B$5)</f>
        <v>No information</v>
      </c>
      <c r="W718" s="1" t="str">
        <f>_xlfn.XLOOKUP(D718,Dictonary!$D$2:$D$12,Dictonary!$E$2:$E$12)</f>
        <v>radio/television</v>
      </c>
      <c r="X718" s="1" t="str">
        <f>_xlfn.XLOOKUP(F718,Dictonary!$G$2:$G$6,Dictonary!$H$2:$H$6)</f>
        <v>No information</v>
      </c>
      <c r="Y718" s="1" t="str">
        <f>_xlfn.XLOOKUP(I718,Dictonary!$J$2:$J$6,Dictonary!$K$2:$K$6)</f>
        <v>male : single</v>
      </c>
      <c r="Z718" s="1" t="str">
        <f>_xlfn.XLOOKUP(Q718,Dictonary!$M$2:$M$5,Dictonary!$N$2:$N$5)</f>
        <v>skilled employee / official</v>
      </c>
      <c r="AA718" s="1" t="str">
        <f>_xlfn.XLOOKUP(O718,Dictonary!$P$2:$P$4,Dictonary!$Q$2:$Q$4)</f>
        <v>own</v>
      </c>
    </row>
    <row r="719" spans="1:27" x14ac:dyDescent="0.3">
      <c r="A719" s="1" t="s">
        <v>42</v>
      </c>
      <c r="B719">
        <v>18</v>
      </c>
      <c r="C719" s="1" t="s">
        <v>36</v>
      </c>
      <c r="D719" s="1" t="s">
        <v>23</v>
      </c>
      <c r="E719">
        <v>1505</v>
      </c>
      <c r="F719" s="1" t="s">
        <v>37</v>
      </c>
      <c r="G719" s="1" t="s">
        <v>38</v>
      </c>
      <c r="H719">
        <v>4</v>
      </c>
      <c r="I719" s="1" t="s">
        <v>26</v>
      </c>
      <c r="J719" s="1" t="s">
        <v>27</v>
      </c>
      <c r="K719">
        <v>2</v>
      </c>
      <c r="L719" s="1" t="s">
        <v>52</v>
      </c>
      <c r="M719">
        <v>32</v>
      </c>
      <c r="N719" s="1" t="s">
        <v>29</v>
      </c>
      <c r="O719" s="1" t="s">
        <v>49</v>
      </c>
      <c r="P719">
        <v>1</v>
      </c>
      <c r="Q719" s="1" t="s">
        <v>57</v>
      </c>
      <c r="R719">
        <v>1</v>
      </c>
      <c r="S719" s="1" t="s">
        <v>32</v>
      </c>
      <c r="T719" s="1" t="s">
        <v>33</v>
      </c>
      <c r="U719" s="1" t="s">
        <v>34</v>
      </c>
      <c r="V719" s="1" t="str">
        <f>_xlfn.XLOOKUP(A719,Dictonary!$A$2:$A$5,Dictonary!$B$2:$B$5)</f>
        <v>No information</v>
      </c>
      <c r="W719" s="1" t="str">
        <f>_xlfn.XLOOKUP(D719,Dictonary!$D$2:$D$12,Dictonary!$E$2:$E$12)</f>
        <v>radio/television</v>
      </c>
      <c r="X719" s="1" t="str">
        <f>_xlfn.XLOOKUP(F719,Dictonary!$G$2:$G$6,Dictonary!$H$2:$H$6)</f>
        <v>Less 100</v>
      </c>
      <c r="Y719" s="1" t="str">
        <f>_xlfn.XLOOKUP(I719,Dictonary!$J$2:$J$6,Dictonary!$K$2:$K$6)</f>
        <v>male : single</v>
      </c>
      <c r="Z719" s="1" t="str">
        <f>_xlfn.XLOOKUP(Q719,Dictonary!$M$2:$M$5,Dictonary!$N$2:$N$5)</f>
        <v>management/ self-employed/ highly qualified employee/ officer</v>
      </c>
      <c r="AA719" s="1" t="str">
        <f>_xlfn.XLOOKUP(O719,Dictonary!$P$2:$P$4,Dictonary!$Q$2:$Q$4)</f>
        <v>for free</v>
      </c>
    </row>
    <row r="720" spans="1:27" x14ac:dyDescent="0.3">
      <c r="A720" s="1" t="s">
        <v>68</v>
      </c>
      <c r="B720">
        <v>24</v>
      </c>
      <c r="C720" s="1" t="s">
        <v>22</v>
      </c>
      <c r="D720" s="1" t="s">
        <v>23</v>
      </c>
      <c r="E720">
        <v>3148</v>
      </c>
      <c r="F720" s="1" t="s">
        <v>24</v>
      </c>
      <c r="G720" s="1" t="s">
        <v>38</v>
      </c>
      <c r="H720">
        <v>3</v>
      </c>
      <c r="I720" s="1" t="s">
        <v>26</v>
      </c>
      <c r="J720" s="1" t="s">
        <v>27</v>
      </c>
      <c r="K720">
        <v>2</v>
      </c>
      <c r="L720" s="1" t="s">
        <v>55</v>
      </c>
      <c r="M720">
        <v>31</v>
      </c>
      <c r="N720" s="1" t="s">
        <v>29</v>
      </c>
      <c r="O720" s="1" t="s">
        <v>30</v>
      </c>
      <c r="P720">
        <v>2</v>
      </c>
      <c r="Q720" s="1" t="s">
        <v>31</v>
      </c>
      <c r="R720">
        <v>1</v>
      </c>
      <c r="S720" s="1" t="s">
        <v>32</v>
      </c>
      <c r="T720" s="1" t="s">
        <v>33</v>
      </c>
      <c r="U720" s="1" t="s">
        <v>34</v>
      </c>
      <c r="V720" s="1" t="str">
        <f>_xlfn.XLOOKUP(A720,Dictonary!$A$2:$A$5,Dictonary!$B$2:$B$5)</f>
        <v>Normal balance</v>
      </c>
      <c r="W720" s="1" t="str">
        <f>_xlfn.XLOOKUP(D720,Dictonary!$D$2:$D$12,Dictonary!$E$2:$E$12)</f>
        <v>radio/television</v>
      </c>
      <c r="X720" s="1" t="str">
        <f>_xlfn.XLOOKUP(F720,Dictonary!$G$2:$G$6,Dictonary!$H$2:$H$6)</f>
        <v>No information</v>
      </c>
      <c r="Y720" s="1" t="str">
        <f>_xlfn.XLOOKUP(I720,Dictonary!$J$2:$J$6,Dictonary!$K$2:$K$6)</f>
        <v>male : single</v>
      </c>
      <c r="Z720" s="1" t="str">
        <f>_xlfn.XLOOKUP(Q720,Dictonary!$M$2:$M$5,Dictonary!$N$2:$N$5)</f>
        <v>skilled employee / official</v>
      </c>
      <c r="AA720" s="1" t="str">
        <f>_xlfn.XLOOKUP(O720,Dictonary!$P$2:$P$4,Dictonary!$Q$2:$Q$4)</f>
        <v>own</v>
      </c>
    </row>
    <row r="721" spans="1:27" x14ac:dyDescent="0.3">
      <c r="A721" s="1" t="s">
        <v>35</v>
      </c>
      <c r="B721">
        <v>20</v>
      </c>
      <c r="C721" s="1" t="s">
        <v>65</v>
      </c>
      <c r="D721" s="1" t="s">
        <v>54</v>
      </c>
      <c r="E721">
        <v>6148</v>
      </c>
      <c r="F721" s="1" t="s">
        <v>64</v>
      </c>
      <c r="G721" s="1" t="s">
        <v>25</v>
      </c>
      <c r="H721">
        <v>3</v>
      </c>
      <c r="I721" s="1" t="s">
        <v>61</v>
      </c>
      <c r="J721" s="1" t="s">
        <v>27</v>
      </c>
      <c r="K721">
        <v>4</v>
      </c>
      <c r="L721" s="1" t="s">
        <v>55</v>
      </c>
      <c r="M721">
        <v>31</v>
      </c>
      <c r="N721" s="1" t="s">
        <v>66</v>
      </c>
      <c r="O721" s="1" t="s">
        <v>30</v>
      </c>
      <c r="P721">
        <v>2</v>
      </c>
      <c r="Q721" s="1" t="s">
        <v>31</v>
      </c>
      <c r="R721">
        <v>1</v>
      </c>
      <c r="S721" s="1" t="s">
        <v>32</v>
      </c>
      <c r="T721" s="1" t="s">
        <v>33</v>
      </c>
      <c r="U721" s="1" t="s">
        <v>34</v>
      </c>
      <c r="V721" s="1" t="str">
        <f>_xlfn.XLOOKUP(A721,Dictonary!$A$2:$A$5,Dictonary!$B$2:$B$5)</f>
        <v>Low balance</v>
      </c>
      <c r="W721" s="1" t="str">
        <f>_xlfn.XLOOKUP(D721,Dictonary!$D$2:$D$12,Dictonary!$E$2:$E$12)</f>
        <v>car (used)</v>
      </c>
      <c r="X721" s="1" t="str">
        <f>_xlfn.XLOOKUP(F721,Dictonary!$G$2:$G$6,Dictonary!$H$2:$H$6)</f>
        <v>Up to 500</v>
      </c>
      <c r="Y721" s="1" t="str">
        <f>_xlfn.XLOOKUP(I721,Dictonary!$J$2:$J$6,Dictonary!$K$2:$K$6)</f>
        <v>male : married/widowed</v>
      </c>
      <c r="Z721" s="1" t="str">
        <f>_xlfn.XLOOKUP(Q721,Dictonary!$M$2:$M$5,Dictonary!$N$2:$N$5)</f>
        <v>skilled employee / official</v>
      </c>
      <c r="AA721" s="1" t="str">
        <f>_xlfn.XLOOKUP(O721,Dictonary!$P$2:$P$4,Dictonary!$Q$2:$Q$4)</f>
        <v>own</v>
      </c>
    </row>
    <row r="722" spans="1:27" x14ac:dyDescent="0.3">
      <c r="A722" s="1" t="s">
        <v>68</v>
      </c>
      <c r="B722">
        <v>9</v>
      </c>
      <c r="C722" s="1" t="s">
        <v>65</v>
      </c>
      <c r="D722" s="1" t="s">
        <v>23</v>
      </c>
      <c r="E722">
        <v>1337</v>
      </c>
      <c r="F722" s="1" t="s">
        <v>37</v>
      </c>
      <c r="G722" s="1" t="s">
        <v>62</v>
      </c>
      <c r="H722">
        <v>4</v>
      </c>
      <c r="I722" s="1" t="s">
        <v>26</v>
      </c>
      <c r="J722" s="1" t="s">
        <v>27</v>
      </c>
      <c r="K722">
        <v>2</v>
      </c>
      <c r="L722" s="1" t="s">
        <v>55</v>
      </c>
      <c r="M722">
        <v>34</v>
      </c>
      <c r="N722" s="1" t="s">
        <v>29</v>
      </c>
      <c r="O722" s="1" t="s">
        <v>30</v>
      </c>
      <c r="P722">
        <v>2</v>
      </c>
      <c r="Q722" s="1" t="s">
        <v>57</v>
      </c>
      <c r="R722">
        <v>1</v>
      </c>
      <c r="S722" s="1" t="s">
        <v>32</v>
      </c>
      <c r="T722" s="1" t="s">
        <v>33</v>
      </c>
      <c r="U722" s="1" t="s">
        <v>41</v>
      </c>
      <c r="V722" s="1" t="str">
        <f>_xlfn.XLOOKUP(A722,Dictonary!$A$2:$A$5,Dictonary!$B$2:$B$5)</f>
        <v>Normal balance</v>
      </c>
      <c r="W722" s="1" t="str">
        <f>_xlfn.XLOOKUP(D722,Dictonary!$D$2:$D$12,Dictonary!$E$2:$E$12)</f>
        <v>radio/television</v>
      </c>
      <c r="X722" s="1" t="str">
        <f>_xlfn.XLOOKUP(F722,Dictonary!$G$2:$G$6,Dictonary!$H$2:$H$6)</f>
        <v>Less 100</v>
      </c>
      <c r="Y722" s="1" t="str">
        <f>_xlfn.XLOOKUP(I722,Dictonary!$J$2:$J$6,Dictonary!$K$2:$K$6)</f>
        <v>male : single</v>
      </c>
      <c r="Z722" s="1" t="str">
        <f>_xlfn.XLOOKUP(Q722,Dictonary!$M$2:$M$5,Dictonary!$N$2:$N$5)</f>
        <v>management/ self-employed/ highly qualified employee/ officer</v>
      </c>
      <c r="AA722" s="1" t="str">
        <f>_xlfn.XLOOKUP(O722,Dictonary!$P$2:$P$4,Dictonary!$Q$2:$Q$4)</f>
        <v>own</v>
      </c>
    </row>
    <row r="723" spans="1:27" x14ac:dyDescent="0.3">
      <c r="A723" s="1" t="s">
        <v>35</v>
      </c>
      <c r="B723">
        <v>6</v>
      </c>
      <c r="C723" s="1" t="s">
        <v>69</v>
      </c>
      <c r="D723" s="1" t="s">
        <v>43</v>
      </c>
      <c r="E723">
        <v>433</v>
      </c>
      <c r="F723" s="1" t="s">
        <v>58</v>
      </c>
      <c r="G723" s="1" t="s">
        <v>62</v>
      </c>
      <c r="H723">
        <v>4</v>
      </c>
      <c r="I723" s="1" t="s">
        <v>39</v>
      </c>
      <c r="J723" s="1" t="s">
        <v>27</v>
      </c>
      <c r="K723">
        <v>2</v>
      </c>
      <c r="L723" s="1" t="s">
        <v>48</v>
      </c>
      <c r="M723">
        <v>24</v>
      </c>
      <c r="N723" s="1" t="s">
        <v>66</v>
      </c>
      <c r="O723" s="1" t="s">
        <v>56</v>
      </c>
      <c r="P723">
        <v>1</v>
      </c>
      <c r="Q723" s="1" t="s">
        <v>31</v>
      </c>
      <c r="R723">
        <v>2</v>
      </c>
      <c r="S723" s="1" t="s">
        <v>40</v>
      </c>
      <c r="T723" s="1" t="s">
        <v>33</v>
      </c>
      <c r="U723" s="1" t="s">
        <v>41</v>
      </c>
      <c r="V723" s="1" t="str">
        <f>_xlfn.XLOOKUP(A723,Dictonary!$A$2:$A$5,Dictonary!$B$2:$B$5)</f>
        <v>Low balance</v>
      </c>
      <c r="W723" s="1" t="str">
        <f>_xlfn.XLOOKUP(D723,Dictonary!$D$2:$D$12,Dictonary!$E$2:$E$12)</f>
        <v>education</v>
      </c>
      <c r="X723" s="1" t="str">
        <f>_xlfn.XLOOKUP(F723,Dictonary!$G$2:$G$6,Dictonary!$H$2:$H$6)</f>
        <v>More 1000</v>
      </c>
      <c r="Y723" s="1" t="str">
        <f>_xlfn.XLOOKUP(I723,Dictonary!$J$2:$J$6,Dictonary!$K$2:$K$6)</f>
        <v>female : divorced/separated/married</v>
      </c>
      <c r="Z723" s="1" t="str">
        <f>_xlfn.XLOOKUP(Q723,Dictonary!$M$2:$M$5,Dictonary!$N$2:$N$5)</f>
        <v>skilled employee / official</v>
      </c>
      <c r="AA723" s="1" t="str">
        <f>_xlfn.XLOOKUP(O723,Dictonary!$P$2:$P$4,Dictonary!$Q$2:$Q$4)</f>
        <v>rent</v>
      </c>
    </row>
    <row r="724" spans="1:27" x14ac:dyDescent="0.3">
      <c r="A724" s="1" t="s">
        <v>21</v>
      </c>
      <c r="B724">
        <v>12</v>
      </c>
      <c r="C724" s="1" t="s">
        <v>36</v>
      </c>
      <c r="D724" s="1" t="s">
        <v>51</v>
      </c>
      <c r="E724">
        <v>1228</v>
      </c>
      <c r="F724" s="1" t="s">
        <v>37</v>
      </c>
      <c r="G724" s="1" t="s">
        <v>38</v>
      </c>
      <c r="H724">
        <v>4</v>
      </c>
      <c r="I724" s="1" t="s">
        <v>39</v>
      </c>
      <c r="J724" s="1" t="s">
        <v>27</v>
      </c>
      <c r="K724">
        <v>2</v>
      </c>
      <c r="L724" s="1" t="s">
        <v>28</v>
      </c>
      <c r="M724">
        <v>24</v>
      </c>
      <c r="N724" s="1" t="s">
        <v>29</v>
      </c>
      <c r="O724" s="1" t="s">
        <v>30</v>
      </c>
      <c r="P724">
        <v>1</v>
      </c>
      <c r="Q724" s="1" t="s">
        <v>45</v>
      </c>
      <c r="R724">
        <v>1</v>
      </c>
      <c r="S724" s="1" t="s">
        <v>40</v>
      </c>
      <c r="T724" s="1" t="s">
        <v>33</v>
      </c>
      <c r="U724" s="1" t="s">
        <v>41</v>
      </c>
      <c r="V724" s="1" t="str">
        <f>_xlfn.XLOOKUP(A724,Dictonary!$A$2:$A$5,Dictonary!$B$2:$B$5)</f>
        <v>Negative balance</v>
      </c>
      <c r="W724" s="1" t="str">
        <f>_xlfn.XLOOKUP(D724,Dictonary!$D$2:$D$12,Dictonary!$E$2:$E$12)</f>
        <v>car (new)</v>
      </c>
      <c r="X724" s="1" t="str">
        <f>_xlfn.XLOOKUP(F724,Dictonary!$G$2:$G$6,Dictonary!$H$2:$H$6)</f>
        <v>Less 100</v>
      </c>
      <c r="Y724" s="1" t="str">
        <f>_xlfn.XLOOKUP(I724,Dictonary!$J$2:$J$6,Dictonary!$K$2:$K$6)</f>
        <v>female : divorced/separated/married</v>
      </c>
      <c r="Z724" s="1" t="str">
        <f>_xlfn.XLOOKUP(Q724,Dictonary!$M$2:$M$5,Dictonary!$N$2:$N$5)</f>
        <v>unskilled - resident</v>
      </c>
      <c r="AA724" s="1" t="str">
        <f>_xlfn.XLOOKUP(O724,Dictonary!$P$2:$P$4,Dictonary!$Q$2:$Q$4)</f>
        <v>own</v>
      </c>
    </row>
    <row r="725" spans="1:27" x14ac:dyDescent="0.3">
      <c r="A725" s="1" t="s">
        <v>35</v>
      </c>
      <c r="B725">
        <v>9</v>
      </c>
      <c r="C725" s="1" t="s">
        <v>36</v>
      </c>
      <c r="D725" s="1" t="s">
        <v>23</v>
      </c>
      <c r="E725">
        <v>790</v>
      </c>
      <c r="F725" s="1" t="s">
        <v>53</v>
      </c>
      <c r="G725" s="1" t="s">
        <v>38</v>
      </c>
      <c r="H725">
        <v>4</v>
      </c>
      <c r="I725" s="1" t="s">
        <v>39</v>
      </c>
      <c r="J725" s="1" t="s">
        <v>27</v>
      </c>
      <c r="K725">
        <v>3</v>
      </c>
      <c r="L725" s="1" t="s">
        <v>28</v>
      </c>
      <c r="M725">
        <v>66</v>
      </c>
      <c r="N725" s="1" t="s">
        <v>29</v>
      </c>
      <c r="O725" s="1" t="s">
        <v>30</v>
      </c>
      <c r="P725">
        <v>1</v>
      </c>
      <c r="Q725" s="1" t="s">
        <v>45</v>
      </c>
      <c r="R725">
        <v>1</v>
      </c>
      <c r="S725" s="1" t="s">
        <v>40</v>
      </c>
      <c r="T725" s="1" t="s">
        <v>33</v>
      </c>
      <c r="U725" s="1" t="s">
        <v>34</v>
      </c>
      <c r="V725" s="1" t="str">
        <f>_xlfn.XLOOKUP(A725,Dictonary!$A$2:$A$5,Dictonary!$B$2:$B$5)</f>
        <v>Low balance</v>
      </c>
      <c r="W725" s="1" t="str">
        <f>_xlfn.XLOOKUP(D725,Dictonary!$D$2:$D$12,Dictonary!$E$2:$E$12)</f>
        <v>radio/television</v>
      </c>
      <c r="X725" s="1" t="str">
        <f>_xlfn.XLOOKUP(F725,Dictonary!$G$2:$G$6,Dictonary!$H$2:$H$6)</f>
        <v>Up to 1000</v>
      </c>
      <c r="Y725" s="1" t="str">
        <f>_xlfn.XLOOKUP(I725,Dictonary!$J$2:$J$6,Dictonary!$K$2:$K$6)</f>
        <v>female : divorced/separated/married</v>
      </c>
      <c r="Z725" s="1" t="str">
        <f>_xlfn.XLOOKUP(Q725,Dictonary!$M$2:$M$5,Dictonary!$N$2:$N$5)</f>
        <v>unskilled - resident</v>
      </c>
      <c r="AA725" s="1" t="str">
        <f>_xlfn.XLOOKUP(O725,Dictonary!$P$2:$P$4,Dictonary!$Q$2:$Q$4)</f>
        <v>own</v>
      </c>
    </row>
    <row r="726" spans="1:27" x14ac:dyDescent="0.3">
      <c r="A726" s="1" t="s">
        <v>42</v>
      </c>
      <c r="B726">
        <v>27</v>
      </c>
      <c r="C726" s="1" t="s">
        <v>36</v>
      </c>
      <c r="D726" s="1" t="s">
        <v>51</v>
      </c>
      <c r="E726">
        <v>2570</v>
      </c>
      <c r="F726" s="1" t="s">
        <v>37</v>
      </c>
      <c r="G726" s="1" t="s">
        <v>38</v>
      </c>
      <c r="H726">
        <v>3</v>
      </c>
      <c r="I726" s="1" t="s">
        <v>39</v>
      </c>
      <c r="J726" s="1" t="s">
        <v>27</v>
      </c>
      <c r="K726">
        <v>3</v>
      </c>
      <c r="L726" s="1" t="s">
        <v>28</v>
      </c>
      <c r="M726">
        <v>21</v>
      </c>
      <c r="N726" s="1" t="s">
        <v>29</v>
      </c>
      <c r="O726" s="1" t="s">
        <v>56</v>
      </c>
      <c r="P726">
        <v>1</v>
      </c>
      <c r="Q726" s="1" t="s">
        <v>31</v>
      </c>
      <c r="R726">
        <v>1</v>
      </c>
      <c r="S726" s="1" t="s">
        <v>40</v>
      </c>
      <c r="T726" s="1" t="s">
        <v>33</v>
      </c>
      <c r="U726" s="1" t="s">
        <v>41</v>
      </c>
      <c r="V726" s="1" t="str">
        <f>_xlfn.XLOOKUP(A726,Dictonary!$A$2:$A$5,Dictonary!$B$2:$B$5)</f>
        <v>No information</v>
      </c>
      <c r="W726" s="1" t="str">
        <f>_xlfn.XLOOKUP(D726,Dictonary!$D$2:$D$12,Dictonary!$E$2:$E$12)</f>
        <v>car (new)</v>
      </c>
      <c r="X726" s="1" t="str">
        <f>_xlfn.XLOOKUP(F726,Dictonary!$G$2:$G$6,Dictonary!$H$2:$H$6)</f>
        <v>Less 100</v>
      </c>
      <c r="Y726" s="1" t="str">
        <f>_xlfn.XLOOKUP(I726,Dictonary!$J$2:$J$6,Dictonary!$K$2:$K$6)</f>
        <v>female : divorced/separated/married</v>
      </c>
      <c r="Z726" s="1" t="str">
        <f>_xlfn.XLOOKUP(Q726,Dictonary!$M$2:$M$5,Dictonary!$N$2:$N$5)</f>
        <v>skilled employee / official</v>
      </c>
      <c r="AA726" s="1" t="str">
        <f>_xlfn.XLOOKUP(O726,Dictonary!$P$2:$P$4,Dictonary!$Q$2:$Q$4)</f>
        <v>rent</v>
      </c>
    </row>
    <row r="727" spans="1:27" x14ac:dyDescent="0.3">
      <c r="A727" s="1" t="s">
        <v>42</v>
      </c>
      <c r="B727">
        <v>6</v>
      </c>
      <c r="C727" s="1" t="s">
        <v>22</v>
      </c>
      <c r="D727" s="1" t="s">
        <v>51</v>
      </c>
      <c r="E727">
        <v>250</v>
      </c>
      <c r="F727" s="1" t="s">
        <v>58</v>
      </c>
      <c r="G727" s="1" t="s">
        <v>38</v>
      </c>
      <c r="H727">
        <v>2</v>
      </c>
      <c r="I727" s="1" t="s">
        <v>39</v>
      </c>
      <c r="J727" s="1" t="s">
        <v>27</v>
      </c>
      <c r="K727">
        <v>2</v>
      </c>
      <c r="L727" s="1" t="s">
        <v>28</v>
      </c>
      <c r="M727">
        <v>41</v>
      </c>
      <c r="N727" s="1" t="s">
        <v>66</v>
      </c>
      <c r="O727" s="1" t="s">
        <v>30</v>
      </c>
      <c r="P727">
        <v>2</v>
      </c>
      <c r="Q727" s="1" t="s">
        <v>45</v>
      </c>
      <c r="R727">
        <v>1</v>
      </c>
      <c r="S727" s="1" t="s">
        <v>40</v>
      </c>
      <c r="T727" s="1" t="s">
        <v>33</v>
      </c>
      <c r="U727" s="1" t="s">
        <v>34</v>
      </c>
      <c r="V727" s="1" t="str">
        <f>_xlfn.XLOOKUP(A727,Dictonary!$A$2:$A$5,Dictonary!$B$2:$B$5)</f>
        <v>No information</v>
      </c>
      <c r="W727" s="1" t="str">
        <f>_xlfn.XLOOKUP(D727,Dictonary!$D$2:$D$12,Dictonary!$E$2:$E$12)</f>
        <v>car (new)</v>
      </c>
      <c r="X727" s="1" t="str">
        <f>_xlfn.XLOOKUP(F727,Dictonary!$G$2:$G$6,Dictonary!$H$2:$H$6)</f>
        <v>More 1000</v>
      </c>
      <c r="Y727" s="1" t="str">
        <f>_xlfn.XLOOKUP(I727,Dictonary!$J$2:$J$6,Dictonary!$K$2:$K$6)</f>
        <v>female : divorced/separated/married</v>
      </c>
      <c r="Z727" s="1" t="str">
        <f>_xlfn.XLOOKUP(Q727,Dictonary!$M$2:$M$5,Dictonary!$N$2:$N$5)</f>
        <v>unskilled - resident</v>
      </c>
      <c r="AA727" s="1" t="str">
        <f>_xlfn.XLOOKUP(O727,Dictonary!$P$2:$P$4,Dictonary!$Q$2:$Q$4)</f>
        <v>own</v>
      </c>
    </row>
    <row r="728" spans="1:27" x14ac:dyDescent="0.3">
      <c r="A728" s="1" t="s">
        <v>42</v>
      </c>
      <c r="B728">
        <v>15</v>
      </c>
      <c r="C728" s="1" t="s">
        <v>22</v>
      </c>
      <c r="D728" s="1" t="s">
        <v>23</v>
      </c>
      <c r="E728">
        <v>1316</v>
      </c>
      <c r="F728" s="1" t="s">
        <v>53</v>
      </c>
      <c r="G728" s="1" t="s">
        <v>38</v>
      </c>
      <c r="H728">
        <v>2</v>
      </c>
      <c r="I728" s="1" t="s">
        <v>61</v>
      </c>
      <c r="J728" s="1" t="s">
        <v>27</v>
      </c>
      <c r="K728">
        <v>2</v>
      </c>
      <c r="L728" s="1" t="s">
        <v>48</v>
      </c>
      <c r="M728">
        <v>47</v>
      </c>
      <c r="N728" s="1" t="s">
        <v>29</v>
      </c>
      <c r="O728" s="1" t="s">
        <v>30</v>
      </c>
      <c r="P728">
        <v>2</v>
      </c>
      <c r="Q728" s="1" t="s">
        <v>45</v>
      </c>
      <c r="R728">
        <v>1</v>
      </c>
      <c r="S728" s="1" t="s">
        <v>40</v>
      </c>
      <c r="T728" s="1" t="s">
        <v>33</v>
      </c>
      <c r="U728" s="1" t="s">
        <v>34</v>
      </c>
      <c r="V728" s="1" t="str">
        <f>_xlfn.XLOOKUP(A728,Dictonary!$A$2:$A$5,Dictonary!$B$2:$B$5)</f>
        <v>No information</v>
      </c>
      <c r="W728" s="1" t="str">
        <f>_xlfn.XLOOKUP(D728,Dictonary!$D$2:$D$12,Dictonary!$E$2:$E$12)</f>
        <v>radio/television</v>
      </c>
      <c r="X728" s="1" t="str">
        <f>_xlfn.XLOOKUP(F728,Dictonary!$G$2:$G$6,Dictonary!$H$2:$H$6)</f>
        <v>Up to 1000</v>
      </c>
      <c r="Y728" s="1" t="str">
        <f>_xlfn.XLOOKUP(I728,Dictonary!$J$2:$J$6,Dictonary!$K$2:$K$6)</f>
        <v>male : married/widowed</v>
      </c>
      <c r="Z728" s="1" t="str">
        <f>_xlfn.XLOOKUP(Q728,Dictonary!$M$2:$M$5,Dictonary!$N$2:$N$5)</f>
        <v>unskilled - resident</v>
      </c>
      <c r="AA728" s="1" t="str">
        <f>_xlfn.XLOOKUP(O728,Dictonary!$P$2:$P$4,Dictonary!$Q$2:$Q$4)</f>
        <v>own</v>
      </c>
    </row>
    <row r="729" spans="1:27" x14ac:dyDescent="0.3">
      <c r="A729" s="1" t="s">
        <v>21</v>
      </c>
      <c r="B729">
        <v>18</v>
      </c>
      <c r="C729" s="1" t="s">
        <v>36</v>
      </c>
      <c r="D729" s="1" t="s">
        <v>23</v>
      </c>
      <c r="E729">
        <v>1882</v>
      </c>
      <c r="F729" s="1" t="s">
        <v>37</v>
      </c>
      <c r="G729" s="1" t="s">
        <v>38</v>
      </c>
      <c r="H729">
        <v>4</v>
      </c>
      <c r="I729" s="1" t="s">
        <v>39</v>
      </c>
      <c r="J729" s="1" t="s">
        <v>27</v>
      </c>
      <c r="K729">
        <v>4</v>
      </c>
      <c r="L729" s="1" t="s">
        <v>55</v>
      </c>
      <c r="M729">
        <v>25</v>
      </c>
      <c r="N729" s="1" t="s">
        <v>66</v>
      </c>
      <c r="O729" s="1" t="s">
        <v>56</v>
      </c>
      <c r="P729">
        <v>2</v>
      </c>
      <c r="Q729" s="1" t="s">
        <v>31</v>
      </c>
      <c r="R729">
        <v>1</v>
      </c>
      <c r="S729" s="1" t="s">
        <v>40</v>
      </c>
      <c r="T729" s="1" t="s">
        <v>33</v>
      </c>
      <c r="U729" s="1" t="s">
        <v>41</v>
      </c>
      <c r="V729" s="1" t="str">
        <f>_xlfn.XLOOKUP(A729,Dictonary!$A$2:$A$5,Dictonary!$B$2:$B$5)</f>
        <v>Negative balance</v>
      </c>
      <c r="W729" s="1" t="str">
        <f>_xlfn.XLOOKUP(D729,Dictonary!$D$2:$D$12,Dictonary!$E$2:$E$12)</f>
        <v>radio/television</v>
      </c>
      <c r="X729" s="1" t="str">
        <f>_xlfn.XLOOKUP(F729,Dictonary!$G$2:$G$6,Dictonary!$H$2:$H$6)</f>
        <v>Less 100</v>
      </c>
      <c r="Y729" s="1" t="str">
        <f>_xlfn.XLOOKUP(I729,Dictonary!$J$2:$J$6,Dictonary!$K$2:$K$6)</f>
        <v>female : divorced/separated/married</v>
      </c>
      <c r="Z729" s="1" t="str">
        <f>_xlfn.XLOOKUP(Q729,Dictonary!$M$2:$M$5,Dictonary!$N$2:$N$5)</f>
        <v>skilled employee / official</v>
      </c>
      <c r="AA729" s="1" t="str">
        <f>_xlfn.XLOOKUP(O729,Dictonary!$P$2:$P$4,Dictonary!$Q$2:$Q$4)</f>
        <v>rent</v>
      </c>
    </row>
    <row r="730" spans="1:27" x14ac:dyDescent="0.3">
      <c r="A730" s="1" t="s">
        <v>35</v>
      </c>
      <c r="B730">
        <v>48</v>
      </c>
      <c r="C730" s="1" t="s">
        <v>69</v>
      </c>
      <c r="D730" s="1" t="s">
        <v>63</v>
      </c>
      <c r="E730">
        <v>6416</v>
      </c>
      <c r="F730" s="1" t="s">
        <v>37</v>
      </c>
      <c r="G730" s="1" t="s">
        <v>25</v>
      </c>
      <c r="H730">
        <v>4</v>
      </c>
      <c r="I730" s="1" t="s">
        <v>39</v>
      </c>
      <c r="J730" s="1" t="s">
        <v>27</v>
      </c>
      <c r="K730">
        <v>3</v>
      </c>
      <c r="L730" s="1" t="s">
        <v>52</v>
      </c>
      <c r="M730">
        <v>59</v>
      </c>
      <c r="N730" s="1" t="s">
        <v>29</v>
      </c>
      <c r="O730" s="1" t="s">
        <v>56</v>
      </c>
      <c r="P730">
        <v>1</v>
      </c>
      <c r="Q730" s="1" t="s">
        <v>31</v>
      </c>
      <c r="R730">
        <v>1</v>
      </c>
      <c r="S730" s="1" t="s">
        <v>40</v>
      </c>
      <c r="T730" s="1" t="s">
        <v>33</v>
      </c>
      <c r="U730" s="1" t="s">
        <v>41</v>
      </c>
      <c r="V730" s="1" t="str">
        <f>_xlfn.XLOOKUP(A730,Dictonary!$A$2:$A$5,Dictonary!$B$2:$B$5)</f>
        <v>Low balance</v>
      </c>
      <c r="W730" s="1" t="str">
        <f>_xlfn.XLOOKUP(D730,Dictonary!$D$2:$D$12,Dictonary!$E$2:$E$12)</f>
        <v>business</v>
      </c>
      <c r="X730" s="1" t="str">
        <f>_xlfn.XLOOKUP(F730,Dictonary!$G$2:$G$6,Dictonary!$H$2:$H$6)</f>
        <v>Less 100</v>
      </c>
      <c r="Y730" s="1" t="str">
        <f>_xlfn.XLOOKUP(I730,Dictonary!$J$2:$J$6,Dictonary!$K$2:$K$6)</f>
        <v>female : divorced/separated/married</v>
      </c>
      <c r="Z730" s="1" t="str">
        <f>_xlfn.XLOOKUP(Q730,Dictonary!$M$2:$M$5,Dictonary!$N$2:$N$5)</f>
        <v>skilled employee / official</v>
      </c>
      <c r="AA730" s="1" t="str">
        <f>_xlfn.XLOOKUP(O730,Dictonary!$P$2:$P$4,Dictonary!$Q$2:$Q$4)</f>
        <v>rent</v>
      </c>
    </row>
    <row r="731" spans="1:27" x14ac:dyDescent="0.3">
      <c r="A731" s="1" t="s">
        <v>68</v>
      </c>
      <c r="B731">
        <v>24</v>
      </c>
      <c r="C731" s="1" t="s">
        <v>22</v>
      </c>
      <c r="D731" s="1" t="s">
        <v>63</v>
      </c>
      <c r="E731">
        <v>1275</v>
      </c>
      <c r="F731" s="1" t="s">
        <v>58</v>
      </c>
      <c r="G731" s="1" t="s">
        <v>38</v>
      </c>
      <c r="H731">
        <v>2</v>
      </c>
      <c r="I731" s="1" t="s">
        <v>59</v>
      </c>
      <c r="J731" s="1" t="s">
        <v>27</v>
      </c>
      <c r="K731">
        <v>4</v>
      </c>
      <c r="L731" s="1" t="s">
        <v>28</v>
      </c>
      <c r="M731">
        <v>36</v>
      </c>
      <c r="N731" s="1" t="s">
        <v>29</v>
      </c>
      <c r="O731" s="1" t="s">
        <v>30</v>
      </c>
      <c r="P731">
        <v>2</v>
      </c>
      <c r="Q731" s="1" t="s">
        <v>31</v>
      </c>
      <c r="R731">
        <v>1</v>
      </c>
      <c r="S731" s="1" t="s">
        <v>32</v>
      </c>
      <c r="T731" s="1" t="s">
        <v>33</v>
      </c>
      <c r="U731" s="1" t="s">
        <v>34</v>
      </c>
      <c r="V731" s="1" t="str">
        <f>_xlfn.XLOOKUP(A731,Dictonary!$A$2:$A$5,Dictonary!$B$2:$B$5)</f>
        <v>Normal balance</v>
      </c>
      <c r="W731" s="1" t="str">
        <f>_xlfn.XLOOKUP(D731,Dictonary!$D$2:$D$12,Dictonary!$E$2:$E$12)</f>
        <v>business</v>
      </c>
      <c r="X731" s="1" t="str">
        <f>_xlfn.XLOOKUP(F731,Dictonary!$G$2:$G$6,Dictonary!$H$2:$H$6)</f>
        <v>More 1000</v>
      </c>
      <c r="Y731" s="1" t="str">
        <f>_xlfn.XLOOKUP(I731,Dictonary!$J$2:$J$6,Dictonary!$K$2:$K$6)</f>
        <v>male : divorced/separated</v>
      </c>
      <c r="Z731" s="1" t="str">
        <f>_xlfn.XLOOKUP(Q731,Dictonary!$M$2:$M$5,Dictonary!$N$2:$N$5)</f>
        <v>skilled employee / official</v>
      </c>
      <c r="AA731" s="1" t="str">
        <f>_xlfn.XLOOKUP(O731,Dictonary!$P$2:$P$4,Dictonary!$Q$2:$Q$4)</f>
        <v>own</v>
      </c>
    </row>
    <row r="732" spans="1:27" x14ac:dyDescent="0.3">
      <c r="A732" s="1" t="s">
        <v>35</v>
      </c>
      <c r="B732">
        <v>24</v>
      </c>
      <c r="C732" s="1" t="s">
        <v>50</v>
      </c>
      <c r="D732" s="1" t="s">
        <v>23</v>
      </c>
      <c r="E732">
        <v>6403</v>
      </c>
      <c r="F732" s="1" t="s">
        <v>37</v>
      </c>
      <c r="G732" s="1" t="s">
        <v>62</v>
      </c>
      <c r="H732">
        <v>1</v>
      </c>
      <c r="I732" s="1" t="s">
        <v>26</v>
      </c>
      <c r="J732" s="1" t="s">
        <v>27</v>
      </c>
      <c r="K732">
        <v>2</v>
      </c>
      <c r="L732" s="1" t="s">
        <v>55</v>
      </c>
      <c r="M732">
        <v>33</v>
      </c>
      <c r="N732" s="1" t="s">
        <v>29</v>
      </c>
      <c r="O732" s="1" t="s">
        <v>30</v>
      </c>
      <c r="P732">
        <v>1</v>
      </c>
      <c r="Q732" s="1" t="s">
        <v>31</v>
      </c>
      <c r="R732">
        <v>1</v>
      </c>
      <c r="S732" s="1" t="s">
        <v>40</v>
      </c>
      <c r="T732" s="1" t="s">
        <v>33</v>
      </c>
      <c r="U732" s="1" t="s">
        <v>34</v>
      </c>
      <c r="V732" s="1" t="str">
        <f>_xlfn.XLOOKUP(A732,Dictonary!$A$2:$A$5,Dictonary!$B$2:$B$5)</f>
        <v>Low balance</v>
      </c>
      <c r="W732" s="1" t="str">
        <f>_xlfn.XLOOKUP(D732,Dictonary!$D$2:$D$12,Dictonary!$E$2:$E$12)</f>
        <v>radio/television</v>
      </c>
      <c r="X732" s="1" t="str">
        <f>_xlfn.XLOOKUP(F732,Dictonary!$G$2:$G$6,Dictonary!$H$2:$H$6)</f>
        <v>Less 100</v>
      </c>
      <c r="Y732" s="1" t="str">
        <f>_xlfn.XLOOKUP(I732,Dictonary!$J$2:$J$6,Dictonary!$K$2:$K$6)</f>
        <v>male : single</v>
      </c>
      <c r="Z732" s="1" t="str">
        <f>_xlfn.XLOOKUP(Q732,Dictonary!$M$2:$M$5,Dictonary!$N$2:$N$5)</f>
        <v>skilled employee / official</v>
      </c>
      <c r="AA732" s="1" t="str">
        <f>_xlfn.XLOOKUP(O732,Dictonary!$P$2:$P$4,Dictonary!$Q$2:$Q$4)</f>
        <v>own</v>
      </c>
    </row>
    <row r="733" spans="1:27" x14ac:dyDescent="0.3">
      <c r="A733" s="1" t="s">
        <v>21</v>
      </c>
      <c r="B733">
        <v>24</v>
      </c>
      <c r="C733" s="1" t="s">
        <v>36</v>
      </c>
      <c r="D733" s="1" t="s">
        <v>23</v>
      </c>
      <c r="E733">
        <v>1987</v>
      </c>
      <c r="F733" s="1" t="s">
        <v>37</v>
      </c>
      <c r="G733" s="1" t="s">
        <v>38</v>
      </c>
      <c r="H733">
        <v>2</v>
      </c>
      <c r="I733" s="1" t="s">
        <v>26</v>
      </c>
      <c r="J733" s="1" t="s">
        <v>27</v>
      </c>
      <c r="K733">
        <v>4</v>
      </c>
      <c r="L733" s="1" t="s">
        <v>28</v>
      </c>
      <c r="M733">
        <v>21</v>
      </c>
      <c r="N733" s="1" t="s">
        <v>29</v>
      </c>
      <c r="O733" s="1" t="s">
        <v>56</v>
      </c>
      <c r="P733">
        <v>1</v>
      </c>
      <c r="Q733" s="1" t="s">
        <v>45</v>
      </c>
      <c r="R733">
        <v>2</v>
      </c>
      <c r="S733" s="1" t="s">
        <v>40</v>
      </c>
      <c r="T733" s="1" t="s">
        <v>33</v>
      </c>
      <c r="U733" s="1" t="s">
        <v>41</v>
      </c>
      <c r="V733" s="1" t="str">
        <f>_xlfn.XLOOKUP(A733,Dictonary!$A$2:$A$5,Dictonary!$B$2:$B$5)</f>
        <v>Negative balance</v>
      </c>
      <c r="W733" s="1" t="str">
        <f>_xlfn.XLOOKUP(D733,Dictonary!$D$2:$D$12,Dictonary!$E$2:$E$12)</f>
        <v>radio/television</v>
      </c>
      <c r="X733" s="1" t="str">
        <f>_xlfn.XLOOKUP(F733,Dictonary!$G$2:$G$6,Dictonary!$H$2:$H$6)</f>
        <v>Less 100</v>
      </c>
      <c r="Y733" s="1" t="str">
        <f>_xlfn.XLOOKUP(I733,Dictonary!$J$2:$J$6,Dictonary!$K$2:$K$6)</f>
        <v>male : single</v>
      </c>
      <c r="Z733" s="1" t="str">
        <f>_xlfn.XLOOKUP(Q733,Dictonary!$M$2:$M$5,Dictonary!$N$2:$N$5)</f>
        <v>unskilled - resident</v>
      </c>
      <c r="AA733" s="1" t="str">
        <f>_xlfn.XLOOKUP(O733,Dictonary!$P$2:$P$4,Dictonary!$Q$2:$Q$4)</f>
        <v>rent</v>
      </c>
    </row>
    <row r="734" spans="1:27" x14ac:dyDescent="0.3">
      <c r="A734" s="1" t="s">
        <v>35</v>
      </c>
      <c r="B734">
        <v>8</v>
      </c>
      <c r="C734" s="1" t="s">
        <v>36</v>
      </c>
      <c r="D734" s="1" t="s">
        <v>23</v>
      </c>
      <c r="E734">
        <v>760</v>
      </c>
      <c r="F734" s="1" t="s">
        <v>37</v>
      </c>
      <c r="G734" s="1" t="s">
        <v>44</v>
      </c>
      <c r="H734">
        <v>4</v>
      </c>
      <c r="I734" s="1" t="s">
        <v>39</v>
      </c>
      <c r="J734" s="1" t="s">
        <v>47</v>
      </c>
      <c r="K734">
        <v>2</v>
      </c>
      <c r="L734" s="1" t="s">
        <v>28</v>
      </c>
      <c r="M734">
        <v>44</v>
      </c>
      <c r="N734" s="1" t="s">
        <v>29</v>
      </c>
      <c r="O734" s="1" t="s">
        <v>30</v>
      </c>
      <c r="P734">
        <v>1</v>
      </c>
      <c r="Q734" s="1" t="s">
        <v>45</v>
      </c>
      <c r="R734">
        <v>1</v>
      </c>
      <c r="S734" s="1" t="s">
        <v>40</v>
      </c>
      <c r="T734" s="1" t="s">
        <v>33</v>
      </c>
      <c r="U734" s="1" t="s">
        <v>34</v>
      </c>
      <c r="V734" s="1" t="str">
        <f>_xlfn.XLOOKUP(A734,Dictonary!$A$2:$A$5,Dictonary!$B$2:$B$5)</f>
        <v>Low balance</v>
      </c>
      <c r="W734" s="1" t="str">
        <f>_xlfn.XLOOKUP(D734,Dictonary!$D$2:$D$12,Dictonary!$E$2:$E$12)</f>
        <v>radio/television</v>
      </c>
      <c r="X734" s="1" t="str">
        <f>_xlfn.XLOOKUP(F734,Dictonary!$G$2:$G$6,Dictonary!$H$2:$H$6)</f>
        <v>Less 100</v>
      </c>
      <c r="Y734" s="1" t="str">
        <f>_xlfn.XLOOKUP(I734,Dictonary!$J$2:$J$6,Dictonary!$K$2:$K$6)</f>
        <v>female : divorced/separated/married</v>
      </c>
      <c r="Z734" s="1" t="str">
        <f>_xlfn.XLOOKUP(Q734,Dictonary!$M$2:$M$5,Dictonary!$N$2:$N$5)</f>
        <v>unskilled - resident</v>
      </c>
      <c r="AA734" s="1" t="str">
        <f>_xlfn.XLOOKUP(O734,Dictonary!$P$2:$P$4,Dictonary!$Q$2:$Q$4)</f>
        <v>own</v>
      </c>
    </row>
    <row r="735" spans="1:27" x14ac:dyDescent="0.3">
      <c r="A735" s="1" t="s">
        <v>42</v>
      </c>
      <c r="B735">
        <v>24</v>
      </c>
      <c r="C735" s="1" t="s">
        <v>36</v>
      </c>
      <c r="D735" s="1" t="s">
        <v>54</v>
      </c>
      <c r="E735">
        <v>2603</v>
      </c>
      <c r="F735" s="1" t="s">
        <v>58</v>
      </c>
      <c r="G735" s="1" t="s">
        <v>38</v>
      </c>
      <c r="H735">
        <v>2</v>
      </c>
      <c r="I735" s="1" t="s">
        <v>39</v>
      </c>
      <c r="J735" s="1" t="s">
        <v>27</v>
      </c>
      <c r="K735">
        <v>4</v>
      </c>
      <c r="L735" s="1" t="s">
        <v>55</v>
      </c>
      <c r="M735">
        <v>28</v>
      </c>
      <c r="N735" s="1" t="s">
        <v>29</v>
      </c>
      <c r="O735" s="1" t="s">
        <v>56</v>
      </c>
      <c r="P735">
        <v>1</v>
      </c>
      <c r="Q735" s="1" t="s">
        <v>31</v>
      </c>
      <c r="R735">
        <v>1</v>
      </c>
      <c r="S735" s="1" t="s">
        <v>32</v>
      </c>
      <c r="T735" s="1" t="s">
        <v>33</v>
      </c>
      <c r="U735" s="1" t="s">
        <v>34</v>
      </c>
      <c r="V735" s="1" t="str">
        <f>_xlfn.XLOOKUP(A735,Dictonary!$A$2:$A$5,Dictonary!$B$2:$B$5)</f>
        <v>No information</v>
      </c>
      <c r="W735" s="1" t="str">
        <f>_xlfn.XLOOKUP(D735,Dictonary!$D$2:$D$12,Dictonary!$E$2:$E$12)</f>
        <v>car (used)</v>
      </c>
      <c r="X735" s="1" t="str">
        <f>_xlfn.XLOOKUP(F735,Dictonary!$G$2:$G$6,Dictonary!$H$2:$H$6)</f>
        <v>More 1000</v>
      </c>
      <c r="Y735" s="1" t="str">
        <f>_xlfn.XLOOKUP(I735,Dictonary!$J$2:$J$6,Dictonary!$K$2:$K$6)</f>
        <v>female : divorced/separated/married</v>
      </c>
      <c r="Z735" s="1" t="str">
        <f>_xlfn.XLOOKUP(Q735,Dictonary!$M$2:$M$5,Dictonary!$N$2:$N$5)</f>
        <v>skilled employee / official</v>
      </c>
      <c r="AA735" s="1" t="str">
        <f>_xlfn.XLOOKUP(O735,Dictonary!$P$2:$P$4,Dictonary!$Q$2:$Q$4)</f>
        <v>rent</v>
      </c>
    </row>
    <row r="736" spans="1:27" x14ac:dyDescent="0.3">
      <c r="A736" s="1" t="s">
        <v>42</v>
      </c>
      <c r="B736">
        <v>4</v>
      </c>
      <c r="C736" s="1" t="s">
        <v>22</v>
      </c>
      <c r="D736" s="1" t="s">
        <v>51</v>
      </c>
      <c r="E736">
        <v>3380</v>
      </c>
      <c r="F736" s="1" t="s">
        <v>37</v>
      </c>
      <c r="G736" s="1" t="s">
        <v>44</v>
      </c>
      <c r="H736">
        <v>1</v>
      </c>
      <c r="I736" s="1" t="s">
        <v>39</v>
      </c>
      <c r="J736" s="1" t="s">
        <v>27</v>
      </c>
      <c r="K736">
        <v>1</v>
      </c>
      <c r="L736" s="1" t="s">
        <v>28</v>
      </c>
      <c r="M736">
        <v>37</v>
      </c>
      <c r="N736" s="1" t="s">
        <v>29</v>
      </c>
      <c r="O736" s="1" t="s">
        <v>30</v>
      </c>
      <c r="P736">
        <v>1</v>
      </c>
      <c r="Q736" s="1" t="s">
        <v>31</v>
      </c>
      <c r="R736">
        <v>2</v>
      </c>
      <c r="S736" s="1" t="s">
        <v>40</v>
      </c>
      <c r="T736" s="1" t="s">
        <v>33</v>
      </c>
      <c r="U736" s="1" t="s">
        <v>34</v>
      </c>
      <c r="V736" s="1" t="str">
        <f>_xlfn.XLOOKUP(A736,Dictonary!$A$2:$A$5,Dictonary!$B$2:$B$5)</f>
        <v>No information</v>
      </c>
      <c r="W736" s="1" t="str">
        <f>_xlfn.XLOOKUP(D736,Dictonary!$D$2:$D$12,Dictonary!$E$2:$E$12)</f>
        <v>car (new)</v>
      </c>
      <c r="X736" s="1" t="str">
        <f>_xlfn.XLOOKUP(F736,Dictonary!$G$2:$G$6,Dictonary!$H$2:$H$6)</f>
        <v>Less 100</v>
      </c>
      <c r="Y736" s="1" t="str">
        <f>_xlfn.XLOOKUP(I736,Dictonary!$J$2:$J$6,Dictonary!$K$2:$K$6)</f>
        <v>female : divorced/separated/married</v>
      </c>
      <c r="Z736" s="1" t="str">
        <f>_xlfn.XLOOKUP(Q736,Dictonary!$M$2:$M$5,Dictonary!$N$2:$N$5)</f>
        <v>skilled employee / official</v>
      </c>
      <c r="AA736" s="1" t="str">
        <f>_xlfn.XLOOKUP(O736,Dictonary!$P$2:$P$4,Dictonary!$Q$2:$Q$4)</f>
        <v>own</v>
      </c>
    </row>
    <row r="737" spans="1:27" x14ac:dyDescent="0.3">
      <c r="A737" s="1" t="s">
        <v>35</v>
      </c>
      <c r="B737">
        <v>36</v>
      </c>
      <c r="C737" s="1" t="s">
        <v>69</v>
      </c>
      <c r="D737" s="1" t="s">
        <v>72</v>
      </c>
      <c r="E737">
        <v>3990</v>
      </c>
      <c r="F737" s="1" t="s">
        <v>24</v>
      </c>
      <c r="G737" s="1" t="s">
        <v>62</v>
      </c>
      <c r="H737">
        <v>3</v>
      </c>
      <c r="I737" s="1" t="s">
        <v>39</v>
      </c>
      <c r="J737" s="1" t="s">
        <v>27</v>
      </c>
      <c r="K737">
        <v>2</v>
      </c>
      <c r="L737" s="1" t="s">
        <v>52</v>
      </c>
      <c r="M737">
        <v>29</v>
      </c>
      <c r="N737" s="1" t="s">
        <v>66</v>
      </c>
      <c r="O737" s="1" t="s">
        <v>30</v>
      </c>
      <c r="P737">
        <v>1</v>
      </c>
      <c r="Q737" s="1" t="s">
        <v>74</v>
      </c>
      <c r="R737">
        <v>1</v>
      </c>
      <c r="S737" s="1" t="s">
        <v>40</v>
      </c>
      <c r="T737" s="1" t="s">
        <v>33</v>
      </c>
      <c r="U737" s="1" t="s">
        <v>34</v>
      </c>
      <c r="V737" s="1" t="str">
        <f>_xlfn.XLOOKUP(A737,Dictonary!$A$2:$A$5,Dictonary!$B$2:$B$5)</f>
        <v>Low balance</v>
      </c>
      <c r="W737" s="1" t="str">
        <f>_xlfn.XLOOKUP(D737,Dictonary!$D$2:$D$12,Dictonary!$E$2:$E$12)</f>
        <v>domestic appliances</v>
      </c>
      <c r="X737" s="1" t="str">
        <f>_xlfn.XLOOKUP(F737,Dictonary!$G$2:$G$6,Dictonary!$H$2:$H$6)</f>
        <v>No information</v>
      </c>
      <c r="Y737" s="1" t="str">
        <f>_xlfn.XLOOKUP(I737,Dictonary!$J$2:$J$6,Dictonary!$K$2:$K$6)</f>
        <v>female : divorced/separated/married</v>
      </c>
      <c r="Z737" s="1" t="str">
        <f>_xlfn.XLOOKUP(Q737,Dictonary!$M$2:$M$5,Dictonary!$N$2:$N$5)</f>
        <v>unemployed/ unskilled  - non-resident</v>
      </c>
      <c r="AA737" s="1" t="str">
        <f>_xlfn.XLOOKUP(O737,Dictonary!$P$2:$P$4,Dictonary!$Q$2:$Q$4)</f>
        <v>own</v>
      </c>
    </row>
    <row r="738" spans="1:27" x14ac:dyDescent="0.3">
      <c r="A738" s="1" t="s">
        <v>35</v>
      </c>
      <c r="B738">
        <v>24</v>
      </c>
      <c r="C738" s="1" t="s">
        <v>36</v>
      </c>
      <c r="D738" s="1" t="s">
        <v>54</v>
      </c>
      <c r="E738">
        <v>11560</v>
      </c>
      <c r="F738" s="1" t="s">
        <v>37</v>
      </c>
      <c r="G738" s="1" t="s">
        <v>38</v>
      </c>
      <c r="H738">
        <v>1</v>
      </c>
      <c r="I738" s="1" t="s">
        <v>39</v>
      </c>
      <c r="J738" s="1" t="s">
        <v>27</v>
      </c>
      <c r="K738">
        <v>4</v>
      </c>
      <c r="L738" s="1" t="s">
        <v>55</v>
      </c>
      <c r="M738">
        <v>23</v>
      </c>
      <c r="N738" s="1" t="s">
        <v>29</v>
      </c>
      <c r="O738" s="1" t="s">
        <v>56</v>
      </c>
      <c r="P738">
        <v>2</v>
      </c>
      <c r="Q738" s="1" t="s">
        <v>57</v>
      </c>
      <c r="R738">
        <v>1</v>
      </c>
      <c r="S738" s="1" t="s">
        <v>40</v>
      </c>
      <c r="T738" s="1" t="s">
        <v>33</v>
      </c>
      <c r="U738" s="1" t="s">
        <v>41</v>
      </c>
      <c r="V738" s="1" t="str">
        <f>_xlfn.XLOOKUP(A738,Dictonary!$A$2:$A$5,Dictonary!$B$2:$B$5)</f>
        <v>Low balance</v>
      </c>
      <c r="W738" s="1" t="str">
        <f>_xlfn.XLOOKUP(D738,Dictonary!$D$2:$D$12,Dictonary!$E$2:$E$12)</f>
        <v>car (used)</v>
      </c>
      <c r="X738" s="1" t="str">
        <f>_xlfn.XLOOKUP(F738,Dictonary!$G$2:$G$6,Dictonary!$H$2:$H$6)</f>
        <v>Less 100</v>
      </c>
      <c r="Y738" s="1" t="str">
        <f>_xlfn.XLOOKUP(I738,Dictonary!$J$2:$J$6,Dictonary!$K$2:$K$6)</f>
        <v>female : divorced/separated/married</v>
      </c>
      <c r="Z738" s="1" t="str">
        <f>_xlfn.XLOOKUP(Q738,Dictonary!$M$2:$M$5,Dictonary!$N$2:$N$5)</f>
        <v>management/ self-employed/ highly qualified employee/ officer</v>
      </c>
      <c r="AA738" s="1" t="str">
        <f>_xlfn.XLOOKUP(O738,Dictonary!$P$2:$P$4,Dictonary!$Q$2:$Q$4)</f>
        <v>rent</v>
      </c>
    </row>
    <row r="739" spans="1:27" x14ac:dyDescent="0.3">
      <c r="A739" s="1" t="s">
        <v>21</v>
      </c>
      <c r="B739">
        <v>18</v>
      </c>
      <c r="C739" s="1" t="s">
        <v>36</v>
      </c>
      <c r="D739" s="1" t="s">
        <v>51</v>
      </c>
      <c r="E739">
        <v>4380</v>
      </c>
      <c r="F739" s="1" t="s">
        <v>64</v>
      </c>
      <c r="G739" s="1" t="s">
        <v>38</v>
      </c>
      <c r="H739">
        <v>3</v>
      </c>
      <c r="I739" s="1" t="s">
        <v>26</v>
      </c>
      <c r="J739" s="1" t="s">
        <v>27</v>
      </c>
      <c r="K739">
        <v>4</v>
      </c>
      <c r="L739" s="1" t="s">
        <v>55</v>
      </c>
      <c r="M739">
        <v>35</v>
      </c>
      <c r="N739" s="1" t="s">
        <v>29</v>
      </c>
      <c r="O739" s="1" t="s">
        <v>30</v>
      </c>
      <c r="P739">
        <v>1</v>
      </c>
      <c r="Q739" s="1" t="s">
        <v>45</v>
      </c>
      <c r="R739">
        <v>2</v>
      </c>
      <c r="S739" s="1" t="s">
        <v>32</v>
      </c>
      <c r="T739" s="1" t="s">
        <v>33</v>
      </c>
      <c r="U739" s="1" t="s">
        <v>34</v>
      </c>
      <c r="V739" s="1" t="str">
        <f>_xlfn.XLOOKUP(A739,Dictonary!$A$2:$A$5,Dictonary!$B$2:$B$5)</f>
        <v>Negative balance</v>
      </c>
      <c r="W739" s="1" t="str">
        <f>_xlfn.XLOOKUP(D739,Dictonary!$D$2:$D$12,Dictonary!$E$2:$E$12)</f>
        <v>car (new)</v>
      </c>
      <c r="X739" s="1" t="str">
        <f>_xlfn.XLOOKUP(F739,Dictonary!$G$2:$G$6,Dictonary!$H$2:$H$6)</f>
        <v>Up to 500</v>
      </c>
      <c r="Y739" s="1" t="str">
        <f>_xlfn.XLOOKUP(I739,Dictonary!$J$2:$J$6,Dictonary!$K$2:$K$6)</f>
        <v>male : single</v>
      </c>
      <c r="Z739" s="1" t="str">
        <f>_xlfn.XLOOKUP(Q739,Dictonary!$M$2:$M$5,Dictonary!$N$2:$N$5)</f>
        <v>unskilled - resident</v>
      </c>
      <c r="AA739" s="1" t="str">
        <f>_xlfn.XLOOKUP(O739,Dictonary!$P$2:$P$4,Dictonary!$Q$2:$Q$4)</f>
        <v>own</v>
      </c>
    </row>
    <row r="740" spans="1:27" x14ac:dyDescent="0.3">
      <c r="A740" s="1" t="s">
        <v>42</v>
      </c>
      <c r="B740">
        <v>6</v>
      </c>
      <c r="C740" s="1" t="s">
        <v>22</v>
      </c>
      <c r="D740" s="1" t="s">
        <v>51</v>
      </c>
      <c r="E740">
        <v>6761</v>
      </c>
      <c r="F740" s="1" t="s">
        <v>37</v>
      </c>
      <c r="G740" s="1" t="s">
        <v>44</v>
      </c>
      <c r="H740">
        <v>1</v>
      </c>
      <c r="I740" s="1" t="s">
        <v>26</v>
      </c>
      <c r="J740" s="1" t="s">
        <v>27</v>
      </c>
      <c r="K740">
        <v>3</v>
      </c>
      <c r="L740" s="1" t="s">
        <v>52</v>
      </c>
      <c r="M740">
        <v>45</v>
      </c>
      <c r="N740" s="1" t="s">
        <v>29</v>
      </c>
      <c r="O740" s="1" t="s">
        <v>30</v>
      </c>
      <c r="P740">
        <v>2</v>
      </c>
      <c r="Q740" s="1" t="s">
        <v>57</v>
      </c>
      <c r="R740">
        <v>2</v>
      </c>
      <c r="S740" s="1" t="s">
        <v>32</v>
      </c>
      <c r="T740" s="1" t="s">
        <v>33</v>
      </c>
      <c r="U740" s="1" t="s">
        <v>34</v>
      </c>
      <c r="V740" s="1" t="str">
        <f>_xlfn.XLOOKUP(A740,Dictonary!$A$2:$A$5,Dictonary!$B$2:$B$5)</f>
        <v>No information</v>
      </c>
      <c r="W740" s="1" t="str">
        <f>_xlfn.XLOOKUP(D740,Dictonary!$D$2:$D$12,Dictonary!$E$2:$E$12)</f>
        <v>car (new)</v>
      </c>
      <c r="X740" s="1" t="str">
        <f>_xlfn.XLOOKUP(F740,Dictonary!$G$2:$G$6,Dictonary!$H$2:$H$6)</f>
        <v>Less 100</v>
      </c>
      <c r="Y740" s="1" t="str">
        <f>_xlfn.XLOOKUP(I740,Dictonary!$J$2:$J$6,Dictonary!$K$2:$K$6)</f>
        <v>male : single</v>
      </c>
      <c r="Z740" s="1" t="str">
        <f>_xlfn.XLOOKUP(Q740,Dictonary!$M$2:$M$5,Dictonary!$N$2:$N$5)</f>
        <v>management/ self-employed/ highly qualified employee/ officer</v>
      </c>
      <c r="AA740" s="1" t="str">
        <f>_xlfn.XLOOKUP(O740,Dictonary!$P$2:$P$4,Dictonary!$Q$2:$Q$4)</f>
        <v>own</v>
      </c>
    </row>
    <row r="741" spans="1:27" x14ac:dyDescent="0.3">
      <c r="A741" s="1" t="s">
        <v>35</v>
      </c>
      <c r="B741">
        <v>30</v>
      </c>
      <c r="C741" s="1" t="s">
        <v>65</v>
      </c>
      <c r="D741" s="1" t="s">
        <v>63</v>
      </c>
      <c r="E741">
        <v>4280</v>
      </c>
      <c r="F741" s="1" t="s">
        <v>64</v>
      </c>
      <c r="G741" s="1" t="s">
        <v>38</v>
      </c>
      <c r="H741">
        <v>4</v>
      </c>
      <c r="I741" s="1" t="s">
        <v>39</v>
      </c>
      <c r="J741" s="1" t="s">
        <v>27</v>
      </c>
      <c r="K741">
        <v>4</v>
      </c>
      <c r="L741" s="1" t="s">
        <v>55</v>
      </c>
      <c r="M741">
        <v>26</v>
      </c>
      <c r="N741" s="1" t="s">
        <v>29</v>
      </c>
      <c r="O741" s="1" t="s">
        <v>56</v>
      </c>
      <c r="P741">
        <v>2</v>
      </c>
      <c r="Q741" s="1" t="s">
        <v>45</v>
      </c>
      <c r="R741">
        <v>1</v>
      </c>
      <c r="S741" s="1" t="s">
        <v>40</v>
      </c>
      <c r="T741" s="1" t="s">
        <v>33</v>
      </c>
      <c r="U741" s="1" t="s">
        <v>41</v>
      </c>
      <c r="V741" s="1" t="str">
        <f>_xlfn.XLOOKUP(A741,Dictonary!$A$2:$A$5,Dictonary!$B$2:$B$5)</f>
        <v>Low balance</v>
      </c>
      <c r="W741" s="1" t="str">
        <f>_xlfn.XLOOKUP(D741,Dictonary!$D$2:$D$12,Dictonary!$E$2:$E$12)</f>
        <v>business</v>
      </c>
      <c r="X741" s="1" t="str">
        <f>_xlfn.XLOOKUP(F741,Dictonary!$G$2:$G$6,Dictonary!$H$2:$H$6)</f>
        <v>Up to 500</v>
      </c>
      <c r="Y741" s="1" t="str">
        <f>_xlfn.XLOOKUP(I741,Dictonary!$J$2:$J$6,Dictonary!$K$2:$K$6)</f>
        <v>female : divorced/separated/married</v>
      </c>
      <c r="Z741" s="1" t="str">
        <f>_xlfn.XLOOKUP(Q741,Dictonary!$M$2:$M$5,Dictonary!$N$2:$N$5)</f>
        <v>unskilled - resident</v>
      </c>
      <c r="AA741" s="1" t="str">
        <f>_xlfn.XLOOKUP(O741,Dictonary!$P$2:$P$4,Dictonary!$Q$2:$Q$4)</f>
        <v>rent</v>
      </c>
    </row>
    <row r="742" spans="1:27" x14ac:dyDescent="0.3">
      <c r="A742" s="1" t="s">
        <v>21</v>
      </c>
      <c r="B742">
        <v>24</v>
      </c>
      <c r="C742" s="1" t="s">
        <v>69</v>
      </c>
      <c r="D742" s="1" t="s">
        <v>51</v>
      </c>
      <c r="E742">
        <v>2325</v>
      </c>
      <c r="F742" s="1" t="s">
        <v>64</v>
      </c>
      <c r="G742" s="1" t="s">
        <v>44</v>
      </c>
      <c r="H742">
        <v>2</v>
      </c>
      <c r="I742" s="1" t="s">
        <v>26</v>
      </c>
      <c r="J742" s="1" t="s">
        <v>27</v>
      </c>
      <c r="K742">
        <v>3</v>
      </c>
      <c r="L742" s="1" t="s">
        <v>55</v>
      </c>
      <c r="M742">
        <v>32</v>
      </c>
      <c r="N742" s="1" t="s">
        <v>66</v>
      </c>
      <c r="O742" s="1" t="s">
        <v>30</v>
      </c>
      <c r="P742">
        <v>1</v>
      </c>
      <c r="Q742" s="1" t="s">
        <v>31</v>
      </c>
      <c r="R742">
        <v>1</v>
      </c>
      <c r="S742" s="1" t="s">
        <v>40</v>
      </c>
      <c r="T742" s="1" t="s">
        <v>33</v>
      </c>
      <c r="U742" s="1" t="s">
        <v>34</v>
      </c>
      <c r="V742" s="1" t="str">
        <f>_xlfn.XLOOKUP(A742,Dictonary!$A$2:$A$5,Dictonary!$B$2:$B$5)</f>
        <v>Negative balance</v>
      </c>
      <c r="W742" s="1" t="str">
        <f>_xlfn.XLOOKUP(D742,Dictonary!$D$2:$D$12,Dictonary!$E$2:$E$12)</f>
        <v>car (new)</v>
      </c>
      <c r="X742" s="1" t="str">
        <f>_xlfn.XLOOKUP(F742,Dictonary!$G$2:$G$6,Dictonary!$H$2:$H$6)</f>
        <v>Up to 500</v>
      </c>
      <c r="Y742" s="1" t="str">
        <f>_xlfn.XLOOKUP(I742,Dictonary!$J$2:$J$6,Dictonary!$K$2:$K$6)</f>
        <v>male : single</v>
      </c>
      <c r="Z742" s="1" t="str">
        <f>_xlfn.XLOOKUP(Q742,Dictonary!$M$2:$M$5,Dictonary!$N$2:$N$5)</f>
        <v>skilled employee / official</v>
      </c>
      <c r="AA742" s="1" t="str">
        <f>_xlfn.XLOOKUP(O742,Dictonary!$P$2:$P$4,Dictonary!$Q$2:$Q$4)</f>
        <v>own</v>
      </c>
    </row>
    <row r="743" spans="1:27" x14ac:dyDescent="0.3">
      <c r="A743" s="1" t="s">
        <v>35</v>
      </c>
      <c r="B743">
        <v>10</v>
      </c>
      <c r="C743" s="1" t="s">
        <v>69</v>
      </c>
      <c r="D743" s="1" t="s">
        <v>23</v>
      </c>
      <c r="E743">
        <v>1048</v>
      </c>
      <c r="F743" s="1" t="s">
        <v>37</v>
      </c>
      <c r="G743" s="1" t="s">
        <v>38</v>
      </c>
      <c r="H743">
        <v>4</v>
      </c>
      <c r="I743" s="1" t="s">
        <v>26</v>
      </c>
      <c r="J743" s="1" t="s">
        <v>27</v>
      </c>
      <c r="K743">
        <v>4</v>
      </c>
      <c r="L743" s="1" t="s">
        <v>28</v>
      </c>
      <c r="M743">
        <v>23</v>
      </c>
      <c r="N743" s="1" t="s">
        <v>70</v>
      </c>
      <c r="O743" s="1" t="s">
        <v>30</v>
      </c>
      <c r="P743">
        <v>1</v>
      </c>
      <c r="Q743" s="1" t="s">
        <v>45</v>
      </c>
      <c r="R743">
        <v>1</v>
      </c>
      <c r="S743" s="1" t="s">
        <v>40</v>
      </c>
      <c r="T743" s="1" t="s">
        <v>33</v>
      </c>
      <c r="U743" s="1" t="s">
        <v>34</v>
      </c>
      <c r="V743" s="1" t="str">
        <f>_xlfn.XLOOKUP(A743,Dictonary!$A$2:$A$5,Dictonary!$B$2:$B$5)</f>
        <v>Low balance</v>
      </c>
      <c r="W743" s="1" t="str">
        <f>_xlfn.XLOOKUP(D743,Dictonary!$D$2:$D$12,Dictonary!$E$2:$E$12)</f>
        <v>radio/television</v>
      </c>
      <c r="X743" s="1" t="str">
        <f>_xlfn.XLOOKUP(F743,Dictonary!$G$2:$G$6,Dictonary!$H$2:$H$6)</f>
        <v>Less 100</v>
      </c>
      <c r="Y743" s="1" t="str">
        <f>_xlfn.XLOOKUP(I743,Dictonary!$J$2:$J$6,Dictonary!$K$2:$K$6)</f>
        <v>male : single</v>
      </c>
      <c r="Z743" s="1" t="str">
        <f>_xlfn.XLOOKUP(Q743,Dictonary!$M$2:$M$5,Dictonary!$N$2:$N$5)</f>
        <v>unskilled - resident</v>
      </c>
      <c r="AA743" s="1" t="str">
        <f>_xlfn.XLOOKUP(O743,Dictonary!$P$2:$P$4,Dictonary!$Q$2:$Q$4)</f>
        <v>own</v>
      </c>
    </row>
    <row r="744" spans="1:27" x14ac:dyDescent="0.3">
      <c r="A744" s="1" t="s">
        <v>42</v>
      </c>
      <c r="B744">
        <v>21</v>
      </c>
      <c r="C744" s="1" t="s">
        <v>36</v>
      </c>
      <c r="D744" s="1" t="s">
        <v>23</v>
      </c>
      <c r="E744">
        <v>3160</v>
      </c>
      <c r="F744" s="1" t="s">
        <v>24</v>
      </c>
      <c r="G744" s="1" t="s">
        <v>25</v>
      </c>
      <c r="H744">
        <v>4</v>
      </c>
      <c r="I744" s="1" t="s">
        <v>26</v>
      </c>
      <c r="J744" s="1" t="s">
        <v>27</v>
      </c>
      <c r="K744">
        <v>3</v>
      </c>
      <c r="L744" s="1" t="s">
        <v>48</v>
      </c>
      <c r="M744">
        <v>41</v>
      </c>
      <c r="N744" s="1" t="s">
        <v>29</v>
      </c>
      <c r="O744" s="1" t="s">
        <v>30</v>
      </c>
      <c r="P744">
        <v>1</v>
      </c>
      <c r="Q744" s="1" t="s">
        <v>31</v>
      </c>
      <c r="R744">
        <v>1</v>
      </c>
      <c r="S744" s="1" t="s">
        <v>32</v>
      </c>
      <c r="T744" s="1" t="s">
        <v>33</v>
      </c>
      <c r="U744" s="1" t="s">
        <v>34</v>
      </c>
      <c r="V744" s="1" t="str">
        <f>_xlfn.XLOOKUP(A744,Dictonary!$A$2:$A$5,Dictonary!$B$2:$B$5)</f>
        <v>No information</v>
      </c>
      <c r="W744" s="1" t="str">
        <f>_xlfn.XLOOKUP(D744,Dictonary!$D$2:$D$12,Dictonary!$E$2:$E$12)</f>
        <v>radio/television</v>
      </c>
      <c r="X744" s="1" t="str">
        <f>_xlfn.XLOOKUP(F744,Dictonary!$G$2:$G$6,Dictonary!$H$2:$H$6)</f>
        <v>No information</v>
      </c>
      <c r="Y744" s="1" t="str">
        <f>_xlfn.XLOOKUP(I744,Dictonary!$J$2:$J$6,Dictonary!$K$2:$K$6)</f>
        <v>male : single</v>
      </c>
      <c r="Z744" s="1" t="str">
        <f>_xlfn.XLOOKUP(Q744,Dictonary!$M$2:$M$5,Dictonary!$N$2:$N$5)</f>
        <v>skilled employee / official</v>
      </c>
      <c r="AA744" s="1" t="str">
        <f>_xlfn.XLOOKUP(O744,Dictonary!$P$2:$P$4,Dictonary!$Q$2:$Q$4)</f>
        <v>own</v>
      </c>
    </row>
    <row r="745" spans="1:27" x14ac:dyDescent="0.3">
      <c r="A745" s="1" t="s">
        <v>21</v>
      </c>
      <c r="B745">
        <v>24</v>
      </c>
      <c r="C745" s="1" t="s">
        <v>69</v>
      </c>
      <c r="D745" s="1" t="s">
        <v>46</v>
      </c>
      <c r="E745">
        <v>2483</v>
      </c>
      <c r="F745" s="1" t="s">
        <v>53</v>
      </c>
      <c r="G745" s="1" t="s">
        <v>38</v>
      </c>
      <c r="H745">
        <v>4</v>
      </c>
      <c r="I745" s="1" t="s">
        <v>26</v>
      </c>
      <c r="J745" s="1" t="s">
        <v>27</v>
      </c>
      <c r="K745">
        <v>4</v>
      </c>
      <c r="L745" s="1" t="s">
        <v>28</v>
      </c>
      <c r="M745">
        <v>22</v>
      </c>
      <c r="N745" s="1" t="s">
        <v>70</v>
      </c>
      <c r="O745" s="1" t="s">
        <v>30</v>
      </c>
      <c r="P745">
        <v>1</v>
      </c>
      <c r="Q745" s="1" t="s">
        <v>31</v>
      </c>
      <c r="R745">
        <v>1</v>
      </c>
      <c r="S745" s="1" t="s">
        <v>32</v>
      </c>
      <c r="T745" s="1" t="s">
        <v>33</v>
      </c>
      <c r="U745" s="1" t="s">
        <v>34</v>
      </c>
      <c r="V745" s="1" t="str">
        <f>_xlfn.XLOOKUP(A745,Dictonary!$A$2:$A$5,Dictonary!$B$2:$B$5)</f>
        <v>Negative balance</v>
      </c>
      <c r="W745" s="1" t="str">
        <f>_xlfn.XLOOKUP(D745,Dictonary!$D$2:$D$12,Dictonary!$E$2:$E$12)</f>
        <v>furniture/equipment</v>
      </c>
      <c r="X745" s="1" t="str">
        <f>_xlfn.XLOOKUP(F745,Dictonary!$G$2:$G$6,Dictonary!$H$2:$H$6)</f>
        <v>Up to 1000</v>
      </c>
      <c r="Y745" s="1" t="str">
        <f>_xlfn.XLOOKUP(I745,Dictonary!$J$2:$J$6,Dictonary!$K$2:$K$6)</f>
        <v>male : single</v>
      </c>
      <c r="Z745" s="1" t="str">
        <f>_xlfn.XLOOKUP(Q745,Dictonary!$M$2:$M$5,Dictonary!$N$2:$N$5)</f>
        <v>skilled employee / official</v>
      </c>
      <c r="AA745" s="1" t="str">
        <f>_xlfn.XLOOKUP(O745,Dictonary!$P$2:$P$4,Dictonary!$Q$2:$Q$4)</f>
        <v>own</v>
      </c>
    </row>
    <row r="746" spans="1:27" x14ac:dyDescent="0.3">
      <c r="A746" s="1" t="s">
        <v>21</v>
      </c>
      <c r="B746">
        <v>39</v>
      </c>
      <c r="C746" s="1" t="s">
        <v>22</v>
      </c>
      <c r="D746" s="1" t="s">
        <v>46</v>
      </c>
      <c r="E746">
        <v>14179</v>
      </c>
      <c r="F746" s="1" t="s">
        <v>24</v>
      </c>
      <c r="G746" s="1" t="s">
        <v>44</v>
      </c>
      <c r="H746">
        <v>4</v>
      </c>
      <c r="I746" s="1" t="s">
        <v>26</v>
      </c>
      <c r="J746" s="1" t="s">
        <v>27</v>
      </c>
      <c r="K746">
        <v>4</v>
      </c>
      <c r="L746" s="1" t="s">
        <v>48</v>
      </c>
      <c r="M746">
        <v>30</v>
      </c>
      <c r="N746" s="1" t="s">
        <v>29</v>
      </c>
      <c r="O746" s="1" t="s">
        <v>30</v>
      </c>
      <c r="P746">
        <v>2</v>
      </c>
      <c r="Q746" s="1" t="s">
        <v>57</v>
      </c>
      <c r="R746">
        <v>1</v>
      </c>
      <c r="S746" s="1" t="s">
        <v>32</v>
      </c>
      <c r="T746" s="1" t="s">
        <v>33</v>
      </c>
      <c r="U746" s="1" t="s">
        <v>34</v>
      </c>
      <c r="V746" s="1" t="str">
        <f>_xlfn.XLOOKUP(A746,Dictonary!$A$2:$A$5,Dictonary!$B$2:$B$5)</f>
        <v>Negative balance</v>
      </c>
      <c r="W746" s="1" t="str">
        <f>_xlfn.XLOOKUP(D746,Dictonary!$D$2:$D$12,Dictonary!$E$2:$E$12)</f>
        <v>furniture/equipment</v>
      </c>
      <c r="X746" s="1" t="str">
        <f>_xlfn.XLOOKUP(F746,Dictonary!$G$2:$G$6,Dictonary!$H$2:$H$6)</f>
        <v>No information</v>
      </c>
      <c r="Y746" s="1" t="str">
        <f>_xlfn.XLOOKUP(I746,Dictonary!$J$2:$J$6,Dictonary!$K$2:$K$6)</f>
        <v>male : single</v>
      </c>
      <c r="Z746" s="1" t="str">
        <f>_xlfn.XLOOKUP(Q746,Dictonary!$M$2:$M$5,Dictonary!$N$2:$N$5)</f>
        <v>management/ self-employed/ highly qualified employee/ officer</v>
      </c>
      <c r="AA746" s="1" t="str">
        <f>_xlfn.XLOOKUP(O746,Dictonary!$P$2:$P$4,Dictonary!$Q$2:$Q$4)</f>
        <v>own</v>
      </c>
    </row>
    <row r="747" spans="1:27" x14ac:dyDescent="0.3">
      <c r="A747" s="1" t="s">
        <v>21</v>
      </c>
      <c r="B747">
        <v>13</v>
      </c>
      <c r="C747" s="1" t="s">
        <v>22</v>
      </c>
      <c r="D747" s="1" t="s">
        <v>63</v>
      </c>
      <c r="E747">
        <v>1797</v>
      </c>
      <c r="F747" s="1" t="s">
        <v>37</v>
      </c>
      <c r="G747" s="1" t="s">
        <v>62</v>
      </c>
      <c r="H747">
        <v>3</v>
      </c>
      <c r="I747" s="1" t="s">
        <v>26</v>
      </c>
      <c r="J747" s="1" t="s">
        <v>27</v>
      </c>
      <c r="K747">
        <v>1</v>
      </c>
      <c r="L747" s="1" t="s">
        <v>48</v>
      </c>
      <c r="M747">
        <v>28</v>
      </c>
      <c r="N747" s="1" t="s">
        <v>66</v>
      </c>
      <c r="O747" s="1" t="s">
        <v>30</v>
      </c>
      <c r="P747">
        <v>2</v>
      </c>
      <c r="Q747" s="1" t="s">
        <v>45</v>
      </c>
      <c r="R747">
        <v>1</v>
      </c>
      <c r="S747" s="1" t="s">
        <v>40</v>
      </c>
      <c r="T747" s="1" t="s">
        <v>33</v>
      </c>
      <c r="U747" s="1" t="s">
        <v>34</v>
      </c>
      <c r="V747" s="1" t="str">
        <f>_xlfn.XLOOKUP(A747,Dictonary!$A$2:$A$5,Dictonary!$B$2:$B$5)</f>
        <v>Negative balance</v>
      </c>
      <c r="W747" s="1" t="str">
        <f>_xlfn.XLOOKUP(D747,Dictonary!$D$2:$D$12,Dictonary!$E$2:$E$12)</f>
        <v>business</v>
      </c>
      <c r="X747" s="1" t="str">
        <f>_xlfn.XLOOKUP(F747,Dictonary!$G$2:$G$6,Dictonary!$H$2:$H$6)</f>
        <v>Less 100</v>
      </c>
      <c r="Y747" s="1" t="str">
        <f>_xlfn.XLOOKUP(I747,Dictonary!$J$2:$J$6,Dictonary!$K$2:$K$6)</f>
        <v>male : single</v>
      </c>
      <c r="Z747" s="1" t="str">
        <f>_xlfn.XLOOKUP(Q747,Dictonary!$M$2:$M$5,Dictonary!$N$2:$N$5)</f>
        <v>unskilled - resident</v>
      </c>
      <c r="AA747" s="1" t="str">
        <f>_xlfn.XLOOKUP(O747,Dictonary!$P$2:$P$4,Dictonary!$Q$2:$Q$4)</f>
        <v>own</v>
      </c>
    </row>
    <row r="748" spans="1:27" x14ac:dyDescent="0.3">
      <c r="A748" s="1" t="s">
        <v>21</v>
      </c>
      <c r="B748">
        <v>15</v>
      </c>
      <c r="C748" s="1" t="s">
        <v>36</v>
      </c>
      <c r="D748" s="1" t="s">
        <v>51</v>
      </c>
      <c r="E748">
        <v>2511</v>
      </c>
      <c r="F748" s="1" t="s">
        <v>37</v>
      </c>
      <c r="G748" s="1" t="s">
        <v>60</v>
      </c>
      <c r="H748">
        <v>1</v>
      </c>
      <c r="I748" s="1" t="s">
        <v>39</v>
      </c>
      <c r="J748" s="1" t="s">
        <v>27</v>
      </c>
      <c r="K748">
        <v>4</v>
      </c>
      <c r="L748" s="1" t="s">
        <v>55</v>
      </c>
      <c r="M748">
        <v>23</v>
      </c>
      <c r="N748" s="1" t="s">
        <v>29</v>
      </c>
      <c r="O748" s="1" t="s">
        <v>56</v>
      </c>
      <c r="P748">
        <v>1</v>
      </c>
      <c r="Q748" s="1" t="s">
        <v>31</v>
      </c>
      <c r="R748">
        <v>1</v>
      </c>
      <c r="S748" s="1" t="s">
        <v>40</v>
      </c>
      <c r="T748" s="1" t="s">
        <v>33</v>
      </c>
      <c r="U748" s="1" t="s">
        <v>34</v>
      </c>
      <c r="V748" s="1" t="str">
        <f>_xlfn.XLOOKUP(A748,Dictonary!$A$2:$A$5,Dictonary!$B$2:$B$5)</f>
        <v>Negative balance</v>
      </c>
      <c r="W748" s="1" t="str">
        <f>_xlfn.XLOOKUP(D748,Dictonary!$D$2:$D$12,Dictonary!$E$2:$E$12)</f>
        <v>car (new)</v>
      </c>
      <c r="X748" s="1" t="str">
        <f>_xlfn.XLOOKUP(F748,Dictonary!$G$2:$G$6,Dictonary!$H$2:$H$6)</f>
        <v>Less 100</v>
      </c>
      <c r="Y748" s="1" t="str">
        <f>_xlfn.XLOOKUP(I748,Dictonary!$J$2:$J$6,Dictonary!$K$2:$K$6)</f>
        <v>female : divorced/separated/married</v>
      </c>
      <c r="Z748" s="1" t="str">
        <f>_xlfn.XLOOKUP(Q748,Dictonary!$M$2:$M$5,Dictonary!$N$2:$N$5)</f>
        <v>skilled employee / official</v>
      </c>
      <c r="AA748" s="1" t="str">
        <f>_xlfn.XLOOKUP(O748,Dictonary!$P$2:$P$4,Dictonary!$Q$2:$Q$4)</f>
        <v>rent</v>
      </c>
    </row>
    <row r="749" spans="1:27" x14ac:dyDescent="0.3">
      <c r="A749" s="1" t="s">
        <v>21</v>
      </c>
      <c r="B749">
        <v>12</v>
      </c>
      <c r="C749" s="1" t="s">
        <v>36</v>
      </c>
      <c r="D749" s="1" t="s">
        <v>51</v>
      </c>
      <c r="E749">
        <v>1274</v>
      </c>
      <c r="F749" s="1" t="s">
        <v>37</v>
      </c>
      <c r="G749" s="1" t="s">
        <v>62</v>
      </c>
      <c r="H749">
        <v>3</v>
      </c>
      <c r="I749" s="1" t="s">
        <v>39</v>
      </c>
      <c r="J749" s="1" t="s">
        <v>27</v>
      </c>
      <c r="K749">
        <v>1</v>
      </c>
      <c r="L749" s="1" t="s">
        <v>28</v>
      </c>
      <c r="M749">
        <v>37</v>
      </c>
      <c r="N749" s="1" t="s">
        <v>29</v>
      </c>
      <c r="O749" s="1" t="s">
        <v>30</v>
      </c>
      <c r="P749">
        <v>1</v>
      </c>
      <c r="Q749" s="1" t="s">
        <v>45</v>
      </c>
      <c r="R749">
        <v>1</v>
      </c>
      <c r="S749" s="1" t="s">
        <v>40</v>
      </c>
      <c r="T749" s="1" t="s">
        <v>33</v>
      </c>
      <c r="U749" s="1" t="s">
        <v>41</v>
      </c>
      <c r="V749" s="1" t="str">
        <f>_xlfn.XLOOKUP(A749,Dictonary!$A$2:$A$5,Dictonary!$B$2:$B$5)</f>
        <v>Negative balance</v>
      </c>
      <c r="W749" s="1" t="str">
        <f>_xlfn.XLOOKUP(D749,Dictonary!$D$2:$D$12,Dictonary!$E$2:$E$12)</f>
        <v>car (new)</v>
      </c>
      <c r="X749" s="1" t="str">
        <f>_xlfn.XLOOKUP(F749,Dictonary!$G$2:$G$6,Dictonary!$H$2:$H$6)</f>
        <v>Less 100</v>
      </c>
      <c r="Y749" s="1" t="str">
        <f>_xlfn.XLOOKUP(I749,Dictonary!$J$2:$J$6,Dictonary!$K$2:$K$6)</f>
        <v>female : divorced/separated/married</v>
      </c>
      <c r="Z749" s="1" t="str">
        <f>_xlfn.XLOOKUP(Q749,Dictonary!$M$2:$M$5,Dictonary!$N$2:$N$5)</f>
        <v>unskilled - resident</v>
      </c>
      <c r="AA749" s="1" t="str">
        <f>_xlfn.XLOOKUP(O749,Dictonary!$P$2:$P$4,Dictonary!$Q$2:$Q$4)</f>
        <v>own</v>
      </c>
    </row>
    <row r="750" spans="1:27" x14ac:dyDescent="0.3">
      <c r="A750" s="1" t="s">
        <v>42</v>
      </c>
      <c r="B750">
        <v>21</v>
      </c>
      <c r="C750" s="1" t="s">
        <v>36</v>
      </c>
      <c r="D750" s="1" t="s">
        <v>54</v>
      </c>
      <c r="E750">
        <v>5248</v>
      </c>
      <c r="F750" s="1" t="s">
        <v>24</v>
      </c>
      <c r="G750" s="1" t="s">
        <v>38</v>
      </c>
      <c r="H750">
        <v>1</v>
      </c>
      <c r="I750" s="1" t="s">
        <v>26</v>
      </c>
      <c r="J750" s="1" t="s">
        <v>27</v>
      </c>
      <c r="K750">
        <v>3</v>
      </c>
      <c r="L750" s="1" t="s">
        <v>55</v>
      </c>
      <c r="M750">
        <v>26</v>
      </c>
      <c r="N750" s="1" t="s">
        <v>29</v>
      </c>
      <c r="O750" s="1" t="s">
        <v>30</v>
      </c>
      <c r="P750">
        <v>1</v>
      </c>
      <c r="Q750" s="1" t="s">
        <v>31</v>
      </c>
      <c r="R750">
        <v>1</v>
      </c>
      <c r="S750" s="1" t="s">
        <v>40</v>
      </c>
      <c r="T750" s="1" t="s">
        <v>33</v>
      </c>
      <c r="U750" s="1" t="s">
        <v>34</v>
      </c>
      <c r="V750" s="1" t="str">
        <f>_xlfn.XLOOKUP(A750,Dictonary!$A$2:$A$5,Dictonary!$B$2:$B$5)</f>
        <v>No information</v>
      </c>
      <c r="W750" s="1" t="str">
        <f>_xlfn.XLOOKUP(D750,Dictonary!$D$2:$D$12,Dictonary!$E$2:$E$12)</f>
        <v>car (used)</v>
      </c>
      <c r="X750" s="1" t="str">
        <f>_xlfn.XLOOKUP(F750,Dictonary!$G$2:$G$6,Dictonary!$H$2:$H$6)</f>
        <v>No information</v>
      </c>
      <c r="Y750" s="1" t="str">
        <f>_xlfn.XLOOKUP(I750,Dictonary!$J$2:$J$6,Dictonary!$K$2:$K$6)</f>
        <v>male : single</v>
      </c>
      <c r="Z750" s="1" t="str">
        <f>_xlfn.XLOOKUP(Q750,Dictonary!$M$2:$M$5,Dictonary!$N$2:$N$5)</f>
        <v>skilled employee / official</v>
      </c>
      <c r="AA750" s="1" t="str">
        <f>_xlfn.XLOOKUP(O750,Dictonary!$P$2:$P$4,Dictonary!$Q$2:$Q$4)</f>
        <v>own</v>
      </c>
    </row>
    <row r="751" spans="1:27" x14ac:dyDescent="0.3">
      <c r="A751" s="1" t="s">
        <v>42</v>
      </c>
      <c r="B751">
        <v>15</v>
      </c>
      <c r="C751" s="1" t="s">
        <v>36</v>
      </c>
      <c r="D751" s="1" t="s">
        <v>54</v>
      </c>
      <c r="E751">
        <v>3029</v>
      </c>
      <c r="F751" s="1" t="s">
        <v>37</v>
      </c>
      <c r="G751" s="1" t="s">
        <v>44</v>
      </c>
      <c r="H751">
        <v>2</v>
      </c>
      <c r="I751" s="1" t="s">
        <v>26</v>
      </c>
      <c r="J751" s="1" t="s">
        <v>27</v>
      </c>
      <c r="K751">
        <v>2</v>
      </c>
      <c r="L751" s="1" t="s">
        <v>55</v>
      </c>
      <c r="M751">
        <v>33</v>
      </c>
      <c r="N751" s="1" t="s">
        <v>29</v>
      </c>
      <c r="O751" s="1" t="s">
        <v>30</v>
      </c>
      <c r="P751">
        <v>1</v>
      </c>
      <c r="Q751" s="1" t="s">
        <v>31</v>
      </c>
      <c r="R751">
        <v>1</v>
      </c>
      <c r="S751" s="1" t="s">
        <v>40</v>
      </c>
      <c r="T751" s="1" t="s">
        <v>33</v>
      </c>
      <c r="U751" s="1" t="s">
        <v>34</v>
      </c>
      <c r="V751" s="1" t="str">
        <f>_xlfn.XLOOKUP(A751,Dictonary!$A$2:$A$5,Dictonary!$B$2:$B$5)</f>
        <v>No information</v>
      </c>
      <c r="W751" s="1" t="str">
        <f>_xlfn.XLOOKUP(D751,Dictonary!$D$2:$D$12,Dictonary!$E$2:$E$12)</f>
        <v>car (used)</v>
      </c>
      <c r="X751" s="1" t="str">
        <f>_xlfn.XLOOKUP(F751,Dictonary!$G$2:$G$6,Dictonary!$H$2:$H$6)</f>
        <v>Less 100</v>
      </c>
      <c r="Y751" s="1" t="str">
        <f>_xlfn.XLOOKUP(I751,Dictonary!$J$2:$J$6,Dictonary!$K$2:$K$6)</f>
        <v>male : single</v>
      </c>
      <c r="Z751" s="1" t="str">
        <f>_xlfn.XLOOKUP(Q751,Dictonary!$M$2:$M$5,Dictonary!$N$2:$N$5)</f>
        <v>skilled employee / official</v>
      </c>
      <c r="AA751" s="1" t="str">
        <f>_xlfn.XLOOKUP(O751,Dictonary!$P$2:$P$4,Dictonary!$Q$2:$Q$4)</f>
        <v>own</v>
      </c>
    </row>
    <row r="752" spans="1:27" x14ac:dyDescent="0.3">
      <c r="A752" s="1" t="s">
        <v>21</v>
      </c>
      <c r="B752">
        <v>6</v>
      </c>
      <c r="C752" s="1" t="s">
        <v>36</v>
      </c>
      <c r="D752" s="1" t="s">
        <v>46</v>
      </c>
      <c r="E752">
        <v>428</v>
      </c>
      <c r="F752" s="1" t="s">
        <v>37</v>
      </c>
      <c r="G752" s="1" t="s">
        <v>25</v>
      </c>
      <c r="H752">
        <v>2</v>
      </c>
      <c r="I752" s="1" t="s">
        <v>39</v>
      </c>
      <c r="J752" s="1" t="s">
        <v>27</v>
      </c>
      <c r="K752">
        <v>1</v>
      </c>
      <c r="L752" s="1" t="s">
        <v>48</v>
      </c>
      <c r="M752">
        <v>49</v>
      </c>
      <c r="N752" s="1" t="s">
        <v>66</v>
      </c>
      <c r="O752" s="1" t="s">
        <v>30</v>
      </c>
      <c r="P752">
        <v>1</v>
      </c>
      <c r="Q752" s="1" t="s">
        <v>31</v>
      </c>
      <c r="R752">
        <v>1</v>
      </c>
      <c r="S752" s="1" t="s">
        <v>32</v>
      </c>
      <c r="T752" s="1" t="s">
        <v>33</v>
      </c>
      <c r="U752" s="1" t="s">
        <v>34</v>
      </c>
      <c r="V752" s="1" t="str">
        <f>_xlfn.XLOOKUP(A752,Dictonary!$A$2:$A$5,Dictonary!$B$2:$B$5)</f>
        <v>Negative balance</v>
      </c>
      <c r="W752" s="1" t="str">
        <f>_xlfn.XLOOKUP(D752,Dictonary!$D$2:$D$12,Dictonary!$E$2:$E$12)</f>
        <v>furniture/equipment</v>
      </c>
      <c r="X752" s="1" t="str">
        <f>_xlfn.XLOOKUP(F752,Dictonary!$G$2:$G$6,Dictonary!$H$2:$H$6)</f>
        <v>Less 100</v>
      </c>
      <c r="Y752" s="1" t="str">
        <f>_xlfn.XLOOKUP(I752,Dictonary!$J$2:$J$6,Dictonary!$K$2:$K$6)</f>
        <v>female : divorced/separated/married</v>
      </c>
      <c r="Z752" s="1" t="str">
        <f>_xlfn.XLOOKUP(Q752,Dictonary!$M$2:$M$5,Dictonary!$N$2:$N$5)</f>
        <v>skilled employee / official</v>
      </c>
      <c r="AA752" s="1" t="str">
        <f>_xlfn.XLOOKUP(O752,Dictonary!$P$2:$P$4,Dictonary!$Q$2:$Q$4)</f>
        <v>own</v>
      </c>
    </row>
    <row r="753" spans="1:27" x14ac:dyDescent="0.3">
      <c r="A753" s="1" t="s">
        <v>21</v>
      </c>
      <c r="B753">
        <v>18</v>
      </c>
      <c r="C753" s="1" t="s">
        <v>36</v>
      </c>
      <c r="D753" s="1" t="s">
        <v>51</v>
      </c>
      <c r="E753">
        <v>976</v>
      </c>
      <c r="F753" s="1" t="s">
        <v>37</v>
      </c>
      <c r="G753" s="1" t="s">
        <v>62</v>
      </c>
      <c r="H753">
        <v>1</v>
      </c>
      <c r="I753" s="1" t="s">
        <v>39</v>
      </c>
      <c r="J753" s="1" t="s">
        <v>27</v>
      </c>
      <c r="K753">
        <v>2</v>
      </c>
      <c r="L753" s="1" t="s">
        <v>55</v>
      </c>
      <c r="M753">
        <v>23</v>
      </c>
      <c r="N753" s="1" t="s">
        <v>29</v>
      </c>
      <c r="O753" s="1" t="s">
        <v>30</v>
      </c>
      <c r="P753">
        <v>1</v>
      </c>
      <c r="Q753" s="1" t="s">
        <v>45</v>
      </c>
      <c r="R753">
        <v>1</v>
      </c>
      <c r="S753" s="1" t="s">
        <v>40</v>
      </c>
      <c r="T753" s="1" t="s">
        <v>33</v>
      </c>
      <c r="U753" s="1" t="s">
        <v>41</v>
      </c>
      <c r="V753" s="1" t="str">
        <f>_xlfn.XLOOKUP(A753,Dictonary!$A$2:$A$5,Dictonary!$B$2:$B$5)</f>
        <v>Negative balance</v>
      </c>
      <c r="W753" s="1" t="str">
        <f>_xlfn.XLOOKUP(D753,Dictonary!$D$2:$D$12,Dictonary!$E$2:$E$12)</f>
        <v>car (new)</v>
      </c>
      <c r="X753" s="1" t="str">
        <f>_xlfn.XLOOKUP(F753,Dictonary!$G$2:$G$6,Dictonary!$H$2:$H$6)</f>
        <v>Less 100</v>
      </c>
      <c r="Y753" s="1" t="str">
        <f>_xlfn.XLOOKUP(I753,Dictonary!$J$2:$J$6,Dictonary!$K$2:$K$6)</f>
        <v>female : divorced/separated/married</v>
      </c>
      <c r="Z753" s="1" t="str">
        <f>_xlfn.XLOOKUP(Q753,Dictonary!$M$2:$M$5,Dictonary!$N$2:$N$5)</f>
        <v>unskilled - resident</v>
      </c>
      <c r="AA753" s="1" t="str">
        <f>_xlfn.XLOOKUP(O753,Dictonary!$P$2:$P$4,Dictonary!$Q$2:$Q$4)</f>
        <v>own</v>
      </c>
    </row>
    <row r="754" spans="1:27" x14ac:dyDescent="0.3">
      <c r="A754" s="1" t="s">
        <v>35</v>
      </c>
      <c r="B754">
        <v>12</v>
      </c>
      <c r="C754" s="1" t="s">
        <v>36</v>
      </c>
      <c r="D754" s="1" t="s">
        <v>63</v>
      </c>
      <c r="E754">
        <v>841</v>
      </c>
      <c r="F754" s="1" t="s">
        <v>64</v>
      </c>
      <c r="G754" s="1" t="s">
        <v>44</v>
      </c>
      <c r="H754">
        <v>2</v>
      </c>
      <c r="I754" s="1" t="s">
        <v>39</v>
      </c>
      <c r="J754" s="1" t="s">
        <v>27</v>
      </c>
      <c r="K754">
        <v>4</v>
      </c>
      <c r="L754" s="1" t="s">
        <v>28</v>
      </c>
      <c r="M754">
        <v>23</v>
      </c>
      <c r="N754" s="1" t="s">
        <v>29</v>
      </c>
      <c r="O754" s="1" t="s">
        <v>56</v>
      </c>
      <c r="P754">
        <v>1</v>
      </c>
      <c r="Q754" s="1" t="s">
        <v>45</v>
      </c>
      <c r="R754">
        <v>1</v>
      </c>
      <c r="S754" s="1" t="s">
        <v>40</v>
      </c>
      <c r="T754" s="1" t="s">
        <v>33</v>
      </c>
      <c r="U754" s="1" t="s">
        <v>34</v>
      </c>
      <c r="V754" s="1" t="str">
        <f>_xlfn.XLOOKUP(A754,Dictonary!$A$2:$A$5,Dictonary!$B$2:$B$5)</f>
        <v>Low balance</v>
      </c>
      <c r="W754" s="1" t="str">
        <f>_xlfn.XLOOKUP(D754,Dictonary!$D$2:$D$12,Dictonary!$E$2:$E$12)</f>
        <v>business</v>
      </c>
      <c r="X754" s="1" t="str">
        <f>_xlfn.XLOOKUP(F754,Dictonary!$G$2:$G$6,Dictonary!$H$2:$H$6)</f>
        <v>Up to 500</v>
      </c>
      <c r="Y754" s="1" t="str">
        <f>_xlfn.XLOOKUP(I754,Dictonary!$J$2:$J$6,Dictonary!$K$2:$K$6)</f>
        <v>female : divorced/separated/married</v>
      </c>
      <c r="Z754" s="1" t="str">
        <f>_xlfn.XLOOKUP(Q754,Dictonary!$M$2:$M$5,Dictonary!$N$2:$N$5)</f>
        <v>unskilled - resident</v>
      </c>
      <c r="AA754" s="1" t="str">
        <f>_xlfn.XLOOKUP(O754,Dictonary!$P$2:$P$4,Dictonary!$Q$2:$Q$4)</f>
        <v>rent</v>
      </c>
    </row>
    <row r="755" spans="1:27" x14ac:dyDescent="0.3">
      <c r="A755" s="1" t="s">
        <v>42</v>
      </c>
      <c r="B755">
        <v>30</v>
      </c>
      <c r="C755" s="1" t="s">
        <v>22</v>
      </c>
      <c r="D755" s="1" t="s">
        <v>23</v>
      </c>
      <c r="E755">
        <v>5771</v>
      </c>
      <c r="F755" s="1" t="s">
        <v>37</v>
      </c>
      <c r="G755" s="1" t="s">
        <v>44</v>
      </c>
      <c r="H755">
        <v>4</v>
      </c>
      <c r="I755" s="1" t="s">
        <v>39</v>
      </c>
      <c r="J755" s="1" t="s">
        <v>27</v>
      </c>
      <c r="K755">
        <v>2</v>
      </c>
      <c r="L755" s="1" t="s">
        <v>55</v>
      </c>
      <c r="M755">
        <v>25</v>
      </c>
      <c r="N755" s="1" t="s">
        <v>29</v>
      </c>
      <c r="O755" s="1" t="s">
        <v>30</v>
      </c>
      <c r="P755">
        <v>2</v>
      </c>
      <c r="Q755" s="1" t="s">
        <v>31</v>
      </c>
      <c r="R755">
        <v>1</v>
      </c>
      <c r="S755" s="1" t="s">
        <v>40</v>
      </c>
      <c r="T755" s="1" t="s">
        <v>33</v>
      </c>
      <c r="U755" s="1" t="s">
        <v>34</v>
      </c>
      <c r="V755" s="1" t="str">
        <f>_xlfn.XLOOKUP(A755,Dictonary!$A$2:$A$5,Dictonary!$B$2:$B$5)</f>
        <v>No information</v>
      </c>
      <c r="W755" s="1" t="str">
        <f>_xlfn.XLOOKUP(D755,Dictonary!$D$2:$D$12,Dictonary!$E$2:$E$12)</f>
        <v>radio/television</v>
      </c>
      <c r="X755" s="1" t="str">
        <f>_xlfn.XLOOKUP(F755,Dictonary!$G$2:$G$6,Dictonary!$H$2:$H$6)</f>
        <v>Less 100</v>
      </c>
      <c r="Y755" s="1" t="str">
        <f>_xlfn.XLOOKUP(I755,Dictonary!$J$2:$J$6,Dictonary!$K$2:$K$6)</f>
        <v>female : divorced/separated/married</v>
      </c>
      <c r="Z755" s="1" t="str">
        <f>_xlfn.XLOOKUP(Q755,Dictonary!$M$2:$M$5,Dictonary!$N$2:$N$5)</f>
        <v>skilled employee / official</v>
      </c>
      <c r="AA755" s="1" t="str">
        <f>_xlfn.XLOOKUP(O755,Dictonary!$P$2:$P$4,Dictonary!$Q$2:$Q$4)</f>
        <v>own</v>
      </c>
    </row>
    <row r="756" spans="1:27" x14ac:dyDescent="0.3">
      <c r="A756" s="1" t="s">
        <v>42</v>
      </c>
      <c r="B756">
        <v>12</v>
      </c>
      <c r="C756" s="1" t="s">
        <v>50</v>
      </c>
      <c r="D756" s="1" t="s">
        <v>73</v>
      </c>
      <c r="E756">
        <v>1555</v>
      </c>
      <c r="F756" s="1" t="s">
        <v>58</v>
      </c>
      <c r="G756" s="1" t="s">
        <v>25</v>
      </c>
      <c r="H756">
        <v>4</v>
      </c>
      <c r="I756" s="1" t="s">
        <v>26</v>
      </c>
      <c r="J756" s="1" t="s">
        <v>27</v>
      </c>
      <c r="K756">
        <v>4</v>
      </c>
      <c r="L756" s="1" t="s">
        <v>52</v>
      </c>
      <c r="M756">
        <v>55</v>
      </c>
      <c r="N756" s="1" t="s">
        <v>29</v>
      </c>
      <c r="O756" s="1" t="s">
        <v>49</v>
      </c>
      <c r="P756">
        <v>2</v>
      </c>
      <c r="Q756" s="1" t="s">
        <v>31</v>
      </c>
      <c r="R756">
        <v>2</v>
      </c>
      <c r="S756" s="1" t="s">
        <v>40</v>
      </c>
      <c r="T756" s="1" t="s">
        <v>33</v>
      </c>
      <c r="U756" s="1" t="s">
        <v>41</v>
      </c>
      <c r="V756" s="1" t="str">
        <f>_xlfn.XLOOKUP(A756,Dictonary!$A$2:$A$5,Dictonary!$B$2:$B$5)</f>
        <v>No information</v>
      </c>
      <c r="W756" s="1" t="str">
        <f>_xlfn.XLOOKUP(D756,Dictonary!$D$2:$D$12,Dictonary!$E$2:$E$12)</f>
        <v>repairs</v>
      </c>
      <c r="X756" s="1" t="str">
        <f>_xlfn.XLOOKUP(F756,Dictonary!$G$2:$G$6,Dictonary!$H$2:$H$6)</f>
        <v>More 1000</v>
      </c>
      <c r="Y756" s="1" t="str">
        <f>_xlfn.XLOOKUP(I756,Dictonary!$J$2:$J$6,Dictonary!$K$2:$K$6)</f>
        <v>male : single</v>
      </c>
      <c r="Z756" s="1" t="str">
        <f>_xlfn.XLOOKUP(Q756,Dictonary!$M$2:$M$5,Dictonary!$N$2:$N$5)</f>
        <v>skilled employee / official</v>
      </c>
      <c r="AA756" s="1" t="str">
        <f>_xlfn.XLOOKUP(O756,Dictonary!$P$2:$P$4,Dictonary!$Q$2:$Q$4)</f>
        <v>for free</v>
      </c>
    </row>
    <row r="757" spans="1:27" x14ac:dyDescent="0.3">
      <c r="A757" s="1" t="s">
        <v>21</v>
      </c>
      <c r="B757">
        <v>24</v>
      </c>
      <c r="C757" s="1" t="s">
        <v>36</v>
      </c>
      <c r="D757" s="1" t="s">
        <v>51</v>
      </c>
      <c r="E757">
        <v>1285</v>
      </c>
      <c r="F757" s="1" t="s">
        <v>24</v>
      </c>
      <c r="G757" s="1" t="s">
        <v>44</v>
      </c>
      <c r="H757">
        <v>4</v>
      </c>
      <c r="I757" s="1" t="s">
        <v>39</v>
      </c>
      <c r="J757" s="1" t="s">
        <v>27</v>
      </c>
      <c r="K757">
        <v>4</v>
      </c>
      <c r="L757" s="1" t="s">
        <v>52</v>
      </c>
      <c r="M757">
        <v>32</v>
      </c>
      <c r="N757" s="1" t="s">
        <v>29</v>
      </c>
      <c r="O757" s="1" t="s">
        <v>56</v>
      </c>
      <c r="P757">
        <v>1</v>
      </c>
      <c r="Q757" s="1" t="s">
        <v>31</v>
      </c>
      <c r="R757">
        <v>1</v>
      </c>
      <c r="S757" s="1" t="s">
        <v>40</v>
      </c>
      <c r="T757" s="1" t="s">
        <v>33</v>
      </c>
      <c r="U757" s="1" t="s">
        <v>41</v>
      </c>
      <c r="V757" s="1" t="str">
        <f>_xlfn.XLOOKUP(A757,Dictonary!$A$2:$A$5,Dictonary!$B$2:$B$5)</f>
        <v>Negative balance</v>
      </c>
      <c r="W757" s="1" t="str">
        <f>_xlfn.XLOOKUP(D757,Dictonary!$D$2:$D$12,Dictonary!$E$2:$E$12)</f>
        <v>car (new)</v>
      </c>
      <c r="X757" s="1" t="str">
        <f>_xlfn.XLOOKUP(F757,Dictonary!$G$2:$G$6,Dictonary!$H$2:$H$6)</f>
        <v>No information</v>
      </c>
      <c r="Y757" s="1" t="str">
        <f>_xlfn.XLOOKUP(I757,Dictonary!$J$2:$J$6,Dictonary!$K$2:$K$6)</f>
        <v>female : divorced/separated/married</v>
      </c>
      <c r="Z757" s="1" t="str">
        <f>_xlfn.XLOOKUP(Q757,Dictonary!$M$2:$M$5,Dictonary!$N$2:$N$5)</f>
        <v>skilled employee / official</v>
      </c>
      <c r="AA757" s="1" t="str">
        <f>_xlfn.XLOOKUP(O757,Dictonary!$P$2:$P$4,Dictonary!$Q$2:$Q$4)</f>
        <v>rent</v>
      </c>
    </row>
    <row r="758" spans="1:27" x14ac:dyDescent="0.3">
      <c r="A758" s="1" t="s">
        <v>68</v>
      </c>
      <c r="B758">
        <v>6</v>
      </c>
      <c r="C758" s="1" t="s">
        <v>22</v>
      </c>
      <c r="D758" s="1" t="s">
        <v>51</v>
      </c>
      <c r="E758">
        <v>1299</v>
      </c>
      <c r="F758" s="1" t="s">
        <v>37</v>
      </c>
      <c r="G758" s="1" t="s">
        <v>38</v>
      </c>
      <c r="H758">
        <v>1</v>
      </c>
      <c r="I758" s="1" t="s">
        <v>26</v>
      </c>
      <c r="J758" s="1" t="s">
        <v>27</v>
      </c>
      <c r="K758">
        <v>1</v>
      </c>
      <c r="L758" s="1" t="s">
        <v>28</v>
      </c>
      <c r="M758">
        <v>74</v>
      </c>
      <c r="N758" s="1" t="s">
        <v>29</v>
      </c>
      <c r="O758" s="1" t="s">
        <v>30</v>
      </c>
      <c r="P758">
        <v>3</v>
      </c>
      <c r="Q758" s="1" t="s">
        <v>74</v>
      </c>
      <c r="R758">
        <v>2</v>
      </c>
      <c r="S758" s="1" t="s">
        <v>40</v>
      </c>
      <c r="T758" s="1" t="s">
        <v>67</v>
      </c>
      <c r="U758" s="1" t="s">
        <v>34</v>
      </c>
      <c r="V758" s="1" t="str">
        <f>_xlfn.XLOOKUP(A758,Dictonary!$A$2:$A$5,Dictonary!$B$2:$B$5)</f>
        <v>Normal balance</v>
      </c>
      <c r="W758" s="1" t="str">
        <f>_xlfn.XLOOKUP(D758,Dictonary!$D$2:$D$12,Dictonary!$E$2:$E$12)</f>
        <v>car (new)</v>
      </c>
      <c r="X758" s="1" t="str">
        <f>_xlfn.XLOOKUP(F758,Dictonary!$G$2:$G$6,Dictonary!$H$2:$H$6)</f>
        <v>Less 100</v>
      </c>
      <c r="Y758" s="1" t="str">
        <f>_xlfn.XLOOKUP(I758,Dictonary!$J$2:$J$6,Dictonary!$K$2:$K$6)</f>
        <v>male : single</v>
      </c>
      <c r="Z758" s="1" t="str">
        <f>_xlfn.XLOOKUP(Q758,Dictonary!$M$2:$M$5,Dictonary!$N$2:$N$5)</f>
        <v>unemployed/ unskilled  - non-resident</v>
      </c>
      <c r="AA758" s="1" t="str">
        <f>_xlfn.XLOOKUP(O758,Dictonary!$P$2:$P$4,Dictonary!$Q$2:$Q$4)</f>
        <v>own</v>
      </c>
    </row>
    <row r="759" spans="1:27" x14ac:dyDescent="0.3">
      <c r="A759" s="1" t="s">
        <v>68</v>
      </c>
      <c r="B759">
        <v>15</v>
      </c>
      <c r="C759" s="1" t="s">
        <v>22</v>
      </c>
      <c r="D759" s="1" t="s">
        <v>23</v>
      </c>
      <c r="E759">
        <v>1271</v>
      </c>
      <c r="F759" s="1" t="s">
        <v>24</v>
      </c>
      <c r="G759" s="1" t="s">
        <v>38</v>
      </c>
      <c r="H759">
        <v>3</v>
      </c>
      <c r="I759" s="1" t="s">
        <v>26</v>
      </c>
      <c r="J759" s="1" t="s">
        <v>27</v>
      </c>
      <c r="K759">
        <v>4</v>
      </c>
      <c r="L759" s="1" t="s">
        <v>52</v>
      </c>
      <c r="M759">
        <v>39</v>
      </c>
      <c r="N759" s="1" t="s">
        <v>29</v>
      </c>
      <c r="O759" s="1" t="s">
        <v>49</v>
      </c>
      <c r="P759">
        <v>2</v>
      </c>
      <c r="Q759" s="1" t="s">
        <v>31</v>
      </c>
      <c r="R759">
        <v>1</v>
      </c>
      <c r="S759" s="1" t="s">
        <v>32</v>
      </c>
      <c r="T759" s="1" t="s">
        <v>33</v>
      </c>
      <c r="U759" s="1" t="s">
        <v>41</v>
      </c>
      <c r="V759" s="1" t="str">
        <f>_xlfn.XLOOKUP(A759,Dictonary!$A$2:$A$5,Dictonary!$B$2:$B$5)</f>
        <v>Normal balance</v>
      </c>
      <c r="W759" s="1" t="str">
        <f>_xlfn.XLOOKUP(D759,Dictonary!$D$2:$D$12,Dictonary!$E$2:$E$12)</f>
        <v>radio/television</v>
      </c>
      <c r="X759" s="1" t="str">
        <f>_xlfn.XLOOKUP(F759,Dictonary!$G$2:$G$6,Dictonary!$H$2:$H$6)</f>
        <v>No information</v>
      </c>
      <c r="Y759" s="1" t="str">
        <f>_xlfn.XLOOKUP(I759,Dictonary!$J$2:$J$6,Dictonary!$K$2:$K$6)</f>
        <v>male : single</v>
      </c>
      <c r="Z759" s="1" t="str">
        <f>_xlfn.XLOOKUP(Q759,Dictonary!$M$2:$M$5,Dictonary!$N$2:$N$5)</f>
        <v>skilled employee / official</v>
      </c>
      <c r="AA759" s="1" t="str">
        <f>_xlfn.XLOOKUP(O759,Dictonary!$P$2:$P$4,Dictonary!$Q$2:$Q$4)</f>
        <v>for free</v>
      </c>
    </row>
    <row r="760" spans="1:27" x14ac:dyDescent="0.3">
      <c r="A760" s="1" t="s">
        <v>42</v>
      </c>
      <c r="B760">
        <v>24</v>
      </c>
      <c r="C760" s="1" t="s">
        <v>36</v>
      </c>
      <c r="D760" s="1" t="s">
        <v>51</v>
      </c>
      <c r="E760">
        <v>1393</v>
      </c>
      <c r="F760" s="1" t="s">
        <v>37</v>
      </c>
      <c r="G760" s="1" t="s">
        <v>38</v>
      </c>
      <c r="H760">
        <v>2</v>
      </c>
      <c r="I760" s="1" t="s">
        <v>26</v>
      </c>
      <c r="J760" s="1" t="s">
        <v>47</v>
      </c>
      <c r="K760">
        <v>2</v>
      </c>
      <c r="L760" s="1" t="s">
        <v>28</v>
      </c>
      <c r="M760">
        <v>31</v>
      </c>
      <c r="N760" s="1" t="s">
        <v>29</v>
      </c>
      <c r="O760" s="1" t="s">
        <v>30</v>
      </c>
      <c r="P760">
        <v>1</v>
      </c>
      <c r="Q760" s="1" t="s">
        <v>31</v>
      </c>
      <c r="R760">
        <v>1</v>
      </c>
      <c r="S760" s="1" t="s">
        <v>32</v>
      </c>
      <c r="T760" s="1" t="s">
        <v>33</v>
      </c>
      <c r="U760" s="1" t="s">
        <v>34</v>
      </c>
      <c r="V760" s="1" t="str">
        <f>_xlfn.XLOOKUP(A760,Dictonary!$A$2:$A$5,Dictonary!$B$2:$B$5)</f>
        <v>No information</v>
      </c>
      <c r="W760" s="1" t="str">
        <f>_xlfn.XLOOKUP(D760,Dictonary!$D$2:$D$12,Dictonary!$E$2:$E$12)</f>
        <v>car (new)</v>
      </c>
      <c r="X760" s="1" t="str">
        <f>_xlfn.XLOOKUP(F760,Dictonary!$G$2:$G$6,Dictonary!$H$2:$H$6)</f>
        <v>Less 100</v>
      </c>
      <c r="Y760" s="1" t="str">
        <f>_xlfn.XLOOKUP(I760,Dictonary!$J$2:$J$6,Dictonary!$K$2:$K$6)</f>
        <v>male : single</v>
      </c>
      <c r="Z760" s="1" t="str">
        <f>_xlfn.XLOOKUP(Q760,Dictonary!$M$2:$M$5,Dictonary!$N$2:$N$5)</f>
        <v>skilled employee / official</v>
      </c>
      <c r="AA760" s="1" t="str">
        <f>_xlfn.XLOOKUP(O760,Dictonary!$P$2:$P$4,Dictonary!$Q$2:$Q$4)</f>
        <v>own</v>
      </c>
    </row>
    <row r="761" spans="1:27" x14ac:dyDescent="0.3">
      <c r="A761" s="1" t="s">
        <v>21</v>
      </c>
      <c r="B761">
        <v>12</v>
      </c>
      <c r="C761" s="1" t="s">
        <v>22</v>
      </c>
      <c r="D761" s="1" t="s">
        <v>51</v>
      </c>
      <c r="E761">
        <v>691</v>
      </c>
      <c r="F761" s="1" t="s">
        <v>37</v>
      </c>
      <c r="G761" s="1" t="s">
        <v>25</v>
      </c>
      <c r="H761">
        <v>4</v>
      </c>
      <c r="I761" s="1" t="s">
        <v>26</v>
      </c>
      <c r="J761" s="1" t="s">
        <v>27</v>
      </c>
      <c r="K761">
        <v>3</v>
      </c>
      <c r="L761" s="1" t="s">
        <v>48</v>
      </c>
      <c r="M761">
        <v>35</v>
      </c>
      <c r="N761" s="1" t="s">
        <v>29</v>
      </c>
      <c r="O761" s="1" t="s">
        <v>30</v>
      </c>
      <c r="P761">
        <v>2</v>
      </c>
      <c r="Q761" s="1" t="s">
        <v>31</v>
      </c>
      <c r="R761">
        <v>1</v>
      </c>
      <c r="S761" s="1" t="s">
        <v>40</v>
      </c>
      <c r="T761" s="1" t="s">
        <v>33</v>
      </c>
      <c r="U761" s="1" t="s">
        <v>41</v>
      </c>
      <c r="V761" s="1" t="str">
        <f>_xlfn.XLOOKUP(A761,Dictonary!$A$2:$A$5,Dictonary!$B$2:$B$5)</f>
        <v>Negative balance</v>
      </c>
      <c r="W761" s="1" t="str">
        <f>_xlfn.XLOOKUP(D761,Dictonary!$D$2:$D$12,Dictonary!$E$2:$E$12)</f>
        <v>car (new)</v>
      </c>
      <c r="X761" s="1" t="str">
        <f>_xlfn.XLOOKUP(F761,Dictonary!$G$2:$G$6,Dictonary!$H$2:$H$6)</f>
        <v>Less 100</v>
      </c>
      <c r="Y761" s="1" t="str">
        <f>_xlfn.XLOOKUP(I761,Dictonary!$J$2:$J$6,Dictonary!$K$2:$K$6)</f>
        <v>male : single</v>
      </c>
      <c r="Z761" s="1" t="str">
        <f>_xlfn.XLOOKUP(Q761,Dictonary!$M$2:$M$5,Dictonary!$N$2:$N$5)</f>
        <v>skilled employee / official</v>
      </c>
      <c r="AA761" s="1" t="str">
        <f>_xlfn.XLOOKUP(O761,Dictonary!$P$2:$P$4,Dictonary!$Q$2:$Q$4)</f>
        <v>own</v>
      </c>
    </row>
    <row r="762" spans="1:27" x14ac:dyDescent="0.3">
      <c r="A762" s="1" t="s">
        <v>42</v>
      </c>
      <c r="B762">
        <v>15</v>
      </c>
      <c r="C762" s="1" t="s">
        <v>22</v>
      </c>
      <c r="D762" s="1" t="s">
        <v>51</v>
      </c>
      <c r="E762">
        <v>5045</v>
      </c>
      <c r="F762" s="1" t="s">
        <v>24</v>
      </c>
      <c r="G762" s="1" t="s">
        <v>25</v>
      </c>
      <c r="H762">
        <v>1</v>
      </c>
      <c r="I762" s="1" t="s">
        <v>39</v>
      </c>
      <c r="J762" s="1" t="s">
        <v>27</v>
      </c>
      <c r="K762">
        <v>4</v>
      </c>
      <c r="L762" s="1" t="s">
        <v>55</v>
      </c>
      <c r="M762">
        <v>59</v>
      </c>
      <c r="N762" s="1" t="s">
        <v>29</v>
      </c>
      <c r="O762" s="1" t="s">
        <v>30</v>
      </c>
      <c r="P762">
        <v>1</v>
      </c>
      <c r="Q762" s="1" t="s">
        <v>31</v>
      </c>
      <c r="R762">
        <v>1</v>
      </c>
      <c r="S762" s="1" t="s">
        <v>32</v>
      </c>
      <c r="T762" s="1" t="s">
        <v>33</v>
      </c>
      <c r="U762" s="1" t="s">
        <v>34</v>
      </c>
      <c r="V762" s="1" t="str">
        <f>_xlfn.XLOOKUP(A762,Dictonary!$A$2:$A$5,Dictonary!$B$2:$B$5)</f>
        <v>No information</v>
      </c>
      <c r="W762" s="1" t="str">
        <f>_xlfn.XLOOKUP(D762,Dictonary!$D$2:$D$12,Dictonary!$E$2:$E$12)</f>
        <v>car (new)</v>
      </c>
      <c r="X762" s="1" t="str">
        <f>_xlfn.XLOOKUP(F762,Dictonary!$G$2:$G$6,Dictonary!$H$2:$H$6)</f>
        <v>No information</v>
      </c>
      <c r="Y762" s="1" t="str">
        <f>_xlfn.XLOOKUP(I762,Dictonary!$J$2:$J$6,Dictonary!$K$2:$K$6)</f>
        <v>female : divorced/separated/married</v>
      </c>
      <c r="Z762" s="1" t="str">
        <f>_xlfn.XLOOKUP(Q762,Dictonary!$M$2:$M$5,Dictonary!$N$2:$N$5)</f>
        <v>skilled employee / official</v>
      </c>
      <c r="AA762" s="1" t="str">
        <f>_xlfn.XLOOKUP(O762,Dictonary!$P$2:$P$4,Dictonary!$Q$2:$Q$4)</f>
        <v>own</v>
      </c>
    </row>
    <row r="763" spans="1:27" x14ac:dyDescent="0.3">
      <c r="A763" s="1" t="s">
        <v>21</v>
      </c>
      <c r="B763">
        <v>18</v>
      </c>
      <c r="C763" s="1" t="s">
        <v>22</v>
      </c>
      <c r="D763" s="1" t="s">
        <v>46</v>
      </c>
      <c r="E763">
        <v>2124</v>
      </c>
      <c r="F763" s="1" t="s">
        <v>37</v>
      </c>
      <c r="G763" s="1" t="s">
        <v>38</v>
      </c>
      <c r="H763">
        <v>4</v>
      </c>
      <c r="I763" s="1" t="s">
        <v>39</v>
      </c>
      <c r="J763" s="1" t="s">
        <v>27</v>
      </c>
      <c r="K763">
        <v>4</v>
      </c>
      <c r="L763" s="1" t="s">
        <v>28</v>
      </c>
      <c r="M763">
        <v>24</v>
      </c>
      <c r="N763" s="1" t="s">
        <v>29</v>
      </c>
      <c r="O763" s="1" t="s">
        <v>56</v>
      </c>
      <c r="P763">
        <v>2</v>
      </c>
      <c r="Q763" s="1" t="s">
        <v>31</v>
      </c>
      <c r="R763">
        <v>1</v>
      </c>
      <c r="S763" s="1" t="s">
        <v>40</v>
      </c>
      <c r="T763" s="1" t="s">
        <v>33</v>
      </c>
      <c r="U763" s="1" t="s">
        <v>41</v>
      </c>
      <c r="V763" s="1" t="str">
        <f>_xlfn.XLOOKUP(A763,Dictonary!$A$2:$A$5,Dictonary!$B$2:$B$5)</f>
        <v>Negative balance</v>
      </c>
      <c r="W763" s="1" t="str">
        <f>_xlfn.XLOOKUP(D763,Dictonary!$D$2:$D$12,Dictonary!$E$2:$E$12)</f>
        <v>furniture/equipment</v>
      </c>
      <c r="X763" s="1" t="str">
        <f>_xlfn.XLOOKUP(F763,Dictonary!$G$2:$G$6,Dictonary!$H$2:$H$6)</f>
        <v>Less 100</v>
      </c>
      <c r="Y763" s="1" t="str">
        <f>_xlfn.XLOOKUP(I763,Dictonary!$J$2:$J$6,Dictonary!$K$2:$K$6)</f>
        <v>female : divorced/separated/married</v>
      </c>
      <c r="Z763" s="1" t="str">
        <f>_xlfn.XLOOKUP(Q763,Dictonary!$M$2:$M$5,Dictonary!$N$2:$N$5)</f>
        <v>skilled employee / official</v>
      </c>
      <c r="AA763" s="1" t="str">
        <f>_xlfn.XLOOKUP(O763,Dictonary!$P$2:$P$4,Dictonary!$Q$2:$Q$4)</f>
        <v>rent</v>
      </c>
    </row>
    <row r="764" spans="1:27" x14ac:dyDescent="0.3">
      <c r="A764" s="1" t="s">
        <v>21</v>
      </c>
      <c r="B764">
        <v>12</v>
      </c>
      <c r="C764" s="1" t="s">
        <v>36</v>
      </c>
      <c r="D764" s="1" t="s">
        <v>23</v>
      </c>
      <c r="E764">
        <v>2214</v>
      </c>
      <c r="F764" s="1" t="s">
        <v>37</v>
      </c>
      <c r="G764" s="1" t="s">
        <v>38</v>
      </c>
      <c r="H764">
        <v>4</v>
      </c>
      <c r="I764" s="1" t="s">
        <v>26</v>
      </c>
      <c r="J764" s="1" t="s">
        <v>27</v>
      </c>
      <c r="K764">
        <v>3</v>
      </c>
      <c r="L764" s="1" t="s">
        <v>48</v>
      </c>
      <c r="M764">
        <v>24</v>
      </c>
      <c r="N764" s="1" t="s">
        <v>29</v>
      </c>
      <c r="O764" s="1" t="s">
        <v>30</v>
      </c>
      <c r="P764">
        <v>1</v>
      </c>
      <c r="Q764" s="1" t="s">
        <v>45</v>
      </c>
      <c r="R764">
        <v>1</v>
      </c>
      <c r="S764" s="1" t="s">
        <v>40</v>
      </c>
      <c r="T764" s="1" t="s">
        <v>33</v>
      </c>
      <c r="U764" s="1" t="s">
        <v>34</v>
      </c>
      <c r="V764" s="1" t="str">
        <f>_xlfn.XLOOKUP(A764,Dictonary!$A$2:$A$5,Dictonary!$B$2:$B$5)</f>
        <v>Negative balance</v>
      </c>
      <c r="W764" s="1" t="str">
        <f>_xlfn.XLOOKUP(D764,Dictonary!$D$2:$D$12,Dictonary!$E$2:$E$12)</f>
        <v>radio/television</v>
      </c>
      <c r="X764" s="1" t="str">
        <f>_xlfn.XLOOKUP(F764,Dictonary!$G$2:$G$6,Dictonary!$H$2:$H$6)</f>
        <v>Less 100</v>
      </c>
      <c r="Y764" s="1" t="str">
        <f>_xlfn.XLOOKUP(I764,Dictonary!$J$2:$J$6,Dictonary!$K$2:$K$6)</f>
        <v>male : single</v>
      </c>
      <c r="Z764" s="1" t="str">
        <f>_xlfn.XLOOKUP(Q764,Dictonary!$M$2:$M$5,Dictonary!$N$2:$N$5)</f>
        <v>unskilled - resident</v>
      </c>
      <c r="AA764" s="1" t="str">
        <f>_xlfn.XLOOKUP(O764,Dictonary!$P$2:$P$4,Dictonary!$Q$2:$Q$4)</f>
        <v>own</v>
      </c>
    </row>
    <row r="765" spans="1:27" x14ac:dyDescent="0.3">
      <c r="A765" s="1" t="s">
        <v>42</v>
      </c>
      <c r="B765">
        <v>21</v>
      </c>
      <c r="C765" s="1" t="s">
        <v>22</v>
      </c>
      <c r="D765" s="1" t="s">
        <v>51</v>
      </c>
      <c r="E765">
        <v>12680</v>
      </c>
      <c r="F765" s="1" t="s">
        <v>24</v>
      </c>
      <c r="G765" s="1" t="s">
        <v>25</v>
      </c>
      <c r="H765">
        <v>4</v>
      </c>
      <c r="I765" s="1" t="s">
        <v>26</v>
      </c>
      <c r="J765" s="1" t="s">
        <v>27</v>
      </c>
      <c r="K765">
        <v>4</v>
      </c>
      <c r="L765" s="1" t="s">
        <v>52</v>
      </c>
      <c r="M765">
        <v>30</v>
      </c>
      <c r="N765" s="1" t="s">
        <v>29</v>
      </c>
      <c r="O765" s="1" t="s">
        <v>49</v>
      </c>
      <c r="P765">
        <v>1</v>
      </c>
      <c r="Q765" s="1" t="s">
        <v>57</v>
      </c>
      <c r="R765">
        <v>1</v>
      </c>
      <c r="S765" s="1" t="s">
        <v>32</v>
      </c>
      <c r="T765" s="1" t="s">
        <v>33</v>
      </c>
      <c r="U765" s="1" t="s">
        <v>41</v>
      </c>
      <c r="V765" s="1" t="str">
        <f>_xlfn.XLOOKUP(A765,Dictonary!$A$2:$A$5,Dictonary!$B$2:$B$5)</f>
        <v>No information</v>
      </c>
      <c r="W765" s="1" t="str">
        <f>_xlfn.XLOOKUP(D765,Dictonary!$D$2:$D$12,Dictonary!$E$2:$E$12)</f>
        <v>car (new)</v>
      </c>
      <c r="X765" s="1" t="str">
        <f>_xlfn.XLOOKUP(F765,Dictonary!$G$2:$G$6,Dictonary!$H$2:$H$6)</f>
        <v>No information</v>
      </c>
      <c r="Y765" s="1" t="str">
        <f>_xlfn.XLOOKUP(I765,Dictonary!$J$2:$J$6,Dictonary!$K$2:$K$6)</f>
        <v>male : single</v>
      </c>
      <c r="Z765" s="1" t="str">
        <f>_xlfn.XLOOKUP(Q765,Dictonary!$M$2:$M$5,Dictonary!$N$2:$N$5)</f>
        <v>management/ self-employed/ highly qualified employee/ officer</v>
      </c>
      <c r="AA765" s="1" t="str">
        <f>_xlfn.XLOOKUP(O765,Dictonary!$P$2:$P$4,Dictonary!$Q$2:$Q$4)</f>
        <v>for free</v>
      </c>
    </row>
    <row r="766" spans="1:27" x14ac:dyDescent="0.3">
      <c r="A766" s="1" t="s">
        <v>42</v>
      </c>
      <c r="B766">
        <v>24</v>
      </c>
      <c r="C766" s="1" t="s">
        <v>22</v>
      </c>
      <c r="D766" s="1" t="s">
        <v>51</v>
      </c>
      <c r="E766">
        <v>2463</v>
      </c>
      <c r="F766" s="1" t="s">
        <v>64</v>
      </c>
      <c r="G766" s="1" t="s">
        <v>44</v>
      </c>
      <c r="H766">
        <v>4</v>
      </c>
      <c r="I766" s="1" t="s">
        <v>61</v>
      </c>
      <c r="J766" s="1" t="s">
        <v>27</v>
      </c>
      <c r="K766">
        <v>3</v>
      </c>
      <c r="L766" s="1" t="s">
        <v>48</v>
      </c>
      <c r="M766">
        <v>27</v>
      </c>
      <c r="N766" s="1" t="s">
        <v>29</v>
      </c>
      <c r="O766" s="1" t="s">
        <v>30</v>
      </c>
      <c r="P766">
        <v>2</v>
      </c>
      <c r="Q766" s="1" t="s">
        <v>31</v>
      </c>
      <c r="R766">
        <v>1</v>
      </c>
      <c r="S766" s="1" t="s">
        <v>32</v>
      </c>
      <c r="T766" s="1" t="s">
        <v>33</v>
      </c>
      <c r="U766" s="1" t="s">
        <v>34</v>
      </c>
      <c r="V766" s="1" t="str">
        <f>_xlfn.XLOOKUP(A766,Dictonary!$A$2:$A$5,Dictonary!$B$2:$B$5)</f>
        <v>No information</v>
      </c>
      <c r="W766" s="1" t="str">
        <f>_xlfn.XLOOKUP(D766,Dictonary!$D$2:$D$12,Dictonary!$E$2:$E$12)</f>
        <v>car (new)</v>
      </c>
      <c r="X766" s="1" t="str">
        <f>_xlfn.XLOOKUP(F766,Dictonary!$G$2:$G$6,Dictonary!$H$2:$H$6)</f>
        <v>Up to 500</v>
      </c>
      <c r="Y766" s="1" t="str">
        <f>_xlfn.XLOOKUP(I766,Dictonary!$J$2:$J$6,Dictonary!$K$2:$K$6)</f>
        <v>male : married/widowed</v>
      </c>
      <c r="Z766" s="1" t="str">
        <f>_xlfn.XLOOKUP(Q766,Dictonary!$M$2:$M$5,Dictonary!$N$2:$N$5)</f>
        <v>skilled employee / official</v>
      </c>
      <c r="AA766" s="1" t="str">
        <f>_xlfn.XLOOKUP(O766,Dictonary!$P$2:$P$4,Dictonary!$Q$2:$Q$4)</f>
        <v>own</v>
      </c>
    </row>
    <row r="767" spans="1:27" x14ac:dyDescent="0.3">
      <c r="A767" s="1" t="s">
        <v>35</v>
      </c>
      <c r="B767">
        <v>12</v>
      </c>
      <c r="C767" s="1" t="s">
        <v>36</v>
      </c>
      <c r="D767" s="1" t="s">
        <v>23</v>
      </c>
      <c r="E767">
        <v>1155</v>
      </c>
      <c r="F767" s="1" t="s">
        <v>37</v>
      </c>
      <c r="G767" s="1" t="s">
        <v>25</v>
      </c>
      <c r="H767">
        <v>3</v>
      </c>
      <c r="I767" s="1" t="s">
        <v>61</v>
      </c>
      <c r="J767" s="1" t="s">
        <v>47</v>
      </c>
      <c r="K767">
        <v>3</v>
      </c>
      <c r="L767" s="1" t="s">
        <v>28</v>
      </c>
      <c r="M767">
        <v>40</v>
      </c>
      <c r="N767" s="1" t="s">
        <v>66</v>
      </c>
      <c r="O767" s="1" t="s">
        <v>30</v>
      </c>
      <c r="P767">
        <v>2</v>
      </c>
      <c r="Q767" s="1" t="s">
        <v>45</v>
      </c>
      <c r="R767">
        <v>1</v>
      </c>
      <c r="S767" s="1" t="s">
        <v>40</v>
      </c>
      <c r="T767" s="1" t="s">
        <v>33</v>
      </c>
      <c r="U767" s="1" t="s">
        <v>34</v>
      </c>
      <c r="V767" s="1" t="str">
        <f>_xlfn.XLOOKUP(A767,Dictonary!$A$2:$A$5,Dictonary!$B$2:$B$5)</f>
        <v>Low balance</v>
      </c>
      <c r="W767" s="1" t="str">
        <f>_xlfn.XLOOKUP(D767,Dictonary!$D$2:$D$12,Dictonary!$E$2:$E$12)</f>
        <v>radio/television</v>
      </c>
      <c r="X767" s="1" t="str">
        <f>_xlfn.XLOOKUP(F767,Dictonary!$G$2:$G$6,Dictonary!$H$2:$H$6)</f>
        <v>Less 100</v>
      </c>
      <c r="Y767" s="1" t="str">
        <f>_xlfn.XLOOKUP(I767,Dictonary!$J$2:$J$6,Dictonary!$K$2:$K$6)</f>
        <v>male : married/widowed</v>
      </c>
      <c r="Z767" s="1" t="str">
        <f>_xlfn.XLOOKUP(Q767,Dictonary!$M$2:$M$5,Dictonary!$N$2:$N$5)</f>
        <v>unskilled - resident</v>
      </c>
      <c r="AA767" s="1" t="str">
        <f>_xlfn.XLOOKUP(O767,Dictonary!$P$2:$P$4,Dictonary!$Q$2:$Q$4)</f>
        <v>own</v>
      </c>
    </row>
    <row r="768" spans="1:27" x14ac:dyDescent="0.3">
      <c r="A768" s="1" t="s">
        <v>21</v>
      </c>
      <c r="B768">
        <v>30</v>
      </c>
      <c r="C768" s="1" t="s">
        <v>36</v>
      </c>
      <c r="D768" s="1" t="s">
        <v>46</v>
      </c>
      <c r="E768">
        <v>3108</v>
      </c>
      <c r="F768" s="1" t="s">
        <v>37</v>
      </c>
      <c r="G768" s="1" t="s">
        <v>62</v>
      </c>
      <c r="H768">
        <v>2</v>
      </c>
      <c r="I768" s="1" t="s">
        <v>59</v>
      </c>
      <c r="J768" s="1" t="s">
        <v>27</v>
      </c>
      <c r="K768">
        <v>4</v>
      </c>
      <c r="L768" s="1" t="s">
        <v>48</v>
      </c>
      <c r="M768">
        <v>31</v>
      </c>
      <c r="N768" s="1" t="s">
        <v>29</v>
      </c>
      <c r="O768" s="1" t="s">
        <v>30</v>
      </c>
      <c r="P768">
        <v>1</v>
      </c>
      <c r="Q768" s="1" t="s">
        <v>45</v>
      </c>
      <c r="R768">
        <v>1</v>
      </c>
      <c r="S768" s="1" t="s">
        <v>40</v>
      </c>
      <c r="T768" s="1" t="s">
        <v>33</v>
      </c>
      <c r="U768" s="1" t="s">
        <v>41</v>
      </c>
      <c r="V768" s="1" t="str">
        <f>_xlfn.XLOOKUP(A768,Dictonary!$A$2:$A$5,Dictonary!$B$2:$B$5)</f>
        <v>Negative balance</v>
      </c>
      <c r="W768" s="1" t="str">
        <f>_xlfn.XLOOKUP(D768,Dictonary!$D$2:$D$12,Dictonary!$E$2:$E$12)</f>
        <v>furniture/equipment</v>
      </c>
      <c r="X768" s="1" t="str">
        <f>_xlfn.XLOOKUP(F768,Dictonary!$G$2:$G$6,Dictonary!$H$2:$H$6)</f>
        <v>Less 100</v>
      </c>
      <c r="Y768" s="1" t="str">
        <f>_xlfn.XLOOKUP(I768,Dictonary!$J$2:$J$6,Dictonary!$K$2:$K$6)</f>
        <v>male : divorced/separated</v>
      </c>
      <c r="Z768" s="1" t="str">
        <f>_xlfn.XLOOKUP(Q768,Dictonary!$M$2:$M$5,Dictonary!$N$2:$N$5)</f>
        <v>unskilled - resident</v>
      </c>
      <c r="AA768" s="1" t="str">
        <f>_xlfn.XLOOKUP(O768,Dictonary!$P$2:$P$4,Dictonary!$Q$2:$Q$4)</f>
        <v>own</v>
      </c>
    </row>
    <row r="769" spans="1:27" x14ac:dyDescent="0.3">
      <c r="A769" s="1" t="s">
        <v>42</v>
      </c>
      <c r="B769">
        <v>10</v>
      </c>
      <c r="C769" s="1" t="s">
        <v>36</v>
      </c>
      <c r="D769" s="1" t="s">
        <v>54</v>
      </c>
      <c r="E769">
        <v>2901</v>
      </c>
      <c r="F769" s="1" t="s">
        <v>24</v>
      </c>
      <c r="G769" s="1" t="s">
        <v>62</v>
      </c>
      <c r="H769">
        <v>1</v>
      </c>
      <c r="I769" s="1" t="s">
        <v>39</v>
      </c>
      <c r="J769" s="1" t="s">
        <v>27</v>
      </c>
      <c r="K769">
        <v>4</v>
      </c>
      <c r="L769" s="1" t="s">
        <v>28</v>
      </c>
      <c r="M769">
        <v>31</v>
      </c>
      <c r="N769" s="1" t="s">
        <v>29</v>
      </c>
      <c r="O769" s="1" t="s">
        <v>56</v>
      </c>
      <c r="P769">
        <v>1</v>
      </c>
      <c r="Q769" s="1" t="s">
        <v>31</v>
      </c>
      <c r="R769">
        <v>1</v>
      </c>
      <c r="S769" s="1" t="s">
        <v>40</v>
      </c>
      <c r="T769" s="1" t="s">
        <v>33</v>
      </c>
      <c r="U769" s="1" t="s">
        <v>34</v>
      </c>
      <c r="V769" s="1" t="str">
        <f>_xlfn.XLOOKUP(A769,Dictonary!$A$2:$A$5,Dictonary!$B$2:$B$5)</f>
        <v>No information</v>
      </c>
      <c r="W769" s="1" t="str">
        <f>_xlfn.XLOOKUP(D769,Dictonary!$D$2:$D$12,Dictonary!$E$2:$E$12)</f>
        <v>car (used)</v>
      </c>
      <c r="X769" s="1" t="str">
        <f>_xlfn.XLOOKUP(F769,Dictonary!$G$2:$G$6,Dictonary!$H$2:$H$6)</f>
        <v>No information</v>
      </c>
      <c r="Y769" s="1" t="str">
        <f>_xlfn.XLOOKUP(I769,Dictonary!$J$2:$J$6,Dictonary!$K$2:$K$6)</f>
        <v>female : divorced/separated/married</v>
      </c>
      <c r="Z769" s="1" t="str">
        <f>_xlfn.XLOOKUP(Q769,Dictonary!$M$2:$M$5,Dictonary!$N$2:$N$5)</f>
        <v>skilled employee / official</v>
      </c>
      <c r="AA769" s="1" t="str">
        <f>_xlfn.XLOOKUP(O769,Dictonary!$P$2:$P$4,Dictonary!$Q$2:$Q$4)</f>
        <v>rent</v>
      </c>
    </row>
    <row r="770" spans="1:27" x14ac:dyDescent="0.3">
      <c r="A770" s="1" t="s">
        <v>35</v>
      </c>
      <c r="B770">
        <v>12</v>
      </c>
      <c r="C770" s="1" t="s">
        <v>22</v>
      </c>
      <c r="D770" s="1" t="s">
        <v>46</v>
      </c>
      <c r="E770">
        <v>3617</v>
      </c>
      <c r="F770" s="1" t="s">
        <v>37</v>
      </c>
      <c r="G770" s="1" t="s">
        <v>25</v>
      </c>
      <c r="H770">
        <v>1</v>
      </c>
      <c r="I770" s="1" t="s">
        <v>26</v>
      </c>
      <c r="J770" s="1" t="s">
        <v>27</v>
      </c>
      <c r="K770">
        <v>4</v>
      </c>
      <c r="L770" s="1" t="s">
        <v>55</v>
      </c>
      <c r="M770">
        <v>28</v>
      </c>
      <c r="N770" s="1" t="s">
        <v>29</v>
      </c>
      <c r="O770" s="1" t="s">
        <v>56</v>
      </c>
      <c r="P770">
        <v>3</v>
      </c>
      <c r="Q770" s="1" t="s">
        <v>31</v>
      </c>
      <c r="R770">
        <v>1</v>
      </c>
      <c r="S770" s="1" t="s">
        <v>32</v>
      </c>
      <c r="T770" s="1" t="s">
        <v>33</v>
      </c>
      <c r="U770" s="1" t="s">
        <v>34</v>
      </c>
      <c r="V770" s="1" t="str">
        <f>_xlfn.XLOOKUP(A770,Dictonary!$A$2:$A$5,Dictonary!$B$2:$B$5)</f>
        <v>Low balance</v>
      </c>
      <c r="W770" s="1" t="str">
        <f>_xlfn.XLOOKUP(D770,Dictonary!$D$2:$D$12,Dictonary!$E$2:$E$12)</f>
        <v>furniture/equipment</v>
      </c>
      <c r="X770" s="1" t="str">
        <f>_xlfn.XLOOKUP(F770,Dictonary!$G$2:$G$6,Dictonary!$H$2:$H$6)</f>
        <v>Less 100</v>
      </c>
      <c r="Y770" s="1" t="str">
        <f>_xlfn.XLOOKUP(I770,Dictonary!$J$2:$J$6,Dictonary!$K$2:$K$6)</f>
        <v>male : single</v>
      </c>
      <c r="Z770" s="1" t="str">
        <f>_xlfn.XLOOKUP(Q770,Dictonary!$M$2:$M$5,Dictonary!$N$2:$N$5)</f>
        <v>skilled employee / official</v>
      </c>
      <c r="AA770" s="1" t="str">
        <f>_xlfn.XLOOKUP(O770,Dictonary!$P$2:$P$4,Dictonary!$Q$2:$Q$4)</f>
        <v>rent</v>
      </c>
    </row>
    <row r="771" spans="1:27" x14ac:dyDescent="0.3">
      <c r="A771" s="1" t="s">
        <v>42</v>
      </c>
      <c r="B771">
        <v>12</v>
      </c>
      <c r="C771" s="1" t="s">
        <v>22</v>
      </c>
      <c r="D771" s="1" t="s">
        <v>23</v>
      </c>
      <c r="E771">
        <v>1655</v>
      </c>
      <c r="F771" s="1" t="s">
        <v>37</v>
      </c>
      <c r="G771" s="1" t="s">
        <v>25</v>
      </c>
      <c r="H771">
        <v>2</v>
      </c>
      <c r="I771" s="1" t="s">
        <v>26</v>
      </c>
      <c r="J771" s="1" t="s">
        <v>27</v>
      </c>
      <c r="K771">
        <v>4</v>
      </c>
      <c r="L771" s="1" t="s">
        <v>28</v>
      </c>
      <c r="M771">
        <v>63</v>
      </c>
      <c r="N771" s="1" t="s">
        <v>29</v>
      </c>
      <c r="O771" s="1" t="s">
        <v>30</v>
      </c>
      <c r="P771">
        <v>2</v>
      </c>
      <c r="Q771" s="1" t="s">
        <v>45</v>
      </c>
      <c r="R771">
        <v>1</v>
      </c>
      <c r="S771" s="1" t="s">
        <v>32</v>
      </c>
      <c r="T771" s="1" t="s">
        <v>33</v>
      </c>
      <c r="U771" s="1" t="s">
        <v>34</v>
      </c>
      <c r="V771" s="1" t="str">
        <f>_xlfn.XLOOKUP(A771,Dictonary!$A$2:$A$5,Dictonary!$B$2:$B$5)</f>
        <v>No information</v>
      </c>
      <c r="W771" s="1" t="str">
        <f>_xlfn.XLOOKUP(D771,Dictonary!$D$2:$D$12,Dictonary!$E$2:$E$12)</f>
        <v>radio/television</v>
      </c>
      <c r="X771" s="1" t="str">
        <f>_xlfn.XLOOKUP(F771,Dictonary!$G$2:$G$6,Dictonary!$H$2:$H$6)</f>
        <v>Less 100</v>
      </c>
      <c r="Y771" s="1" t="str">
        <f>_xlfn.XLOOKUP(I771,Dictonary!$J$2:$J$6,Dictonary!$K$2:$K$6)</f>
        <v>male : single</v>
      </c>
      <c r="Z771" s="1" t="str">
        <f>_xlfn.XLOOKUP(Q771,Dictonary!$M$2:$M$5,Dictonary!$N$2:$N$5)</f>
        <v>unskilled - resident</v>
      </c>
      <c r="AA771" s="1" t="str">
        <f>_xlfn.XLOOKUP(O771,Dictonary!$P$2:$P$4,Dictonary!$Q$2:$Q$4)</f>
        <v>own</v>
      </c>
    </row>
    <row r="772" spans="1:27" x14ac:dyDescent="0.3">
      <c r="A772" s="1" t="s">
        <v>21</v>
      </c>
      <c r="B772">
        <v>24</v>
      </c>
      <c r="C772" s="1" t="s">
        <v>36</v>
      </c>
      <c r="D772" s="1" t="s">
        <v>54</v>
      </c>
      <c r="E772">
        <v>2812</v>
      </c>
      <c r="F772" s="1" t="s">
        <v>24</v>
      </c>
      <c r="G772" s="1" t="s">
        <v>25</v>
      </c>
      <c r="H772">
        <v>2</v>
      </c>
      <c r="I772" s="1" t="s">
        <v>39</v>
      </c>
      <c r="J772" s="1" t="s">
        <v>27</v>
      </c>
      <c r="K772">
        <v>4</v>
      </c>
      <c r="L772" s="1" t="s">
        <v>28</v>
      </c>
      <c r="M772">
        <v>26</v>
      </c>
      <c r="N772" s="1" t="s">
        <v>29</v>
      </c>
      <c r="O772" s="1" t="s">
        <v>56</v>
      </c>
      <c r="P772">
        <v>1</v>
      </c>
      <c r="Q772" s="1" t="s">
        <v>31</v>
      </c>
      <c r="R772">
        <v>1</v>
      </c>
      <c r="S772" s="1" t="s">
        <v>40</v>
      </c>
      <c r="T772" s="1" t="s">
        <v>33</v>
      </c>
      <c r="U772" s="1" t="s">
        <v>34</v>
      </c>
      <c r="V772" s="1" t="str">
        <f>_xlfn.XLOOKUP(A772,Dictonary!$A$2:$A$5,Dictonary!$B$2:$B$5)</f>
        <v>Negative balance</v>
      </c>
      <c r="W772" s="1" t="str">
        <f>_xlfn.XLOOKUP(D772,Dictonary!$D$2:$D$12,Dictonary!$E$2:$E$12)</f>
        <v>car (used)</v>
      </c>
      <c r="X772" s="1" t="str">
        <f>_xlfn.XLOOKUP(F772,Dictonary!$G$2:$G$6,Dictonary!$H$2:$H$6)</f>
        <v>No information</v>
      </c>
      <c r="Y772" s="1" t="str">
        <f>_xlfn.XLOOKUP(I772,Dictonary!$J$2:$J$6,Dictonary!$K$2:$K$6)</f>
        <v>female : divorced/separated/married</v>
      </c>
      <c r="Z772" s="1" t="str">
        <f>_xlfn.XLOOKUP(Q772,Dictonary!$M$2:$M$5,Dictonary!$N$2:$N$5)</f>
        <v>skilled employee / official</v>
      </c>
      <c r="AA772" s="1" t="str">
        <f>_xlfn.XLOOKUP(O772,Dictonary!$P$2:$P$4,Dictonary!$Q$2:$Q$4)</f>
        <v>rent</v>
      </c>
    </row>
    <row r="773" spans="1:27" x14ac:dyDescent="0.3">
      <c r="A773" s="1" t="s">
        <v>21</v>
      </c>
      <c r="B773">
        <v>36</v>
      </c>
      <c r="C773" s="1" t="s">
        <v>22</v>
      </c>
      <c r="D773" s="1" t="s">
        <v>43</v>
      </c>
      <c r="E773">
        <v>8065</v>
      </c>
      <c r="F773" s="1" t="s">
        <v>37</v>
      </c>
      <c r="G773" s="1" t="s">
        <v>38</v>
      </c>
      <c r="H773">
        <v>3</v>
      </c>
      <c r="I773" s="1" t="s">
        <v>39</v>
      </c>
      <c r="J773" s="1" t="s">
        <v>27</v>
      </c>
      <c r="K773">
        <v>2</v>
      </c>
      <c r="L773" s="1" t="s">
        <v>52</v>
      </c>
      <c r="M773">
        <v>25</v>
      </c>
      <c r="N773" s="1" t="s">
        <v>29</v>
      </c>
      <c r="O773" s="1" t="s">
        <v>30</v>
      </c>
      <c r="P773">
        <v>2</v>
      </c>
      <c r="Q773" s="1" t="s">
        <v>57</v>
      </c>
      <c r="R773">
        <v>1</v>
      </c>
      <c r="S773" s="1" t="s">
        <v>32</v>
      </c>
      <c r="T773" s="1" t="s">
        <v>33</v>
      </c>
      <c r="U773" s="1" t="s">
        <v>41</v>
      </c>
      <c r="V773" s="1" t="str">
        <f>_xlfn.XLOOKUP(A773,Dictonary!$A$2:$A$5,Dictonary!$B$2:$B$5)</f>
        <v>Negative balance</v>
      </c>
      <c r="W773" s="1" t="str">
        <f>_xlfn.XLOOKUP(D773,Dictonary!$D$2:$D$12,Dictonary!$E$2:$E$12)</f>
        <v>education</v>
      </c>
      <c r="X773" s="1" t="str">
        <f>_xlfn.XLOOKUP(F773,Dictonary!$G$2:$G$6,Dictonary!$H$2:$H$6)</f>
        <v>Less 100</v>
      </c>
      <c r="Y773" s="1" t="str">
        <f>_xlfn.XLOOKUP(I773,Dictonary!$J$2:$J$6,Dictonary!$K$2:$K$6)</f>
        <v>female : divorced/separated/married</v>
      </c>
      <c r="Z773" s="1" t="str">
        <f>_xlfn.XLOOKUP(Q773,Dictonary!$M$2:$M$5,Dictonary!$N$2:$N$5)</f>
        <v>management/ self-employed/ highly qualified employee/ officer</v>
      </c>
      <c r="AA773" s="1" t="str">
        <f>_xlfn.XLOOKUP(O773,Dictonary!$P$2:$P$4,Dictonary!$Q$2:$Q$4)</f>
        <v>own</v>
      </c>
    </row>
    <row r="774" spans="1:27" x14ac:dyDescent="0.3">
      <c r="A774" s="1" t="s">
        <v>42</v>
      </c>
      <c r="B774">
        <v>21</v>
      </c>
      <c r="C774" s="1" t="s">
        <v>22</v>
      </c>
      <c r="D774" s="1" t="s">
        <v>54</v>
      </c>
      <c r="E774">
        <v>3275</v>
      </c>
      <c r="F774" s="1" t="s">
        <v>37</v>
      </c>
      <c r="G774" s="1" t="s">
        <v>25</v>
      </c>
      <c r="H774">
        <v>1</v>
      </c>
      <c r="I774" s="1" t="s">
        <v>26</v>
      </c>
      <c r="J774" s="1" t="s">
        <v>27</v>
      </c>
      <c r="K774">
        <v>4</v>
      </c>
      <c r="L774" s="1" t="s">
        <v>55</v>
      </c>
      <c r="M774">
        <v>36</v>
      </c>
      <c r="N774" s="1" t="s">
        <v>29</v>
      </c>
      <c r="O774" s="1" t="s">
        <v>30</v>
      </c>
      <c r="P774">
        <v>1</v>
      </c>
      <c r="Q774" s="1" t="s">
        <v>57</v>
      </c>
      <c r="R774">
        <v>1</v>
      </c>
      <c r="S774" s="1" t="s">
        <v>32</v>
      </c>
      <c r="T774" s="1" t="s">
        <v>33</v>
      </c>
      <c r="U774" s="1" t="s">
        <v>34</v>
      </c>
      <c r="V774" s="1" t="str">
        <f>_xlfn.XLOOKUP(A774,Dictonary!$A$2:$A$5,Dictonary!$B$2:$B$5)</f>
        <v>No information</v>
      </c>
      <c r="W774" s="1" t="str">
        <f>_xlfn.XLOOKUP(D774,Dictonary!$D$2:$D$12,Dictonary!$E$2:$E$12)</f>
        <v>car (used)</v>
      </c>
      <c r="X774" s="1" t="str">
        <f>_xlfn.XLOOKUP(F774,Dictonary!$G$2:$G$6,Dictonary!$H$2:$H$6)</f>
        <v>Less 100</v>
      </c>
      <c r="Y774" s="1" t="str">
        <f>_xlfn.XLOOKUP(I774,Dictonary!$J$2:$J$6,Dictonary!$K$2:$K$6)</f>
        <v>male : single</v>
      </c>
      <c r="Z774" s="1" t="str">
        <f>_xlfn.XLOOKUP(Q774,Dictonary!$M$2:$M$5,Dictonary!$N$2:$N$5)</f>
        <v>management/ self-employed/ highly qualified employee/ officer</v>
      </c>
      <c r="AA774" s="1" t="str">
        <f>_xlfn.XLOOKUP(O774,Dictonary!$P$2:$P$4,Dictonary!$Q$2:$Q$4)</f>
        <v>own</v>
      </c>
    </row>
    <row r="775" spans="1:27" x14ac:dyDescent="0.3">
      <c r="A775" s="1" t="s">
        <v>42</v>
      </c>
      <c r="B775">
        <v>24</v>
      </c>
      <c r="C775" s="1" t="s">
        <v>22</v>
      </c>
      <c r="D775" s="1" t="s">
        <v>23</v>
      </c>
      <c r="E775">
        <v>2223</v>
      </c>
      <c r="F775" s="1" t="s">
        <v>64</v>
      </c>
      <c r="G775" s="1" t="s">
        <v>25</v>
      </c>
      <c r="H775">
        <v>4</v>
      </c>
      <c r="I775" s="1" t="s">
        <v>26</v>
      </c>
      <c r="J775" s="1" t="s">
        <v>27</v>
      </c>
      <c r="K775">
        <v>4</v>
      </c>
      <c r="L775" s="1" t="s">
        <v>48</v>
      </c>
      <c r="M775">
        <v>52</v>
      </c>
      <c r="N775" s="1" t="s">
        <v>66</v>
      </c>
      <c r="O775" s="1" t="s">
        <v>30</v>
      </c>
      <c r="P775">
        <v>2</v>
      </c>
      <c r="Q775" s="1" t="s">
        <v>31</v>
      </c>
      <c r="R775">
        <v>1</v>
      </c>
      <c r="S775" s="1" t="s">
        <v>40</v>
      </c>
      <c r="T775" s="1" t="s">
        <v>33</v>
      </c>
      <c r="U775" s="1" t="s">
        <v>34</v>
      </c>
      <c r="V775" s="1" t="str">
        <f>_xlfn.XLOOKUP(A775,Dictonary!$A$2:$A$5,Dictonary!$B$2:$B$5)</f>
        <v>No information</v>
      </c>
      <c r="W775" s="1" t="str">
        <f>_xlfn.XLOOKUP(D775,Dictonary!$D$2:$D$12,Dictonary!$E$2:$E$12)</f>
        <v>radio/television</v>
      </c>
      <c r="X775" s="1" t="str">
        <f>_xlfn.XLOOKUP(F775,Dictonary!$G$2:$G$6,Dictonary!$H$2:$H$6)</f>
        <v>Up to 500</v>
      </c>
      <c r="Y775" s="1" t="str">
        <f>_xlfn.XLOOKUP(I775,Dictonary!$J$2:$J$6,Dictonary!$K$2:$K$6)</f>
        <v>male : single</v>
      </c>
      <c r="Z775" s="1" t="str">
        <f>_xlfn.XLOOKUP(Q775,Dictonary!$M$2:$M$5,Dictonary!$N$2:$N$5)</f>
        <v>skilled employee / official</v>
      </c>
      <c r="AA775" s="1" t="str">
        <f>_xlfn.XLOOKUP(O775,Dictonary!$P$2:$P$4,Dictonary!$Q$2:$Q$4)</f>
        <v>own</v>
      </c>
    </row>
    <row r="776" spans="1:27" x14ac:dyDescent="0.3">
      <c r="A776" s="1" t="s">
        <v>68</v>
      </c>
      <c r="B776">
        <v>12</v>
      </c>
      <c r="C776" s="1" t="s">
        <v>22</v>
      </c>
      <c r="D776" s="1" t="s">
        <v>51</v>
      </c>
      <c r="E776">
        <v>1480</v>
      </c>
      <c r="F776" s="1" t="s">
        <v>53</v>
      </c>
      <c r="G776" s="1" t="s">
        <v>60</v>
      </c>
      <c r="H776">
        <v>2</v>
      </c>
      <c r="I776" s="1" t="s">
        <v>26</v>
      </c>
      <c r="J776" s="1" t="s">
        <v>27</v>
      </c>
      <c r="K776">
        <v>4</v>
      </c>
      <c r="L776" s="1" t="s">
        <v>52</v>
      </c>
      <c r="M776">
        <v>66</v>
      </c>
      <c r="N776" s="1" t="s">
        <v>66</v>
      </c>
      <c r="O776" s="1" t="s">
        <v>49</v>
      </c>
      <c r="P776">
        <v>3</v>
      </c>
      <c r="Q776" s="1" t="s">
        <v>74</v>
      </c>
      <c r="R776">
        <v>1</v>
      </c>
      <c r="S776" s="1" t="s">
        <v>40</v>
      </c>
      <c r="T776" s="1" t="s">
        <v>33</v>
      </c>
      <c r="U776" s="1" t="s">
        <v>34</v>
      </c>
      <c r="V776" s="1" t="str">
        <f>_xlfn.XLOOKUP(A776,Dictonary!$A$2:$A$5,Dictonary!$B$2:$B$5)</f>
        <v>Normal balance</v>
      </c>
      <c r="W776" s="1" t="str">
        <f>_xlfn.XLOOKUP(D776,Dictonary!$D$2:$D$12,Dictonary!$E$2:$E$12)</f>
        <v>car (new)</v>
      </c>
      <c r="X776" s="1" t="str">
        <f>_xlfn.XLOOKUP(F776,Dictonary!$G$2:$G$6,Dictonary!$H$2:$H$6)</f>
        <v>Up to 1000</v>
      </c>
      <c r="Y776" s="1" t="str">
        <f>_xlfn.XLOOKUP(I776,Dictonary!$J$2:$J$6,Dictonary!$K$2:$K$6)</f>
        <v>male : single</v>
      </c>
      <c r="Z776" s="1" t="str">
        <f>_xlfn.XLOOKUP(Q776,Dictonary!$M$2:$M$5,Dictonary!$N$2:$N$5)</f>
        <v>unemployed/ unskilled  - non-resident</v>
      </c>
      <c r="AA776" s="1" t="str">
        <f>_xlfn.XLOOKUP(O776,Dictonary!$P$2:$P$4,Dictonary!$Q$2:$Q$4)</f>
        <v>for free</v>
      </c>
    </row>
    <row r="777" spans="1:27" x14ac:dyDescent="0.3">
      <c r="A777" s="1" t="s">
        <v>21</v>
      </c>
      <c r="B777">
        <v>24</v>
      </c>
      <c r="C777" s="1" t="s">
        <v>36</v>
      </c>
      <c r="D777" s="1" t="s">
        <v>51</v>
      </c>
      <c r="E777">
        <v>1371</v>
      </c>
      <c r="F777" s="1" t="s">
        <v>24</v>
      </c>
      <c r="G777" s="1" t="s">
        <v>38</v>
      </c>
      <c r="H777">
        <v>4</v>
      </c>
      <c r="I777" s="1" t="s">
        <v>39</v>
      </c>
      <c r="J777" s="1" t="s">
        <v>27</v>
      </c>
      <c r="K777">
        <v>4</v>
      </c>
      <c r="L777" s="1" t="s">
        <v>28</v>
      </c>
      <c r="M777">
        <v>25</v>
      </c>
      <c r="N777" s="1" t="s">
        <v>29</v>
      </c>
      <c r="O777" s="1" t="s">
        <v>56</v>
      </c>
      <c r="P777">
        <v>1</v>
      </c>
      <c r="Q777" s="1" t="s">
        <v>31</v>
      </c>
      <c r="R777">
        <v>1</v>
      </c>
      <c r="S777" s="1" t="s">
        <v>40</v>
      </c>
      <c r="T777" s="1" t="s">
        <v>33</v>
      </c>
      <c r="U777" s="1" t="s">
        <v>41</v>
      </c>
      <c r="V777" s="1" t="str">
        <f>_xlfn.XLOOKUP(A777,Dictonary!$A$2:$A$5,Dictonary!$B$2:$B$5)</f>
        <v>Negative balance</v>
      </c>
      <c r="W777" s="1" t="str">
        <f>_xlfn.XLOOKUP(D777,Dictonary!$D$2:$D$12,Dictonary!$E$2:$E$12)</f>
        <v>car (new)</v>
      </c>
      <c r="X777" s="1" t="str">
        <f>_xlfn.XLOOKUP(F777,Dictonary!$G$2:$G$6,Dictonary!$H$2:$H$6)</f>
        <v>No information</v>
      </c>
      <c r="Y777" s="1" t="str">
        <f>_xlfn.XLOOKUP(I777,Dictonary!$J$2:$J$6,Dictonary!$K$2:$K$6)</f>
        <v>female : divorced/separated/married</v>
      </c>
      <c r="Z777" s="1" t="str">
        <f>_xlfn.XLOOKUP(Q777,Dictonary!$M$2:$M$5,Dictonary!$N$2:$N$5)</f>
        <v>skilled employee / official</v>
      </c>
      <c r="AA777" s="1" t="str">
        <f>_xlfn.XLOOKUP(O777,Dictonary!$P$2:$P$4,Dictonary!$Q$2:$Q$4)</f>
        <v>rent</v>
      </c>
    </row>
    <row r="778" spans="1:27" x14ac:dyDescent="0.3">
      <c r="A778" s="1" t="s">
        <v>42</v>
      </c>
      <c r="B778">
        <v>36</v>
      </c>
      <c r="C778" s="1" t="s">
        <v>22</v>
      </c>
      <c r="D778" s="1" t="s">
        <v>51</v>
      </c>
      <c r="E778">
        <v>3535</v>
      </c>
      <c r="F778" s="1" t="s">
        <v>37</v>
      </c>
      <c r="G778" s="1" t="s">
        <v>44</v>
      </c>
      <c r="H778">
        <v>4</v>
      </c>
      <c r="I778" s="1" t="s">
        <v>26</v>
      </c>
      <c r="J778" s="1" t="s">
        <v>27</v>
      </c>
      <c r="K778">
        <v>4</v>
      </c>
      <c r="L778" s="1" t="s">
        <v>55</v>
      </c>
      <c r="M778">
        <v>37</v>
      </c>
      <c r="N778" s="1" t="s">
        <v>29</v>
      </c>
      <c r="O778" s="1" t="s">
        <v>30</v>
      </c>
      <c r="P778">
        <v>2</v>
      </c>
      <c r="Q778" s="1" t="s">
        <v>31</v>
      </c>
      <c r="R778">
        <v>1</v>
      </c>
      <c r="S778" s="1" t="s">
        <v>32</v>
      </c>
      <c r="T778" s="1" t="s">
        <v>33</v>
      </c>
      <c r="U778" s="1" t="s">
        <v>34</v>
      </c>
      <c r="V778" s="1" t="str">
        <f>_xlfn.XLOOKUP(A778,Dictonary!$A$2:$A$5,Dictonary!$B$2:$B$5)</f>
        <v>No information</v>
      </c>
      <c r="W778" s="1" t="str">
        <f>_xlfn.XLOOKUP(D778,Dictonary!$D$2:$D$12,Dictonary!$E$2:$E$12)</f>
        <v>car (new)</v>
      </c>
      <c r="X778" s="1" t="str">
        <f>_xlfn.XLOOKUP(F778,Dictonary!$G$2:$G$6,Dictonary!$H$2:$H$6)</f>
        <v>Less 100</v>
      </c>
      <c r="Y778" s="1" t="str">
        <f>_xlfn.XLOOKUP(I778,Dictonary!$J$2:$J$6,Dictonary!$K$2:$K$6)</f>
        <v>male : single</v>
      </c>
      <c r="Z778" s="1" t="str">
        <f>_xlfn.XLOOKUP(Q778,Dictonary!$M$2:$M$5,Dictonary!$N$2:$N$5)</f>
        <v>skilled employee / official</v>
      </c>
      <c r="AA778" s="1" t="str">
        <f>_xlfn.XLOOKUP(O778,Dictonary!$P$2:$P$4,Dictonary!$Q$2:$Q$4)</f>
        <v>own</v>
      </c>
    </row>
    <row r="779" spans="1:27" x14ac:dyDescent="0.3">
      <c r="A779" s="1" t="s">
        <v>21</v>
      </c>
      <c r="B779">
        <v>18</v>
      </c>
      <c r="C779" s="1" t="s">
        <v>36</v>
      </c>
      <c r="D779" s="1" t="s">
        <v>23</v>
      </c>
      <c r="E779">
        <v>3509</v>
      </c>
      <c r="F779" s="1" t="s">
        <v>37</v>
      </c>
      <c r="G779" s="1" t="s">
        <v>44</v>
      </c>
      <c r="H779">
        <v>4</v>
      </c>
      <c r="I779" s="1" t="s">
        <v>39</v>
      </c>
      <c r="J779" s="1" t="s">
        <v>47</v>
      </c>
      <c r="K779">
        <v>1</v>
      </c>
      <c r="L779" s="1" t="s">
        <v>28</v>
      </c>
      <c r="M779">
        <v>25</v>
      </c>
      <c r="N779" s="1" t="s">
        <v>29</v>
      </c>
      <c r="O779" s="1" t="s">
        <v>30</v>
      </c>
      <c r="P779">
        <v>1</v>
      </c>
      <c r="Q779" s="1" t="s">
        <v>31</v>
      </c>
      <c r="R779">
        <v>1</v>
      </c>
      <c r="S779" s="1" t="s">
        <v>40</v>
      </c>
      <c r="T779" s="1" t="s">
        <v>33</v>
      </c>
      <c r="U779" s="1" t="s">
        <v>34</v>
      </c>
      <c r="V779" s="1" t="str">
        <f>_xlfn.XLOOKUP(A779,Dictonary!$A$2:$A$5,Dictonary!$B$2:$B$5)</f>
        <v>Negative balance</v>
      </c>
      <c r="W779" s="1" t="str">
        <f>_xlfn.XLOOKUP(D779,Dictonary!$D$2:$D$12,Dictonary!$E$2:$E$12)</f>
        <v>radio/television</v>
      </c>
      <c r="X779" s="1" t="str">
        <f>_xlfn.XLOOKUP(F779,Dictonary!$G$2:$G$6,Dictonary!$H$2:$H$6)</f>
        <v>Less 100</v>
      </c>
      <c r="Y779" s="1" t="str">
        <f>_xlfn.XLOOKUP(I779,Dictonary!$J$2:$J$6,Dictonary!$K$2:$K$6)</f>
        <v>female : divorced/separated/married</v>
      </c>
      <c r="Z779" s="1" t="str">
        <f>_xlfn.XLOOKUP(Q779,Dictonary!$M$2:$M$5,Dictonary!$N$2:$N$5)</f>
        <v>skilled employee / official</v>
      </c>
      <c r="AA779" s="1" t="str">
        <f>_xlfn.XLOOKUP(O779,Dictonary!$P$2:$P$4,Dictonary!$Q$2:$Q$4)</f>
        <v>own</v>
      </c>
    </row>
    <row r="780" spans="1:27" x14ac:dyDescent="0.3">
      <c r="A780" s="1" t="s">
        <v>42</v>
      </c>
      <c r="B780">
        <v>36</v>
      </c>
      <c r="C780" s="1" t="s">
        <v>22</v>
      </c>
      <c r="D780" s="1" t="s">
        <v>54</v>
      </c>
      <c r="E780">
        <v>5711</v>
      </c>
      <c r="F780" s="1" t="s">
        <v>58</v>
      </c>
      <c r="G780" s="1" t="s">
        <v>25</v>
      </c>
      <c r="H780">
        <v>4</v>
      </c>
      <c r="I780" s="1" t="s">
        <v>26</v>
      </c>
      <c r="J780" s="1" t="s">
        <v>27</v>
      </c>
      <c r="K780">
        <v>2</v>
      </c>
      <c r="L780" s="1" t="s">
        <v>55</v>
      </c>
      <c r="M780">
        <v>38</v>
      </c>
      <c r="N780" s="1" t="s">
        <v>29</v>
      </c>
      <c r="O780" s="1" t="s">
        <v>30</v>
      </c>
      <c r="P780">
        <v>2</v>
      </c>
      <c r="Q780" s="1" t="s">
        <v>57</v>
      </c>
      <c r="R780">
        <v>1</v>
      </c>
      <c r="S780" s="1" t="s">
        <v>32</v>
      </c>
      <c r="T780" s="1" t="s">
        <v>33</v>
      </c>
      <c r="U780" s="1" t="s">
        <v>34</v>
      </c>
      <c r="V780" s="1" t="str">
        <f>_xlfn.XLOOKUP(A780,Dictonary!$A$2:$A$5,Dictonary!$B$2:$B$5)</f>
        <v>No information</v>
      </c>
      <c r="W780" s="1" t="str">
        <f>_xlfn.XLOOKUP(D780,Dictonary!$D$2:$D$12,Dictonary!$E$2:$E$12)</f>
        <v>car (used)</v>
      </c>
      <c r="X780" s="1" t="str">
        <f>_xlfn.XLOOKUP(F780,Dictonary!$G$2:$G$6,Dictonary!$H$2:$H$6)</f>
        <v>More 1000</v>
      </c>
      <c r="Y780" s="1" t="str">
        <f>_xlfn.XLOOKUP(I780,Dictonary!$J$2:$J$6,Dictonary!$K$2:$K$6)</f>
        <v>male : single</v>
      </c>
      <c r="Z780" s="1" t="str">
        <f>_xlfn.XLOOKUP(Q780,Dictonary!$M$2:$M$5,Dictonary!$N$2:$N$5)</f>
        <v>management/ self-employed/ highly qualified employee/ officer</v>
      </c>
      <c r="AA780" s="1" t="str">
        <f>_xlfn.XLOOKUP(O780,Dictonary!$P$2:$P$4,Dictonary!$Q$2:$Q$4)</f>
        <v>own</v>
      </c>
    </row>
    <row r="781" spans="1:27" x14ac:dyDescent="0.3">
      <c r="A781" s="1" t="s">
        <v>35</v>
      </c>
      <c r="B781">
        <v>18</v>
      </c>
      <c r="C781" s="1" t="s">
        <v>36</v>
      </c>
      <c r="D781" s="1" t="s">
        <v>73</v>
      </c>
      <c r="E781">
        <v>3872</v>
      </c>
      <c r="F781" s="1" t="s">
        <v>37</v>
      </c>
      <c r="G781" s="1" t="s">
        <v>60</v>
      </c>
      <c r="H781">
        <v>2</v>
      </c>
      <c r="I781" s="1" t="s">
        <v>39</v>
      </c>
      <c r="J781" s="1" t="s">
        <v>27</v>
      </c>
      <c r="K781">
        <v>4</v>
      </c>
      <c r="L781" s="1" t="s">
        <v>55</v>
      </c>
      <c r="M781">
        <v>67</v>
      </c>
      <c r="N781" s="1" t="s">
        <v>29</v>
      </c>
      <c r="O781" s="1" t="s">
        <v>30</v>
      </c>
      <c r="P781">
        <v>1</v>
      </c>
      <c r="Q781" s="1" t="s">
        <v>31</v>
      </c>
      <c r="R781">
        <v>1</v>
      </c>
      <c r="S781" s="1" t="s">
        <v>32</v>
      </c>
      <c r="T781" s="1" t="s">
        <v>33</v>
      </c>
      <c r="U781" s="1" t="s">
        <v>34</v>
      </c>
      <c r="V781" s="1" t="str">
        <f>_xlfn.XLOOKUP(A781,Dictonary!$A$2:$A$5,Dictonary!$B$2:$B$5)</f>
        <v>Low balance</v>
      </c>
      <c r="W781" s="1" t="str">
        <f>_xlfn.XLOOKUP(D781,Dictonary!$D$2:$D$12,Dictonary!$E$2:$E$12)</f>
        <v>repairs</v>
      </c>
      <c r="X781" s="1" t="str">
        <f>_xlfn.XLOOKUP(F781,Dictonary!$G$2:$G$6,Dictonary!$H$2:$H$6)</f>
        <v>Less 100</v>
      </c>
      <c r="Y781" s="1" t="str">
        <f>_xlfn.XLOOKUP(I781,Dictonary!$J$2:$J$6,Dictonary!$K$2:$K$6)</f>
        <v>female : divorced/separated/married</v>
      </c>
      <c r="Z781" s="1" t="str">
        <f>_xlfn.XLOOKUP(Q781,Dictonary!$M$2:$M$5,Dictonary!$N$2:$N$5)</f>
        <v>skilled employee / official</v>
      </c>
      <c r="AA781" s="1" t="str">
        <f>_xlfn.XLOOKUP(O781,Dictonary!$P$2:$P$4,Dictonary!$Q$2:$Q$4)</f>
        <v>own</v>
      </c>
    </row>
    <row r="782" spans="1:27" x14ac:dyDescent="0.3">
      <c r="A782" s="1" t="s">
        <v>35</v>
      </c>
      <c r="B782">
        <v>39</v>
      </c>
      <c r="C782" s="1" t="s">
        <v>22</v>
      </c>
      <c r="D782" s="1" t="s">
        <v>23</v>
      </c>
      <c r="E782">
        <v>4933</v>
      </c>
      <c r="F782" s="1" t="s">
        <v>37</v>
      </c>
      <c r="G782" s="1" t="s">
        <v>44</v>
      </c>
      <c r="H782">
        <v>2</v>
      </c>
      <c r="I782" s="1" t="s">
        <v>26</v>
      </c>
      <c r="J782" s="1" t="s">
        <v>47</v>
      </c>
      <c r="K782">
        <v>2</v>
      </c>
      <c r="L782" s="1" t="s">
        <v>28</v>
      </c>
      <c r="M782">
        <v>25</v>
      </c>
      <c r="N782" s="1" t="s">
        <v>29</v>
      </c>
      <c r="O782" s="1" t="s">
        <v>30</v>
      </c>
      <c r="P782">
        <v>2</v>
      </c>
      <c r="Q782" s="1" t="s">
        <v>31</v>
      </c>
      <c r="R782">
        <v>1</v>
      </c>
      <c r="S782" s="1" t="s">
        <v>40</v>
      </c>
      <c r="T782" s="1" t="s">
        <v>33</v>
      </c>
      <c r="U782" s="1" t="s">
        <v>41</v>
      </c>
      <c r="V782" s="1" t="str">
        <f>_xlfn.XLOOKUP(A782,Dictonary!$A$2:$A$5,Dictonary!$B$2:$B$5)</f>
        <v>Low balance</v>
      </c>
      <c r="W782" s="1" t="str">
        <f>_xlfn.XLOOKUP(D782,Dictonary!$D$2:$D$12,Dictonary!$E$2:$E$12)</f>
        <v>radio/television</v>
      </c>
      <c r="X782" s="1" t="str">
        <f>_xlfn.XLOOKUP(F782,Dictonary!$G$2:$G$6,Dictonary!$H$2:$H$6)</f>
        <v>Less 100</v>
      </c>
      <c r="Y782" s="1" t="str">
        <f>_xlfn.XLOOKUP(I782,Dictonary!$J$2:$J$6,Dictonary!$K$2:$K$6)</f>
        <v>male : single</v>
      </c>
      <c r="Z782" s="1" t="str">
        <f>_xlfn.XLOOKUP(Q782,Dictonary!$M$2:$M$5,Dictonary!$N$2:$N$5)</f>
        <v>skilled employee / official</v>
      </c>
      <c r="AA782" s="1" t="str">
        <f>_xlfn.XLOOKUP(O782,Dictonary!$P$2:$P$4,Dictonary!$Q$2:$Q$4)</f>
        <v>own</v>
      </c>
    </row>
    <row r="783" spans="1:27" x14ac:dyDescent="0.3">
      <c r="A783" s="1" t="s">
        <v>42</v>
      </c>
      <c r="B783">
        <v>24</v>
      </c>
      <c r="C783" s="1" t="s">
        <v>22</v>
      </c>
      <c r="D783" s="1" t="s">
        <v>51</v>
      </c>
      <c r="E783">
        <v>1940</v>
      </c>
      <c r="F783" s="1" t="s">
        <v>58</v>
      </c>
      <c r="G783" s="1" t="s">
        <v>25</v>
      </c>
      <c r="H783">
        <v>4</v>
      </c>
      <c r="I783" s="1" t="s">
        <v>26</v>
      </c>
      <c r="J783" s="1" t="s">
        <v>27</v>
      </c>
      <c r="K783">
        <v>4</v>
      </c>
      <c r="L783" s="1" t="s">
        <v>28</v>
      </c>
      <c r="M783">
        <v>60</v>
      </c>
      <c r="N783" s="1" t="s">
        <v>29</v>
      </c>
      <c r="O783" s="1" t="s">
        <v>30</v>
      </c>
      <c r="P783">
        <v>1</v>
      </c>
      <c r="Q783" s="1" t="s">
        <v>31</v>
      </c>
      <c r="R783">
        <v>1</v>
      </c>
      <c r="S783" s="1" t="s">
        <v>32</v>
      </c>
      <c r="T783" s="1" t="s">
        <v>33</v>
      </c>
      <c r="U783" s="1" t="s">
        <v>34</v>
      </c>
      <c r="V783" s="1" t="str">
        <f>_xlfn.XLOOKUP(A783,Dictonary!$A$2:$A$5,Dictonary!$B$2:$B$5)</f>
        <v>No information</v>
      </c>
      <c r="W783" s="1" t="str">
        <f>_xlfn.XLOOKUP(D783,Dictonary!$D$2:$D$12,Dictonary!$E$2:$E$12)</f>
        <v>car (new)</v>
      </c>
      <c r="X783" s="1" t="str">
        <f>_xlfn.XLOOKUP(F783,Dictonary!$G$2:$G$6,Dictonary!$H$2:$H$6)</f>
        <v>More 1000</v>
      </c>
      <c r="Y783" s="1" t="str">
        <f>_xlfn.XLOOKUP(I783,Dictonary!$J$2:$J$6,Dictonary!$K$2:$K$6)</f>
        <v>male : single</v>
      </c>
      <c r="Z783" s="1" t="str">
        <f>_xlfn.XLOOKUP(Q783,Dictonary!$M$2:$M$5,Dictonary!$N$2:$N$5)</f>
        <v>skilled employee / official</v>
      </c>
      <c r="AA783" s="1" t="str">
        <f>_xlfn.XLOOKUP(O783,Dictonary!$P$2:$P$4,Dictonary!$Q$2:$Q$4)</f>
        <v>own</v>
      </c>
    </row>
    <row r="784" spans="1:27" x14ac:dyDescent="0.3">
      <c r="A784" s="1" t="s">
        <v>35</v>
      </c>
      <c r="B784">
        <v>12</v>
      </c>
      <c r="C784" s="1" t="s">
        <v>65</v>
      </c>
      <c r="D784" s="1" t="s">
        <v>76</v>
      </c>
      <c r="E784">
        <v>1410</v>
      </c>
      <c r="F784" s="1" t="s">
        <v>37</v>
      </c>
      <c r="G784" s="1" t="s">
        <v>38</v>
      </c>
      <c r="H784">
        <v>2</v>
      </c>
      <c r="I784" s="1" t="s">
        <v>26</v>
      </c>
      <c r="J784" s="1" t="s">
        <v>27</v>
      </c>
      <c r="K784">
        <v>2</v>
      </c>
      <c r="L784" s="1" t="s">
        <v>28</v>
      </c>
      <c r="M784">
        <v>31</v>
      </c>
      <c r="N784" s="1" t="s">
        <v>29</v>
      </c>
      <c r="O784" s="1" t="s">
        <v>30</v>
      </c>
      <c r="P784">
        <v>1</v>
      </c>
      <c r="Q784" s="1" t="s">
        <v>45</v>
      </c>
      <c r="R784">
        <v>1</v>
      </c>
      <c r="S784" s="1" t="s">
        <v>32</v>
      </c>
      <c r="T784" s="1" t="s">
        <v>33</v>
      </c>
      <c r="U784" s="1" t="s">
        <v>34</v>
      </c>
      <c r="V784" s="1" t="str">
        <f>_xlfn.XLOOKUP(A784,Dictonary!$A$2:$A$5,Dictonary!$B$2:$B$5)</f>
        <v>Low balance</v>
      </c>
      <c r="W784" s="1" t="str">
        <f>_xlfn.XLOOKUP(D784,Dictonary!$D$2:$D$12,Dictonary!$E$2:$E$12)</f>
        <v>retraining</v>
      </c>
      <c r="X784" s="1" t="str">
        <f>_xlfn.XLOOKUP(F784,Dictonary!$G$2:$G$6,Dictonary!$H$2:$H$6)</f>
        <v>Less 100</v>
      </c>
      <c r="Y784" s="1" t="str">
        <f>_xlfn.XLOOKUP(I784,Dictonary!$J$2:$J$6,Dictonary!$K$2:$K$6)</f>
        <v>male : single</v>
      </c>
      <c r="Z784" s="1" t="str">
        <f>_xlfn.XLOOKUP(Q784,Dictonary!$M$2:$M$5,Dictonary!$N$2:$N$5)</f>
        <v>unskilled - resident</v>
      </c>
      <c r="AA784" s="1" t="str">
        <f>_xlfn.XLOOKUP(O784,Dictonary!$P$2:$P$4,Dictonary!$Q$2:$Q$4)</f>
        <v>own</v>
      </c>
    </row>
    <row r="785" spans="1:27" x14ac:dyDescent="0.3">
      <c r="A785" s="1" t="s">
        <v>35</v>
      </c>
      <c r="B785">
        <v>12</v>
      </c>
      <c r="C785" s="1" t="s">
        <v>36</v>
      </c>
      <c r="D785" s="1" t="s">
        <v>51</v>
      </c>
      <c r="E785">
        <v>836</v>
      </c>
      <c r="F785" s="1" t="s">
        <v>64</v>
      </c>
      <c r="G785" s="1" t="s">
        <v>62</v>
      </c>
      <c r="H785">
        <v>4</v>
      </c>
      <c r="I785" s="1" t="s">
        <v>39</v>
      </c>
      <c r="J785" s="1" t="s">
        <v>27</v>
      </c>
      <c r="K785">
        <v>2</v>
      </c>
      <c r="L785" s="1" t="s">
        <v>48</v>
      </c>
      <c r="M785">
        <v>23</v>
      </c>
      <c r="N785" s="1" t="s">
        <v>66</v>
      </c>
      <c r="O785" s="1" t="s">
        <v>30</v>
      </c>
      <c r="P785">
        <v>1</v>
      </c>
      <c r="Q785" s="1" t="s">
        <v>45</v>
      </c>
      <c r="R785">
        <v>1</v>
      </c>
      <c r="S785" s="1" t="s">
        <v>40</v>
      </c>
      <c r="T785" s="1" t="s">
        <v>33</v>
      </c>
      <c r="U785" s="1" t="s">
        <v>41</v>
      </c>
      <c r="V785" s="1" t="str">
        <f>_xlfn.XLOOKUP(A785,Dictonary!$A$2:$A$5,Dictonary!$B$2:$B$5)</f>
        <v>Low balance</v>
      </c>
      <c r="W785" s="1" t="str">
        <f>_xlfn.XLOOKUP(D785,Dictonary!$D$2:$D$12,Dictonary!$E$2:$E$12)</f>
        <v>car (new)</v>
      </c>
      <c r="X785" s="1" t="str">
        <f>_xlfn.XLOOKUP(F785,Dictonary!$G$2:$G$6,Dictonary!$H$2:$H$6)</f>
        <v>Up to 500</v>
      </c>
      <c r="Y785" s="1" t="str">
        <f>_xlfn.XLOOKUP(I785,Dictonary!$J$2:$J$6,Dictonary!$K$2:$K$6)</f>
        <v>female : divorced/separated/married</v>
      </c>
      <c r="Z785" s="1" t="str">
        <f>_xlfn.XLOOKUP(Q785,Dictonary!$M$2:$M$5,Dictonary!$N$2:$N$5)</f>
        <v>unskilled - resident</v>
      </c>
      <c r="AA785" s="1" t="str">
        <f>_xlfn.XLOOKUP(O785,Dictonary!$P$2:$P$4,Dictonary!$Q$2:$Q$4)</f>
        <v>own</v>
      </c>
    </row>
    <row r="786" spans="1:27" x14ac:dyDescent="0.3">
      <c r="A786" s="1" t="s">
        <v>35</v>
      </c>
      <c r="B786">
        <v>20</v>
      </c>
      <c r="C786" s="1" t="s">
        <v>36</v>
      </c>
      <c r="D786" s="1" t="s">
        <v>54</v>
      </c>
      <c r="E786">
        <v>6468</v>
      </c>
      <c r="F786" s="1" t="s">
        <v>24</v>
      </c>
      <c r="G786" s="1" t="s">
        <v>60</v>
      </c>
      <c r="H786">
        <v>1</v>
      </c>
      <c r="I786" s="1" t="s">
        <v>59</v>
      </c>
      <c r="J786" s="1" t="s">
        <v>27</v>
      </c>
      <c r="K786">
        <v>4</v>
      </c>
      <c r="L786" s="1" t="s">
        <v>28</v>
      </c>
      <c r="M786">
        <v>60</v>
      </c>
      <c r="N786" s="1" t="s">
        <v>29</v>
      </c>
      <c r="O786" s="1" t="s">
        <v>30</v>
      </c>
      <c r="P786">
        <v>1</v>
      </c>
      <c r="Q786" s="1" t="s">
        <v>57</v>
      </c>
      <c r="R786">
        <v>1</v>
      </c>
      <c r="S786" s="1" t="s">
        <v>32</v>
      </c>
      <c r="T786" s="1" t="s">
        <v>33</v>
      </c>
      <c r="U786" s="1" t="s">
        <v>34</v>
      </c>
      <c r="V786" s="1" t="str">
        <f>_xlfn.XLOOKUP(A786,Dictonary!$A$2:$A$5,Dictonary!$B$2:$B$5)</f>
        <v>Low balance</v>
      </c>
      <c r="W786" s="1" t="str">
        <f>_xlfn.XLOOKUP(D786,Dictonary!$D$2:$D$12,Dictonary!$E$2:$E$12)</f>
        <v>car (used)</v>
      </c>
      <c r="X786" s="1" t="str">
        <f>_xlfn.XLOOKUP(F786,Dictonary!$G$2:$G$6,Dictonary!$H$2:$H$6)</f>
        <v>No information</v>
      </c>
      <c r="Y786" s="1" t="str">
        <f>_xlfn.XLOOKUP(I786,Dictonary!$J$2:$J$6,Dictonary!$K$2:$K$6)</f>
        <v>male : divorced/separated</v>
      </c>
      <c r="Z786" s="1" t="str">
        <f>_xlfn.XLOOKUP(Q786,Dictonary!$M$2:$M$5,Dictonary!$N$2:$N$5)</f>
        <v>management/ self-employed/ highly qualified employee/ officer</v>
      </c>
      <c r="AA786" s="1" t="str">
        <f>_xlfn.XLOOKUP(O786,Dictonary!$P$2:$P$4,Dictonary!$Q$2:$Q$4)</f>
        <v>own</v>
      </c>
    </row>
    <row r="787" spans="1:27" x14ac:dyDescent="0.3">
      <c r="A787" s="1" t="s">
        <v>35</v>
      </c>
      <c r="B787">
        <v>18</v>
      </c>
      <c r="C787" s="1" t="s">
        <v>36</v>
      </c>
      <c r="D787" s="1" t="s">
        <v>63</v>
      </c>
      <c r="E787">
        <v>1941</v>
      </c>
      <c r="F787" s="1" t="s">
        <v>58</v>
      </c>
      <c r="G787" s="1" t="s">
        <v>38</v>
      </c>
      <c r="H787">
        <v>4</v>
      </c>
      <c r="I787" s="1" t="s">
        <v>26</v>
      </c>
      <c r="J787" s="1" t="s">
        <v>27</v>
      </c>
      <c r="K787">
        <v>2</v>
      </c>
      <c r="L787" s="1" t="s">
        <v>48</v>
      </c>
      <c r="M787">
        <v>35</v>
      </c>
      <c r="N787" s="1" t="s">
        <v>29</v>
      </c>
      <c r="O787" s="1" t="s">
        <v>30</v>
      </c>
      <c r="P787">
        <v>1</v>
      </c>
      <c r="Q787" s="1" t="s">
        <v>45</v>
      </c>
      <c r="R787">
        <v>1</v>
      </c>
      <c r="S787" s="1" t="s">
        <v>32</v>
      </c>
      <c r="T787" s="1" t="s">
        <v>33</v>
      </c>
      <c r="U787" s="1" t="s">
        <v>34</v>
      </c>
      <c r="V787" s="1" t="str">
        <f>_xlfn.XLOOKUP(A787,Dictonary!$A$2:$A$5,Dictonary!$B$2:$B$5)</f>
        <v>Low balance</v>
      </c>
      <c r="W787" s="1" t="str">
        <f>_xlfn.XLOOKUP(D787,Dictonary!$D$2:$D$12,Dictonary!$E$2:$E$12)</f>
        <v>business</v>
      </c>
      <c r="X787" s="1" t="str">
        <f>_xlfn.XLOOKUP(F787,Dictonary!$G$2:$G$6,Dictonary!$H$2:$H$6)</f>
        <v>More 1000</v>
      </c>
      <c r="Y787" s="1" t="str">
        <f>_xlfn.XLOOKUP(I787,Dictonary!$J$2:$J$6,Dictonary!$K$2:$K$6)</f>
        <v>male : single</v>
      </c>
      <c r="Z787" s="1" t="str">
        <f>_xlfn.XLOOKUP(Q787,Dictonary!$M$2:$M$5,Dictonary!$N$2:$N$5)</f>
        <v>unskilled - resident</v>
      </c>
      <c r="AA787" s="1" t="str">
        <f>_xlfn.XLOOKUP(O787,Dictonary!$P$2:$P$4,Dictonary!$Q$2:$Q$4)</f>
        <v>own</v>
      </c>
    </row>
    <row r="788" spans="1:27" x14ac:dyDescent="0.3">
      <c r="A788" s="1" t="s">
        <v>42</v>
      </c>
      <c r="B788">
        <v>22</v>
      </c>
      <c r="C788" s="1" t="s">
        <v>36</v>
      </c>
      <c r="D788" s="1" t="s">
        <v>23</v>
      </c>
      <c r="E788">
        <v>2675</v>
      </c>
      <c r="F788" s="1" t="s">
        <v>53</v>
      </c>
      <c r="G788" s="1" t="s">
        <v>25</v>
      </c>
      <c r="H788">
        <v>3</v>
      </c>
      <c r="I788" s="1" t="s">
        <v>26</v>
      </c>
      <c r="J788" s="1" t="s">
        <v>27</v>
      </c>
      <c r="K788">
        <v>4</v>
      </c>
      <c r="L788" s="1" t="s">
        <v>55</v>
      </c>
      <c r="M788">
        <v>40</v>
      </c>
      <c r="N788" s="1" t="s">
        <v>29</v>
      </c>
      <c r="O788" s="1" t="s">
        <v>30</v>
      </c>
      <c r="P788">
        <v>1</v>
      </c>
      <c r="Q788" s="1" t="s">
        <v>31</v>
      </c>
      <c r="R788">
        <v>1</v>
      </c>
      <c r="S788" s="1" t="s">
        <v>40</v>
      </c>
      <c r="T788" s="1" t="s">
        <v>33</v>
      </c>
      <c r="U788" s="1" t="s">
        <v>34</v>
      </c>
      <c r="V788" s="1" t="str">
        <f>_xlfn.XLOOKUP(A788,Dictonary!$A$2:$A$5,Dictonary!$B$2:$B$5)</f>
        <v>No information</v>
      </c>
      <c r="W788" s="1" t="str">
        <f>_xlfn.XLOOKUP(D788,Dictonary!$D$2:$D$12,Dictonary!$E$2:$E$12)</f>
        <v>radio/television</v>
      </c>
      <c r="X788" s="1" t="str">
        <f>_xlfn.XLOOKUP(F788,Dictonary!$G$2:$G$6,Dictonary!$H$2:$H$6)</f>
        <v>Up to 1000</v>
      </c>
      <c r="Y788" s="1" t="str">
        <f>_xlfn.XLOOKUP(I788,Dictonary!$J$2:$J$6,Dictonary!$K$2:$K$6)</f>
        <v>male : single</v>
      </c>
      <c r="Z788" s="1" t="str">
        <f>_xlfn.XLOOKUP(Q788,Dictonary!$M$2:$M$5,Dictonary!$N$2:$N$5)</f>
        <v>skilled employee / official</v>
      </c>
      <c r="AA788" s="1" t="str">
        <f>_xlfn.XLOOKUP(O788,Dictonary!$P$2:$P$4,Dictonary!$Q$2:$Q$4)</f>
        <v>own</v>
      </c>
    </row>
    <row r="789" spans="1:27" x14ac:dyDescent="0.3">
      <c r="A789" s="1" t="s">
        <v>42</v>
      </c>
      <c r="B789">
        <v>48</v>
      </c>
      <c r="C789" s="1" t="s">
        <v>22</v>
      </c>
      <c r="D789" s="1" t="s">
        <v>54</v>
      </c>
      <c r="E789">
        <v>2751</v>
      </c>
      <c r="F789" s="1" t="s">
        <v>24</v>
      </c>
      <c r="G789" s="1" t="s">
        <v>25</v>
      </c>
      <c r="H789">
        <v>4</v>
      </c>
      <c r="I789" s="1" t="s">
        <v>26</v>
      </c>
      <c r="J789" s="1" t="s">
        <v>27</v>
      </c>
      <c r="K789">
        <v>3</v>
      </c>
      <c r="L789" s="1" t="s">
        <v>55</v>
      </c>
      <c r="M789">
        <v>38</v>
      </c>
      <c r="N789" s="1" t="s">
        <v>29</v>
      </c>
      <c r="O789" s="1" t="s">
        <v>30</v>
      </c>
      <c r="P789">
        <v>2</v>
      </c>
      <c r="Q789" s="1" t="s">
        <v>31</v>
      </c>
      <c r="R789">
        <v>2</v>
      </c>
      <c r="S789" s="1" t="s">
        <v>32</v>
      </c>
      <c r="T789" s="1" t="s">
        <v>33</v>
      </c>
      <c r="U789" s="1" t="s">
        <v>34</v>
      </c>
      <c r="V789" s="1" t="str">
        <f>_xlfn.XLOOKUP(A789,Dictonary!$A$2:$A$5,Dictonary!$B$2:$B$5)</f>
        <v>No information</v>
      </c>
      <c r="W789" s="1" t="str">
        <f>_xlfn.XLOOKUP(D789,Dictonary!$D$2:$D$12,Dictonary!$E$2:$E$12)</f>
        <v>car (used)</v>
      </c>
      <c r="X789" s="1" t="str">
        <f>_xlfn.XLOOKUP(F789,Dictonary!$G$2:$G$6,Dictonary!$H$2:$H$6)</f>
        <v>No information</v>
      </c>
      <c r="Y789" s="1" t="str">
        <f>_xlfn.XLOOKUP(I789,Dictonary!$J$2:$J$6,Dictonary!$K$2:$K$6)</f>
        <v>male : single</v>
      </c>
      <c r="Z789" s="1" t="str">
        <f>_xlfn.XLOOKUP(Q789,Dictonary!$M$2:$M$5,Dictonary!$N$2:$N$5)</f>
        <v>skilled employee / official</v>
      </c>
      <c r="AA789" s="1" t="str">
        <f>_xlfn.XLOOKUP(O789,Dictonary!$P$2:$P$4,Dictonary!$Q$2:$Q$4)</f>
        <v>own</v>
      </c>
    </row>
    <row r="790" spans="1:27" x14ac:dyDescent="0.3">
      <c r="A790" s="1" t="s">
        <v>35</v>
      </c>
      <c r="B790">
        <v>48</v>
      </c>
      <c r="C790" s="1" t="s">
        <v>50</v>
      </c>
      <c r="D790" s="1" t="s">
        <v>43</v>
      </c>
      <c r="E790">
        <v>6224</v>
      </c>
      <c r="F790" s="1" t="s">
        <v>37</v>
      </c>
      <c r="G790" s="1" t="s">
        <v>25</v>
      </c>
      <c r="H790">
        <v>4</v>
      </c>
      <c r="I790" s="1" t="s">
        <v>26</v>
      </c>
      <c r="J790" s="1" t="s">
        <v>27</v>
      </c>
      <c r="K790">
        <v>4</v>
      </c>
      <c r="L790" s="1" t="s">
        <v>52</v>
      </c>
      <c r="M790">
        <v>50</v>
      </c>
      <c r="N790" s="1" t="s">
        <v>29</v>
      </c>
      <c r="O790" s="1" t="s">
        <v>49</v>
      </c>
      <c r="P790">
        <v>1</v>
      </c>
      <c r="Q790" s="1" t="s">
        <v>31</v>
      </c>
      <c r="R790">
        <v>1</v>
      </c>
      <c r="S790" s="1" t="s">
        <v>40</v>
      </c>
      <c r="T790" s="1" t="s">
        <v>33</v>
      </c>
      <c r="U790" s="1" t="s">
        <v>41</v>
      </c>
      <c r="V790" s="1" t="str">
        <f>_xlfn.XLOOKUP(A790,Dictonary!$A$2:$A$5,Dictonary!$B$2:$B$5)</f>
        <v>Low balance</v>
      </c>
      <c r="W790" s="1" t="str">
        <f>_xlfn.XLOOKUP(D790,Dictonary!$D$2:$D$12,Dictonary!$E$2:$E$12)</f>
        <v>education</v>
      </c>
      <c r="X790" s="1" t="str">
        <f>_xlfn.XLOOKUP(F790,Dictonary!$G$2:$G$6,Dictonary!$H$2:$H$6)</f>
        <v>Less 100</v>
      </c>
      <c r="Y790" s="1" t="str">
        <f>_xlfn.XLOOKUP(I790,Dictonary!$J$2:$J$6,Dictonary!$K$2:$K$6)</f>
        <v>male : single</v>
      </c>
      <c r="Z790" s="1" t="str">
        <f>_xlfn.XLOOKUP(Q790,Dictonary!$M$2:$M$5,Dictonary!$N$2:$N$5)</f>
        <v>skilled employee / official</v>
      </c>
      <c r="AA790" s="1" t="str">
        <f>_xlfn.XLOOKUP(O790,Dictonary!$P$2:$P$4,Dictonary!$Q$2:$Q$4)</f>
        <v>for free</v>
      </c>
    </row>
    <row r="791" spans="1:27" x14ac:dyDescent="0.3">
      <c r="A791" s="1" t="s">
        <v>21</v>
      </c>
      <c r="B791">
        <v>40</v>
      </c>
      <c r="C791" s="1" t="s">
        <v>22</v>
      </c>
      <c r="D791" s="1" t="s">
        <v>43</v>
      </c>
      <c r="E791">
        <v>5998</v>
      </c>
      <c r="F791" s="1" t="s">
        <v>37</v>
      </c>
      <c r="G791" s="1" t="s">
        <v>38</v>
      </c>
      <c r="H791">
        <v>4</v>
      </c>
      <c r="I791" s="1" t="s">
        <v>26</v>
      </c>
      <c r="J791" s="1" t="s">
        <v>27</v>
      </c>
      <c r="K791">
        <v>3</v>
      </c>
      <c r="L791" s="1" t="s">
        <v>52</v>
      </c>
      <c r="M791">
        <v>27</v>
      </c>
      <c r="N791" s="1" t="s">
        <v>66</v>
      </c>
      <c r="O791" s="1" t="s">
        <v>30</v>
      </c>
      <c r="P791">
        <v>1</v>
      </c>
      <c r="Q791" s="1" t="s">
        <v>31</v>
      </c>
      <c r="R791">
        <v>1</v>
      </c>
      <c r="S791" s="1" t="s">
        <v>32</v>
      </c>
      <c r="T791" s="1" t="s">
        <v>33</v>
      </c>
      <c r="U791" s="1" t="s">
        <v>41</v>
      </c>
      <c r="V791" s="1" t="str">
        <f>_xlfn.XLOOKUP(A791,Dictonary!$A$2:$A$5,Dictonary!$B$2:$B$5)</f>
        <v>Negative balance</v>
      </c>
      <c r="W791" s="1" t="str">
        <f>_xlfn.XLOOKUP(D791,Dictonary!$D$2:$D$12,Dictonary!$E$2:$E$12)</f>
        <v>education</v>
      </c>
      <c r="X791" s="1" t="str">
        <f>_xlfn.XLOOKUP(F791,Dictonary!$G$2:$G$6,Dictonary!$H$2:$H$6)</f>
        <v>Less 100</v>
      </c>
      <c r="Y791" s="1" t="str">
        <f>_xlfn.XLOOKUP(I791,Dictonary!$J$2:$J$6,Dictonary!$K$2:$K$6)</f>
        <v>male : single</v>
      </c>
      <c r="Z791" s="1" t="str">
        <f>_xlfn.XLOOKUP(Q791,Dictonary!$M$2:$M$5,Dictonary!$N$2:$N$5)</f>
        <v>skilled employee / official</v>
      </c>
      <c r="AA791" s="1" t="str">
        <f>_xlfn.XLOOKUP(O791,Dictonary!$P$2:$P$4,Dictonary!$Q$2:$Q$4)</f>
        <v>own</v>
      </c>
    </row>
    <row r="792" spans="1:27" x14ac:dyDescent="0.3">
      <c r="A792" s="1" t="s">
        <v>35</v>
      </c>
      <c r="B792">
        <v>21</v>
      </c>
      <c r="C792" s="1" t="s">
        <v>36</v>
      </c>
      <c r="D792" s="1" t="s">
        <v>63</v>
      </c>
      <c r="E792">
        <v>1188</v>
      </c>
      <c r="F792" s="1" t="s">
        <v>37</v>
      </c>
      <c r="G792" s="1" t="s">
        <v>25</v>
      </c>
      <c r="H792">
        <v>2</v>
      </c>
      <c r="I792" s="1" t="s">
        <v>39</v>
      </c>
      <c r="J792" s="1" t="s">
        <v>27</v>
      </c>
      <c r="K792">
        <v>4</v>
      </c>
      <c r="L792" s="1" t="s">
        <v>48</v>
      </c>
      <c r="M792">
        <v>39</v>
      </c>
      <c r="N792" s="1" t="s">
        <v>29</v>
      </c>
      <c r="O792" s="1" t="s">
        <v>30</v>
      </c>
      <c r="P792">
        <v>1</v>
      </c>
      <c r="Q792" s="1" t="s">
        <v>31</v>
      </c>
      <c r="R792">
        <v>2</v>
      </c>
      <c r="S792" s="1" t="s">
        <v>40</v>
      </c>
      <c r="T792" s="1" t="s">
        <v>33</v>
      </c>
      <c r="U792" s="1" t="s">
        <v>41</v>
      </c>
      <c r="V792" s="1" t="str">
        <f>_xlfn.XLOOKUP(A792,Dictonary!$A$2:$A$5,Dictonary!$B$2:$B$5)</f>
        <v>Low balance</v>
      </c>
      <c r="W792" s="1" t="str">
        <f>_xlfn.XLOOKUP(D792,Dictonary!$D$2:$D$12,Dictonary!$E$2:$E$12)</f>
        <v>business</v>
      </c>
      <c r="X792" s="1" t="str">
        <f>_xlfn.XLOOKUP(F792,Dictonary!$G$2:$G$6,Dictonary!$H$2:$H$6)</f>
        <v>Less 100</v>
      </c>
      <c r="Y792" s="1" t="str">
        <f>_xlfn.XLOOKUP(I792,Dictonary!$J$2:$J$6,Dictonary!$K$2:$K$6)</f>
        <v>female : divorced/separated/married</v>
      </c>
      <c r="Z792" s="1" t="str">
        <f>_xlfn.XLOOKUP(Q792,Dictonary!$M$2:$M$5,Dictonary!$N$2:$N$5)</f>
        <v>skilled employee / official</v>
      </c>
      <c r="AA792" s="1" t="str">
        <f>_xlfn.XLOOKUP(O792,Dictonary!$P$2:$P$4,Dictonary!$Q$2:$Q$4)</f>
        <v>own</v>
      </c>
    </row>
    <row r="793" spans="1:27" x14ac:dyDescent="0.3">
      <c r="A793" s="1" t="s">
        <v>42</v>
      </c>
      <c r="B793">
        <v>24</v>
      </c>
      <c r="C793" s="1" t="s">
        <v>36</v>
      </c>
      <c r="D793" s="1" t="s">
        <v>54</v>
      </c>
      <c r="E793">
        <v>6313</v>
      </c>
      <c r="F793" s="1" t="s">
        <v>24</v>
      </c>
      <c r="G793" s="1" t="s">
        <v>25</v>
      </c>
      <c r="H793">
        <v>3</v>
      </c>
      <c r="I793" s="1" t="s">
        <v>26</v>
      </c>
      <c r="J793" s="1" t="s">
        <v>27</v>
      </c>
      <c r="K793">
        <v>4</v>
      </c>
      <c r="L793" s="1" t="s">
        <v>55</v>
      </c>
      <c r="M793">
        <v>41</v>
      </c>
      <c r="N793" s="1" t="s">
        <v>29</v>
      </c>
      <c r="O793" s="1" t="s">
        <v>30</v>
      </c>
      <c r="P793">
        <v>1</v>
      </c>
      <c r="Q793" s="1" t="s">
        <v>57</v>
      </c>
      <c r="R793">
        <v>2</v>
      </c>
      <c r="S793" s="1" t="s">
        <v>32</v>
      </c>
      <c r="T793" s="1" t="s">
        <v>33</v>
      </c>
      <c r="U793" s="1" t="s">
        <v>34</v>
      </c>
      <c r="V793" s="1" t="str">
        <f>_xlfn.XLOOKUP(A793,Dictonary!$A$2:$A$5,Dictonary!$B$2:$B$5)</f>
        <v>No information</v>
      </c>
      <c r="W793" s="1" t="str">
        <f>_xlfn.XLOOKUP(D793,Dictonary!$D$2:$D$12,Dictonary!$E$2:$E$12)</f>
        <v>car (used)</v>
      </c>
      <c r="X793" s="1" t="str">
        <f>_xlfn.XLOOKUP(F793,Dictonary!$G$2:$G$6,Dictonary!$H$2:$H$6)</f>
        <v>No information</v>
      </c>
      <c r="Y793" s="1" t="str">
        <f>_xlfn.XLOOKUP(I793,Dictonary!$J$2:$J$6,Dictonary!$K$2:$K$6)</f>
        <v>male : single</v>
      </c>
      <c r="Z793" s="1" t="str">
        <f>_xlfn.XLOOKUP(Q793,Dictonary!$M$2:$M$5,Dictonary!$N$2:$N$5)</f>
        <v>management/ self-employed/ highly qualified employee/ officer</v>
      </c>
      <c r="AA793" s="1" t="str">
        <f>_xlfn.XLOOKUP(O793,Dictonary!$P$2:$P$4,Dictonary!$Q$2:$Q$4)</f>
        <v>own</v>
      </c>
    </row>
    <row r="794" spans="1:27" x14ac:dyDescent="0.3">
      <c r="A794" s="1" t="s">
        <v>42</v>
      </c>
      <c r="B794">
        <v>6</v>
      </c>
      <c r="C794" s="1" t="s">
        <v>22</v>
      </c>
      <c r="D794" s="1" t="s">
        <v>46</v>
      </c>
      <c r="E794">
        <v>1221</v>
      </c>
      <c r="F794" s="1" t="s">
        <v>24</v>
      </c>
      <c r="G794" s="1" t="s">
        <v>38</v>
      </c>
      <c r="H794">
        <v>1</v>
      </c>
      <c r="I794" s="1" t="s">
        <v>61</v>
      </c>
      <c r="J794" s="1" t="s">
        <v>27</v>
      </c>
      <c r="K794">
        <v>2</v>
      </c>
      <c r="L794" s="1" t="s">
        <v>48</v>
      </c>
      <c r="M794">
        <v>27</v>
      </c>
      <c r="N794" s="1" t="s">
        <v>29</v>
      </c>
      <c r="O794" s="1" t="s">
        <v>30</v>
      </c>
      <c r="P794">
        <v>2</v>
      </c>
      <c r="Q794" s="1" t="s">
        <v>31</v>
      </c>
      <c r="R794">
        <v>1</v>
      </c>
      <c r="S794" s="1" t="s">
        <v>40</v>
      </c>
      <c r="T794" s="1" t="s">
        <v>33</v>
      </c>
      <c r="U794" s="1" t="s">
        <v>34</v>
      </c>
      <c r="V794" s="1" t="str">
        <f>_xlfn.XLOOKUP(A794,Dictonary!$A$2:$A$5,Dictonary!$B$2:$B$5)</f>
        <v>No information</v>
      </c>
      <c r="W794" s="1" t="str">
        <f>_xlfn.XLOOKUP(D794,Dictonary!$D$2:$D$12,Dictonary!$E$2:$E$12)</f>
        <v>furniture/equipment</v>
      </c>
      <c r="X794" s="1" t="str">
        <f>_xlfn.XLOOKUP(F794,Dictonary!$G$2:$G$6,Dictonary!$H$2:$H$6)</f>
        <v>No information</v>
      </c>
      <c r="Y794" s="1" t="str">
        <f>_xlfn.XLOOKUP(I794,Dictonary!$J$2:$J$6,Dictonary!$K$2:$K$6)</f>
        <v>male : married/widowed</v>
      </c>
      <c r="Z794" s="1" t="str">
        <f>_xlfn.XLOOKUP(Q794,Dictonary!$M$2:$M$5,Dictonary!$N$2:$N$5)</f>
        <v>skilled employee / official</v>
      </c>
      <c r="AA794" s="1" t="str">
        <f>_xlfn.XLOOKUP(O794,Dictonary!$P$2:$P$4,Dictonary!$Q$2:$Q$4)</f>
        <v>own</v>
      </c>
    </row>
    <row r="795" spans="1:27" x14ac:dyDescent="0.3">
      <c r="A795" s="1" t="s">
        <v>68</v>
      </c>
      <c r="B795">
        <v>24</v>
      </c>
      <c r="C795" s="1" t="s">
        <v>36</v>
      </c>
      <c r="D795" s="1" t="s">
        <v>46</v>
      </c>
      <c r="E795">
        <v>2892</v>
      </c>
      <c r="F795" s="1" t="s">
        <v>37</v>
      </c>
      <c r="G795" s="1" t="s">
        <v>25</v>
      </c>
      <c r="H795">
        <v>3</v>
      </c>
      <c r="I795" s="1" t="s">
        <v>59</v>
      </c>
      <c r="J795" s="1" t="s">
        <v>27</v>
      </c>
      <c r="K795">
        <v>4</v>
      </c>
      <c r="L795" s="1" t="s">
        <v>52</v>
      </c>
      <c r="M795">
        <v>51</v>
      </c>
      <c r="N795" s="1" t="s">
        <v>29</v>
      </c>
      <c r="O795" s="1" t="s">
        <v>49</v>
      </c>
      <c r="P795">
        <v>1</v>
      </c>
      <c r="Q795" s="1" t="s">
        <v>31</v>
      </c>
      <c r="R795">
        <v>1</v>
      </c>
      <c r="S795" s="1" t="s">
        <v>40</v>
      </c>
      <c r="T795" s="1" t="s">
        <v>33</v>
      </c>
      <c r="U795" s="1" t="s">
        <v>34</v>
      </c>
      <c r="V795" s="1" t="str">
        <f>_xlfn.XLOOKUP(A795,Dictonary!$A$2:$A$5,Dictonary!$B$2:$B$5)</f>
        <v>Normal balance</v>
      </c>
      <c r="W795" s="1" t="str">
        <f>_xlfn.XLOOKUP(D795,Dictonary!$D$2:$D$12,Dictonary!$E$2:$E$12)</f>
        <v>furniture/equipment</v>
      </c>
      <c r="X795" s="1" t="str">
        <f>_xlfn.XLOOKUP(F795,Dictonary!$G$2:$G$6,Dictonary!$H$2:$H$6)</f>
        <v>Less 100</v>
      </c>
      <c r="Y795" s="1" t="str">
        <f>_xlfn.XLOOKUP(I795,Dictonary!$J$2:$J$6,Dictonary!$K$2:$K$6)</f>
        <v>male : divorced/separated</v>
      </c>
      <c r="Z795" s="1" t="str">
        <f>_xlfn.XLOOKUP(Q795,Dictonary!$M$2:$M$5,Dictonary!$N$2:$N$5)</f>
        <v>skilled employee / official</v>
      </c>
      <c r="AA795" s="1" t="str">
        <f>_xlfn.XLOOKUP(O795,Dictonary!$P$2:$P$4,Dictonary!$Q$2:$Q$4)</f>
        <v>for free</v>
      </c>
    </row>
    <row r="796" spans="1:27" x14ac:dyDescent="0.3">
      <c r="A796" s="1" t="s">
        <v>42</v>
      </c>
      <c r="B796">
        <v>24</v>
      </c>
      <c r="C796" s="1" t="s">
        <v>36</v>
      </c>
      <c r="D796" s="1" t="s">
        <v>46</v>
      </c>
      <c r="E796">
        <v>3062</v>
      </c>
      <c r="F796" s="1" t="s">
        <v>53</v>
      </c>
      <c r="G796" s="1" t="s">
        <v>25</v>
      </c>
      <c r="H796">
        <v>4</v>
      </c>
      <c r="I796" s="1" t="s">
        <v>26</v>
      </c>
      <c r="J796" s="1" t="s">
        <v>27</v>
      </c>
      <c r="K796">
        <v>3</v>
      </c>
      <c r="L796" s="1" t="s">
        <v>52</v>
      </c>
      <c r="M796">
        <v>32</v>
      </c>
      <c r="N796" s="1" t="s">
        <v>29</v>
      </c>
      <c r="O796" s="1" t="s">
        <v>56</v>
      </c>
      <c r="P796">
        <v>1</v>
      </c>
      <c r="Q796" s="1" t="s">
        <v>31</v>
      </c>
      <c r="R796">
        <v>1</v>
      </c>
      <c r="S796" s="1" t="s">
        <v>32</v>
      </c>
      <c r="T796" s="1" t="s">
        <v>33</v>
      </c>
      <c r="U796" s="1" t="s">
        <v>34</v>
      </c>
      <c r="V796" s="1" t="str">
        <f>_xlfn.XLOOKUP(A796,Dictonary!$A$2:$A$5,Dictonary!$B$2:$B$5)</f>
        <v>No information</v>
      </c>
      <c r="W796" s="1" t="str">
        <f>_xlfn.XLOOKUP(D796,Dictonary!$D$2:$D$12,Dictonary!$E$2:$E$12)</f>
        <v>furniture/equipment</v>
      </c>
      <c r="X796" s="1" t="str">
        <f>_xlfn.XLOOKUP(F796,Dictonary!$G$2:$G$6,Dictonary!$H$2:$H$6)</f>
        <v>Up to 1000</v>
      </c>
      <c r="Y796" s="1" t="str">
        <f>_xlfn.XLOOKUP(I796,Dictonary!$J$2:$J$6,Dictonary!$K$2:$K$6)</f>
        <v>male : single</v>
      </c>
      <c r="Z796" s="1" t="str">
        <f>_xlfn.XLOOKUP(Q796,Dictonary!$M$2:$M$5,Dictonary!$N$2:$N$5)</f>
        <v>skilled employee / official</v>
      </c>
      <c r="AA796" s="1" t="str">
        <f>_xlfn.XLOOKUP(O796,Dictonary!$P$2:$P$4,Dictonary!$Q$2:$Q$4)</f>
        <v>rent</v>
      </c>
    </row>
    <row r="797" spans="1:27" x14ac:dyDescent="0.3">
      <c r="A797" s="1" t="s">
        <v>42</v>
      </c>
      <c r="B797">
        <v>9</v>
      </c>
      <c r="C797" s="1" t="s">
        <v>36</v>
      </c>
      <c r="D797" s="1" t="s">
        <v>46</v>
      </c>
      <c r="E797">
        <v>2301</v>
      </c>
      <c r="F797" s="1" t="s">
        <v>64</v>
      </c>
      <c r="G797" s="1" t="s">
        <v>62</v>
      </c>
      <c r="H797">
        <v>2</v>
      </c>
      <c r="I797" s="1" t="s">
        <v>39</v>
      </c>
      <c r="J797" s="1" t="s">
        <v>27</v>
      </c>
      <c r="K797">
        <v>4</v>
      </c>
      <c r="L797" s="1" t="s">
        <v>48</v>
      </c>
      <c r="M797">
        <v>22</v>
      </c>
      <c r="N797" s="1" t="s">
        <v>29</v>
      </c>
      <c r="O797" s="1" t="s">
        <v>56</v>
      </c>
      <c r="P797">
        <v>1</v>
      </c>
      <c r="Q797" s="1" t="s">
        <v>31</v>
      </c>
      <c r="R797">
        <v>1</v>
      </c>
      <c r="S797" s="1" t="s">
        <v>40</v>
      </c>
      <c r="T797" s="1" t="s">
        <v>33</v>
      </c>
      <c r="U797" s="1" t="s">
        <v>34</v>
      </c>
      <c r="V797" s="1" t="str">
        <f>_xlfn.XLOOKUP(A797,Dictonary!$A$2:$A$5,Dictonary!$B$2:$B$5)</f>
        <v>No information</v>
      </c>
      <c r="W797" s="1" t="str">
        <f>_xlfn.XLOOKUP(D797,Dictonary!$D$2:$D$12,Dictonary!$E$2:$E$12)</f>
        <v>furniture/equipment</v>
      </c>
      <c r="X797" s="1" t="str">
        <f>_xlfn.XLOOKUP(F797,Dictonary!$G$2:$G$6,Dictonary!$H$2:$H$6)</f>
        <v>Up to 500</v>
      </c>
      <c r="Y797" s="1" t="str">
        <f>_xlfn.XLOOKUP(I797,Dictonary!$J$2:$J$6,Dictonary!$K$2:$K$6)</f>
        <v>female : divorced/separated/married</v>
      </c>
      <c r="Z797" s="1" t="str">
        <f>_xlfn.XLOOKUP(Q797,Dictonary!$M$2:$M$5,Dictonary!$N$2:$N$5)</f>
        <v>skilled employee / official</v>
      </c>
      <c r="AA797" s="1" t="str">
        <f>_xlfn.XLOOKUP(O797,Dictonary!$P$2:$P$4,Dictonary!$Q$2:$Q$4)</f>
        <v>rent</v>
      </c>
    </row>
    <row r="798" spans="1:27" x14ac:dyDescent="0.3">
      <c r="A798" s="1" t="s">
        <v>21</v>
      </c>
      <c r="B798">
        <v>18</v>
      </c>
      <c r="C798" s="1" t="s">
        <v>36</v>
      </c>
      <c r="D798" s="1" t="s">
        <v>54</v>
      </c>
      <c r="E798">
        <v>7511</v>
      </c>
      <c r="F798" s="1" t="s">
        <v>24</v>
      </c>
      <c r="G798" s="1" t="s">
        <v>25</v>
      </c>
      <c r="H798">
        <v>1</v>
      </c>
      <c r="I798" s="1" t="s">
        <v>26</v>
      </c>
      <c r="J798" s="1" t="s">
        <v>27</v>
      </c>
      <c r="K798">
        <v>4</v>
      </c>
      <c r="L798" s="1" t="s">
        <v>48</v>
      </c>
      <c r="M798">
        <v>51</v>
      </c>
      <c r="N798" s="1" t="s">
        <v>29</v>
      </c>
      <c r="O798" s="1" t="s">
        <v>49</v>
      </c>
      <c r="P798">
        <v>1</v>
      </c>
      <c r="Q798" s="1" t="s">
        <v>31</v>
      </c>
      <c r="R798">
        <v>2</v>
      </c>
      <c r="S798" s="1" t="s">
        <v>32</v>
      </c>
      <c r="T798" s="1" t="s">
        <v>33</v>
      </c>
      <c r="U798" s="1" t="s">
        <v>41</v>
      </c>
      <c r="V798" s="1" t="str">
        <f>_xlfn.XLOOKUP(A798,Dictonary!$A$2:$A$5,Dictonary!$B$2:$B$5)</f>
        <v>Negative balance</v>
      </c>
      <c r="W798" s="1" t="str">
        <f>_xlfn.XLOOKUP(D798,Dictonary!$D$2:$D$12,Dictonary!$E$2:$E$12)</f>
        <v>car (used)</v>
      </c>
      <c r="X798" s="1" t="str">
        <f>_xlfn.XLOOKUP(F798,Dictonary!$G$2:$G$6,Dictonary!$H$2:$H$6)</f>
        <v>No information</v>
      </c>
      <c r="Y798" s="1" t="str">
        <f>_xlfn.XLOOKUP(I798,Dictonary!$J$2:$J$6,Dictonary!$K$2:$K$6)</f>
        <v>male : single</v>
      </c>
      <c r="Z798" s="1" t="str">
        <f>_xlfn.XLOOKUP(Q798,Dictonary!$M$2:$M$5,Dictonary!$N$2:$N$5)</f>
        <v>skilled employee / official</v>
      </c>
      <c r="AA798" s="1" t="str">
        <f>_xlfn.XLOOKUP(O798,Dictonary!$P$2:$P$4,Dictonary!$Q$2:$Q$4)</f>
        <v>for free</v>
      </c>
    </row>
    <row r="799" spans="1:27" x14ac:dyDescent="0.3">
      <c r="A799" s="1" t="s">
        <v>42</v>
      </c>
      <c r="B799">
        <v>12</v>
      </c>
      <c r="C799" s="1" t="s">
        <v>22</v>
      </c>
      <c r="D799" s="1" t="s">
        <v>46</v>
      </c>
      <c r="E799">
        <v>1258</v>
      </c>
      <c r="F799" s="1" t="s">
        <v>37</v>
      </c>
      <c r="G799" s="1" t="s">
        <v>62</v>
      </c>
      <c r="H799">
        <v>2</v>
      </c>
      <c r="I799" s="1" t="s">
        <v>39</v>
      </c>
      <c r="J799" s="1" t="s">
        <v>27</v>
      </c>
      <c r="K799">
        <v>4</v>
      </c>
      <c r="L799" s="1" t="s">
        <v>48</v>
      </c>
      <c r="M799">
        <v>22</v>
      </c>
      <c r="N799" s="1" t="s">
        <v>29</v>
      </c>
      <c r="O799" s="1" t="s">
        <v>56</v>
      </c>
      <c r="P799">
        <v>2</v>
      </c>
      <c r="Q799" s="1" t="s">
        <v>45</v>
      </c>
      <c r="R799">
        <v>1</v>
      </c>
      <c r="S799" s="1" t="s">
        <v>40</v>
      </c>
      <c r="T799" s="1" t="s">
        <v>33</v>
      </c>
      <c r="U799" s="1" t="s">
        <v>34</v>
      </c>
      <c r="V799" s="1" t="str">
        <f>_xlfn.XLOOKUP(A799,Dictonary!$A$2:$A$5,Dictonary!$B$2:$B$5)</f>
        <v>No information</v>
      </c>
      <c r="W799" s="1" t="str">
        <f>_xlfn.XLOOKUP(D799,Dictonary!$D$2:$D$12,Dictonary!$E$2:$E$12)</f>
        <v>furniture/equipment</v>
      </c>
      <c r="X799" s="1" t="str">
        <f>_xlfn.XLOOKUP(F799,Dictonary!$G$2:$G$6,Dictonary!$H$2:$H$6)</f>
        <v>Less 100</v>
      </c>
      <c r="Y799" s="1" t="str">
        <f>_xlfn.XLOOKUP(I799,Dictonary!$J$2:$J$6,Dictonary!$K$2:$K$6)</f>
        <v>female : divorced/separated/married</v>
      </c>
      <c r="Z799" s="1" t="str">
        <f>_xlfn.XLOOKUP(Q799,Dictonary!$M$2:$M$5,Dictonary!$N$2:$N$5)</f>
        <v>unskilled - resident</v>
      </c>
      <c r="AA799" s="1" t="str">
        <f>_xlfn.XLOOKUP(O799,Dictonary!$P$2:$P$4,Dictonary!$Q$2:$Q$4)</f>
        <v>rent</v>
      </c>
    </row>
    <row r="800" spans="1:27" x14ac:dyDescent="0.3">
      <c r="A800" s="1" t="s">
        <v>42</v>
      </c>
      <c r="B800">
        <v>24</v>
      </c>
      <c r="C800" s="1" t="s">
        <v>50</v>
      </c>
      <c r="D800" s="1" t="s">
        <v>51</v>
      </c>
      <c r="E800">
        <v>717</v>
      </c>
      <c r="F800" s="1" t="s">
        <v>24</v>
      </c>
      <c r="G800" s="1" t="s">
        <v>25</v>
      </c>
      <c r="H800">
        <v>4</v>
      </c>
      <c r="I800" s="1" t="s">
        <v>61</v>
      </c>
      <c r="J800" s="1" t="s">
        <v>27</v>
      </c>
      <c r="K800">
        <v>4</v>
      </c>
      <c r="L800" s="1" t="s">
        <v>55</v>
      </c>
      <c r="M800">
        <v>54</v>
      </c>
      <c r="N800" s="1" t="s">
        <v>29</v>
      </c>
      <c r="O800" s="1" t="s">
        <v>30</v>
      </c>
      <c r="P800">
        <v>2</v>
      </c>
      <c r="Q800" s="1" t="s">
        <v>31</v>
      </c>
      <c r="R800">
        <v>1</v>
      </c>
      <c r="S800" s="1" t="s">
        <v>32</v>
      </c>
      <c r="T800" s="1" t="s">
        <v>33</v>
      </c>
      <c r="U800" s="1" t="s">
        <v>34</v>
      </c>
      <c r="V800" s="1" t="str">
        <f>_xlfn.XLOOKUP(A800,Dictonary!$A$2:$A$5,Dictonary!$B$2:$B$5)</f>
        <v>No information</v>
      </c>
      <c r="W800" s="1" t="str">
        <f>_xlfn.XLOOKUP(D800,Dictonary!$D$2:$D$12,Dictonary!$E$2:$E$12)</f>
        <v>car (new)</v>
      </c>
      <c r="X800" s="1" t="str">
        <f>_xlfn.XLOOKUP(F800,Dictonary!$G$2:$G$6,Dictonary!$H$2:$H$6)</f>
        <v>No information</v>
      </c>
      <c r="Y800" s="1" t="str">
        <f>_xlfn.XLOOKUP(I800,Dictonary!$J$2:$J$6,Dictonary!$K$2:$K$6)</f>
        <v>male : married/widowed</v>
      </c>
      <c r="Z800" s="1" t="str">
        <f>_xlfn.XLOOKUP(Q800,Dictonary!$M$2:$M$5,Dictonary!$N$2:$N$5)</f>
        <v>skilled employee / official</v>
      </c>
      <c r="AA800" s="1" t="str">
        <f>_xlfn.XLOOKUP(O800,Dictonary!$P$2:$P$4,Dictonary!$Q$2:$Q$4)</f>
        <v>own</v>
      </c>
    </row>
    <row r="801" spans="1:27" x14ac:dyDescent="0.3">
      <c r="A801" s="1" t="s">
        <v>35</v>
      </c>
      <c r="B801">
        <v>9</v>
      </c>
      <c r="C801" s="1" t="s">
        <v>36</v>
      </c>
      <c r="D801" s="1" t="s">
        <v>51</v>
      </c>
      <c r="E801">
        <v>1549</v>
      </c>
      <c r="F801" s="1" t="s">
        <v>24</v>
      </c>
      <c r="G801" s="1" t="s">
        <v>62</v>
      </c>
      <c r="H801">
        <v>4</v>
      </c>
      <c r="I801" s="1" t="s">
        <v>26</v>
      </c>
      <c r="J801" s="1" t="s">
        <v>27</v>
      </c>
      <c r="K801">
        <v>2</v>
      </c>
      <c r="L801" s="1" t="s">
        <v>28</v>
      </c>
      <c r="M801">
        <v>35</v>
      </c>
      <c r="N801" s="1" t="s">
        <v>29</v>
      </c>
      <c r="O801" s="1" t="s">
        <v>30</v>
      </c>
      <c r="P801">
        <v>1</v>
      </c>
      <c r="Q801" s="1" t="s">
        <v>74</v>
      </c>
      <c r="R801">
        <v>1</v>
      </c>
      <c r="S801" s="1" t="s">
        <v>40</v>
      </c>
      <c r="T801" s="1" t="s">
        <v>33</v>
      </c>
      <c r="U801" s="1" t="s">
        <v>34</v>
      </c>
      <c r="V801" s="1" t="str">
        <f>_xlfn.XLOOKUP(A801,Dictonary!$A$2:$A$5,Dictonary!$B$2:$B$5)</f>
        <v>Low balance</v>
      </c>
      <c r="W801" s="1" t="str">
        <f>_xlfn.XLOOKUP(D801,Dictonary!$D$2:$D$12,Dictonary!$E$2:$E$12)</f>
        <v>car (new)</v>
      </c>
      <c r="X801" s="1" t="str">
        <f>_xlfn.XLOOKUP(F801,Dictonary!$G$2:$G$6,Dictonary!$H$2:$H$6)</f>
        <v>No information</v>
      </c>
      <c r="Y801" s="1" t="str">
        <f>_xlfn.XLOOKUP(I801,Dictonary!$J$2:$J$6,Dictonary!$K$2:$K$6)</f>
        <v>male : single</v>
      </c>
      <c r="Z801" s="1" t="str">
        <f>_xlfn.XLOOKUP(Q801,Dictonary!$M$2:$M$5,Dictonary!$N$2:$N$5)</f>
        <v>unemployed/ unskilled  - non-resident</v>
      </c>
      <c r="AA801" s="1" t="str">
        <f>_xlfn.XLOOKUP(O801,Dictonary!$P$2:$P$4,Dictonary!$Q$2:$Q$4)</f>
        <v>own</v>
      </c>
    </row>
    <row r="802" spans="1:27" x14ac:dyDescent="0.3">
      <c r="A802" s="1" t="s">
        <v>42</v>
      </c>
      <c r="B802">
        <v>24</v>
      </c>
      <c r="C802" s="1" t="s">
        <v>22</v>
      </c>
      <c r="D802" s="1" t="s">
        <v>43</v>
      </c>
      <c r="E802">
        <v>1597</v>
      </c>
      <c r="F802" s="1" t="s">
        <v>37</v>
      </c>
      <c r="G802" s="1" t="s">
        <v>25</v>
      </c>
      <c r="H802">
        <v>4</v>
      </c>
      <c r="I802" s="1" t="s">
        <v>26</v>
      </c>
      <c r="J802" s="1" t="s">
        <v>27</v>
      </c>
      <c r="K802">
        <v>4</v>
      </c>
      <c r="L802" s="1" t="s">
        <v>52</v>
      </c>
      <c r="M802">
        <v>54</v>
      </c>
      <c r="N802" s="1" t="s">
        <v>29</v>
      </c>
      <c r="O802" s="1" t="s">
        <v>49</v>
      </c>
      <c r="P802">
        <v>2</v>
      </c>
      <c r="Q802" s="1" t="s">
        <v>31</v>
      </c>
      <c r="R802">
        <v>2</v>
      </c>
      <c r="S802" s="1" t="s">
        <v>40</v>
      </c>
      <c r="T802" s="1" t="s">
        <v>33</v>
      </c>
      <c r="U802" s="1" t="s">
        <v>34</v>
      </c>
      <c r="V802" s="1" t="str">
        <f>_xlfn.XLOOKUP(A802,Dictonary!$A$2:$A$5,Dictonary!$B$2:$B$5)</f>
        <v>No information</v>
      </c>
      <c r="W802" s="1" t="str">
        <f>_xlfn.XLOOKUP(D802,Dictonary!$D$2:$D$12,Dictonary!$E$2:$E$12)</f>
        <v>education</v>
      </c>
      <c r="X802" s="1" t="str">
        <f>_xlfn.XLOOKUP(F802,Dictonary!$G$2:$G$6,Dictonary!$H$2:$H$6)</f>
        <v>Less 100</v>
      </c>
      <c r="Y802" s="1" t="str">
        <f>_xlfn.XLOOKUP(I802,Dictonary!$J$2:$J$6,Dictonary!$K$2:$K$6)</f>
        <v>male : single</v>
      </c>
      <c r="Z802" s="1" t="str">
        <f>_xlfn.XLOOKUP(Q802,Dictonary!$M$2:$M$5,Dictonary!$N$2:$N$5)</f>
        <v>skilled employee / official</v>
      </c>
      <c r="AA802" s="1" t="str">
        <f>_xlfn.XLOOKUP(O802,Dictonary!$P$2:$P$4,Dictonary!$Q$2:$Q$4)</f>
        <v>for free</v>
      </c>
    </row>
    <row r="803" spans="1:27" x14ac:dyDescent="0.3">
      <c r="A803" s="1" t="s">
        <v>35</v>
      </c>
      <c r="B803">
        <v>18</v>
      </c>
      <c r="C803" s="1" t="s">
        <v>22</v>
      </c>
      <c r="D803" s="1" t="s">
        <v>23</v>
      </c>
      <c r="E803">
        <v>1795</v>
      </c>
      <c r="F803" s="1" t="s">
        <v>37</v>
      </c>
      <c r="G803" s="1" t="s">
        <v>25</v>
      </c>
      <c r="H803">
        <v>3</v>
      </c>
      <c r="I803" s="1" t="s">
        <v>39</v>
      </c>
      <c r="J803" s="1" t="s">
        <v>47</v>
      </c>
      <c r="K803">
        <v>4</v>
      </c>
      <c r="L803" s="1" t="s">
        <v>28</v>
      </c>
      <c r="M803">
        <v>48</v>
      </c>
      <c r="N803" s="1" t="s">
        <v>66</v>
      </c>
      <c r="O803" s="1" t="s">
        <v>56</v>
      </c>
      <c r="P803">
        <v>2</v>
      </c>
      <c r="Q803" s="1" t="s">
        <v>45</v>
      </c>
      <c r="R803">
        <v>1</v>
      </c>
      <c r="S803" s="1" t="s">
        <v>32</v>
      </c>
      <c r="T803" s="1" t="s">
        <v>33</v>
      </c>
      <c r="U803" s="1" t="s">
        <v>34</v>
      </c>
      <c r="V803" s="1" t="str">
        <f>_xlfn.XLOOKUP(A803,Dictonary!$A$2:$A$5,Dictonary!$B$2:$B$5)</f>
        <v>Low balance</v>
      </c>
      <c r="W803" s="1" t="str">
        <f>_xlfn.XLOOKUP(D803,Dictonary!$D$2:$D$12,Dictonary!$E$2:$E$12)</f>
        <v>radio/television</v>
      </c>
      <c r="X803" s="1" t="str">
        <f>_xlfn.XLOOKUP(F803,Dictonary!$G$2:$G$6,Dictonary!$H$2:$H$6)</f>
        <v>Less 100</v>
      </c>
      <c r="Y803" s="1" t="str">
        <f>_xlfn.XLOOKUP(I803,Dictonary!$J$2:$J$6,Dictonary!$K$2:$K$6)</f>
        <v>female : divorced/separated/married</v>
      </c>
      <c r="Z803" s="1" t="str">
        <f>_xlfn.XLOOKUP(Q803,Dictonary!$M$2:$M$5,Dictonary!$N$2:$N$5)</f>
        <v>unskilled - resident</v>
      </c>
      <c r="AA803" s="1" t="str">
        <f>_xlfn.XLOOKUP(O803,Dictonary!$P$2:$P$4,Dictonary!$Q$2:$Q$4)</f>
        <v>rent</v>
      </c>
    </row>
    <row r="804" spans="1:27" x14ac:dyDescent="0.3">
      <c r="A804" s="1" t="s">
        <v>21</v>
      </c>
      <c r="B804">
        <v>20</v>
      </c>
      <c r="C804" s="1" t="s">
        <v>22</v>
      </c>
      <c r="D804" s="1" t="s">
        <v>46</v>
      </c>
      <c r="E804">
        <v>4272</v>
      </c>
      <c r="F804" s="1" t="s">
        <v>37</v>
      </c>
      <c r="G804" s="1" t="s">
        <v>25</v>
      </c>
      <c r="H804">
        <v>1</v>
      </c>
      <c r="I804" s="1" t="s">
        <v>39</v>
      </c>
      <c r="J804" s="1" t="s">
        <v>27</v>
      </c>
      <c r="K804">
        <v>4</v>
      </c>
      <c r="L804" s="1" t="s">
        <v>48</v>
      </c>
      <c r="M804">
        <v>24</v>
      </c>
      <c r="N804" s="1" t="s">
        <v>29</v>
      </c>
      <c r="O804" s="1" t="s">
        <v>30</v>
      </c>
      <c r="P804">
        <v>2</v>
      </c>
      <c r="Q804" s="1" t="s">
        <v>31</v>
      </c>
      <c r="R804">
        <v>1</v>
      </c>
      <c r="S804" s="1" t="s">
        <v>40</v>
      </c>
      <c r="T804" s="1" t="s">
        <v>33</v>
      </c>
      <c r="U804" s="1" t="s">
        <v>34</v>
      </c>
      <c r="V804" s="1" t="str">
        <f>_xlfn.XLOOKUP(A804,Dictonary!$A$2:$A$5,Dictonary!$B$2:$B$5)</f>
        <v>Negative balance</v>
      </c>
      <c r="W804" s="1" t="str">
        <f>_xlfn.XLOOKUP(D804,Dictonary!$D$2:$D$12,Dictonary!$E$2:$E$12)</f>
        <v>furniture/equipment</v>
      </c>
      <c r="X804" s="1" t="str">
        <f>_xlfn.XLOOKUP(F804,Dictonary!$G$2:$G$6,Dictonary!$H$2:$H$6)</f>
        <v>Less 100</v>
      </c>
      <c r="Y804" s="1" t="str">
        <f>_xlfn.XLOOKUP(I804,Dictonary!$J$2:$J$6,Dictonary!$K$2:$K$6)</f>
        <v>female : divorced/separated/married</v>
      </c>
      <c r="Z804" s="1" t="str">
        <f>_xlfn.XLOOKUP(Q804,Dictonary!$M$2:$M$5,Dictonary!$N$2:$N$5)</f>
        <v>skilled employee / official</v>
      </c>
      <c r="AA804" s="1" t="str">
        <f>_xlfn.XLOOKUP(O804,Dictonary!$P$2:$P$4,Dictonary!$Q$2:$Q$4)</f>
        <v>own</v>
      </c>
    </row>
    <row r="805" spans="1:27" x14ac:dyDescent="0.3">
      <c r="A805" s="1" t="s">
        <v>42</v>
      </c>
      <c r="B805">
        <v>12</v>
      </c>
      <c r="C805" s="1" t="s">
        <v>22</v>
      </c>
      <c r="D805" s="1" t="s">
        <v>23</v>
      </c>
      <c r="E805">
        <v>976</v>
      </c>
      <c r="F805" s="1" t="s">
        <v>24</v>
      </c>
      <c r="G805" s="1" t="s">
        <v>25</v>
      </c>
      <c r="H805">
        <v>4</v>
      </c>
      <c r="I805" s="1" t="s">
        <v>26</v>
      </c>
      <c r="J805" s="1" t="s">
        <v>27</v>
      </c>
      <c r="K805">
        <v>4</v>
      </c>
      <c r="L805" s="1" t="s">
        <v>55</v>
      </c>
      <c r="M805">
        <v>35</v>
      </c>
      <c r="N805" s="1" t="s">
        <v>29</v>
      </c>
      <c r="O805" s="1" t="s">
        <v>30</v>
      </c>
      <c r="P805">
        <v>2</v>
      </c>
      <c r="Q805" s="1" t="s">
        <v>31</v>
      </c>
      <c r="R805">
        <v>1</v>
      </c>
      <c r="S805" s="1" t="s">
        <v>40</v>
      </c>
      <c r="T805" s="1" t="s">
        <v>33</v>
      </c>
      <c r="U805" s="1" t="s">
        <v>34</v>
      </c>
      <c r="V805" s="1" t="str">
        <f>_xlfn.XLOOKUP(A805,Dictonary!$A$2:$A$5,Dictonary!$B$2:$B$5)</f>
        <v>No information</v>
      </c>
      <c r="W805" s="1" t="str">
        <f>_xlfn.XLOOKUP(D805,Dictonary!$D$2:$D$12,Dictonary!$E$2:$E$12)</f>
        <v>radio/television</v>
      </c>
      <c r="X805" s="1" t="str">
        <f>_xlfn.XLOOKUP(F805,Dictonary!$G$2:$G$6,Dictonary!$H$2:$H$6)</f>
        <v>No information</v>
      </c>
      <c r="Y805" s="1" t="str">
        <f>_xlfn.XLOOKUP(I805,Dictonary!$J$2:$J$6,Dictonary!$K$2:$K$6)</f>
        <v>male : single</v>
      </c>
      <c r="Z805" s="1" t="str">
        <f>_xlfn.XLOOKUP(Q805,Dictonary!$M$2:$M$5,Dictonary!$N$2:$N$5)</f>
        <v>skilled employee / official</v>
      </c>
      <c r="AA805" s="1" t="str">
        <f>_xlfn.XLOOKUP(O805,Dictonary!$P$2:$P$4,Dictonary!$Q$2:$Q$4)</f>
        <v>own</v>
      </c>
    </row>
    <row r="806" spans="1:27" x14ac:dyDescent="0.3">
      <c r="A806" s="1" t="s">
        <v>35</v>
      </c>
      <c r="B806">
        <v>12</v>
      </c>
      <c r="C806" s="1" t="s">
        <v>36</v>
      </c>
      <c r="D806" s="1" t="s">
        <v>51</v>
      </c>
      <c r="E806">
        <v>7472</v>
      </c>
      <c r="F806" s="1" t="s">
        <v>24</v>
      </c>
      <c r="G806" s="1" t="s">
        <v>60</v>
      </c>
      <c r="H806">
        <v>1</v>
      </c>
      <c r="I806" s="1" t="s">
        <v>39</v>
      </c>
      <c r="J806" s="1" t="s">
        <v>27</v>
      </c>
      <c r="K806">
        <v>2</v>
      </c>
      <c r="L806" s="1" t="s">
        <v>28</v>
      </c>
      <c r="M806">
        <v>24</v>
      </c>
      <c r="N806" s="1" t="s">
        <v>29</v>
      </c>
      <c r="O806" s="1" t="s">
        <v>56</v>
      </c>
      <c r="P806">
        <v>1</v>
      </c>
      <c r="Q806" s="1" t="s">
        <v>74</v>
      </c>
      <c r="R806">
        <v>1</v>
      </c>
      <c r="S806" s="1" t="s">
        <v>40</v>
      </c>
      <c r="T806" s="1" t="s">
        <v>33</v>
      </c>
      <c r="U806" s="1" t="s">
        <v>34</v>
      </c>
      <c r="V806" s="1" t="str">
        <f>_xlfn.XLOOKUP(A806,Dictonary!$A$2:$A$5,Dictonary!$B$2:$B$5)</f>
        <v>Low balance</v>
      </c>
      <c r="W806" s="1" t="str">
        <f>_xlfn.XLOOKUP(D806,Dictonary!$D$2:$D$12,Dictonary!$E$2:$E$12)</f>
        <v>car (new)</v>
      </c>
      <c r="X806" s="1" t="str">
        <f>_xlfn.XLOOKUP(F806,Dictonary!$G$2:$G$6,Dictonary!$H$2:$H$6)</f>
        <v>No information</v>
      </c>
      <c r="Y806" s="1" t="str">
        <f>_xlfn.XLOOKUP(I806,Dictonary!$J$2:$J$6,Dictonary!$K$2:$K$6)</f>
        <v>female : divorced/separated/married</v>
      </c>
      <c r="Z806" s="1" t="str">
        <f>_xlfn.XLOOKUP(Q806,Dictonary!$M$2:$M$5,Dictonary!$N$2:$N$5)</f>
        <v>unemployed/ unskilled  - non-resident</v>
      </c>
      <c r="AA806" s="1" t="str">
        <f>_xlfn.XLOOKUP(O806,Dictonary!$P$2:$P$4,Dictonary!$Q$2:$Q$4)</f>
        <v>rent</v>
      </c>
    </row>
    <row r="807" spans="1:27" x14ac:dyDescent="0.3">
      <c r="A807" s="1" t="s">
        <v>21</v>
      </c>
      <c r="B807">
        <v>36</v>
      </c>
      <c r="C807" s="1" t="s">
        <v>36</v>
      </c>
      <c r="D807" s="1" t="s">
        <v>51</v>
      </c>
      <c r="E807">
        <v>9271</v>
      </c>
      <c r="F807" s="1" t="s">
        <v>37</v>
      </c>
      <c r="G807" s="1" t="s">
        <v>44</v>
      </c>
      <c r="H807">
        <v>2</v>
      </c>
      <c r="I807" s="1" t="s">
        <v>26</v>
      </c>
      <c r="J807" s="1" t="s">
        <v>27</v>
      </c>
      <c r="K807">
        <v>1</v>
      </c>
      <c r="L807" s="1" t="s">
        <v>55</v>
      </c>
      <c r="M807">
        <v>24</v>
      </c>
      <c r="N807" s="1" t="s">
        <v>29</v>
      </c>
      <c r="O807" s="1" t="s">
        <v>30</v>
      </c>
      <c r="P807">
        <v>1</v>
      </c>
      <c r="Q807" s="1" t="s">
        <v>31</v>
      </c>
      <c r="R807">
        <v>1</v>
      </c>
      <c r="S807" s="1" t="s">
        <v>32</v>
      </c>
      <c r="T807" s="1" t="s">
        <v>33</v>
      </c>
      <c r="U807" s="1" t="s">
        <v>41</v>
      </c>
      <c r="V807" s="1" t="str">
        <f>_xlfn.XLOOKUP(A807,Dictonary!$A$2:$A$5,Dictonary!$B$2:$B$5)</f>
        <v>Negative balance</v>
      </c>
      <c r="W807" s="1" t="str">
        <f>_xlfn.XLOOKUP(D807,Dictonary!$D$2:$D$12,Dictonary!$E$2:$E$12)</f>
        <v>car (new)</v>
      </c>
      <c r="X807" s="1" t="str">
        <f>_xlfn.XLOOKUP(F807,Dictonary!$G$2:$G$6,Dictonary!$H$2:$H$6)</f>
        <v>Less 100</v>
      </c>
      <c r="Y807" s="1" t="str">
        <f>_xlfn.XLOOKUP(I807,Dictonary!$J$2:$J$6,Dictonary!$K$2:$K$6)</f>
        <v>male : single</v>
      </c>
      <c r="Z807" s="1" t="str">
        <f>_xlfn.XLOOKUP(Q807,Dictonary!$M$2:$M$5,Dictonary!$N$2:$N$5)</f>
        <v>skilled employee / official</v>
      </c>
      <c r="AA807" s="1" t="str">
        <f>_xlfn.XLOOKUP(O807,Dictonary!$P$2:$P$4,Dictonary!$Q$2:$Q$4)</f>
        <v>own</v>
      </c>
    </row>
    <row r="808" spans="1:27" x14ac:dyDescent="0.3">
      <c r="A808" s="1" t="s">
        <v>35</v>
      </c>
      <c r="B808">
        <v>6</v>
      </c>
      <c r="C808" s="1" t="s">
        <v>36</v>
      </c>
      <c r="D808" s="1" t="s">
        <v>23</v>
      </c>
      <c r="E808">
        <v>590</v>
      </c>
      <c r="F808" s="1" t="s">
        <v>37</v>
      </c>
      <c r="G808" s="1" t="s">
        <v>62</v>
      </c>
      <c r="H808">
        <v>3</v>
      </c>
      <c r="I808" s="1" t="s">
        <v>61</v>
      </c>
      <c r="J808" s="1" t="s">
        <v>27</v>
      </c>
      <c r="K808">
        <v>3</v>
      </c>
      <c r="L808" s="1" t="s">
        <v>28</v>
      </c>
      <c r="M808">
        <v>26</v>
      </c>
      <c r="N808" s="1" t="s">
        <v>29</v>
      </c>
      <c r="O808" s="1" t="s">
        <v>30</v>
      </c>
      <c r="P808">
        <v>1</v>
      </c>
      <c r="Q808" s="1" t="s">
        <v>45</v>
      </c>
      <c r="R808">
        <v>1</v>
      </c>
      <c r="S808" s="1" t="s">
        <v>40</v>
      </c>
      <c r="T808" s="1" t="s">
        <v>67</v>
      </c>
      <c r="U808" s="1" t="s">
        <v>34</v>
      </c>
      <c r="V808" s="1" t="str">
        <f>_xlfn.XLOOKUP(A808,Dictonary!$A$2:$A$5,Dictonary!$B$2:$B$5)</f>
        <v>Low balance</v>
      </c>
      <c r="W808" s="1" t="str">
        <f>_xlfn.XLOOKUP(D808,Dictonary!$D$2:$D$12,Dictonary!$E$2:$E$12)</f>
        <v>radio/television</v>
      </c>
      <c r="X808" s="1" t="str">
        <f>_xlfn.XLOOKUP(F808,Dictonary!$G$2:$G$6,Dictonary!$H$2:$H$6)</f>
        <v>Less 100</v>
      </c>
      <c r="Y808" s="1" t="str">
        <f>_xlfn.XLOOKUP(I808,Dictonary!$J$2:$J$6,Dictonary!$K$2:$K$6)</f>
        <v>male : married/widowed</v>
      </c>
      <c r="Z808" s="1" t="str">
        <f>_xlfn.XLOOKUP(Q808,Dictonary!$M$2:$M$5,Dictonary!$N$2:$N$5)</f>
        <v>unskilled - resident</v>
      </c>
      <c r="AA808" s="1" t="str">
        <f>_xlfn.XLOOKUP(O808,Dictonary!$P$2:$P$4,Dictonary!$Q$2:$Q$4)</f>
        <v>own</v>
      </c>
    </row>
    <row r="809" spans="1:27" x14ac:dyDescent="0.3">
      <c r="A809" s="1" t="s">
        <v>42</v>
      </c>
      <c r="B809">
        <v>12</v>
      </c>
      <c r="C809" s="1" t="s">
        <v>22</v>
      </c>
      <c r="D809" s="1" t="s">
        <v>23</v>
      </c>
      <c r="E809">
        <v>930</v>
      </c>
      <c r="F809" s="1" t="s">
        <v>24</v>
      </c>
      <c r="G809" s="1" t="s">
        <v>25</v>
      </c>
      <c r="H809">
        <v>4</v>
      </c>
      <c r="I809" s="1" t="s">
        <v>26</v>
      </c>
      <c r="J809" s="1" t="s">
        <v>27</v>
      </c>
      <c r="K809">
        <v>4</v>
      </c>
      <c r="L809" s="1" t="s">
        <v>28</v>
      </c>
      <c r="M809">
        <v>65</v>
      </c>
      <c r="N809" s="1" t="s">
        <v>29</v>
      </c>
      <c r="O809" s="1" t="s">
        <v>30</v>
      </c>
      <c r="P809">
        <v>4</v>
      </c>
      <c r="Q809" s="1" t="s">
        <v>31</v>
      </c>
      <c r="R809">
        <v>1</v>
      </c>
      <c r="S809" s="1" t="s">
        <v>40</v>
      </c>
      <c r="T809" s="1" t="s">
        <v>33</v>
      </c>
      <c r="U809" s="1" t="s">
        <v>34</v>
      </c>
      <c r="V809" s="1" t="str">
        <f>_xlfn.XLOOKUP(A809,Dictonary!$A$2:$A$5,Dictonary!$B$2:$B$5)</f>
        <v>No information</v>
      </c>
      <c r="W809" s="1" t="str">
        <f>_xlfn.XLOOKUP(D809,Dictonary!$D$2:$D$12,Dictonary!$E$2:$E$12)</f>
        <v>radio/television</v>
      </c>
      <c r="X809" s="1" t="str">
        <f>_xlfn.XLOOKUP(F809,Dictonary!$G$2:$G$6,Dictonary!$H$2:$H$6)</f>
        <v>No information</v>
      </c>
      <c r="Y809" s="1" t="str">
        <f>_xlfn.XLOOKUP(I809,Dictonary!$J$2:$J$6,Dictonary!$K$2:$K$6)</f>
        <v>male : single</v>
      </c>
      <c r="Z809" s="1" t="str">
        <f>_xlfn.XLOOKUP(Q809,Dictonary!$M$2:$M$5,Dictonary!$N$2:$N$5)</f>
        <v>skilled employee / official</v>
      </c>
      <c r="AA809" s="1" t="str">
        <f>_xlfn.XLOOKUP(O809,Dictonary!$P$2:$P$4,Dictonary!$Q$2:$Q$4)</f>
        <v>own</v>
      </c>
    </row>
    <row r="810" spans="1:27" x14ac:dyDescent="0.3">
      <c r="A810" s="1" t="s">
        <v>35</v>
      </c>
      <c r="B810">
        <v>42</v>
      </c>
      <c r="C810" s="1" t="s">
        <v>69</v>
      </c>
      <c r="D810" s="1" t="s">
        <v>54</v>
      </c>
      <c r="E810">
        <v>9283</v>
      </c>
      <c r="F810" s="1" t="s">
        <v>37</v>
      </c>
      <c r="G810" s="1" t="s">
        <v>60</v>
      </c>
      <c r="H810">
        <v>1</v>
      </c>
      <c r="I810" s="1" t="s">
        <v>26</v>
      </c>
      <c r="J810" s="1" t="s">
        <v>27</v>
      </c>
      <c r="K810">
        <v>2</v>
      </c>
      <c r="L810" s="1" t="s">
        <v>52</v>
      </c>
      <c r="M810">
        <v>55</v>
      </c>
      <c r="N810" s="1" t="s">
        <v>66</v>
      </c>
      <c r="O810" s="1" t="s">
        <v>49</v>
      </c>
      <c r="P810">
        <v>1</v>
      </c>
      <c r="Q810" s="1" t="s">
        <v>57</v>
      </c>
      <c r="R810">
        <v>1</v>
      </c>
      <c r="S810" s="1" t="s">
        <v>32</v>
      </c>
      <c r="T810" s="1" t="s">
        <v>33</v>
      </c>
      <c r="U810" s="1" t="s">
        <v>34</v>
      </c>
      <c r="V810" s="1" t="str">
        <f>_xlfn.XLOOKUP(A810,Dictonary!$A$2:$A$5,Dictonary!$B$2:$B$5)</f>
        <v>Low balance</v>
      </c>
      <c r="W810" s="1" t="str">
        <f>_xlfn.XLOOKUP(D810,Dictonary!$D$2:$D$12,Dictonary!$E$2:$E$12)</f>
        <v>car (used)</v>
      </c>
      <c r="X810" s="1" t="str">
        <f>_xlfn.XLOOKUP(F810,Dictonary!$G$2:$G$6,Dictonary!$H$2:$H$6)</f>
        <v>Less 100</v>
      </c>
      <c r="Y810" s="1" t="str">
        <f>_xlfn.XLOOKUP(I810,Dictonary!$J$2:$J$6,Dictonary!$K$2:$K$6)</f>
        <v>male : single</v>
      </c>
      <c r="Z810" s="1" t="str">
        <f>_xlfn.XLOOKUP(Q810,Dictonary!$M$2:$M$5,Dictonary!$N$2:$N$5)</f>
        <v>management/ self-employed/ highly qualified employee/ officer</v>
      </c>
      <c r="AA810" s="1" t="str">
        <f>_xlfn.XLOOKUP(O810,Dictonary!$P$2:$P$4,Dictonary!$Q$2:$Q$4)</f>
        <v>for free</v>
      </c>
    </row>
    <row r="811" spans="1:27" x14ac:dyDescent="0.3">
      <c r="A811" s="1" t="s">
        <v>35</v>
      </c>
      <c r="B811">
        <v>15</v>
      </c>
      <c r="C811" s="1" t="s">
        <v>65</v>
      </c>
      <c r="D811" s="1" t="s">
        <v>51</v>
      </c>
      <c r="E811">
        <v>1778</v>
      </c>
      <c r="F811" s="1" t="s">
        <v>37</v>
      </c>
      <c r="G811" s="1" t="s">
        <v>62</v>
      </c>
      <c r="H811">
        <v>2</v>
      </c>
      <c r="I811" s="1" t="s">
        <v>39</v>
      </c>
      <c r="J811" s="1" t="s">
        <v>27</v>
      </c>
      <c r="K811">
        <v>1</v>
      </c>
      <c r="L811" s="1" t="s">
        <v>28</v>
      </c>
      <c r="M811">
        <v>26</v>
      </c>
      <c r="N811" s="1" t="s">
        <v>29</v>
      </c>
      <c r="O811" s="1" t="s">
        <v>56</v>
      </c>
      <c r="P811">
        <v>2</v>
      </c>
      <c r="Q811" s="1" t="s">
        <v>74</v>
      </c>
      <c r="R811">
        <v>1</v>
      </c>
      <c r="S811" s="1" t="s">
        <v>40</v>
      </c>
      <c r="T811" s="1" t="s">
        <v>33</v>
      </c>
      <c r="U811" s="1" t="s">
        <v>41</v>
      </c>
      <c r="V811" s="1" t="str">
        <f>_xlfn.XLOOKUP(A811,Dictonary!$A$2:$A$5,Dictonary!$B$2:$B$5)</f>
        <v>Low balance</v>
      </c>
      <c r="W811" s="1" t="str">
        <f>_xlfn.XLOOKUP(D811,Dictonary!$D$2:$D$12,Dictonary!$E$2:$E$12)</f>
        <v>car (new)</v>
      </c>
      <c r="X811" s="1" t="str">
        <f>_xlfn.XLOOKUP(F811,Dictonary!$G$2:$G$6,Dictonary!$H$2:$H$6)</f>
        <v>Less 100</v>
      </c>
      <c r="Y811" s="1" t="str">
        <f>_xlfn.XLOOKUP(I811,Dictonary!$J$2:$J$6,Dictonary!$K$2:$K$6)</f>
        <v>female : divorced/separated/married</v>
      </c>
      <c r="Z811" s="1" t="str">
        <f>_xlfn.XLOOKUP(Q811,Dictonary!$M$2:$M$5,Dictonary!$N$2:$N$5)</f>
        <v>unemployed/ unskilled  - non-resident</v>
      </c>
      <c r="AA811" s="1" t="str">
        <f>_xlfn.XLOOKUP(O811,Dictonary!$P$2:$P$4,Dictonary!$Q$2:$Q$4)</f>
        <v>rent</v>
      </c>
    </row>
    <row r="812" spans="1:27" x14ac:dyDescent="0.3">
      <c r="A812" s="1" t="s">
        <v>35</v>
      </c>
      <c r="B812">
        <v>8</v>
      </c>
      <c r="C812" s="1" t="s">
        <v>36</v>
      </c>
      <c r="D812" s="1" t="s">
        <v>63</v>
      </c>
      <c r="E812">
        <v>907</v>
      </c>
      <c r="F812" s="1" t="s">
        <v>37</v>
      </c>
      <c r="G812" s="1" t="s">
        <v>62</v>
      </c>
      <c r="H812">
        <v>3</v>
      </c>
      <c r="I812" s="1" t="s">
        <v>61</v>
      </c>
      <c r="J812" s="1" t="s">
        <v>27</v>
      </c>
      <c r="K812">
        <v>2</v>
      </c>
      <c r="L812" s="1" t="s">
        <v>28</v>
      </c>
      <c r="M812">
        <v>26</v>
      </c>
      <c r="N812" s="1" t="s">
        <v>29</v>
      </c>
      <c r="O812" s="1" t="s">
        <v>30</v>
      </c>
      <c r="P812">
        <v>1</v>
      </c>
      <c r="Q812" s="1" t="s">
        <v>31</v>
      </c>
      <c r="R812">
        <v>1</v>
      </c>
      <c r="S812" s="1" t="s">
        <v>32</v>
      </c>
      <c r="T812" s="1" t="s">
        <v>33</v>
      </c>
      <c r="U812" s="1" t="s">
        <v>34</v>
      </c>
      <c r="V812" s="1" t="str">
        <f>_xlfn.XLOOKUP(A812,Dictonary!$A$2:$A$5,Dictonary!$B$2:$B$5)</f>
        <v>Low balance</v>
      </c>
      <c r="W812" s="1" t="str">
        <f>_xlfn.XLOOKUP(D812,Dictonary!$D$2:$D$12,Dictonary!$E$2:$E$12)</f>
        <v>business</v>
      </c>
      <c r="X812" s="1" t="str">
        <f>_xlfn.XLOOKUP(F812,Dictonary!$G$2:$G$6,Dictonary!$H$2:$H$6)</f>
        <v>Less 100</v>
      </c>
      <c r="Y812" s="1" t="str">
        <f>_xlfn.XLOOKUP(I812,Dictonary!$J$2:$J$6,Dictonary!$K$2:$K$6)</f>
        <v>male : married/widowed</v>
      </c>
      <c r="Z812" s="1" t="str">
        <f>_xlfn.XLOOKUP(Q812,Dictonary!$M$2:$M$5,Dictonary!$N$2:$N$5)</f>
        <v>skilled employee / official</v>
      </c>
      <c r="AA812" s="1" t="str">
        <f>_xlfn.XLOOKUP(O812,Dictonary!$P$2:$P$4,Dictonary!$Q$2:$Q$4)</f>
        <v>own</v>
      </c>
    </row>
    <row r="813" spans="1:27" x14ac:dyDescent="0.3">
      <c r="A813" s="1" t="s">
        <v>35</v>
      </c>
      <c r="B813">
        <v>6</v>
      </c>
      <c r="C813" s="1" t="s">
        <v>36</v>
      </c>
      <c r="D813" s="1" t="s">
        <v>23</v>
      </c>
      <c r="E813">
        <v>484</v>
      </c>
      <c r="F813" s="1" t="s">
        <v>37</v>
      </c>
      <c r="G813" s="1" t="s">
        <v>44</v>
      </c>
      <c r="H813">
        <v>3</v>
      </c>
      <c r="I813" s="1" t="s">
        <v>61</v>
      </c>
      <c r="J813" s="1" t="s">
        <v>47</v>
      </c>
      <c r="K813">
        <v>3</v>
      </c>
      <c r="L813" s="1" t="s">
        <v>28</v>
      </c>
      <c r="M813">
        <v>28</v>
      </c>
      <c r="N813" s="1" t="s">
        <v>66</v>
      </c>
      <c r="O813" s="1" t="s">
        <v>30</v>
      </c>
      <c r="P813">
        <v>1</v>
      </c>
      <c r="Q813" s="1" t="s">
        <v>45</v>
      </c>
      <c r="R813">
        <v>1</v>
      </c>
      <c r="S813" s="1" t="s">
        <v>40</v>
      </c>
      <c r="T813" s="1" t="s">
        <v>33</v>
      </c>
      <c r="U813" s="1" t="s">
        <v>34</v>
      </c>
      <c r="V813" s="1" t="str">
        <f>_xlfn.XLOOKUP(A813,Dictonary!$A$2:$A$5,Dictonary!$B$2:$B$5)</f>
        <v>Low balance</v>
      </c>
      <c r="W813" s="1" t="str">
        <f>_xlfn.XLOOKUP(D813,Dictonary!$D$2:$D$12,Dictonary!$E$2:$E$12)</f>
        <v>radio/television</v>
      </c>
      <c r="X813" s="1" t="str">
        <f>_xlfn.XLOOKUP(F813,Dictonary!$G$2:$G$6,Dictonary!$H$2:$H$6)</f>
        <v>Less 100</v>
      </c>
      <c r="Y813" s="1" t="str">
        <f>_xlfn.XLOOKUP(I813,Dictonary!$J$2:$J$6,Dictonary!$K$2:$K$6)</f>
        <v>male : married/widowed</v>
      </c>
      <c r="Z813" s="1" t="str">
        <f>_xlfn.XLOOKUP(Q813,Dictonary!$M$2:$M$5,Dictonary!$N$2:$N$5)</f>
        <v>unskilled - resident</v>
      </c>
      <c r="AA813" s="1" t="str">
        <f>_xlfn.XLOOKUP(O813,Dictonary!$P$2:$P$4,Dictonary!$Q$2:$Q$4)</f>
        <v>own</v>
      </c>
    </row>
    <row r="814" spans="1:27" x14ac:dyDescent="0.3">
      <c r="A814" s="1" t="s">
        <v>21</v>
      </c>
      <c r="B814">
        <v>36</v>
      </c>
      <c r="C814" s="1" t="s">
        <v>22</v>
      </c>
      <c r="D814" s="1" t="s">
        <v>54</v>
      </c>
      <c r="E814">
        <v>9629</v>
      </c>
      <c r="F814" s="1" t="s">
        <v>37</v>
      </c>
      <c r="G814" s="1" t="s">
        <v>44</v>
      </c>
      <c r="H814">
        <v>4</v>
      </c>
      <c r="I814" s="1" t="s">
        <v>26</v>
      </c>
      <c r="J814" s="1" t="s">
        <v>27</v>
      </c>
      <c r="K814">
        <v>4</v>
      </c>
      <c r="L814" s="1" t="s">
        <v>55</v>
      </c>
      <c r="M814">
        <v>24</v>
      </c>
      <c r="N814" s="1" t="s">
        <v>29</v>
      </c>
      <c r="O814" s="1" t="s">
        <v>30</v>
      </c>
      <c r="P814">
        <v>2</v>
      </c>
      <c r="Q814" s="1" t="s">
        <v>31</v>
      </c>
      <c r="R814">
        <v>1</v>
      </c>
      <c r="S814" s="1" t="s">
        <v>32</v>
      </c>
      <c r="T814" s="1" t="s">
        <v>33</v>
      </c>
      <c r="U814" s="1" t="s">
        <v>41</v>
      </c>
      <c r="V814" s="1" t="str">
        <f>_xlfn.XLOOKUP(A814,Dictonary!$A$2:$A$5,Dictonary!$B$2:$B$5)</f>
        <v>Negative balance</v>
      </c>
      <c r="W814" s="1" t="str">
        <f>_xlfn.XLOOKUP(D814,Dictonary!$D$2:$D$12,Dictonary!$E$2:$E$12)</f>
        <v>car (used)</v>
      </c>
      <c r="X814" s="1" t="str">
        <f>_xlfn.XLOOKUP(F814,Dictonary!$G$2:$G$6,Dictonary!$H$2:$H$6)</f>
        <v>Less 100</v>
      </c>
      <c r="Y814" s="1" t="str">
        <f>_xlfn.XLOOKUP(I814,Dictonary!$J$2:$J$6,Dictonary!$K$2:$K$6)</f>
        <v>male : single</v>
      </c>
      <c r="Z814" s="1" t="str">
        <f>_xlfn.XLOOKUP(Q814,Dictonary!$M$2:$M$5,Dictonary!$N$2:$N$5)</f>
        <v>skilled employee / official</v>
      </c>
      <c r="AA814" s="1" t="str">
        <f>_xlfn.XLOOKUP(O814,Dictonary!$P$2:$P$4,Dictonary!$Q$2:$Q$4)</f>
        <v>own</v>
      </c>
    </row>
    <row r="815" spans="1:27" x14ac:dyDescent="0.3">
      <c r="A815" s="1" t="s">
        <v>21</v>
      </c>
      <c r="B815">
        <v>48</v>
      </c>
      <c r="C815" s="1" t="s">
        <v>36</v>
      </c>
      <c r="D815" s="1" t="s">
        <v>72</v>
      </c>
      <c r="E815">
        <v>3051</v>
      </c>
      <c r="F815" s="1" t="s">
        <v>37</v>
      </c>
      <c r="G815" s="1" t="s">
        <v>38</v>
      </c>
      <c r="H815">
        <v>3</v>
      </c>
      <c r="I815" s="1" t="s">
        <v>26</v>
      </c>
      <c r="J815" s="1" t="s">
        <v>27</v>
      </c>
      <c r="K815">
        <v>4</v>
      </c>
      <c r="L815" s="1" t="s">
        <v>55</v>
      </c>
      <c r="M815">
        <v>54</v>
      </c>
      <c r="N815" s="1" t="s">
        <v>29</v>
      </c>
      <c r="O815" s="1" t="s">
        <v>30</v>
      </c>
      <c r="P815">
        <v>1</v>
      </c>
      <c r="Q815" s="1" t="s">
        <v>31</v>
      </c>
      <c r="R815">
        <v>1</v>
      </c>
      <c r="S815" s="1" t="s">
        <v>40</v>
      </c>
      <c r="T815" s="1" t="s">
        <v>33</v>
      </c>
      <c r="U815" s="1" t="s">
        <v>41</v>
      </c>
      <c r="V815" s="1" t="str">
        <f>_xlfn.XLOOKUP(A815,Dictonary!$A$2:$A$5,Dictonary!$B$2:$B$5)</f>
        <v>Negative balance</v>
      </c>
      <c r="W815" s="1" t="str">
        <f>_xlfn.XLOOKUP(D815,Dictonary!$D$2:$D$12,Dictonary!$E$2:$E$12)</f>
        <v>domestic appliances</v>
      </c>
      <c r="X815" s="1" t="str">
        <f>_xlfn.XLOOKUP(F815,Dictonary!$G$2:$G$6,Dictonary!$H$2:$H$6)</f>
        <v>Less 100</v>
      </c>
      <c r="Y815" s="1" t="str">
        <f>_xlfn.XLOOKUP(I815,Dictonary!$J$2:$J$6,Dictonary!$K$2:$K$6)</f>
        <v>male : single</v>
      </c>
      <c r="Z815" s="1" t="str">
        <f>_xlfn.XLOOKUP(Q815,Dictonary!$M$2:$M$5,Dictonary!$N$2:$N$5)</f>
        <v>skilled employee / official</v>
      </c>
      <c r="AA815" s="1" t="str">
        <f>_xlfn.XLOOKUP(O815,Dictonary!$P$2:$P$4,Dictonary!$Q$2:$Q$4)</f>
        <v>own</v>
      </c>
    </row>
    <row r="816" spans="1:27" x14ac:dyDescent="0.3">
      <c r="A816" s="1" t="s">
        <v>21</v>
      </c>
      <c r="B816">
        <v>48</v>
      </c>
      <c r="C816" s="1" t="s">
        <v>36</v>
      </c>
      <c r="D816" s="1" t="s">
        <v>51</v>
      </c>
      <c r="E816">
        <v>3931</v>
      </c>
      <c r="F816" s="1" t="s">
        <v>37</v>
      </c>
      <c r="G816" s="1" t="s">
        <v>44</v>
      </c>
      <c r="H816">
        <v>4</v>
      </c>
      <c r="I816" s="1" t="s">
        <v>26</v>
      </c>
      <c r="J816" s="1" t="s">
        <v>27</v>
      </c>
      <c r="K816">
        <v>4</v>
      </c>
      <c r="L816" s="1" t="s">
        <v>52</v>
      </c>
      <c r="M816">
        <v>46</v>
      </c>
      <c r="N816" s="1" t="s">
        <v>29</v>
      </c>
      <c r="O816" s="1" t="s">
        <v>49</v>
      </c>
      <c r="P816">
        <v>1</v>
      </c>
      <c r="Q816" s="1" t="s">
        <v>31</v>
      </c>
      <c r="R816">
        <v>2</v>
      </c>
      <c r="S816" s="1" t="s">
        <v>40</v>
      </c>
      <c r="T816" s="1" t="s">
        <v>33</v>
      </c>
      <c r="U816" s="1" t="s">
        <v>41</v>
      </c>
      <c r="V816" s="1" t="str">
        <f>_xlfn.XLOOKUP(A816,Dictonary!$A$2:$A$5,Dictonary!$B$2:$B$5)</f>
        <v>Negative balance</v>
      </c>
      <c r="W816" s="1" t="str">
        <f>_xlfn.XLOOKUP(D816,Dictonary!$D$2:$D$12,Dictonary!$E$2:$E$12)</f>
        <v>car (new)</v>
      </c>
      <c r="X816" s="1" t="str">
        <f>_xlfn.XLOOKUP(F816,Dictonary!$G$2:$G$6,Dictonary!$H$2:$H$6)</f>
        <v>Less 100</v>
      </c>
      <c r="Y816" s="1" t="str">
        <f>_xlfn.XLOOKUP(I816,Dictonary!$J$2:$J$6,Dictonary!$K$2:$K$6)</f>
        <v>male : single</v>
      </c>
      <c r="Z816" s="1" t="str">
        <f>_xlfn.XLOOKUP(Q816,Dictonary!$M$2:$M$5,Dictonary!$N$2:$N$5)</f>
        <v>skilled employee / official</v>
      </c>
      <c r="AA816" s="1" t="str">
        <f>_xlfn.XLOOKUP(O816,Dictonary!$P$2:$P$4,Dictonary!$Q$2:$Q$4)</f>
        <v>for free</v>
      </c>
    </row>
    <row r="817" spans="1:27" x14ac:dyDescent="0.3">
      <c r="A817" s="1" t="s">
        <v>35</v>
      </c>
      <c r="B817">
        <v>36</v>
      </c>
      <c r="C817" s="1" t="s">
        <v>50</v>
      </c>
      <c r="D817" s="1" t="s">
        <v>51</v>
      </c>
      <c r="E817">
        <v>7432</v>
      </c>
      <c r="F817" s="1" t="s">
        <v>37</v>
      </c>
      <c r="G817" s="1" t="s">
        <v>38</v>
      </c>
      <c r="H817">
        <v>2</v>
      </c>
      <c r="I817" s="1" t="s">
        <v>39</v>
      </c>
      <c r="J817" s="1" t="s">
        <v>27</v>
      </c>
      <c r="K817">
        <v>2</v>
      </c>
      <c r="L817" s="1" t="s">
        <v>48</v>
      </c>
      <c r="M817">
        <v>54</v>
      </c>
      <c r="N817" s="1" t="s">
        <v>29</v>
      </c>
      <c r="O817" s="1" t="s">
        <v>56</v>
      </c>
      <c r="P817">
        <v>1</v>
      </c>
      <c r="Q817" s="1" t="s">
        <v>31</v>
      </c>
      <c r="R817">
        <v>1</v>
      </c>
      <c r="S817" s="1" t="s">
        <v>40</v>
      </c>
      <c r="T817" s="1" t="s">
        <v>33</v>
      </c>
      <c r="U817" s="1" t="s">
        <v>34</v>
      </c>
      <c r="V817" s="1" t="str">
        <f>_xlfn.XLOOKUP(A817,Dictonary!$A$2:$A$5,Dictonary!$B$2:$B$5)</f>
        <v>Low balance</v>
      </c>
      <c r="W817" s="1" t="str">
        <f>_xlfn.XLOOKUP(D817,Dictonary!$D$2:$D$12,Dictonary!$E$2:$E$12)</f>
        <v>car (new)</v>
      </c>
      <c r="X817" s="1" t="str">
        <f>_xlfn.XLOOKUP(F817,Dictonary!$G$2:$G$6,Dictonary!$H$2:$H$6)</f>
        <v>Less 100</v>
      </c>
      <c r="Y817" s="1" t="str">
        <f>_xlfn.XLOOKUP(I817,Dictonary!$J$2:$J$6,Dictonary!$K$2:$K$6)</f>
        <v>female : divorced/separated/married</v>
      </c>
      <c r="Z817" s="1" t="str">
        <f>_xlfn.XLOOKUP(Q817,Dictonary!$M$2:$M$5,Dictonary!$N$2:$N$5)</f>
        <v>skilled employee / official</v>
      </c>
      <c r="AA817" s="1" t="str">
        <f>_xlfn.XLOOKUP(O817,Dictonary!$P$2:$P$4,Dictonary!$Q$2:$Q$4)</f>
        <v>rent</v>
      </c>
    </row>
    <row r="818" spans="1:27" x14ac:dyDescent="0.3">
      <c r="A818" s="1" t="s">
        <v>42</v>
      </c>
      <c r="B818">
        <v>6</v>
      </c>
      <c r="C818" s="1" t="s">
        <v>36</v>
      </c>
      <c r="D818" s="1" t="s">
        <v>72</v>
      </c>
      <c r="E818">
        <v>1338</v>
      </c>
      <c r="F818" s="1" t="s">
        <v>53</v>
      </c>
      <c r="G818" s="1" t="s">
        <v>38</v>
      </c>
      <c r="H818">
        <v>1</v>
      </c>
      <c r="I818" s="1" t="s">
        <v>59</v>
      </c>
      <c r="J818" s="1" t="s">
        <v>27</v>
      </c>
      <c r="K818">
        <v>4</v>
      </c>
      <c r="L818" s="1" t="s">
        <v>28</v>
      </c>
      <c r="M818">
        <v>62</v>
      </c>
      <c r="N818" s="1" t="s">
        <v>29</v>
      </c>
      <c r="O818" s="1" t="s">
        <v>30</v>
      </c>
      <c r="P818">
        <v>1</v>
      </c>
      <c r="Q818" s="1" t="s">
        <v>31</v>
      </c>
      <c r="R818">
        <v>1</v>
      </c>
      <c r="S818" s="1" t="s">
        <v>40</v>
      </c>
      <c r="T818" s="1" t="s">
        <v>33</v>
      </c>
      <c r="U818" s="1" t="s">
        <v>34</v>
      </c>
      <c r="V818" s="1" t="str">
        <f>_xlfn.XLOOKUP(A818,Dictonary!$A$2:$A$5,Dictonary!$B$2:$B$5)</f>
        <v>No information</v>
      </c>
      <c r="W818" s="1" t="str">
        <f>_xlfn.XLOOKUP(D818,Dictonary!$D$2:$D$12,Dictonary!$E$2:$E$12)</f>
        <v>domestic appliances</v>
      </c>
      <c r="X818" s="1" t="str">
        <f>_xlfn.XLOOKUP(F818,Dictonary!$G$2:$G$6,Dictonary!$H$2:$H$6)</f>
        <v>Up to 1000</v>
      </c>
      <c r="Y818" s="1" t="str">
        <f>_xlfn.XLOOKUP(I818,Dictonary!$J$2:$J$6,Dictonary!$K$2:$K$6)</f>
        <v>male : divorced/separated</v>
      </c>
      <c r="Z818" s="1" t="str">
        <f>_xlfn.XLOOKUP(Q818,Dictonary!$M$2:$M$5,Dictonary!$N$2:$N$5)</f>
        <v>skilled employee / official</v>
      </c>
      <c r="AA818" s="1" t="str">
        <f>_xlfn.XLOOKUP(O818,Dictonary!$P$2:$P$4,Dictonary!$Q$2:$Q$4)</f>
        <v>own</v>
      </c>
    </row>
    <row r="819" spans="1:27" x14ac:dyDescent="0.3">
      <c r="A819" s="1" t="s">
        <v>42</v>
      </c>
      <c r="B819">
        <v>6</v>
      </c>
      <c r="C819" s="1" t="s">
        <v>22</v>
      </c>
      <c r="D819" s="1" t="s">
        <v>23</v>
      </c>
      <c r="E819">
        <v>1554</v>
      </c>
      <c r="F819" s="1" t="s">
        <v>37</v>
      </c>
      <c r="G819" s="1" t="s">
        <v>44</v>
      </c>
      <c r="H819">
        <v>1</v>
      </c>
      <c r="I819" s="1" t="s">
        <v>39</v>
      </c>
      <c r="J819" s="1" t="s">
        <v>27</v>
      </c>
      <c r="K819">
        <v>2</v>
      </c>
      <c r="L819" s="1" t="s">
        <v>55</v>
      </c>
      <c r="M819">
        <v>24</v>
      </c>
      <c r="N819" s="1" t="s">
        <v>29</v>
      </c>
      <c r="O819" s="1" t="s">
        <v>56</v>
      </c>
      <c r="P819">
        <v>2</v>
      </c>
      <c r="Q819" s="1" t="s">
        <v>31</v>
      </c>
      <c r="R819">
        <v>1</v>
      </c>
      <c r="S819" s="1" t="s">
        <v>32</v>
      </c>
      <c r="T819" s="1" t="s">
        <v>33</v>
      </c>
      <c r="U819" s="1" t="s">
        <v>34</v>
      </c>
      <c r="V819" s="1" t="str">
        <f>_xlfn.XLOOKUP(A819,Dictonary!$A$2:$A$5,Dictonary!$B$2:$B$5)</f>
        <v>No information</v>
      </c>
      <c r="W819" s="1" t="str">
        <f>_xlfn.XLOOKUP(D819,Dictonary!$D$2:$D$12,Dictonary!$E$2:$E$12)</f>
        <v>radio/television</v>
      </c>
      <c r="X819" s="1" t="str">
        <f>_xlfn.XLOOKUP(F819,Dictonary!$G$2:$G$6,Dictonary!$H$2:$H$6)</f>
        <v>Less 100</v>
      </c>
      <c r="Y819" s="1" t="str">
        <f>_xlfn.XLOOKUP(I819,Dictonary!$J$2:$J$6,Dictonary!$K$2:$K$6)</f>
        <v>female : divorced/separated/married</v>
      </c>
      <c r="Z819" s="1" t="str">
        <f>_xlfn.XLOOKUP(Q819,Dictonary!$M$2:$M$5,Dictonary!$N$2:$N$5)</f>
        <v>skilled employee / official</v>
      </c>
      <c r="AA819" s="1" t="str">
        <f>_xlfn.XLOOKUP(O819,Dictonary!$P$2:$P$4,Dictonary!$Q$2:$Q$4)</f>
        <v>rent</v>
      </c>
    </row>
    <row r="820" spans="1:27" x14ac:dyDescent="0.3">
      <c r="A820" s="1" t="s">
        <v>21</v>
      </c>
      <c r="B820">
        <v>36</v>
      </c>
      <c r="C820" s="1" t="s">
        <v>36</v>
      </c>
      <c r="D820" s="1" t="s">
        <v>75</v>
      </c>
      <c r="E820">
        <v>15857</v>
      </c>
      <c r="F820" s="1" t="s">
        <v>37</v>
      </c>
      <c r="G820" s="1" t="s">
        <v>60</v>
      </c>
      <c r="H820">
        <v>2</v>
      </c>
      <c r="I820" s="1" t="s">
        <v>59</v>
      </c>
      <c r="J820" s="1" t="s">
        <v>71</v>
      </c>
      <c r="K820">
        <v>3</v>
      </c>
      <c r="L820" s="1" t="s">
        <v>55</v>
      </c>
      <c r="M820">
        <v>43</v>
      </c>
      <c r="N820" s="1" t="s">
        <v>29</v>
      </c>
      <c r="O820" s="1" t="s">
        <v>30</v>
      </c>
      <c r="P820">
        <v>1</v>
      </c>
      <c r="Q820" s="1" t="s">
        <v>57</v>
      </c>
      <c r="R820">
        <v>1</v>
      </c>
      <c r="S820" s="1" t="s">
        <v>40</v>
      </c>
      <c r="T820" s="1" t="s">
        <v>33</v>
      </c>
      <c r="U820" s="1" t="s">
        <v>34</v>
      </c>
      <c r="V820" s="1" t="str">
        <f>_xlfn.XLOOKUP(A820,Dictonary!$A$2:$A$5,Dictonary!$B$2:$B$5)</f>
        <v>Negative balance</v>
      </c>
      <c r="W820" s="1" t="str">
        <f>_xlfn.XLOOKUP(D820,Dictonary!$D$2:$D$12,Dictonary!$E$2:$E$12)</f>
        <v>others</v>
      </c>
      <c r="X820" s="1" t="str">
        <f>_xlfn.XLOOKUP(F820,Dictonary!$G$2:$G$6,Dictonary!$H$2:$H$6)</f>
        <v>Less 100</v>
      </c>
      <c r="Y820" s="1" t="str">
        <f>_xlfn.XLOOKUP(I820,Dictonary!$J$2:$J$6,Dictonary!$K$2:$K$6)</f>
        <v>male : divorced/separated</v>
      </c>
      <c r="Z820" s="1" t="str">
        <f>_xlfn.XLOOKUP(Q820,Dictonary!$M$2:$M$5,Dictonary!$N$2:$N$5)</f>
        <v>management/ self-employed/ highly qualified employee/ officer</v>
      </c>
      <c r="AA820" s="1" t="str">
        <f>_xlfn.XLOOKUP(O820,Dictonary!$P$2:$P$4,Dictonary!$Q$2:$Q$4)</f>
        <v>own</v>
      </c>
    </row>
    <row r="821" spans="1:27" x14ac:dyDescent="0.3">
      <c r="A821" s="1" t="s">
        <v>21</v>
      </c>
      <c r="B821">
        <v>18</v>
      </c>
      <c r="C821" s="1" t="s">
        <v>36</v>
      </c>
      <c r="D821" s="1" t="s">
        <v>23</v>
      </c>
      <c r="E821">
        <v>1345</v>
      </c>
      <c r="F821" s="1" t="s">
        <v>37</v>
      </c>
      <c r="G821" s="1" t="s">
        <v>38</v>
      </c>
      <c r="H821">
        <v>4</v>
      </c>
      <c r="I821" s="1" t="s">
        <v>61</v>
      </c>
      <c r="J821" s="1" t="s">
        <v>27</v>
      </c>
      <c r="K821">
        <v>3</v>
      </c>
      <c r="L821" s="1" t="s">
        <v>28</v>
      </c>
      <c r="M821">
        <v>26</v>
      </c>
      <c r="N821" s="1" t="s">
        <v>66</v>
      </c>
      <c r="O821" s="1" t="s">
        <v>30</v>
      </c>
      <c r="P821">
        <v>1</v>
      </c>
      <c r="Q821" s="1" t="s">
        <v>31</v>
      </c>
      <c r="R821">
        <v>1</v>
      </c>
      <c r="S821" s="1" t="s">
        <v>40</v>
      </c>
      <c r="T821" s="1" t="s">
        <v>33</v>
      </c>
      <c r="U821" s="1" t="s">
        <v>41</v>
      </c>
      <c r="V821" s="1" t="str">
        <f>_xlfn.XLOOKUP(A821,Dictonary!$A$2:$A$5,Dictonary!$B$2:$B$5)</f>
        <v>Negative balance</v>
      </c>
      <c r="W821" s="1" t="str">
        <f>_xlfn.XLOOKUP(D821,Dictonary!$D$2:$D$12,Dictonary!$E$2:$E$12)</f>
        <v>radio/television</v>
      </c>
      <c r="X821" s="1" t="str">
        <f>_xlfn.XLOOKUP(F821,Dictonary!$G$2:$G$6,Dictonary!$H$2:$H$6)</f>
        <v>Less 100</v>
      </c>
      <c r="Y821" s="1" t="str">
        <f>_xlfn.XLOOKUP(I821,Dictonary!$J$2:$J$6,Dictonary!$K$2:$K$6)</f>
        <v>male : married/widowed</v>
      </c>
      <c r="Z821" s="1" t="str">
        <f>_xlfn.XLOOKUP(Q821,Dictonary!$M$2:$M$5,Dictonary!$N$2:$N$5)</f>
        <v>skilled employee / official</v>
      </c>
      <c r="AA821" s="1" t="str">
        <f>_xlfn.XLOOKUP(O821,Dictonary!$P$2:$P$4,Dictonary!$Q$2:$Q$4)</f>
        <v>own</v>
      </c>
    </row>
    <row r="822" spans="1:27" x14ac:dyDescent="0.3">
      <c r="A822" s="1" t="s">
        <v>42</v>
      </c>
      <c r="B822">
        <v>12</v>
      </c>
      <c r="C822" s="1" t="s">
        <v>36</v>
      </c>
      <c r="D822" s="1" t="s">
        <v>51</v>
      </c>
      <c r="E822">
        <v>1101</v>
      </c>
      <c r="F822" s="1" t="s">
        <v>37</v>
      </c>
      <c r="G822" s="1" t="s">
        <v>38</v>
      </c>
      <c r="H822">
        <v>3</v>
      </c>
      <c r="I822" s="1" t="s">
        <v>61</v>
      </c>
      <c r="J822" s="1" t="s">
        <v>27</v>
      </c>
      <c r="K822">
        <v>2</v>
      </c>
      <c r="L822" s="1" t="s">
        <v>28</v>
      </c>
      <c r="M822">
        <v>27</v>
      </c>
      <c r="N822" s="1" t="s">
        <v>29</v>
      </c>
      <c r="O822" s="1" t="s">
        <v>30</v>
      </c>
      <c r="P822">
        <v>2</v>
      </c>
      <c r="Q822" s="1" t="s">
        <v>31</v>
      </c>
      <c r="R822">
        <v>1</v>
      </c>
      <c r="S822" s="1" t="s">
        <v>32</v>
      </c>
      <c r="T822" s="1" t="s">
        <v>33</v>
      </c>
      <c r="U822" s="1" t="s">
        <v>34</v>
      </c>
      <c r="V822" s="1" t="str">
        <f>_xlfn.XLOOKUP(A822,Dictonary!$A$2:$A$5,Dictonary!$B$2:$B$5)</f>
        <v>No information</v>
      </c>
      <c r="W822" s="1" t="str">
        <f>_xlfn.XLOOKUP(D822,Dictonary!$D$2:$D$12,Dictonary!$E$2:$E$12)</f>
        <v>car (new)</v>
      </c>
      <c r="X822" s="1" t="str">
        <f>_xlfn.XLOOKUP(F822,Dictonary!$G$2:$G$6,Dictonary!$H$2:$H$6)</f>
        <v>Less 100</v>
      </c>
      <c r="Y822" s="1" t="str">
        <f>_xlfn.XLOOKUP(I822,Dictonary!$J$2:$J$6,Dictonary!$K$2:$K$6)</f>
        <v>male : married/widowed</v>
      </c>
      <c r="Z822" s="1" t="str">
        <f>_xlfn.XLOOKUP(Q822,Dictonary!$M$2:$M$5,Dictonary!$N$2:$N$5)</f>
        <v>skilled employee / official</v>
      </c>
      <c r="AA822" s="1" t="str">
        <f>_xlfn.XLOOKUP(O822,Dictonary!$P$2:$P$4,Dictonary!$Q$2:$Q$4)</f>
        <v>own</v>
      </c>
    </row>
    <row r="823" spans="1:27" x14ac:dyDescent="0.3">
      <c r="A823" s="1" t="s">
        <v>68</v>
      </c>
      <c r="B823">
        <v>12</v>
      </c>
      <c r="C823" s="1" t="s">
        <v>36</v>
      </c>
      <c r="D823" s="1" t="s">
        <v>23</v>
      </c>
      <c r="E823">
        <v>3016</v>
      </c>
      <c r="F823" s="1" t="s">
        <v>37</v>
      </c>
      <c r="G823" s="1" t="s">
        <v>38</v>
      </c>
      <c r="H823">
        <v>3</v>
      </c>
      <c r="I823" s="1" t="s">
        <v>61</v>
      </c>
      <c r="J823" s="1" t="s">
        <v>27</v>
      </c>
      <c r="K823">
        <v>1</v>
      </c>
      <c r="L823" s="1" t="s">
        <v>55</v>
      </c>
      <c r="M823">
        <v>24</v>
      </c>
      <c r="N823" s="1" t="s">
        <v>29</v>
      </c>
      <c r="O823" s="1" t="s">
        <v>30</v>
      </c>
      <c r="P823">
        <v>1</v>
      </c>
      <c r="Q823" s="1" t="s">
        <v>31</v>
      </c>
      <c r="R823">
        <v>1</v>
      </c>
      <c r="S823" s="1" t="s">
        <v>40</v>
      </c>
      <c r="T823" s="1" t="s">
        <v>33</v>
      </c>
      <c r="U823" s="1" t="s">
        <v>34</v>
      </c>
      <c r="V823" s="1" t="str">
        <f>_xlfn.XLOOKUP(A823,Dictonary!$A$2:$A$5,Dictonary!$B$2:$B$5)</f>
        <v>Normal balance</v>
      </c>
      <c r="W823" s="1" t="str">
        <f>_xlfn.XLOOKUP(D823,Dictonary!$D$2:$D$12,Dictonary!$E$2:$E$12)</f>
        <v>radio/television</v>
      </c>
      <c r="X823" s="1" t="str">
        <f>_xlfn.XLOOKUP(F823,Dictonary!$G$2:$G$6,Dictonary!$H$2:$H$6)</f>
        <v>Less 100</v>
      </c>
      <c r="Y823" s="1" t="str">
        <f>_xlfn.XLOOKUP(I823,Dictonary!$J$2:$J$6,Dictonary!$K$2:$K$6)</f>
        <v>male : married/widowed</v>
      </c>
      <c r="Z823" s="1" t="str">
        <f>_xlfn.XLOOKUP(Q823,Dictonary!$M$2:$M$5,Dictonary!$N$2:$N$5)</f>
        <v>skilled employee / official</v>
      </c>
      <c r="AA823" s="1" t="str">
        <f>_xlfn.XLOOKUP(O823,Dictonary!$P$2:$P$4,Dictonary!$Q$2:$Q$4)</f>
        <v>own</v>
      </c>
    </row>
    <row r="824" spans="1:27" x14ac:dyDescent="0.3">
      <c r="A824" s="1" t="s">
        <v>21</v>
      </c>
      <c r="B824">
        <v>36</v>
      </c>
      <c r="C824" s="1" t="s">
        <v>36</v>
      </c>
      <c r="D824" s="1" t="s">
        <v>46</v>
      </c>
      <c r="E824">
        <v>2712</v>
      </c>
      <c r="F824" s="1" t="s">
        <v>37</v>
      </c>
      <c r="G824" s="1" t="s">
        <v>25</v>
      </c>
      <c r="H824">
        <v>2</v>
      </c>
      <c r="I824" s="1" t="s">
        <v>26</v>
      </c>
      <c r="J824" s="1" t="s">
        <v>27</v>
      </c>
      <c r="K824">
        <v>2</v>
      </c>
      <c r="L824" s="1" t="s">
        <v>48</v>
      </c>
      <c r="M824">
        <v>41</v>
      </c>
      <c r="N824" s="1" t="s">
        <v>66</v>
      </c>
      <c r="O824" s="1" t="s">
        <v>30</v>
      </c>
      <c r="P824">
        <v>1</v>
      </c>
      <c r="Q824" s="1" t="s">
        <v>31</v>
      </c>
      <c r="R824">
        <v>2</v>
      </c>
      <c r="S824" s="1" t="s">
        <v>40</v>
      </c>
      <c r="T824" s="1" t="s">
        <v>33</v>
      </c>
      <c r="U824" s="1" t="s">
        <v>41</v>
      </c>
      <c r="V824" s="1" t="str">
        <f>_xlfn.XLOOKUP(A824,Dictonary!$A$2:$A$5,Dictonary!$B$2:$B$5)</f>
        <v>Negative balance</v>
      </c>
      <c r="W824" s="1" t="str">
        <f>_xlfn.XLOOKUP(D824,Dictonary!$D$2:$D$12,Dictonary!$E$2:$E$12)</f>
        <v>furniture/equipment</v>
      </c>
      <c r="X824" s="1" t="str">
        <f>_xlfn.XLOOKUP(F824,Dictonary!$G$2:$G$6,Dictonary!$H$2:$H$6)</f>
        <v>Less 100</v>
      </c>
      <c r="Y824" s="1" t="str">
        <f>_xlfn.XLOOKUP(I824,Dictonary!$J$2:$J$6,Dictonary!$K$2:$K$6)</f>
        <v>male : single</v>
      </c>
      <c r="Z824" s="1" t="str">
        <f>_xlfn.XLOOKUP(Q824,Dictonary!$M$2:$M$5,Dictonary!$N$2:$N$5)</f>
        <v>skilled employee / official</v>
      </c>
      <c r="AA824" s="1" t="str">
        <f>_xlfn.XLOOKUP(O824,Dictonary!$P$2:$P$4,Dictonary!$Q$2:$Q$4)</f>
        <v>own</v>
      </c>
    </row>
    <row r="825" spans="1:27" x14ac:dyDescent="0.3">
      <c r="A825" s="1" t="s">
        <v>21</v>
      </c>
      <c r="B825">
        <v>8</v>
      </c>
      <c r="C825" s="1" t="s">
        <v>22</v>
      </c>
      <c r="D825" s="1" t="s">
        <v>51</v>
      </c>
      <c r="E825">
        <v>731</v>
      </c>
      <c r="F825" s="1" t="s">
        <v>37</v>
      </c>
      <c r="G825" s="1" t="s">
        <v>25</v>
      </c>
      <c r="H825">
        <v>4</v>
      </c>
      <c r="I825" s="1" t="s">
        <v>26</v>
      </c>
      <c r="J825" s="1" t="s">
        <v>27</v>
      </c>
      <c r="K825">
        <v>4</v>
      </c>
      <c r="L825" s="1" t="s">
        <v>28</v>
      </c>
      <c r="M825">
        <v>47</v>
      </c>
      <c r="N825" s="1" t="s">
        <v>29</v>
      </c>
      <c r="O825" s="1" t="s">
        <v>30</v>
      </c>
      <c r="P825">
        <v>2</v>
      </c>
      <c r="Q825" s="1" t="s">
        <v>45</v>
      </c>
      <c r="R825">
        <v>1</v>
      </c>
      <c r="S825" s="1" t="s">
        <v>40</v>
      </c>
      <c r="T825" s="1" t="s">
        <v>33</v>
      </c>
      <c r="U825" s="1" t="s">
        <v>34</v>
      </c>
      <c r="V825" s="1" t="str">
        <f>_xlfn.XLOOKUP(A825,Dictonary!$A$2:$A$5,Dictonary!$B$2:$B$5)</f>
        <v>Negative balance</v>
      </c>
      <c r="W825" s="1" t="str">
        <f>_xlfn.XLOOKUP(D825,Dictonary!$D$2:$D$12,Dictonary!$E$2:$E$12)</f>
        <v>car (new)</v>
      </c>
      <c r="X825" s="1" t="str">
        <f>_xlfn.XLOOKUP(F825,Dictonary!$G$2:$G$6,Dictonary!$H$2:$H$6)</f>
        <v>Less 100</v>
      </c>
      <c r="Y825" s="1" t="str">
        <f>_xlfn.XLOOKUP(I825,Dictonary!$J$2:$J$6,Dictonary!$K$2:$K$6)</f>
        <v>male : single</v>
      </c>
      <c r="Z825" s="1" t="str">
        <f>_xlfn.XLOOKUP(Q825,Dictonary!$M$2:$M$5,Dictonary!$N$2:$N$5)</f>
        <v>unskilled - resident</v>
      </c>
      <c r="AA825" s="1" t="str">
        <f>_xlfn.XLOOKUP(O825,Dictonary!$P$2:$P$4,Dictonary!$Q$2:$Q$4)</f>
        <v>own</v>
      </c>
    </row>
    <row r="826" spans="1:27" x14ac:dyDescent="0.3">
      <c r="A826" s="1" t="s">
        <v>42</v>
      </c>
      <c r="B826">
        <v>18</v>
      </c>
      <c r="C826" s="1" t="s">
        <v>22</v>
      </c>
      <c r="D826" s="1" t="s">
        <v>46</v>
      </c>
      <c r="E826">
        <v>3780</v>
      </c>
      <c r="F826" s="1" t="s">
        <v>37</v>
      </c>
      <c r="G826" s="1" t="s">
        <v>62</v>
      </c>
      <c r="H826">
        <v>3</v>
      </c>
      <c r="I826" s="1" t="s">
        <v>59</v>
      </c>
      <c r="J826" s="1" t="s">
        <v>27</v>
      </c>
      <c r="K826">
        <v>2</v>
      </c>
      <c r="L826" s="1" t="s">
        <v>55</v>
      </c>
      <c r="M826">
        <v>35</v>
      </c>
      <c r="N826" s="1" t="s">
        <v>29</v>
      </c>
      <c r="O826" s="1" t="s">
        <v>30</v>
      </c>
      <c r="P826">
        <v>2</v>
      </c>
      <c r="Q826" s="1" t="s">
        <v>57</v>
      </c>
      <c r="R826">
        <v>1</v>
      </c>
      <c r="S826" s="1" t="s">
        <v>32</v>
      </c>
      <c r="T826" s="1" t="s">
        <v>33</v>
      </c>
      <c r="U826" s="1" t="s">
        <v>34</v>
      </c>
      <c r="V826" s="1" t="str">
        <f>_xlfn.XLOOKUP(A826,Dictonary!$A$2:$A$5,Dictonary!$B$2:$B$5)</f>
        <v>No information</v>
      </c>
      <c r="W826" s="1" t="str">
        <f>_xlfn.XLOOKUP(D826,Dictonary!$D$2:$D$12,Dictonary!$E$2:$E$12)</f>
        <v>furniture/equipment</v>
      </c>
      <c r="X826" s="1" t="str">
        <f>_xlfn.XLOOKUP(F826,Dictonary!$G$2:$G$6,Dictonary!$H$2:$H$6)</f>
        <v>Less 100</v>
      </c>
      <c r="Y826" s="1" t="str">
        <f>_xlfn.XLOOKUP(I826,Dictonary!$J$2:$J$6,Dictonary!$K$2:$K$6)</f>
        <v>male : divorced/separated</v>
      </c>
      <c r="Z826" s="1" t="str">
        <f>_xlfn.XLOOKUP(Q826,Dictonary!$M$2:$M$5,Dictonary!$N$2:$N$5)</f>
        <v>management/ self-employed/ highly qualified employee/ officer</v>
      </c>
      <c r="AA826" s="1" t="str">
        <f>_xlfn.XLOOKUP(O826,Dictonary!$P$2:$P$4,Dictonary!$Q$2:$Q$4)</f>
        <v>own</v>
      </c>
    </row>
    <row r="827" spans="1:27" x14ac:dyDescent="0.3">
      <c r="A827" s="1" t="s">
        <v>21</v>
      </c>
      <c r="B827">
        <v>21</v>
      </c>
      <c r="C827" s="1" t="s">
        <v>22</v>
      </c>
      <c r="D827" s="1" t="s">
        <v>51</v>
      </c>
      <c r="E827">
        <v>1602</v>
      </c>
      <c r="F827" s="1" t="s">
        <v>37</v>
      </c>
      <c r="G827" s="1" t="s">
        <v>25</v>
      </c>
      <c r="H827">
        <v>4</v>
      </c>
      <c r="I827" s="1" t="s">
        <v>61</v>
      </c>
      <c r="J827" s="1" t="s">
        <v>27</v>
      </c>
      <c r="K827">
        <v>3</v>
      </c>
      <c r="L827" s="1" t="s">
        <v>55</v>
      </c>
      <c r="M827">
        <v>30</v>
      </c>
      <c r="N827" s="1" t="s">
        <v>29</v>
      </c>
      <c r="O827" s="1" t="s">
        <v>30</v>
      </c>
      <c r="P827">
        <v>2</v>
      </c>
      <c r="Q827" s="1" t="s">
        <v>31</v>
      </c>
      <c r="R827">
        <v>1</v>
      </c>
      <c r="S827" s="1" t="s">
        <v>32</v>
      </c>
      <c r="T827" s="1" t="s">
        <v>33</v>
      </c>
      <c r="U827" s="1" t="s">
        <v>34</v>
      </c>
      <c r="V827" s="1" t="str">
        <f>_xlfn.XLOOKUP(A827,Dictonary!$A$2:$A$5,Dictonary!$B$2:$B$5)</f>
        <v>Negative balance</v>
      </c>
      <c r="W827" s="1" t="str">
        <f>_xlfn.XLOOKUP(D827,Dictonary!$D$2:$D$12,Dictonary!$E$2:$E$12)</f>
        <v>car (new)</v>
      </c>
      <c r="X827" s="1" t="str">
        <f>_xlfn.XLOOKUP(F827,Dictonary!$G$2:$G$6,Dictonary!$H$2:$H$6)</f>
        <v>Less 100</v>
      </c>
      <c r="Y827" s="1" t="str">
        <f>_xlfn.XLOOKUP(I827,Dictonary!$J$2:$J$6,Dictonary!$K$2:$K$6)</f>
        <v>male : married/widowed</v>
      </c>
      <c r="Z827" s="1" t="str">
        <f>_xlfn.XLOOKUP(Q827,Dictonary!$M$2:$M$5,Dictonary!$N$2:$N$5)</f>
        <v>skilled employee / official</v>
      </c>
      <c r="AA827" s="1" t="str">
        <f>_xlfn.XLOOKUP(O827,Dictonary!$P$2:$P$4,Dictonary!$Q$2:$Q$4)</f>
        <v>own</v>
      </c>
    </row>
    <row r="828" spans="1:27" x14ac:dyDescent="0.3">
      <c r="A828" s="1" t="s">
        <v>21</v>
      </c>
      <c r="B828">
        <v>18</v>
      </c>
      <c r="C828" s="1" t="s">
        <v>22</v>
      </c>
      <c r="D828" s="1" t="s">
        <v>51</v>
      </c>
      <c r="E828">
        <v>3966</v>
      </c>
      <c r="F828" s="1" t="s">
        <v>37</v>
      </c>
      <c r="G828" s="1" t="s">
        <v>25</v>
      </c>
      <c r="H828">
        <v>1</v>
      </c>
      <c r="I828" s="1" t="s">
        <v>39</v>
      </c>
      <c r="J828" s="1" t="s">
        <v>27</v>
      </c>
      <c r="K828">
        <v>4</v>
      </c>
      <c r="L828" s="1" t="s">
        <v>28</v>
      </c>
      <c r="M828">
        <v>33</v>
      </c>
      <c r="N828" s="1" t="s">
        <v>66</v>
      </c>
      <c r="O828" s="1" t="s">
        <v>56</v>
      </c>
      <c r="P828">
        <v>3</v>
      </c>
      <c r="Q828" s="1" t="s">
        <v>31</v>
      </c>
      <c r="R828">
        <v>1</v>
      </c>
      <c r="S828" s="1" t="s">
        <v>32</v>
      </c>
      <c r="T828" s="1" t="s">
        <v>33</v>
      </c>
      <c r="U828" s="1" t="s">
        <v>41</v>
      </c>
      <c r="V828" s="1" t="str">
        <f>_xlfn.XLOOKUP(A828,Dictonary!$A$2:$A$5,Dictonary!$B$2:$B$5)</f>
        <v>Negative balance</v>
      </c>
      <c r="W828" s="1" t="str">
        <f>_xlfn.XLOOKUP(D828,Dictonary!$D$2:$D$12,Dictonary!$E$2:$E$12)</f>
        <v>car (new)</v>
      </c>
      <c r="X828" s="1" t="str">
        <f>_xlfn.XLOOKUP(F828,Dictonary!$G$2:$G$6,Dictonary!$H$2:$H$6)</f>
        <v>Less 100</v>
      </c>
      <c r="Y828" s="1" t="str">
        <f>_xlfn.XLOOKUP(I828,Dictonary!$J$2:$J$6,Dictonary!$K$2:$K$6)</f>
        <v>female : divorced/separated/married</v>
      </c>
      <c r="Z828" s="1" t="str">
        <f>_xlfn.XLOOKUP(Q828,Dictonary!$M$2:$M$5,Dictonary!$N$2:$N$5)</f>
        <v>skilled employee / official</v>
      </c>
      <c r="AA828" s="1" t="str">
        <f>_xlfn.XLOOKUP(O828,Dictonary!$P$2:$P$4,Dictonary!$Q$2:$Q$4)</f>
        <v>rent</v>
      </c>
    </row>
    <row r="829" spans="1:27" x14ac:dyDescent="0.3">
      <c r="A829" s="1" t="s">
        <v>42</v>
      </c>
      <c r="B829">
        <v>18</v>
      </c>
      <c r="C829" s="1" t="s">
        <v>65</v>
      </c>
      <c r="D829" s="1" t="s">
        <v>63</v>
      </c>
      <c r="E829">
        <v>4165</v>
      </c>
      <c r="F829" s="1" t="s">
        <v>37</v>
      </c>
      <c r="G829" s="1" t="s">
        <v>38</v>
      </c>
      <c r="H829">
        <v>2</v>
      </c>
      <c r="I829" s="1" t="s">
        <v>26</v>
      </c>
      <c r="J829" s="1" t="s">
        <v>27</v>
      </c>
      <c r="K829">
        <v>2</v>
      </c>
      <c r="L829" s="1" t="s">
        <v>55</v>
      </c>
      <c r="M829">
        <v>36</v>
      </c>
      <c r="N829" s="1" t="s">
        <v>70</v>
      </c>
      <c r="O829" s="1" t="s">
        <v>30</v>
      </c>
      <c r="P829">
        <v>2</v>
      </c>
      <c r="Q829" s="1" t="s">
        <v>31</v>
      </c>
      <c r="R829">
        <v>2</v>
      </c>
      <c r="S829" s="1" t="s">
        <v>40</v>
      </c>
      <c r="T829" s="1" t="s">
        <v>33</v>
      </c>
      <c r="U829" s="1" t="s">
        <v>41</v>
      </c>
      <c r="V829" s="1" t="str">
        <f>_xlfn.XLOOKUP(A829,Dictonary!$A$2:$A$5,Dictonary!$B$2:$B$5)</f>
        <v>No information</v>
      </c>
      <c r="W829" s="1" t="str">
        <f>_xlfn.XLOOKUP(D829,Dictonary!$D$2:$D$12,Dictonary!$E$2:$E$12)</f>
        <v>business</v>
      </c>
      <c r="X829" s="1" t="str">
        <f>_xlfn.XLOOKUP(F829,Dictonary!$G$2:$G$6,Dictonary!$H$2:$H$6)</f>
        <v>Less 100</v>
      </c>
      <c r="Y829" s="1" t="str">
        <f>_xlfn.XLOOKUP(I829,Dictonary!$J$2:$J$6,Dictonary!$K$2:$K$6)</f>
        <v>male : single</v>
      </c>
      <c r="Z829" s="1" t="str">
        <f>_xlfn.XLOOKUP(Q829,Dictonary!$M$2:$M$5,Dictonary!$N$2:$N$5)</f>
        <v>skilled employee / official</v>
      </c>
      <c r="AA829" s="1" t="str">
        <f>_xlfn.XLOOKUP(O829,Dictonary!$P$2:$P$4,Dictonary!$Q$2:$Q$4)</f>
        <v>own</v>
      </c>
    </row>
    <row r="830" spans="1:27" x14ac:dyDescent="0.3">
      <c r="A830" s="1" t="s">
        <v>21</v>
      </c>
      <c r="B830">
        <v>36</v>
      </c>
      <c r="C830" s="1" t="s">
        <v>36</v>
      </c>
      <c r="D830" s="1" t="s">
        <v>54</v>
      </c>
      <c r="E830">
        <v>8335</v>
      </c>
      <c r="F830" s="1" t="s">
        <v>24</v>
      </c>
      <c r="G830" s="1" t="s">
        <v>25</v>
      </c>
      <c r="H830">
        <v>3</v>
      </c>
      <c r="I830" s="1" t="s">
        <v>26</v>
      </c>
      <c r="J830" s="1" t="s">
        <v>27</v>
      </c>
      <c r="K830">
        <v>4</v>
      </c>
      <c r="L830" s="1" t="s">
        <v>52</v>
      </c>
      <c r="M830">
        <v>47</v>
      </c>
      <c r="N830" s="1" t="s">
        <v>29</v>
      </c>
      <c r="O830" s="1" t="s">
        <v>49</v>
      </c>
      <c r="P830">
        <v>1</v>
      </c>
      <c r="Q830" s="1" t="s">
        <v>31</v>
      </c>
      <c r="R830">
        <v>1</v>
      </c>
      <c r="S830" s="1" t="s">
        <v>40</v>
      </c>
      <c r="T830" s="1" t="s">
        <v>33</v>
      </c>
      <c r="U830" s="1" t="s">
        <v>41</v>
      </c>
      <c r="V830" s="1" t="str">
        <f>_xlfn.XLOOKUP(A830,Dictonary!$A$2:$A$5,Dictonary!$B$2:$B$5)</f>
        <v>Negative balance</v>
      </c>
      <c r="W830" s="1" t="str">
        <f>_xlfn.XLOOKUP(D830,Dictonary!$D$2:$D$12,Dictonary!$E$2:$E$12)</f>
        <v>car (used)</v>
      </c>
      <c r="X830" s="1" t="str">
        <f>_xlfn.XLOOKUP(F830,Dictonary!$G$2:$G$6,Dictonary!$H$2:$H$6)</f>
        <v>No information</v>
      </c>
      <c r="Y830" s="1" t="str">
        <f>_xlfn.XLOOKUP(I830,Dictonary!$J$2:$J$6,Dictonary!$K$2:$K$6)</f>
        <v>male : single</v>
      </c>
      <c r="Z830" s="1" t="str">
        <f>_xlfn.XLOOKUP(Q830,Dictonary!$M$2:$M$5,Dictonary!$N$2:$N$5)</f>
        <v>skilled employee / official</v>
      </c>
      <c r="AA830" s="1" t="str">
        <f>_xlfn.XLOOKUP(O830,Dictonary!$P$2:$P$4,Dictonary!$Q$2:$Q$4)</f>
        <v>for free</v>
      </c>
    </row>
    <row r="831" spans="1:27" x14ac:dyDescent="0.3">
      <c r="A831" s="1" t="s">
        <v>35</v>
      </c>
      <c r="B831">
        <v>48</v>
      </c>
      <c r="C831" s="1" t="s">
        <v>50</v>
      </c>
      <c r="D831" s="1" t="s">
        <v>63</v>
      </c>
      <c r="E831">
        <v>6681</v>
      </c>
      <c r="F831" s="1" t="s">
        <v>24</v>
      </c>
      <c r="G831" s="1" t="s">
        <v>38</v>
      </c>
      <c r="H831">
        <v>4</v>
      </c>
      <c r="I831" s="1" t="s">
        <v>26</v>
      </c>
      <c r="J831" s="1" t="s">
        <v>27</v>
      </c>
      <c r="K831">
        <v>4</v>
      </c>
      <c r="L831" s="1" t="s">
        <v>52</v>
      </c>
      <c r="M831">
        <v>38</v>
      </c>
      <c r="N831" s="1" t="s">
        <v>29</v>
      </c>
      <c r="O831" s="1" t="s">
        <v>49</v>
      </c>
      <c r="P831">
        <v>1</v>
      </c>
      <c r="Q831" s="1" t="s">
        <v>31</v>
      </c>
      <c r="R831">
        <v>2</v>
      </c>
      <c r="S831" s="1" t="s">
        <v>32</v>
      </c>
      <c r="T831" s="1" t="s">
        <v>33</v>
      </c>
      <c r="U831" s="1" t="s">
        <v>34</v>
      </c>
      <c r="V831" s="1" t="str">
        <f>_xlfn.XLOOKUP(A831,Dictonary!$A$2:$A$5,Dictonary!$B$2:$B$5)</f>
        <v>Low balance</v>
      </c>
      <c r="W831" s="1" t="str">
        <f>_xlfn.XLOOKUP(D831,Dictonary!$D$2:$D$12,Dictonary!$E$2:$E$12)</f>
        <v>business</v>
      </c>
      <c r="X831" s="1" t="str">
        <f>_xlfn.XLOOKUP(F831,Dictonary!$G$2:$G$6,Dictonary!$H$2:$H$6)</f>
        <v>No information</v>
      </c>
      <c r="Y831" s="1" t="str">
        <f>_xlfn.XLOOKUP(I831,Dictonary!$J$2:$J$6,Dictonary!$K$2:$K$6)</f>
        <v>male : single</v>
      </c>
      <c r="Z831" s="1" t="str">
        <f>_xlfn.XLOOKUP(Q831,Dictonary!$M$2:$M$5,Dictonary!$N$2:$N$5)</f>
        <v>skilled employee / official</v>
      </c>
      <c r="AA831" s="1" t="str">
        <f>_xlfn.XLOOKUP(O831,Dictonary!$P$2:$P$4,Dictonary!$Q$2:$Q$4)</f>
        <v>for free</v>
      </c>
    </row>
    <row r="832" spans="1:27" x14ac:dyDescent="0.3">
      <c r="A832" s="1" t="s">
        <v>42</v>
      </c>
      <c r="B832">
        <v>24</v>
      </c>
      <c r="C832" s="1" t="s">
        <v>50</v>
      </c>
      <c r="D832" s="1" t="s">
        <v>63</v>
      </c>
      <c r="E832">
        <v>2375</v>
      </c>
      <c r="F832" s="1" t="s">
        <v>53</v>
      </c>
      <c r="G832" s="1" t="s">
        <v>38</v>
      </c>
      <c r="H832">
        <v>4</v>
      </c>
      <c r="I832" s="1" t="s">
        <v>26</v>
      </c>
      <c r="J832" s="1" t="s">
        <v>27</v>
      </c>
      <c r="K832">
        <v>2</v>
      </c>
      <c r="L832" s="1" t="s">
        <v>55</v>
      </c>
      <c r="M832">
        <v>44</v>
      </c>
      <c r="N832" s="1" t="s">
        <v>29</v>
      </c>
      <c r="O832" s="1" t="s">
        <v>30</v>
      </c>
      <c r="P832">
        <v>2</v>
      </c>
      <c r="Q832" s="1" t="s">
        <v>31</v>
      </c>
      <c r="R832">
        <v>2</v>
      </c>
      <c r="S832" s="1" t="s">
        <v>32</v>
      </c>
      <c r="T832" s="1" t="s">
        <v>33</v>
      </c>
      <c r="U832" s="1" t="s">
        <v>34</v>
      </c>
      <c r="V832" s="1" t="str">
        <f>_xlfn.XLOOKUP(A832,Dictonary!$A$2:$A$5,Dictonary!$B$2:$B$5)</f>
        <v>No information</v>
      </c>
      <c r="W832" s="1" t="str">
        <f>_xlfn.XLOOKUP(D832,Dictonary!$D$2:$D$12,Dictonary!$E$2:$E$12)</f>
        <v>business</v>
      </c>
      <c r="X832" s="1" t="str">
        <f>_xlfn.XLOOKUP(F832,Dictonary!$G$2:$G$6,Dictonary!$H$2:$H$6)</f>
        <v>Up to 1000</v>
      </c>
      <c r="Y832" s="1" t="str">
        <f>_xlfn.XLOOKUP(I832,Dictonary!$J$2:$J$6,Dictonary!$K$2:$K$6)</f>
        <v>male : single</v>
      </c>
      <c r="Z832" s="1" t="str">
        <f>_xlfn.XLOOKUP(Q832,Dictonary!$M$2:$M$5,Dictonary!$N$2:$N$5)</f>
        <v>skilled employee / official</v>
      </c>
      <c r="AA832" s="1" t="str">
        <f>_xlfn.XLOOKUP(O832,Dictonary!$P$2:$P$4,Dictonary!$Q$2:$Q$4)</f>
        <v>own</v>
      </c>
    </row>
    <row r="833" spans="1:27" x14ac:dyDescent="0.3">
      <c r="A833" s="1" t="s">
        <v>21</v>
      </c>
      <c r="B833">
        <v>18</v>
      </c>
      <c r="C833" s="1" t="s">
        <v>36</v>
      </c>
      <c r="D833" s="1" t="s">
        <v>51</v>
      </c>
      <c r="E833">
        <v>1216</v>
      </c>
      <c r="F833" s="1" t="s">
        <v>37</v>
      </c>
      <c r="G833" s="1" t="s">
        <v>62</v>
      </c>
      <c r="H833">
        <v>4</v>
      </c>
      <c r="I833" s="1" t="s">
        <v>39</v>
      </c>
      <c r="J833" s="1" t="s">
        <v>27</v>
      </c>
      <c r="K833">
        <v>3</v>
      </c>
      <c r="L833" s="1" t="s">
        <v>55</v>
      </c>
      <c r="M833">
        <v>23</v>
      </c>
      <c r="N833" s="1" t="s">
        <v>29</v>
      </c>
      <c r="O833" s="1" t="s">
        <v>56</v>
      </c>
      <c r="P833">
        <v>1</v>
      </c>
      <c r="Q833" s="1" t="s">
        <v>31</v>
      </c>
      <c r="R833">
        <v>1</v>
      </c>
      <c r="S833" s="1" t="s">
        <v>32</v>
      </c>
      <c r="T833" s="1" t="s">
        <v>33</v>
      </c>
      <c r="U833" s="1" t="s">
        <v>41</v>
      </c>
      <c r="V833" s="1" t="str">
        <f>_xlfn.XLOOKUP(A833,Dictonary!$A$2:$A$5,Dictonary!$B$2:$B$5)</f>
        <v>Negative balance</v>
      </c>
      <c r="W833" s="1" t="str">
        <f>_xlfn.XLOOKUP(D833,Dictonary!$D$2:$D$12,Dictonary!$E$2:$E$12)</f>
        <v>car (new)</v>
      </c>
      <c r="X833" s="1" t="str">
        <f>_xlfn.XLOOKUP(F833,Dictonary!$G$2:$G$6,Dictonary!$H$2:$H$6)</f>
        <v>Less 100</v>
      </c>
      <c r="Y833" s="1" t="str">
        <f>_xlfn.XLOOKUP(I833,Dictonary!$J$2:$J$6,Dictonary!$K$2:$K$6)</f>
        <v>female : divorced/separated/married</v>
      </c>
      <c r="Z833" s="1" t="str">
        <f>_xlfn.XLOOKUP(Q833,Dictonary!$M$2:$M$5,Dictonary!$N$2:$N$5)</f>
        <v>skilled employee / official</v>
      </c>
      <c r="AA833" s="1" t="str">
        <f>_xlfn.XLOOKUP(O833,Dictonary!$P$2:$P$4,Dictonary!$Q$2:$Q$4)</f>
        <v>rent</v>
      </c>
    </row>
    <row r="834" spans="1:27" x14ac:dyDescent="0.3">
      <c r="A834" s="1" t="s">
        <v>21</v>
      </c>
      <c r="B834">
        <v>45</v>
      </c>
      <c r="C834" s="1" t="s">
        <v>65</v>
      </c>
      <c r="D834" s="1" t="s">
        <v>63</v>
      </c>
      <c r="E834">
        <v>11816</v>
      </c>
      <c r="F834" s="1" t="s">
        <v>37</v>
      </c>
      <c r="G834" s="1" t="s">
        <v>25</v>
      </c>
      <c r="H834">
        <v>2</v>
      </c>
      <c r="I834" s="1" t="s">
        <v>26</v>
      </c>
      <c r="J834" s="1" t="s">
        <v>27</v>
      </c>
      <c r="K834">
        <v>4</v>
      </c>
      <c r="L834" s="1" t="s">
        <v>55</v>
      </c>
      <c r="M834">
        <v>29</v>
      </c>
      <c r="N834" s="1" t="s">
        <v>29</v>
      </c>
      <c r="O834" s="1" t="s">
        <v>56</v>
      </c>
      <c r="P834">
        <v>2</v>
      </c>
      <c r="Q834" s="1" t="s">
        <v>31</v>
      </c>
      <c r="R834">
        <v>1</v>
      </c>
      <c r="S834" s="1" t="s">
        <v>40</v>
      </c>
      <c r="T834" s="1" t="s">
        <v>33</v>
      </c>
      <c r="U834" s="1" t="s">
        <v>41</v>
      </c>
      <c r="V834" s="1" t="str">
        <f>_xlfn.XLOOKUP(A834,Dictonary!$A$2:$A$5,Dictonary!$B$2:$B$5)</f>
        <v>Negative balance</v>
      </c>
      <c r="W834" s="1" t="str">
        <f>_xlfn.XLOOKUP(D834,Dictonary!$D$2:$D$12,Dictonary!$E$2:$E$12)</f>
        <v>business</v>
      </c>
      <c r="X834" s="1" t="str">
        <f>_xlfn.XLOOKUP(F834,Dictonary!$G$2:$G$6,Dictonary!$H$2:$H$6)</f>
        <v>Less 100</v>
      </c>
      <c r="Y834" s="1" t="str">
        <f>_xlfn.XLOOKUP(I834,Dictonary!$J$2:$J$6,Dictonary!$K$2:$K$6)</f>
        <v>male : single</v>
      </c>
      <c r="Z834" s="1" t="str">
        <f>_xlfn.XLOOKUP(Q834,Dictonary!$M$2:$M$5,Dictonary!$N$2:$N$5)</f>
        <v>skilled employee / official</v>
      </c>
      <c r="AA834" s="1" t="str">
        <f>_xlfn.XLOOKUP(O834,Dictonary!$P$2:$P$4,Dictonary!$Q$2:$Q$4)</f>
        <v>rent</v>
      </c>
    </row>
    <row r="835" spans="1:27" x14ac:dyDescent="0.3">
      <c r="A835" s="1" t="s">
        <v>35</v>
      </c>
      <c r="B835">
        <v>24</v>
      </c>
      <c r="C835" s="1" t="s">
        <v>36</v>
      </c>
      <c r="D835" s="1" t="s">
        <v>23</v>
      </c>
      <c r="E835">
        <v>5084</v>
      </c>
      <c r="F835" s="1" t="s">
        <v>24</v>
      </c>
      <c r="G835" s="1" t="s">
        <v>25</v>
      </c>
      <c r="H835">
        <v>2</v>
      </c>
      <c r="I835" s="1" t="s">
        <v>39</v>
      </c>
      <c r="J835" s="1" t="s">
        <v>27</v>
      </c>
      <c r="K835">
        <v>4</v>
      </c>
      <c r="L835" s="1" t="s">
        <v>55</v>
      </c>
      <c r="M835">
        <v>42</v>
      </c>
      <c r="N835" s="1" t="s">
        <v>29</v>
      </c>
      <c r="O835" s="1" t="s">
        <v>30</v>
      </c>
      <c r="P835">
        <v>1</v>
      </c>
      <c r="Q835" s="1" t="s">
        <v>31</v>
      </c>
      <c r="R835">
        <v>1</v>
      </c>
      <c r="S835" s="1" t="s">
        <v>32</v>
      </c>
      <c r="T835" s="1" t="s">
        <v>33</v>
      </c>
      <c r="U835" s="1" t="s">
        <v>34</v>
      </c>
      <c r="V835" s="1" t="str">
        <f>_xlfn.XLOOKUP(A835,Dictonary!$A$2:$A$5,Dictonary!$B$2:$B$5)</f>
        <v>Low balance</v>
      </c>
      <c r="W835" s="1" t="str">
        <f>_xlfn.XLOOKUP(D835,Dictonary!$D$2:$D$12,Dictonary!$E$2:$E$12)</f>
        <v>radio/television</v>
      </c>
      <c r="X835" s="1" t="str">
        <f>_xlfn.XLOOKUP(F835,Dictonary!$G$2:$G$6,Dictonary!$H$2:$H$6)</f>
        <v>No information</v>
      </c>
      <c r="Y835" s="1" t="str">
        <f>_xlfn.XLOOKUP(I835,Dictonary!$J$2:$J$6,Dictonary!$K$2:$K$6)</f>
        <v>female : divorced/separated/married</v>
      </c>
      <c r="Z835" s="1" t="str">
        <f>_xlfn.XLOOKUP(Q835,Dictonary!$M$2:$M$5,Dictonary!$N$2:$N$5)</f>
        <v>skilled employee / official</v>
      </c>
      <c r="AA835" s="1" t="str">
        <f>_xlfn.XLOOKUP(O835,Dictonary!$P$2:$P$4,Dictonary!$Q$2:$Q$4)</f>
        <v>own</v>
      </c>
    </row>
    <row r="836" spans="1:27" x14ac:dyDescent="0.3">
      <c r="A836" s="1" t="s">
        <v>68</v>
      </c>
      <c r="B836">
        <v>15</v>
      </c>
      <c r="C836" s="1" t="s">
        <v>36</v>
      </c>
      <c r="D836" s="1" t="s">
        <v>23</v>
      </c>
      <c r="E836">
        <v>2327</v>
      </c>
      <c r="F836" s="1" t="s">
        <v>37</v>
      </c>
      <c r="G836" s="1" t="s">
        <v>62</v>
      </c>
      <c r="H836">
        <v>2</v>
      </c>
      <c r="I836" s="1" t="s">
        <v>39</v>
      </c>
      <c r="J836" s="1" t="s">
        <v>27</v>
      </c>
      <c r="K836">
        <v>3</v>
      </c>
      <c r="L836" s="1" t="s">
        <v>28</v>
      </c>
      <c r="M836">
        <v>25</v>
      </c>
      <c r="N836" s="1" t="s">
        <v>29</v>
      </c>
      <c r="O836" s="1" t="s">
        <v>30</v>
      </c>
      <c r="P836">
        <v>1</v>
      </c>
      <c r="Q836" s="1" t="s">
        <v>45</v>
      </c>
      <c r="R836">
        <v>1</v>
      </c>
      <c r="S836" s="1" t="s">
        <v>40</v>
      </c>
      <c r="T836" s="1" t="s">
        <v>33</v>
      </c>
      <c r="U836" s="1" t="s">
        <v>41</v>
      </c>
      <c r="V836" s="1" t="str">
        <f>_xlfn.XLOOKUP(A836,Dictonary!$A$2:$A$5,Dictonary!$B$2:$B$5)</f>
        <v>Normal balance</v>
      </c>
      <c r="W836" s="1" t="str">
        <f>_xlfn.XLOOKUP(D836,Dictonary!$D$2:$D$12,Dictonary!$E$2:$E$12)</f>
        <v>radio/television</v>
      </c>
      <c r="X836" s="1" t="str">
        <f>_xlfn.XLOOKUP(F836,Dictonary!$G$2:$G$6,Dictonary!$H$2:$H$6)</f>
        <v>Less 100</v>
      </c>
      <c r="Y836" s="1" t="str">
        <f>_xlfn.XLOOKUP(I836,Dictonary!$J$2:$J$6,Dictonary!$K$2:$K$6)</f>
        <v>female : divorced/separated/married</v>
      </c>
      <c r="Z836" s="1" t="str">
        <f>_xlfn.XLOOKUP(Q836,Dictonary!$M$2:$M$5,Dictonary!$N$2:$N$5)</f>
        <v>unskilled - resident</v>
      </c>
      <c r="AA836" s="1" t="str">
        <f>_xlfn.XLOOKUP(O836,Dictonary!$P$2:$P$4,Dictonary!$Q$2:$Q$4)</f>
        <v>own</v>
      </c>
    </row>
    <row r="837" spans="1:27" x14ac:dyDescent="0.3">
      <c r="A837" s="1" t="s">
        <v>21</v>
      </c>
      <c r="B837">
        <v>12</v>
      </c>
      <c r="C837" s="1" t="s">
        <v>65</v>
      </c>
      <c r="D837" s="1" t="s">
        <v>51</v>
      </c>
      <c r="E837">
        <v>1082</v>
      </c>
      <c r="F837" s="1" t="s">
        <v>37</v>
      </c>
      <c r="G837" s="1" t="s">
        <v>38</v>
      </c>
      <c r="H837">
        <v>4</v>
      </c>
      <c r="I837" s="1" t="s">
        <v>26</v>
      </c>
      <c r="J837" s="1" t="s">
        <v>27</v>
      </c>
      <c r="K837">
        <v>4</v>
      </c>
      <c r="L837" s="1" t="s">
        <v>55</v>
      </c>
      <c r="M837">
        <v>48</v>
      </c>
      <c r="N837" s="1" t="s">
        <v>66</v>
      </c>
      <c r="O837" s="1" t="s">
        <v>30</v>
      </c>
      <c r="P837">
        <v>2</v>
      </c>
      <c r="Q837" s="1" t="s">
        <v>31</v>
      </c>
      <c r="R837">
        <v>1</v>
      </c>
      <c r="S837" s="1" t="s">
        <v>40</v>
      </c>
      <c r="T837" s="1" t="s">
        <v>33</v>
      </c>
      <c r="U837" s="1" t="s">
        <v>41</v>
      </c>
      <c r="V837" s="1" t="str">
        <f>_xlfn.XLOOKUP(A837,Dictonary!$A$2:$A$5,Dictonary!$B$2:$B$5)</f>
        <v>Negative balance</v>
      </c>
      <c r="W837" s="1" t="str">
        <f>_xlfn.XLOOKUP(D837,Dictonary!$D$2:$D$12,Dictonary!$E$2:$E$12)</f>
        <v>car (new)</v>
      </c>
      <c r="X837" s="1" t="str">
        <f>_xlfn.XLOOKUP(F837,Dictonary!$G$2:$G$6,Dictonary!$H$2:$H$6)</f>
        <v>Less 100</v>
      </c>
      <c r="Y837" s="1" t="str">
        <f>_xlfn.XLOOKUP(I837,Dictonary!$J$2:$J$6,Dictonary!$K$2:$K$6)</f>
        <v>male : single</v>
      </c>
      <c r="Z837" s="1" t="str">
        <f>_xlfn.XLOOKUP(Q837,Dictonary!$M$2:$M$5,Dictonary!$N$2:$N$5)</f>
        <v>skilled employee / official</v>
      </c>
      <c r="AA837" s="1" t="str">
        <f>_xlfn.XLOOKUP(O837,Dictonary!$P$2:$P$4,Dictonary!$Q$2:$Q$4)</f>
        <v>own</v>
      </c>
    </row>
    <row r="838" spans="1:27" x14ac:dyDescent="0.3">
      <c r="A838" s="1" t="s">
        <v>42</v>
      </c>
      <c r="B838">
        <v>12</v>
      </c>
      <c r="C838" s="1" t="s">
        <v>36</v>
      </c>
      <c r="D838" s="1" t="s">
        <v>23</v>
      </c>
      <c r="E838">
        <v>886</v>
      </c>
      <c r="F838" s="1" t="s">
        <v>24</v>
      </c>
      <c r="G838" s="1" t="s">
        <v>38</v>
      </c>
      <c r="H838">
        <v>4</v>
      </c>
      <c r="I838" s="1" t="s">
        <v>39</v>
      </c>
      <c r="J838" s="1" t="s">
        <v>27</v>
      </c>
      <c r="K838">
        <v>2</v>
      </c>
      <c r="L838" s="1" t="s">
        <v>55</v>
      </c>
      <c r="M838">
        <v>21</v>
      </c>
      <c r="N838" s="1" t="s">
        <v>29</v>
      </c>
      <c r="O838" s="1" t="s">
        <v>30</v>
      </c>
      <c r="P838">
        <v>1</v>
      </c>
      <c r="Q838" s="1" t="s">
        <v>31</v>
      </c>
      <c r="R838">
        <v>1</v>
      </c>
      <c r="S838" s="1" t="s">
        <v>40</v>
      </c>
      <c r="T838" s="1" t="s">
        <v>33</v>
      </c>
      <c r="U838" s="1" t="s">
        <v>34</v>
      </c>
      <c r="V838" s="1" t="str">
        <f>_xlfn.XLOOKUP(A838,Dictonary!$A$2:$A$5,Dictonary!$B$2:$B$5)</f>
        <v>No information</v>
      </c>
      <c r="W838" s="1" t="str">
        <f>_xlfn.XLOOKUP(D838,Dictonary!$D$2:$D$12,Dictonary!$E$2:$E$12)</f>
        <v>radio/television</v>
      </c>
      <c r="X838" s="1" t="str">
        <f>_xlfn.XLOOKUP(F838,Dictonary!$G$2:$G$6,Dictonary!$H$2:$H$6)</f>
        <v>No information</v>
      </c>
      <c r="Y838" s="1" t="str">
        <f>_xlfn.XLOOKUP(I838,Dictonary!$J$2:$J$6,Dictonary!$K$2:$K$6)</f>
        <v>female : divorced/separated/married</v>
      </c>
      <c r="Z838" s="1" t="str">
        <f>_xlfn.XLOOKUP(Q838,Dictonary!$M$2:$M$5,Dictonary!$N$2:$N$5)</f>
        <v>skilled employee / official</v>
      </c>
      <c r="AA838" s="1" t="str">
        <f>_xlfn.XLOOKUP(O838,Dictonary!$P$2:$P$4,Dictonary!$Q$2:$Q$4)</f>
        <v>own</v>
      </c>
    </row>
    <row r="839" spans="1:27" x14ac:dyDescent="0.3">
      <c r="A839" s="1" t="s">
        <v>42</v>
      </c>
      <c r="B839">
        <v>4</v>
      </c>
      <c r="C839" s="1" t="s">
        <v>36</v>
      </c>
      <c r="D839" s="1" t="s">
        <v>46</v>
      </c>
      <c r="E839">
        <v>601</v>
      </c>
      <c r="F839" s="1" t="s">
        <v>37</v>
      </c>
      <c r="G839" s="1" t="s">
        <v>62</v>
      </c>
      <c r="H839">
        <v>1</v>
      </c>
      <c r="I839" s="1" t="s">
        <v>39</v>
      </c>
      <c r="J839" s="1" t="s">
        <v>27</v>
      </c>
      <c r="K839">
        <v>3</v>
      </c>
      <c r="L839" s="1" t="s">
        <v>28</v>
      </c>
      <c r="M839">
        <v>23</v>
      </c>
      <c r="N839" s="1" t="s">
        <v>29</v>
      </c>
      <c r="O839" s="1" t="s">
        <v>56</v>
      </c>
      <c r="P839">
        <v>1</v>
      </c>
      <c r="Q839" s="1" t="s">
        <v>45</v>
      </c>
      <c r="R839">
        <v>2</v>
      </c>
      <c r="S839" s="1" t="s">
        <v>40</v>
      </c>
      <c r="T839" s="1" t="s">
        <v>33</v>
      </c>
      <c r="U839" s="1" t="s">
        <v>34</v>
      </c>
      <c r="V839" s="1" t="str">
        <f>_xlfn.XLOOKUP(A839,Dictonary!$A$2:$A$5,Dictonary!$B$2:$B$5)</f>
        <v>No information</v>
      </c>
      <c r="W839" s="1" t="str">
        <f>_xlfn.XLOOKUP(D839,Dictonary!$D$2:$D$12,Dictonary!$E$2:$E$12)</f>
        <v>furniture/equipment</v>
      </c>
      <c r="X839" s="1" t="str">
        <f>_xlfn.XLOOKUP(F839,Dictonary!$G$2:$G$6,Dictonary!$H$2:$H$6)</f>
        <v>Less 100</v>
      </c>
      <c r="Y839" s="1" t="str">
        <f>_xlfn.XLOOKUP(I839,Dictonary!$J$2:$J$6,Dictonary!$K$2:$K$6)</f>
        <v>female : divorced/separated/married</v>
      </c>
      <c r="Z839" s="1" t="str">
        <f>_xlfn.XLOOKUP(Q839,Dictonary!$M$2:$M$5,Dictonary!$N$2:$N$5)</f>
        <v>unskilled - resident</v>
      </c>
      <c r="AA839" s="1" t="str">
        <f>_xlfn.XLOOKUP(O839,Dictonary!$P$2:$P$4,Dictonary!$Q$2:$Q$4)</f>
        <v>rent</v>
      </c>
    </row>
    <row r="840" spans="1:27" x14ac:dyDescent="0.3">
      <c r="A840" s="1" t="s">
        <v>21</v>
      </c>
      <c r="B840">
        <v>24</v>
      </c>
      <c r="C840" s="1" t="s">
        <v>22</v>
      </c>
      <c r="D840" s="1" t="s">
        <v>54</v>
      </c>
      <c r="E840">
        <v>2957</v>
      </c>
      <c r="F840" s="1" t="s">
        <v>37</v>
      </c>
      <c r="G840" s="1" t="s">
        <v>25</v>
      </c>
      <c r="H840">
        <v>4</v>
      </c>
      <c r="I840" s="1" t="s">
        <v>26</v>
      </c>
      <c r="J840" s="1" t="s">
        <v>27</v>
      </c>
      <c r="K840">
        <v>4</v>
      </c>
      <c r="L840" s="1" t="s">
        <v>48</v>
      </c>
      <c r="M840">
        <v>63</v>
      </c>
      <c r="N840" s="1" t="s">
        <v>29</v>
      </c>
      <c r="O840" s="1" t="s">
        <v>30</v>
      </c>
      <c r="P840">
        <v>2</v>
      </c>
      <c r="Q840" s="1" t="s">
        <v>31</v>
      </c>
      <c r="R840">
        <v>1</v>
      </c>
      <c r="S840" s="1" t="s">
        <v>32</v>
      </c>
      <c r="T840" s="1" t="s">
        <v>33</v>
      </c>
      <c r="U840" s="1" t="s">
        <v>34</v>
      </c>
      <c r="V840" s="1" t="str">
        <f>_xlfn.XLOOKUP(A840,Dictonary!$A$2:$A$5,Dictonary!$B$2:$B$5)</f>
        <v>Negative balance</v>
      </c>
      <c r="W840" s="1" t="str">
        <f>_xlfn.XLOOKUP(D840,Dictonary!$D$2:$D$12,Dictonary!$E$2:$E$12)</f>
        <v>car (used)</v>
      </c>
      <c r="X840" s="1" t="str">
        <f>_xlfn.XLOOKUP(F840,Dictonary!$G$2:$G$6,Dictonary!$H$2:$H$6)</f>
        <v>Less 100</v>
      </c>
      <c r="Y840" s="1" t="str">
        <f>_xlfn.XLOOKUP(I840,Dictonary!$J$2:$J$6,Dictonary!$K$2:$K$6)</f>
        <v>male : single</v>
      </c>
      <c r="Z840" s="1" t="str">
        <f>_xlfn.XLOOKUP(Q840,Dictonary!$M$2:$M$5,Dictonary!$N$2:$N$5)</f>
        <v>skilled employee / official</v>
      </c>
      <c r="AA840" s="1" t="str">
        <f>_xlfn.XLOOKUP(O840,Dictonary!$P$2:$P$4,Dictonary!$Q$2:$Q$4)</f>
        <v>own</v>
      </c>
    </row>
    <row r="841" spans="1:27" x14ac:dyDescent="0.3">
      <c r="A841" s="1" t="s">
        <v>42</v>
      </c>
      <c r="B841">
        <v>24</v>
      </c>
      <c r="C841" s="1" t="s">
        <v>22</v>
      </c>
      <c r="D841" s="1" t="s">
        <v>23</v>
      </c>
      <c r="E841">
        <v>2611</v>
      </c>
      <c r="F841" s="1" t="s">
        <v>37</v>
      </c>
      <c r="G841" s="1" t="s">
        <v>25</v>
      </c>
      <c r="H841">
        <v>4</v>
      </c>
      <c r="I841" s="1" t="s">
        <v>61</v>
      </c>
      <c r="J841" s="1" t="s">
        <v>71</v>
      </c>
      <c r="K841">
        <v>3</v>
      </c>
      <c r="L841" s="1" t="s">
        <v>28</v>
      </c>
      <c r="M841">
        <v>46</v>
      </c>
      <c r="N841" s="1" t="s">
        <v>29</v>
      </c>
      <c r="O841" s="1" t="s">
        <v>30</v>
      </c>
      <c r="P841">
        <v>2</v>
      </c>
      <c r="Q841" s="1" t="s">
        <v>31</v>
      </c>
      <c r="R841">
        <v>1</v>
      </c>
      <c r="S841" s="1" t="s">
        <v>40</v>
      </c>
      <c r="T841" s="1" t="s">
        <v>33</v>
      </c>
      <c r="U841" s="1" t="s">
        <v>34</v>
      </c>
      <c r="V841" s="1" t="str">
        <f>_xlfn.XLOOKUP(A841,Dictonary!$A$2:$A$5,Dictonary!$B$2:$B$5)</f>
        <v>No information</v>
      </c>
      <c r="W841" s="1" t="str">
        <f>_xlfn.XLOOKUP(D841,Dictonary!$D$2:$D$12,Dictonary!$E$2:$E$12)</f>
        <v>radio/television</v>
      </c>
      <c r="X841" s="1" t="str">
        <f>_xlfn.XLOOKUP(F841,Dictonary!$G$2:$G$6,Dictonary!$H$2:$H$6)</f>
        <v>Less 100</v>
      </c>
      <c r="Y841" s="1" t="str">
        <f>_xlfn.XLOOKUP(I841,Dictonary!$J$2:$J$6,Dictonary!$K$2:$K$6)</f>
        <v>male : married/widowed</v>
      </c>
      <c r="Z841" s="1" t="str">
        <f>_xlfn.XLOOKUP(Q841,Dictonary!$M$2:$M$5,Dictonary!$N$2:$N$5)</f>
        <v>skilled employee / official</v>
      </c>
      <c r="AA841" s="1" t="str">
        <f>_xlfn.XLOOKUP(O841,Dictonary!$P$2:$P$4,Dictonary!$Q$2:$Q$4)</f>
        <v>own</v>
      </c>
    </row>
    <row r="842" spans="1:27" x14ac:dyDescent="0.3">
      <c r="A842" s="1" t="s">
        <v>21</v>
      </c>
      <c r="B842">
        <v>36</v>
      </c>
      <c r="C842" s="1" t="s">
        <v>36</v>
      </c>
      <c r="D842" s="1" t="s">
        <v>46</v>
      </c>
      <c r="E842">
        <v>5179</v>
      </c>
      <c r="F842" s="1" t="s">
        <v>37</v>
      </c>
      <c r="G842" s="1" t="s">
        <v>44</v>
      </c>
      <c r="H842">
        <v>4</v>
      </c>
      <c r="I842" s="1" t="s">
        <v>26</v>
      </c>
      <c r="J842" s="1" t="s">
        <v>27</v>
      </c>
      <c r="K842">
        <v>2</v>
      </c>
      <c r="L842" s="1" t="s">
        <v>48</v>
      </c>
      <c r="M842">
        <v>29</v>
      </c>
      <c r="N842" s="1" t="s">
        <v>29</v>
      </c>
      <c r="O842" s="1" t="s">
        <v>30</v>
      </c>
      <c r="P842">
        <v>1</v>
      </c>
      <c r="Q842" s="1" t="s">
        <v>31</v>
      </c>
      <c r="R842">
        <v>1</v>
      </c>
      <c r="S842" s="1" t="s">
        <v>40</v>
      </c>
      <c r="T842" s="1" t="s">
        <v>33</v>
      </c>
      <c r="U842" s="1" t="s">
        <v>41</v>
      </c>
      <c r="V842" s="1" t="str">
        <f>_xlfn.XLOOKUP(A842,Dictonary!$A$2:$A$5,Dictonary!$B$2:$B$5)</f>
        <v>Negative balance</v>
      </c>
      <c r="W842" s="1" t="str">
        <f>_xlfn.XLOOKUP(D842,Dictonary!$D$2:$D$12,Dictonary!$E$2:$E$12)</f>
        <v>furniture/equipment</v>
      </c>
      <c r="X842" s="1" t="str">
        <f>_xlfn.XLOOKUP(F842,Dictonary!$G$2:$G$6,Dictonary!$H$2:$H$6)</f>
        <v>Less 100</v>
      </c>
      <c r="Y842" s="1" t="str">
        <f>_xlfn.XLOOKUP(I842,Dictonary!$J$2:$J$6,Dictonary!$K$2:$K$6)</f>
        <v>male : single</v>
      </c>
      <c r="Z842" s="1" t="str">
        <f>_xlfn.XLOOKUP(Q842,Dictonary!$M$2:$M$5,Dictonary!$N$2:$N$5)</f>
        <v>skilled employee / official</v>
      </c>
      <c r="AA842" s="1" t="str">
        <f>_xlfn.XLOOKUP(O842,Dictonary!$P$2:$P$4,Dictonary!$Q$2:$Q$4)</f>
        <v>own</v>
      </c>
    </row>
    <row r="843" spans="1:27" x14ac:dyDescent="0.3">
      <c r="A843" s="1" t="s">
        <v>42</v>
      </c>
      <c r="B843">
        <v>21</v>
      </c>
      <c r="C843" s="1" t="s">
        <v>50</v>
      </c>
      <c r="D843" s="1" t="s">
        <v>54</v>
      </c>
      <c r="E843">
        <v>2993</v>
      </c>
      <c r="F843" s="1" t="s">
        <v>37</v>
      </c>
      <c r="G843" s="1" t="s">
        <v>38</v>
      </c>
      <c r="H843">
        <v>3</v>
      </c>
      <c r="I843" s="1" t="s">
        <v>26</v>
      </c>
      <c r="J843" s="1" t="s">
        <v>27</v>
      </c>
      <c r="K843">
        <v>2</v>
      </c>
      <c r="L843" s="1" t="s">
        <v>28</v>
      </c>
      <c r="M843">
        <v>28</v>
      </c>
      <c r="N843" s="1" t="s">
        <v>70</v>
      </c>
      <c r="O843" s="1" t="s">
        <v>30</v>
      </c>
      <c r="P843">
        <v>2</v>
      </c>
      <c r="Q843" s="1" t="s">
        <v>45</v>
      </c>
      <c r="R843">
        <v>1</v>
      </c>
      <c r="S843" s="1" t="s">
        <v>40</v>
      </c>
      <c r="T843" s="1" t="s">
        <v>33</v>
      </c>
      <c r="U843" s="1" t="s">
        <v>34</v>
      </c>
      <c r="V843" s="1" t="str">
        <f>_xlfn.XLOOKUP(A843,Dictonary!$A$2:$A$5,Dictonary!$B$2:$B$5)</f>
        <v>No information</v>
      </c>
      <c r="W843" s="1" t="str">
        <f>_xlfn.XLOOKUP(D843,Dictonary!$D$2:$D$12,Dictonary!$E$2:$E$12)</f>
        <v>car (used)</v>
      </c>
      <c r="X843" s="1" t="str">
        <f>_xlfn.XLOOKUP(F843,Dictonary!$G$2:$G$6,Dictonary!$H$2:$H$6)</f>
        <v>Less 100</v>
      </c>
      <c r="Y843" s="1" t="str">
        <f>_xlfn.XLOOKUP(I843,Dictonary!$J$2:$J$6,Dictonary!$K$2:$K$6)</f>
        <v>male : single</v>
      </c>
      <c r="Z843" s="1" t="str">
        <f>_xlfn.XLOOKUP(Q843,Dictonary!$M$2:$M$5,Dictonary!$N$2:$N$5)</f>
        <v>unskilled - resident</v>
      </c>
      <c r="AA843" s="1" t="str">
        <f>_xlfn.XLOOKUP(O843,Dictonary!$P$2:$P$4,Dictonary!$Q$2:$Q$4)</f>
        <v>own</v>
      </c>
    </row>
    <row r="844" spans="1:27" x14ac:dyDescent="0.3">
      <c r="A844" s="1" t="s">
        <v>42</v>
      </c>
      <c r="B844">
        <v>18</v>
      </c>
      <c r="C844" s="1" t="s">
        <v>36</v>
      </c>
      <c r="D844" s="1" t="s">
        <v>73</v>
      </c>
      <c r="E844">
        <v>1943</v>
      </c>
      <c r="F844" s="1" t="s">
        <v>37</v>
      </c>
      <c r="G844" s="1" t="s">
        <v>62</v>
      </c>
      <c r="H844">
        <v>4</v>
      </c>
      <c r="I844" s="1" t="s">
        <v>39</v>
      </c>
      <c r="J844" s="1" t="s">
        <v>27</v>
      </c>
      <c r="K844">
        <v>4</v>
      </c>
      <c r="L844" s="1" t="s">
        <v>28</v>
      </c>
      <c r="M844">
        <v>23</v>
      </c>
      <c r="N844" s="1" t="s">
        <v>29</v>
      </c>
      <c r="O844" s="1" t="s">
        <v>30</v>
      </c>
      <c r="P844">
        <v>1</v>
      </c>
      <c r="Q844" s="1" t="s">
        <v>31</v>
      </c>
      <c r="R844">
        <v>1</v>
      </c>
      <c r="S844" s="1" t="s">
        <v>40</v>
      </c>
      <c r="T844" s="1" t="s">
        <v>33</v>
      </c>
      <c r="U844" s="1" t="s">
        <v>41</v>
      </c>
      <c r="V844" s="1" t="str">
        <f>_xlfn.XLOOKUP(A844,Dictonary!$A$2:$A$5,Dictonary!$B$2:$B$5)</f>
        <v>No information</v>
      </c>
      <c r="W844" s="1" t="str">
        <f>_xlfn.XLOOKUP(D844,Dictonary!$D$2:$D$12,Dictonary!$E$2:$E$12)</f>
        <v>repairs</v>
      </c>
      <c r="X844" s="1" t="str">
        <f>_xlfn.XLOOKUP(F844,Dictonary!$G$2:$G$6,Dictonary!$H$2:$H$6)</f>
        <v>Less 100</v>
      </c>
      <c r="Y844" s="1" t="str">
        <f>_xlfn.XLOOKUP(I844,Dictonary!$J$2:$J$6,Dictonary!$K$2:$K$6)</f>
        <v>female : divorced/separated/married</v>
      </c>
      <c r="Z844" s="1" t="str">
        <f>_xlfn.XLOOKUP(Q844,Dictonary!$M$2:$M$5,Dictonary!$N$2:$N$5)</f>
        <v>skilled employee / official</v>
      </c>
      <c r="AA844" s="1" t="str">
        <f>_xlfn.XLOOKUP(O844,Dictonary!$P$2:$P$4,Dictonary!$Q$2:$Q$4)</f>
        <v>own</v>
      </c>
    </row>
    <row r="845" spans="1:27" x14ac:dyDescent="0.3">
      <c r="A845" s="1" t="s">
        <v>42</v>
      </c>
      <c r="B845">
        <v>24</v>
      </c>
      <c r="C845" s="1" t="s">
        <v>69</v>
      </c>
      <c r="D845" s="1" t="s">
        <v>63</v>
      </c>
      <c r="E845">
        <v>1559</v>
      </c>
      <c r="F845" s="1" t="s">
        <v>37</v>
      </c>
      <c r="G845" s="1" t="s">
        <v>44</v>
      </c>
      <c r="H845">
        <v>4</v>
      </c>
      <c r="I845" s="1" t="s">
        <v>26</v>
      </c>
      <c r="J845" s="1" t="s">
        <v>27</v>
      </c>
      <c r="K845">
        <v>4</v>
      </c>
      <c r="L845" s="1" t="s">
        <v>55</v>
      </c>
      <c r="M845">
        <v>50</v>
      </c>
      <c r="N845" s="1" t="s">
        <v>66</v>
      </c>
      <c r="O845" s="1" t="s">
        <v>30</v>
      </c>
      <c r="P845">
        <v>1</v>
      </c>
      <c r="Q845" s="1" t="s">
        <v>31</v>
      </c>
      <c r="R845">
        <v>1</v>
      </c>
      <c r="S845" s="1" t="s">
        <v>32</v>
      </c>
      <c r="T845" s="1" t="s">
        <v>33</v>
      </c>
      <c r="U845" s="1" t="s">
        <v>34</v>
      </c>
      <c r="V845" s="1" t="str">
        <f>_xlfn.XLOOKUP(A845,Dictonary!$A$2:$A$5,Dictonary!$B$2:$B$5)</f>
        <v>No information</v>
      </c>
      <c r="W845" s="1" t="str">
        <f>_xlfn.XLOOKUP(D845,Dictonary!$D$2:$D$12,Dictonary!$E$2:$E$12)</f>
        <v>business</v>
      </c>
      <c r="X845" s="1" t="str">
        <f>_xlfn.XLOOKUP(F845,Dictonary!$G$2:$G$6,Dictonary!$H$2:$H$6)</f>
        <v>Less 100</v>
      </c>
      <c r="Y845" s="1" t="str">
        <f>_xlfn.XLOOKUP(I845,Dictonary!$J$2:$J$6,Dictonary!$K$2:$K$6)</f>
        <v>male : single</v>
      </c>
      <c r="Z845" s="1" t="str">
        <f>_xlfn.XLOOKUP(Q845,Dictonary!$M$2:$M$5,Dictonary!$N$2:$N$5)</f>
        <v>skilled employee / official</v>
      </c>
      <c r="AA845" s="1" t="str">
        <f>_xlfn.XLOOKUP(O845,Dictonary!$P$2:$P$4,Dictonary!$Q$2:$Q$4)</f>
        <v>own</v>
      </c>
    </row>
    <row r="846" spans="1:27" x14ac:dyDescent="0.3">
      <c r="A846" s="1" t="s">
        <v>42</v>
      </c>
      <c r="B846">
        <v>18</v>
      </c>
      <c r="C846" s="1" t="s">
        <v>36</v>
      </c>
      <c r="D846" s="1" t="s">
        <v>46</v>
      </c>
      <c r="E846">
        <v>3422</v>
      </c>
      <c r="F846" s="1" t="s">
        <v>37</v>
      </c>
      <c r="G846" s="1" t="s">
        <v>25</v>
      </c>
      <c r="H846">
        <v>4</v>
      </c>
      <c r="I846" s="1" t="s">
        <v>26</v>
      </c>
      <c r="J846" s="1" t="s">
        <v>27</v>
      </c>
      <c r="K846">
        <v>4</v>
      </c>
      <c r="L846" s="1" t="s">
        <v>48</v>
      </c>
      <c r="M846">
        <v>47</v>
      </c>
      <c r="N846" s="1" t="s">
        <v>66</v>
      </c>
      <c r="O846" s="1" t="s">
        <v>30</v>
      </c>
      <c r="P846">
        <v>3</v>
      </c>
      <c r="Q846" s="1" t="s">
        <v>31</v>
      </c>
      <c r="R846">
        <v>2</v>
      </c>
      <c r="S846" s="1" t="s">
        <v>32</v>
      </c>
      <c r="T846" s="1" t="s">
        <v>33</v>
      </c>
      <c r="U846" s="1" t="s">
        <v>34</v>
      </c>
      <c r="V846" s="1" t="str">
        <f>_xlfn.XLOOKUP(A846,Dictonary!$A$2:$A$5,Dictonary!$B$2:$B$5)</f>
        <v>No information</v>
      </c>
      <c r="W846" s="1" t="str">
        <f>_xlfn.XLOOKUP(D846,Dictonary!$D$2:$D$12,Dictonary!$E$2:$E$12)</f>
        <v>furniture/equipment</v>
      </c>
      <c r="X846" s="1" t="str">
        <f>_xlfn.XLOOKUP(F846,Dictonary!$G$2:$G$6,Dictonary!$H$2:$H$6)</f>
        <v>Less 100</v>
      </c>
      <c r="Y846" s="1" t="str">
        <f>_xlfn.XLOOKUP(I846,Dictonary!$J$2:$J$6,Dictonary!$K$2:$K$6)</f>
        <v>male : single</v>
      </c>
      <c r="Z846" s="1" t="str">
        <f>_xlfn.XLOOKUP(Q846,Dictonary!$M$2:$M$5,Dictonary!$N$2:$N$5)</f>
        <v>skilled employee / official</v>
      </c>
      <c r="AA846" s="1" t="str">
        <f>_xlfn.XLOOKUP(O846,Dictonary!$P$2:$P$4,Dictonary!$Q$2:$Q$4)</f>
        <v>own</v>
      </c>
    </row>
    <row r="847" spans="1:27" x14ac:dyDescent="0.3">
      <c r="A847" s="1" t="s">
        <v>35</v>
      </c>
      <c r="B847">
        <v>21</v>
      </c>
      <c r="C847" s="1" t="s">
        <v>36</v>
      </c>
      <c r="D847" s="1" t="s">
        <v>46</v>
      </c>
      <c r="E847">
        <v>3976</v>
      </c>
      <c r="F847" s="1" t="s">
        <v>24</v>
      </c>
      <c r="G847" s="1" t="s">
        <v>44</v>
      </c>
      <c r="H847">
        <v>2</v>
      </c>
      <c r="I847" s="1" t="s">
        <v>26</v>
      </c>
      <c r="J847" s="1" t="s">
        <v>27</v>
      </c>
      <c r="K847">
        <v>3</v>
      </c>
      <c r="L847" s="1" t="s">
        <v>55</v>
      </c>
      <c r="M847">
        <v>35</v>
      </c>
      <c r="N847" s="1" t="s">
        <v>29</v>
      </c>
      <c r="O847" s="1" t="s">
        <v>30</v>
      </c>
      <c r="P847">
        <v>1</v>
      </c>
      <c r="Q847" s="1" t="s">
        <v>31</v>
      </c>
      <c r="R847">
        <v>1</v>
      </c>
      <c r="S847" s="1" t="s">
        <v>32</v>
      </c>
      <c r="T847" s="1" t="s">
        <v>33</v>
      </c>
      <c r="U847" s="1" t="s">
        <v>34</v>
      </c>
      <c r="V847" s="1" t="str">
        <f>_xlfn.XLOOKUP(A847,Dictonary!$A$2:$A$5,Dictonary!$B$2:$B$5)</f>
        <v>Low balance</v>
      </c>
      <c r="W847" s="1" t="str">
        <f>_xlfn.XLOOKUP(D847,Dictonary!$D$2:$D$12,Dictonary!$E$2:$E$12)</f>
        <v>furniture/equipment</v>
      </c>
      <c r="X847" s="1" t="str">
        <f>_xlfn.XLOOKUP(F847,Dictonary!$G$2:$G$6,Dictonary!$H$2:$H$6)</f>
        <v>No information</v>
      </c>
      <c r="Y847" s="1" t="str">
        <f>_xlfn.XLOOKUP(I847,Dictonary!$J$2:$J$6,Dictonary!$K$2:$K$6)</f>
        <v>male : single</v>
      </c>
      <c r="Z847" s="1" t="str">
        <f>_xlfn.XLOOKUP(Q847,Dictonary!$M$2:$M$5,Dictonary!$N$2:$N$5)</f>
        <v>skilled employee / official</v>
      </c>
      <c r="AA847" s="1" t="str">
        <f>_xlfn.XLOOKUP(O847,Dictonary!$P$2:$P$4,Dictonary!$Q$2:$Q$4)</f>
        <v>own</v>
      </c>
    </row>
    <row r="848" spans="1:27" x14ac:dyDescent="0.3">
      <c r="A848" s="1" t="s">
        <v>42</v>
      </c>
      <c r="B848">
        <v>18</v>
      </c>
      <c r="C848" s="1" t="s">
        <v>36</v>
      </c>
      <c r="D848" s="1" t="s">
        <v>51</v>
      </c>
      <c r="E848">
        <v>6761</v>
      </c>
      <c r="F848" s="1" t="s">
        <v>24</v>
      </c>
      <c r="G848" s="1" t="s">
        <v>38</v>
      </c>
      <c r="H848">
        <v>2</v>
      </c>
      <c r="I848" s="1" t="s">
        <v>26</v>
      </c>
      <c r="J848" s="1" t="s">
        <v>27</v>
      </c>
      <c r="K848">
        <v>4</v>
      </c>
      <c r="L848" s="1" t="s">
        <v>55</v>
      </c>
      <c r="M848">
        <v>68</v>
      </c>
      <c r="N848" s="1" t="s">
        <v>29</v>
      </c>
      <c r="O848" s="1" t="s">
        <v>56</v>
      </c>
      <c r="P848">
        <v>2</v>
      </c>
      <c r="Q848" s="1" t="s">
        <v>31</v>
      </c>
      <c r="R848">
        <v>1</v>
      </c>
      <c r="S848" s="1" t="s">
        <v>40</v>
      </c>
      <c r="T848" s="1" t="s">
        <v>33</v>
      </c>
      <c r="U848" s="1" t="s">
        <v>41</v>
      </c>
      <c r="V848" s="1" t="str">
        <f>_xlfn.XLOOKUP(A848,Dictonary!$A$2:$A$5,Dictonary!$B$2:$B$5)</f>
        <v>No information</v>
      </c>
      <c r="W848" s="1" t="str">
        <f>_xlfn.XLOOKUP(D848,Dictonary!$D$2:$D$12,Dictonary!$E$2:$E$12)</f>
        <v>car (new)</v>
      </c>
      <c r="X848" s="1" t="str">
        <f>_xlfn.XLOOKUP(F848,Dictonary!$G$2:$G$6,Dictonary!$H$2:$H$6)</f>
        <v>No information</v>
      </c>
      <c r="Y848" s="1" t="str">
        <f>_xlfn.XLOOKUP(I848,Dictonary!$J$2:$J$6,Dictonary!$K$2:$K$6)</f>
        <v>male : single</v>
      </c>
      <c r="Z848" s="1" t="str">
        <f>_xlfn.XLOOKUP(Q848,Dictonary!$M$2:$M$5,Dictonary!$N$2:$N$5)</f>
        <v>skilled employee / official</v>
      </c>
      <c r="AA848" s="1" t="str">
        <f>_xlfn.XLOOKUP(O848,Dictonary!$P$2:$P$4,Dictonary!$Q$2:$Q$4)</f>
        <v>rent</v>
      </c>
    </row>
    <row r="849" spans="1:27" x14ac:dyDescent="0.3">
      <c r="A849" s="1" t="s">
        <v>42</v>
      </c>
      <c r="B849">
        <v>24</v>
      </c>
      <c r="C849" s="1" t="s">
        <v>36</v>
      </c>
      <c r="D849" s="1" t="s">
        <v>51</v>
      </c>
      <c r="E849">
        <v>1249</v>
      </c>
      <c r="F849" s="1" t="s">
        <v>37</v>
      </c>
      <c r="G849" s="1" t="s">
        <v>62</v>
      </c>
      <c r="H849">
        <v>4</v>
      </c>
      <c r="I849" s="1" t="s">
        <v>61</v>
      </c>
      <c r="J849" s="1" t="s">
        <v>27</v>
      </c>
      <c r="K849">
        <v>2</v>
      </c>
      <c r="L849" s="1" t="s">
        <v>28</v>
      </c>
      <c r="M849">
        <v>28</v>
      </c>
      <c r="N849" s="1" t="s">
        <v>29</v>
      </c>
      <c r="O849" s="1" t="s">
        <v>30</v>
      </c>
      <c r="P849">
        <v>1</v>
      </c>
      <c r="Q849" s="1" t="s">
        <v>31</v>
      </c>
      <c r="R849">
        <v>1</v>
      </c>
      <c r="S849" s="1" t="s">
        <v>40</v>
      </c>
      <c r="T849" s="1" t="s">
        <v>33</v>
      </c>
      <c r="U849" s="1" t="s">
        <v>34</v>
      </c>
      <c r="V849" s="1" t="str">
        <f>_xlfn.XLOOKUP(A849,Dictonary!$A$2:$A$5,Dictonary!$B$2:$B$5)</f>
        <v>No information</v>
      </c>
      <c r="W849" s="1" t="str">
        <f>_xlfn.XLOOKUP(D849,Dictonary!$D$2:$D$12,Dictonary!$E$2:$E$12)</f>
        <v>car (new)</v>
      </c>
      <c r="X849" s="1" t="str">
        <f>_xlfn.XLOOKUP(F849,Dictonary!$G$2:$G$6,Dictonary!$H$2:$H$6)</f>
        <v>Less 100</v>
      </c>
      <c r="Y849" s="1" t="str">
        <f>_xlfn.XLOOKUP(I849,Dictonary!$J$2:$J$6,Dictonary!$K$2:$K$6)</f>
        <v>male : married/widowed</v>
      </c>
      <c r="Z849" s="1" t="str">
        <f>_xlfn.XLOOKUP(Q849,Dictonary!$M$2:$M$5,Dictonary!$N$2:$N$5)</f>
        <v>skilled employee / official</v>
      </c>
      <c r="AA849" s="1" t="str">
        <f>_xlfn.XLOOKUP(O849,Dictonary!$P$2:$P$4,Dictonary!$Q$2:$Q$4)</f>
        <v>own</v>
      </c>
    </row>
    <row r="850" spans="1:27" x14ac:dyDescent="0.3">
      <c r="A850" s="1" t="s">
        <v>21</v>
      </c>
      <c r="B850">
        <v>9</v>
      </c>
      <c r="C850" s="1" t="s">
        <v>36</v>
      </c>
      <c r="D850" s="1" t="s">
        <v>23</v>
      </c>
      <c r="E850">
        <v>1364</v>
      </c>
      <c r="F850" s="1" t="s">
        <v>37</v>
      </c>
      <c r="G850" s="1" t="s">
        <v>44</v>
      </c>
      <c r="H850">
        <v>3</v>
      </c>
      <c r="I850" s="1" t="s">
        <v>26</v>
      </c>
      <c r="J850" s="1" t="s">
        <v>27</v>
      </c>
      <c r="K850">
        <v>4</v>
      </c>
      <c r="L850" s="1" t="s">
        <v>28</v>
      </c>
      <c r="M850">
        <v>59</v>
      </c>
      <c r="N850" s="1" t="s">
        <v>29</v>
      </c>
      <c r="O850" s="1" t="s">
        <v>30</v>
      </c>
      <c r="P850">
        <v>1</v>
      </c>
      <c r="Q850" s="1" t="s">
        <v>31</v>
      </c>
      <c r="R850">
        <v>1</v>
      </c>
      <c r="S850" s="1" t="s">
        <v>40</v>
      </c>
      <c r="T850" s="1" t="s">
        <v>33</v>
      </c>
      <c r="U850" s="1" t="s">
        <v>34</v>
      </c>
      <c r="V850" s="1" t="str">
        <f>_xlfn.XLOOKUP(A850,Dictonary!$A$2:$A$5,Dictonary!$B$2:$B$5)</f>
        <v>Negative balance</v>
      </c>
      <c r="W850" s="1" t="str">
        <f>_xlfn.XLOOKUP(D850,Dictonary!$D$2:$D$12,Dictonary!$E$2:$E$12)</f>
        <v>radio/television</v>
      </c>
      <c r="X850" s="1" t="str">
        <f>_xlfn.XLOOKUP(F850,Dictonary!$G$2:$G$6,Dictonary!$H$2:$H$6)</f>
        <v>Less 100</v>
      </c>
      <c r="Y850" s="1" t="str">
        <f>_xlfn.XLOOKUP(I850,Dictonary!$J$2:$J$6,Dictonary!$K$2:$K$6)</f>
        <v>male : single</v>
      </c>
      <c r="Z850" s="1" t="str">
        <f>_xlfn.XLOOKUP(Q850,Dictonary!$M$2:$M$5,Dictonary!$N$2:$N$5)</f>
        <v>skilled employee / official</v>
      </c>
      <c r="AA850" s="1" t="str">
        <f>_xlfn.XLOOKUP(O850,Dictonary!$P$2:$P$4,Dictonary!$Q$2:$Q$4)</f>
        <v>own</v>
      </c>
    </row>
    <row r="851" spans="1:27" x14ac:dyDescent="0.3">
      <c r="A851" s="1" t="s">
        <v>21</v>
      </c>
      <c r="B851">
        <v>12</v>
      </c>
      <c r="C851" s="1" t="s">
        <v>36</v>
      </c>
      <c r="D851" s="1" t="s">
        <v>23</v>
      </c>
      <c r="E851">
        <v>709</v>
      </c>
      <c r="F851" s="1" t="s">
        <v>37</v>
      </c>
      <c r="G851" s="1" t="s">
        <v>25</v>
      </c>
      <c r="H851">
        <v>4</v>
      </c>
      <c r="I851" s="1" t="s">
        <v>26</v>
      </c>
      <c r="J851" s="1" t="s">
        <v>27</v>
      </c>
      <c r="K851">
        <v>4</v>
      </c>
      <c r="L851" s="1" t="s">
        <v>28</v>
      </c>
      <c r="M851">
        <v>57</v>
      </c>
      <c r="N851" s="1" t="s">
        <v>70</v>
      </c>
      <c r="O851" s="1" t="s">
        <v>30</v>
      </c>
      <c r="P851">
        <v>1</v>
      </c>
      <c r="Q851" s="1" t="s">
        <v>45</v>
      </c>
      <c r="R851">
        <v>1</v>
      </c>
      <c r="S851" s="1" t="s">
        <v>40</v>
      </c>
      <c r="T851" s="1" t="s">
        <v>33</v>
      </c>
      <c r="U851" s="1" t="s">
        <v>41</v>
      </c>
      <c r="V851" s="1" t="str">
        <f>_xlfn.XLOOKUP(A851,Dictonary!$A$2:$A$5,Dictonary!$B$2:$B$5)</f>
        <v>Negative balance</v>
      </c>
      <c r="W851" s="1" t="str">
        <f>_xlfn.XLOOKUP(D851,Dictonary!$D$2:$D$12,Dictonary!$E$2:$E$12)</f>
        <v>radio/television</v>
      </c>
      <c r="X851" s="1" t="str">
        <f>_xlfn.XLOOKUP(F851,Dictonary!$G$2:$G$6,Dictonary!$H$2:$H$6)</f>
        <v>Less 100</v>
      </c>
      <c r="Y851" s="1" t="str">
        <f>_xlfn.XLOOKUP(I851,Dictonary!$J$2:$J$6,Dictonary!$K$2:$K$6)</f>
        <v>male : single</v>
      </c>
      <c r="Z851" s="1" t="str">
        <f>_xlfn.XLOOKUP(Q851,Dictonary!$M$2:$M$5,Dictonary!$N$2:$N$5)</f>
        <v>unskilled - resident</v>
      </c>
      <c r="AA851" s="1" t="str">
        <f>_xlfn.XLOOKUP(O851,Dictonary!$P$2:$P$4,Dictonary!$Q$2:$Q$4)</f>
        <v>own</v>
      </c>
    </row>
    <row r="852" spans="1:27" x14ac:dyDescent="0.3">
      <c r="A852" s="1" t="s">
        <v>21</v>
      </c>
      <c r="B852">
        <v>20</v>
      </c>
      <c r="C852" s="1" t="s">
        <v>22</v>
      </c>
      <c r="D852" s="1" t="s">
        <v>51</v>
      </c>
      <c r="E852">
        <v>2235</v>
      </c>
      <c r="F852" s="1" t="s">
        <v>37</v>
      </c>
      <c r="G852" s="1" t="s">
        <v>38</v>
      </c>
      <c r="H852">
        <v>4</v>
      </c>
      <c r="I852" s="1" t="s">
        <v>61</v>
      </c>
      <c r="J852" s="1" t="s">
        <v>47</v>
      </c>
      <c r="K852">
        <v>2</v>
      </c>
      <c r="L852" s="1" t="s">
        <v>48</v>
      </c>
      <c r="M852">
        <v>33</v>
      </c>
      <c r="N852" s="1" t="s">
        <v>66</v>
      </c>
      <c r="O852" s="1" t="s">
        <v>56</v>
      </c>
      <c r="P852">
        <v>2</v>
      </c>
      <c r="Q852" s="1" t="s">
        <v>31</v>
      </c>
      <c r="R852">
        <v>1</v>
      </c>
      <c r="S852" s="1" t="s">
        <v>40</v>
      </c>
      <c r="T852" s="1" t="s">
        <v>67</v>
      </c>
      <c r="U852" s="1" t="s">
        <v>41</v>
      </c>
      <c r="V852" s="1" t="str">
        <f>_xlfn.XLOOKUP(A852,Dictonary!$A$2:$A$5,Dictonary!$B$2:$B$5)</f>
        <v>Negative balance</v>
      </c>
      <c r="W852" s="1" t="str">
        <f>_xlfn.XLOOKUP(D852,Dictonary!$D$2:$D$12,Dictonary!$E$2:$E$12)</f>
        <v>car (new)</v>
      </c>
      <c r="X852" s="1" t="str">
        <f>_xlfn.XLOOKUP(F852,Dictonary!$G$2:$G$6,Dictonary!$H$2:$H$6)</f>
        <v>Less 100</v>
      </c>
      <c r="Y852" s="1" t="str">
        <f>_xlfn.XLOOKUP(I852,Dictonary!$J$2:$J$6,Dictonary!$K$2:$K$6)</f>
        <v>male : married/widowed</v>
      </c>
      <c r="Z852" s="1" t="str">
        <f>_xlfn.XLOOKUP(Q852,Dictonary!$M$2:$M$5,Dictonary!$N$2:$N$5)</f>
        <v>skilled employee / official</v>
      </c>
      <c r="AA852" s="1" t="str">
        <f>_xlfn.XLOOKUP(O852,Dictonary!$P$2:$P$4,Dictonary!$Q$2:$Q$4)</f>
        <v>rent</v>
      </c>
    </row>
    <row r="853" spans="1:27" x14ac:dyDescent="0.3">
      <c r="A853" s="1" t="s">
        <v>42</v>
      </c>
      <c r="B853">
        <v>24</v>
      </c>
      <c r="C853" s="1" t="s">
        <v>22</v>
      </c>
      <c r="D853" s="1" t="s">
        <v>54</v>
      </c>
      <c r="E853">
        <v>4042</v>
      </c>
      <c r="F853" s="1" t="s">
        <v>24</v>
      </c>
      <c r="G853" s="1" t="s">
        <v>44</v>
      </c>
      <c r="H853">
        <v>3</v>
      </c>
      <c r="I853" s="1" t="s">
        <v>26</v>
      </c>
      <c r="J853" s="1" t="s">
        <v>27</v>
      </c>
      <c r="K853">
        <v>4</v>
      </c>
      <c r="L853" s="1" t="s">
        <v>48</v>
      </c>
      <c r="M853">
        <v>43</v>
      </c>
      <c r="N853" s="1" t="s">
        <v>29</v>
      </c>
      <c r="O853" s="1" t="s">
        <v>30</v>
      </c>
      <c r="P853">
        <v>2</v>
      </c>
      <c r="Q853" s="1" t="s">
        <v>31</v>
      </c>
      <c r="R853">
        <v>1</v>
      </c>
      <c r="S853" s="1" t="s">
        <v>32</v>
      </c>
      <c r="T853" s="1" t="s">
        <v>33</v>
      </c>
      <c r="U853" s="1" t="s">
        <v>34</v>
      </c>
      <c r="V853" s="1" t="str">
        <f>_xlfn.XLOOKUP(A853,Dictonary!$A$2:$A$5,Dictonary!$B$2:$B$5)</f>
        <v>No information</v>
      </c>
      <c r="W853" s="1" t="str">
        <f>_xlfn.XLOOKUP(D853,Dictonary!$D$2:$D$12,Dictonary!$E$2:$E$12)</f>
        <v>car (used)</v>
      </c>
      <c r="X853" s="1" t="str">
        <f>_xlfn.XLOOKUP(F853,Dictonary!$G$2:$G$6,Dictonary!$H$2:$H$6)</f>
        <v>No information</v>
      </c>
      <c r="Y853" s="1" t="str">
        <f>_xlfn.XLOOKUP(I853,Dictonary!$J$2:$J$6,Dictonary!$K$2:$K$6)</f>
        <v>male : single</v>
      </c>
      <c r="Z853" s="1" t="str">
        <f>_xlfn.XLOOKUP(Q853,Dictonary!$M$2:$M$5,Dictonary!$N$2:$N$5)</f>
        <v>skilled employee / official</v>
      </c>
      <c r="AA853" s="1" t="str">
        <f>_xlfn.XLOOKUP(O853,Dictonary!$P$2:$P$4,Dictonary!$Q$2:$Q$4)</f>
        <v>own</v>
      </c>
    </row>
    <row r="854" spans="1:27" x14ac:dyDescent="0.3">
      <c r="A854" s="1" t="s">
        <v>42</v>
      </c>
      <c r="B854">
        <v>15</v>
      </c>
      <c r="C854" s="1" t="s">
        <v>22</v>
      </c>
      <c r="D854" s="1" t="s">
        <v>23</v>
      </c>
      <c r="E854">
        <v>1471</v>
      </c>
      <c r="F854" s="1" t="s">
        <v>37</v>
      </c>
      <c r="G854" s="1" t="s">
        <v>38</v>
      </c>
      <c r="H854">
        <v>4</v>
      </c>
      <c r="I854" s="1" t="s">
        <v>26</v>
      </c>
      <c r="J854" s="1" t="s">
        <v>27</v>
      </c>
      <c r="K854">
        <v>4</v>
      </c>
      <c r="L854" s="1" t="s">
        <v>52</v>
      </c>
      <c r="M854">
        <v>35</v>
      </c>
      <c r="N854" s="1" t="s">
        <v>29</v>
      </c>
      <c r="O854" s="1" t="s">
        <v>49</v>
      </c>
      <c r="P854">
        <v>2</v>
      </c>
      <c r="Q854" s="1" t="s">
        <v>31</v>
      </c>
      <c r="R854">
        <v>1</v>
      </c>
      <c r="S854" s="1" t="s">
        <v>32</v>
      </c>
      <c r="T854" s="1" t="s">
        <v>33</v>
      </c>
      <c r="U854" s="1" t="s">
        <v>34</v>
      </c>
      <c r="V854" s="1" t="str">
        <f>_xlfn.XLOOKUP(A854,Dictonary!$A$2:$A$5,Dictonary!$B$2:$B$5)</f>
        <v>No information</v>
      </c>
      <c r="W854" s="1" t="str">
        <f>_xlfn.XLOOKUP(D854,Dictonary!$D$2:$D$12,Dictonary!$E$2:$E$12)</f>
        <v>radio/television</v>
      </c>
      <c r="X854" s="1" t="str">
        <f>_xlfn.XLOOKUP(F854,Dictonary!$G$2:$G$6,Dictonary!$H$2:$H$6)</f>
        <v>Less 100</v>
      </c>
      <c r="Y854" s="1" t="str">
        <f>_xlfn.XLOOKUP(I854,Dictonary!$J$2:$J$6,Dictonary!$K$2:$K$6)</f>
        <v>male : single</v>
      </c>
      <c r="Z854" s="1" t="str">
        <f>_xlfn.XLOOKUP(Q854,Dictonary!$M$2:$M$5,Dictonary!$N$2:$N$5)</f>
        <v>skilled employee / official</v>
      </c>
      <c r="AA854" s="1" t="str">
        <f>_xlfn.XLOOKUP(O854,Dictonary!$P$2:$P$4,Dictonary!$Q$2:$Q$4)</f>
        <v>for free</v>
      </c>
    </row>
    <row r="855" spans="1:27" x14ac:dyDescent="0.3">
      <c r="A855" s="1" t="s">
        <v>21</v>
      </c>
      <c r="B855">
        <v>18</v>
      </c>
      <c r="C855" s="1" t="s">
        <v>69</v>
      </c>
      <c r="D855" s="1" t="s">
        <v>51</v>
      </c>
      <c r="E855">
        <v>1442</v>
      </c>
      <c r="F855" s="1" t="s">
        <v>37</v>
      </c>
      <c r="G855" s="1" t="s">
        <v>44</v>
      </c>
      <c r="H855">
        <v>4</v>
      </c>
      <c r="I855" s="1" t="s">
        <v>26</v>
      </c>
      <c r="J855" s="1" t="s">
        <v>27</v>
      </c>
      <c r="K855">
        <v>4</v>
      </c>
      <c r="L855" s="1" t="s">
        <v>52</v>
      </c>
      <c r="M855">
        <v>32</v>
      </c>
      <c r="N855" s="1" t="s">
        <v>29</v>
      </c>
      <c r="O855" s="1" t="s">
        <v>49</v>
      </c>
      <c r="P855">
        <v>2</v>
      </c>
      <c r="Q855" s="1" t="s">
        <v>45</v>
      </c>
      <c r="R855">
        <v>2</v>
      </c>
      <c r="S855" s="1" t="s">
        <v>40</v>
      </c>
      <c r="T855" s="1" t="s">
        <v>33</v>
      </c>
      <c r="U855" s="1" t="s">
        <v>41</v>
      </c>
      <c r="V855" s="1" t="str">
        <f>_xlfn.XLOOKUP(A855,Dictonary!$A$2:$A$5,Dictonary!$B$2:$B$5)</f>
        <v>Negative balance</v>
      </c>
      <c r="W855" s="1" t="str">
        <f>_xlfn.XLOOKUP(D855,Dictonary!$D$2:$D$12,Dictonary!$E$2:$E$12)</f>
        <v>car (new)</v>
      </c>
      <c r="X855" s="1" t="str">
        <f>_xlfn.XLOOKUP(F855,Dictonary!$G$2:$G$6,Dictonary!$H$2:$H$6)</f>
        <v>Less 100</v>
      </c>
      <c r="Y855" s="1" t="str">
        <f>_xlfn.XLOOKUP(I855,Dictonary!$J$2:$J$6,Dictonary!$K$2:$K$6)</f>
        <v>male : single</v>
      </c>
      <c r="Z855" s="1" t="str">
        <f>_xlfn.XLOOKUP(Q855,Dictonary!$M$2:$M$5,Dictonary!$N$2:$N$5)</f>
        <v>unskilled - resident</v>
      </c>
      <c r="AA855" s="1" t="str">
        <f>_xlfn.XLOOKUP(O855,Dictonary!$P$2:$P$4,Dictonary!$Q$2:$Q$4)</f>
        <v>for free</v>
      </c>
    </row>
    <row r="856" spans="1:27" x14ac:dyDescent="0.3">
      <c r="A856" s="1" t="s">
        <v>42</v>
      </c>
      <c r="B856">
        <v>36</v>
      </c>
      <c r="C856" s="1" t="s">
        <v>50</v>
      </c>
      <c r="D856" s="1" t="s">
        <v>51</v>
      </c>
      <c r="E856">
        <v>10875</v>
      </c>
      <c r="F856" s="1" t="s">
        <v>37</v>
      </c>
      <c r="G856" s="1" t="s">
        <v>25</v>
      </c>
      <c r="H856">
        <v>2</v>
      </c>
      <c r="I856" s="1" t="s">
        <v>26</v>
      </c>
      <c r="J856" s="1" t="s">
        <v>27</v>
      </c>
      <c r="K856">
        <v>2</v>
      </c>
      <c r="L856" s="1" t="s">
        <v>55</v>
      </c>
      <c r="M856">
        <v>45</v>
      </c>
      <c r="N856" s="1" t="s">
        <v>29</v>
      </c>
      <c r="O856" s="1" t="s">
        <v>30</v>
      </c>
      <c r="P856">
        <v>2</v>
      </c>
      <c r="Q856" s="1" t="s">
        <v>31</v>
      </c>
      <c r="R856">
        <v>2</v>
      </c>
      <c r="S856" s="1" t="s">
        <v>32</v>
      </c>
      <c r="T856" s="1" t="s">
        <v>33</v>
      </c>
      <c r="U856" s="1" t="s">
        <v>34</v>
      </c>
      <c r="V856" s="1" t="str">
        <f>_xlfn.XLOOKUP(A856,Dictonary!$A$2:$A$5,Dictonary!$B$2:$B$5)</f>
        <v>No information</v>
      </c>
      <c r="W856" s="1" t="str">
        <f>_xlfn.XLOOKUP(D856,Dictonary!$D$2:$D$12,Dictonary!$E$2:$E$12)</f>
        <v>car (new)</v>
      </c>
      <c r="X856" s="1" t="str">
        <f>_xlfn.XLOOKUP(F856,Dictonary!$G$2:$G$6,Dictonary!$H$2:$H$6)</f>
        <v>Less 100</v>
      </c>
      <c r="Y856" s="1" t="str">
        <f>_xlfn.XLOOKUP(I856,Dictonary!$J$2:$J$6,Dictonary!$K$2:$K$6)</f>
        <v>male : single</v>
      </c>
      <c r="Z856" s="1" t="str">
        <f>_xlfn.XLOOKUP(Q856,Dictonary!$M$2:$M$5,Dictonary!$N$2:$N$5)</f>
        <v>skilled employee / official</v>
      </c>
      <c r="AA856" s="1" t="str">
        <f>_xlfn.XLOOKUP(O856,Dictonary!$P$2:$P$4,Dictonary!$Q$2:$Q$4)</f>
        <v>own</v>
      </c>
    </row>
    <row r="857" spans="1:27" x14ac:dyDescent="0.3">
      <c r="A857" s="1" t="s">
        <v>42</v>
      </c>
      <c r="B857">
        <v>24</v>
      </c>
      <c r="C857" s="1" t="s">
        <v>36</v>
      </c>
      <c r="D857" s="1" t="s">
        <v>51</v>
      </c>
      <c r="E857">
        <v>1474</v>
      </c>
      <c r="F857" s="1" t="s">
        <v>64</v>
      </c>
      <c r="G857" s="1" t="s">
        <v>62</v>
      </c>
      <c r="H857">
        <v>4</v>
      </c>
      <c r="I857" s="1" t="s">
        <v>61</v>
      </c>
      <c r="J857" s="1" t="s">
        <v>27</v>
      </c>
      <c r="K857">
        <v>3</v>
      </c>
      <c r="L857" s="1" t="s">
        <v>28</v>
      </c>
      <c r="M857">
        <v>33</v>
      </c>
      <c r="N857" s="1" t="s">
        <v>29</v>
      </c>
      <c r="O857" s="1" t="s">
        <v>30</v>
      </c>
      <c r="P857">
        <v>1</v>
      </c>
      <c r="Q857" s="1" t="s">
        <v>31</v>
      </c>
      <c r="R857">
        <v>1</v>
      </c>
      <c r="S857" s="1" t="s">
        <v>32</v>
      </c>
      <c r="T857" s="1" t="s">
        <v>33</v>
      </c>
      <c r="U857" s="1" t="s">
        <v>34</v>
      </c>
      <c r="V857" s="1" t="str">
        <f>_xlfn.XLOOKUP(A857,Dictonary!$A$2:$A$5,Dictonary!$B$2:$B$5)</f>
        <v>No information</v>
      </c>
      <c r="W857" s="1" t="str">
        <f>_xlfn.XLOOKUP(D857,Dictonary!$D$2:$D$12,Dictonary!$E$2:$E$12)</f>
        <v>car (new)</v>
      </c>
      <c r="X857" s="1" t="str">
        <f>_xlfn.XLOOKUP(F857,Dictonary!$G$2:$G$6,Dictonary!$H$2:$H$6)</f>
        <v>Up to 500</v>
      </c>
      <c r="Y857" s="1" t="str">
        <f>_xlfn.XLOOKUP(I857,Dictonary!$J$2:$J$6,Dictonary!$K$2:$K$6)</f>
        <v>male : married/widowed</v>
      </c>
      <c r="Z857" s="1" t="str">
        <f>_xlfn.XLOOKUP(Q857,Dictonary!$M$2:$M$5,Dictonary!$N$2:$N$5)</f>
        <v>skilled employee / official</v>
      </c>
      <c r="AA857" s="1" t="str">
        <f>_xlfn.XLOOKUP(O857,Dictonary!$P$2:$P$4,Dictonary!$Q$2:$Q$4)</f>
        <v>own</v>
      </c>
    </row>
    <row r="858" spans="1:27" x14ac:dyDescent="0.3">
      <c r="A858" s="1" t="s">
        <v>42</v>
      </c>
      <c r="B858">
        <v>10</v>
      </c>
      <c r="C858" s="1" t="s">
        <v>36</v>
      </c>
      <c r="D858" s="1" t="s">
        <v>76</v>
      </c>
      <c r="E858">
        <v>894</v>
      </c>
      <c r="F858" s="1" t="s">
        <v>24</v>
      </c>
      <c r="G858" s="1" t="s">
        <v>44</v>
      </c>
      <c r="H858">
        <v>4</v>
      </c>
      <c r="I858" s="1" t="s">
        <v>39</v>
      </c>
      <c r="J858" s="1" t="s">
        <v>27</v>
      </c>
      <c r="K858">
        <v>3</v>
      </c>
      <c r="L858" s="1" t="s">
        <v>48</v>
      </c>
      <c r="M858">
        <v>40</v>
      </c>
      <c r="N858" s="1" t="s">
        <v>29</v>
      </c>
      <c r="O858" s="1" t="s">
        <v>30</v>
      </c>
      <c r="P858">
        <v>1</v>
      </c>
      <c r="Q858" s="1" t="s">
        <v>31</v>
      </c>
      <c r="R858">
        <v>1</v>
      </c>
      <c r="S858" s="1" t="s">
        <v>32</v>
      </c>
      <c r="T858" s="1" t="s">
        <v>33</v>
      </c>
      <c r="U858" s="1" t="s">
        <v>34</v>
      </c>
      <c r="V858" s="1" t="str">
        <f>_xlfn.XLOOKUP(A858,Dictonary!$A$2:$A$5,Dictonary!$B$2:$B$5)</f>
        <v>No information</v>
      </c>
      <c r="W858" s="1" t="str">
        <f>_xlfn.XLOOKUP(D858,Dictonary!$D$2:$D$12,Dictonary!$E$2:$E$12)</f>
        <v>retraining</v>
      </c>
      <c r="X858" s="1" t="str">
        <f>_xlfn.XLOOKUP(F858,Dictonary!$G$2:$G$6,Dictonary!$H$2:$H$6)</f>
        <v>No information</v>
      </c>
      <c r="Y858" s="1" t="str">
        <f>_xlfn.XLOOKUP(I858,Dictonary!$J$2:$J$6,Dictonary!$K$2:$K$6)</f>
        <v>female : divorced/separated/married</v>
      </c>
      <c r="Z858" s="1" t="str">
        <f>_xlfn.XLOOKUP(Q858,Dictonary!$M$2:$M$5,Dictonary!$N$2:$N$5)</f>
        <v>skilled employee / official</v>
      </c>
      <c r="AA858" s="1" t="str">
        <f>_xlfn.XLOOKUP(O858,Dictonary!$P$2:$P$4,Dictonary!$Q$2:$Q$4)</f>
        <v>own</v>
      </c>
    </row>
    <row r="859" spans="1:27" x14ac:dyDescent="0.3">
      <c r="A859" s="1" t="s">
        <v>42</v>
      </c>
      <c r="B859">
        <v>15</v>
      </c>
      <c r="C859" s="1" t="s">
        <v>22</v>
      </c>
      <c r="D859" s="1" t="s">
        <v>46</v>
      </c>
      <c r="E859">
        <v>3343</v>
      </c>
      <c r="F859" s="1" t="s">
        <v>37</v>
      </c>
      <c r="G859" s="1" t="s">
        <v>38</v>
      </c>
      <c r="H859">
        <v>4</v>
      </c>
      <c r="I859" s="1" t="s">
        <v>26</v>
      </c>
      <c r="J859" s="1" t="s">
        <v>27</v>
      </c>
      <c r="K859">
        <v>2</v>
      </c>
      <c r="L859" s="1" t="s">
        <v>52</v>
      </c>
      <c r="M859">
        <v>28</v>
      </c>
      <c r="N859" s="1" t="s">
        <v>29</v>
      </c>
      <c r="O859" s="1" t="s">
        <v>49</v>
      </c>
      <c r="P859">
        <v>1</v>
      </c>
      <c r="Q859" s="1" t="s">
        <v>31</v>
      </c>
      <c r="R859">
        <v>1</v>
      </c>
      <c r="S859" s="1" t="s">
        <v>32</v>
      </c>
      <c r="T859" s="1" t="s">
        <v>33</v>
      </c>
      <c r="U859" s="1" t="s">
        <v>34</v>
      </c>
      <c r="V859" s="1" t="str">
        <f>_xlfn.XLOOKUP(A859,Dictonary!$A$2:$A$5,Dictonary!$B$2:$B$5)</f>
        <v>No information</v>
      </c>
      <c r="W859" s="1" t="str">
        <f>_xlfn.XLOOKUP(D859,Dictonary!$D$2:$D$12,Dictonary!$E$2:$E$12)</f>
        <v>furniture/equipment</v>
      </c>
      <c r="X859" s="1" t="str">
        <f>_xlfn.XLOOKUP(F859,Dictonary!$G$2:$G$6,Dictonary!$H$2:$H$6)</f>
        <v>Less 100</v>
      </c>
      <c r="Y859" s="1" t="str">
        <f>_xlfn.XLOOKUP(I859,Dictonary!$J$2:$J$6,Dictonary!$K$2:$K$6)</f>
        <v>male : single</v>
      </c>
      <c r="Z859" s="1" t="str">
        <f>_xlfn.XLOOKUP(Q859,Dictonary!$M$2:$M$5,Dictonary!$N$2:$N$5)</f>
        <v>skilled employee / official</v>
      </c>
      <c r="AA859" s="1" t="str">
        <f>_xlfn.XLOOKUP(O859,Dictonary!$P$2:$P$4,Dictonary!$Q$2:$Q$4)</f>
        <v>for free</v>
      </c>
    </row>
    <row r="860" spans="1:27" x14ac:dyDescent="0.3">
      <c r="A860" s="1" t="s">
        <v>21</v>
      </c>
      <c r="B860">
        <v>15</v>
      </c>
      <c r="C860" s="1" t="s">
        <v>36</v>
      </c>
      <c r="D860" s="1" t="s">
        <v>51</v>
      </c>
      <c r="E860">
        <v>3959</v>
      </c>
      <c r="F860" s="1" t="s">
        <v>37</v>
      </c>
      <c r="G860" s="1" t="s">
        <v>38</v>
      </c>
      <c r="H860">
        <v>3</v>
      </c>
      <c r="I860" s="1" t="s">
        <v>39</v>
      </c>
      <c r="J860" s="1" t="s">
        <v>27</v>
      </c>
      <c r="K860">
        <v>2</v>
      </c>
      <c r="L860" s="1" t="s">
        <v>48</v>
      </c>
      <c r="M860">
        <v>29</v>
      </c>
      <c r="N860" s="1" t="s">
        <v>29</v>
      </c>
      <c r="O860" s="1" t="s">
        <v>30</v>
      </c>
      <c r="P860">
        <v>1</v>
      </c>
      <c r="Q860" s="1" t="s">
        <v>31</v>
      </c>
      <c r="R860">
        <v>1</v>
      </c>
      <c r="S860" s="1" t="s">
        <v>32</v>
      </c>
      <c r="T860" s="1" t="s">
        <v>33</v>
      </c>
      <c r="U860" s="1" t="s">
        <v>41</v>
      </c>
      <c r="V860" s="1" t="str">
        <f>_xlfn.XLOOKUP(A860,Dictonary!$A$2:$A$5,Dictonary!$B$2:$B$5)</f>
        <v>Negative balance</v>
      </c>
      <c r="W860" s="1" t="str">
        <f>_xlfn.XLOOKUP(D860,Dictonary!$D$2:$D$12,Dictonary!$E$2:$E$12)</f>
        <v>car (new)</v>
      </c>
      <c r="X860" s="1" t="str">
        <f>_xlfn.XLOOKUP(F860,Dictonary!$G$2:$G$6,Dictonary!$H$2:$H$6)</f>
        <v>Less 100</v>
      </c>
      <c r="Y860" s="1" t="str">
        <f>_xlfn.XLOOKUP(I860,Dictonary!$J$2:$J$6,Dictonary!$K$2:$K$6)</f>
        <v>female : divorced/separated/married</v>
      </c>
      <c r="Z860" s="1" t="str">
        <f>_xlfn.XLOOKUP(Q860,Dictonary!$M$2:$M$5,Dictonary!$N$2:$N$5)</f>
        <v>skilled employee / official</v>
      </c>
      <c r="AA860" s="1" t="str">
        <f>_xlfn.XLOOKUP(O860,Dictonary!$P$2:$P$4,Dictonary!$Q$2:$Q$4)</f>
        <v>own</v>
      </c>
    </row>
    <row r="861" spans="1:27" x14ac:dyDescent="0.3">
      <c r="A861" s="1" t="s">
        <v>42</v>
      </c>
      <c r="B861">
        <v>9</v>
      </c>
      <c r="C861" s="1" t="s">
        <v>36</v>
      </c>
      <c r="D861" s="1" t="s">
        <v>51</v>
      </c>
      <c r="E861">
        <v>3577</v>
      </c>
      <c r="F861" s="1" t="s">
        <v>64</v>
      </c>
      <c r="G861" s="1" t="s">
        <v>38</v>
      </c>
      <c r="H861">
        <v>1</v>
      </c>
      <c r="I861" s="1" t="s">
        <v>26</v>
      </c>
      <c r="J861" s="1" t="s">
        <v>47</v>
      </c>
      <c r="K861">
        <v>2</v>
      </c>
      <c r="L861" s="1" t="s">
        <v>28</v>
      </c>
      <c r="M861">
        <v>26</v>
      </c>
      <c r="N861" s="1" t="s">
        <v>29</v>
      </c>
      <c r="O861" s="1" t="s">
        <v>56</v>
      </c>
      <c r="P861">
        <v>1</v>
      </c>
      <c r="Q861" s="1" t="s">
        <v>31</v>
      </c>
      <c r="R861">
        <v>2</v>
      </c>
      <c r="S861" s="1" t="s">
        <v>40</v>
      </c>
      <c r="T861" s="1" t="s">
        <v>67</v>
      </c>
      <c r="U861" s="1" t="s">
        <v>34</v>
      </c>
      <c r="V861" s="1" t="str">
        <f>_xlfn.XLOOKUP(A861,Dictonary!$A$2:$A$5,Dictonary!$B$2:$B$5)</f>
        <v>No information</v>
      </c>
      <c r="W861" s="1" t="str">
        <f>_xlfn.XLOOKUP(D861,Dictonary!$D$2:$D$12,Dictonary!$E$2:$E$12)</f>
        <v>car (new)</v>
      </c>
      <c r="X861" s="1" t="str">
        <f>_xlfn.XLOOKUP(F861,Dictonary!$G$2:$G$6,Dictonary!$H$2:$H$6)</f>
        <v>Up to 500</v>
      </c>
      <c r="Y861" s="1" t="str">
        <f>_xlfn.XLOOKUP(I861,Dictonary!$J$2:$J$6,Dictonary!$K$2:$K$6)</f>
        <v>male : single</v>
      </c>
      <c r="Z861" s="1" t="str">
        <f>_xlfn.XLOOKUP(Q861,Dictonary!$M$2:$M$5,Dictonary!$N$2:$N$5)</f>
        <v>skilled employee / official</v>
      </c>
      <c r="AA861" s="1" t="str">
        <f>_xlfn.XLOOKUP(O861,Dictonary!$P$2:$P$4,Dictonary!$Q$2:$Q$4)</f>
        <v>rent</v>
      </c>
    </row>
    <row r="862" spans="1:27" x14ac:dyDescent="0.3">
      <c r="A862" s="1" t="s">
        <v>42</v>
      </c>
      <c r="B862">
        <v>24</v>
      </c>
      <c r="C862" s="1" t="s">
        <v>22</v>
      </c>
      <c r="D862" s="1" t="s">
        <v>54</v>
      </c>
      <c r="E862">
        <v>5804</v>
      </c>
      <c r="F862" s="1" t="s">
        <v>58</v>
      </c>
      <c r="G862" s="1" t="s">
        <v>38</v>
      </c>
      <c r="H862">
        <v>4</v>
      </c>
      <c r="I862" s="1" t="s">
        <v>26</v>
      </c>
      <c r="J862" s="1" t="s">
        <v>27</v>
      </c>
      <c r="K862">
        <v>2</v>
      </c>
      <c r="L862" s="1" t="s">
        <v>28</v>
      </c>
      <c r="M862">
        <v>27</v>
      </c>
      <c r="N862" s="1" t="s">
        <v>29</v>
      </c>
      <c r="O862" s="1" t="s">
        <v>30</v>
      </c>
      <c r="P862">
        <v>2</v>
      </c>
      <c r="Q862" s="1" t="s">
        <v>31</v>
      </c>
      <c r="R862">
        <v>1</v>
      </c>
      <c r="S862" s="1" t="s">
        <v>40</v>
      </c>
      <c r="T862" s="1" t="s">
        <v>33</v>
      </c>
      <c r="U862" s="1" t="s">
        <v>34</v>
      </c>
      <c r="V862" s="1" t="str">
        <f>_xlfn.XLOOKUP(A862,Dictonary!$A$2:$A$5,Dictonary!$B$2:$B$5)</f>
        <v>No information</v>
      </c>
      <c r="W862" s="1" t="str">
        <f>_xlfn.XLOOKUP(D862,Dictonary!$D$2:$D$12,Dictonary!$E$2:$E$12)</f>
        <v>car (used)</v>
      </c>
      <c r="X862" s="1" t="str">
        <f>_xlfn.XLOOKUP(F862,Dictonary!$G$2:$G$6,Dictonary!$H$2:$H$6)</f>
        <v>More 1000</v>
      </c>
      <c r="Y862" s="1" t="str">
        <f>_xlfn.XLOOKUP(I862,Dictonary!$J$2:$J$6,Dictonary!$K$2:$K$6)</f>
        <v>male : single</v>
      </c>
      <c r="Z862" s="1" t="str">
        <f>_xlfn.XLOOKUP(Q862,Dictonary!$M$2:$M$5,Dictonary!$N$2:$N$5)</f>
        <v>skilled employee / official</v>
      </c>
      <c r="AA862" s="1" t="str">
        <f>_xlfn.XLOOKUP(O862,Dictonary!$P$2:$P$4,Dictonary!$Q$2:$Q$4)</f>
        <v>own</v>
      </c>
    </row>
    <row r="863" spans="1:27" x14ac:dyDescent="0.3">
      <c r="A863" s="1" t="s">
        <v>42</v>
      </c>
      <c r="B863">
        <v>18</v>
      </c>
      <c r="C863" s="1" t="s">
        <v>50</v>
      </c>
      <c r="D863" s="1" t="s">
        <v>63</v>
      </c>
      <c r="E863">
        <v>2169</v>
      </c>
      <c r="F863" s="1" t="s">
        <v>37</v>
      </c>
      <c r="G863" s="1" t="s">
        <v>38</v>
      </c>
      <c r="H863">
        <v>4</v>
      </c>
      <c r="I863" s="1" t="s">
        <v>61</v>
      </c>
      <c r="J863" s="1" t="s">
        <v>27</v>
      </c>
      <c r="K863">
        <v>2</v>
      </c>
      <c r="L863" s="1" t="s">
        <v>55</v>
      </c>
      <c r="M863">
        <v>28</v>
      </c>
      <c r="N863" s="1" t="s">
        <v>29</v>
      </c>
      <c r="O863" s="1" t="s">
        <v>30</v>
      </c>
      <c r="P863">
        <v>1</v>
      </c>
      <c r="Q863" s="1" t="s">
        <v>31</v>
      </c>
      <c r="R863">
        <v>1</v>
      </c>
      <c r="S863" s="1" t="s">
        <v>32</v>
      </c>
      <c r="T863" s="1" t="s">
        <v>33</v>
      </c>
      <c r="U863" s="1" t="s">
        <v>41</v>
      </c>
      <c r="V863" s="1" t="str">
        <f>_xlfn.XLOOKUP(A863,Dictonary!$A$2:$A$5,Dictonary!$B$2:$B$5)</f>
        <v>No information</v>
      </c>
      <c r="W863" s="1" t="str">
        <f>_xlfn.XLOOKUP(D863,Dictonary!$D$2:$D$12,Dictonary!$E$2:$E$12)</f>
        <v>business</v>
      </c>
      <c r="X863" s="1" t="str">
        <f>_xlfn.XLOOKUP(F863,Dictonary!$G$2:$G$6,Dictonary!$H$2:$H$6)</f>
        <v>Less 100</v>
      </c>
      <c r="Y863" s="1" t="str">
        <f>_xlfn.XLOOKUP(I863,Dictonary!$J$2:$J$6,Dictonary!$K$2:$K$6)</f>
        <v>male : married/widowed</v>
      </c>
      <c r="Z863" s="1" t="str">
        <f>_xlfn.XLOOKUP(Q863,Dictonary!$M$2:$M$5,Dictonary!$N$2:$N$5)</f>
        <v>skilled employee / official</v>
      </c>
      <c r="AA863" s="1" t="str">
        <f>_xlfn.XLOOKUP(O863,Dictonary!$P$2:$P$4,Dictonary!$Q$2:$Q$4)</f>
        <v>own</v>
      </c>
    </row>
    <row r="864" spans="1:27" x14ac:dyDescent="0.3">
      <c r="A864" s="1" t="s">
        <v>21</v>
      </c>
      <c r="B864">
        <v>24</v>
      </c>
      <c r="C864" s="1" t="s">
        <v>36</v>
      </c>
      <c r="D864" s="1" t="s">
        <v>23</v>
      </c>
      <c r="E864">
        <v>2439</v>
      </c>
      <c r="F864" s="1" t="s">
        <v>37</v>
      </c>
      <c r="G864" s="1" t="s">
        <v>62</v>
      </c>
      <c r="H864">
        <v>4</v>
      </c>
      <c r="I864" s="1" t="s">
        <v>39</v>
      </c>
      <c r="J864" s="1" t="s">
        <v>27</v>
      </c>
      <c r="K864">
        <v>4</v>
      </c>
      <c r="L864" s="1" t="s">
        <v>28</v>
      </c>
      <c r="M864">
        <v>35</v>
      </c>
      <c r="N864" s="1" t="s">
        <v>29</v>
      </c>
      <c r="O864" s="1" t="s">
        <v>30</v>
      </c>
      <c r="P864">
        <v>1</v>
      </c>
      <c r="Q864" s="1" t="s">
        <v>31</v>
      </c>
      <c r="R864">
        <v>1</v>
      </c>
      <c r="S864" s="1" t="s">
        <v>32</v>
      </c>
      <c r="T864" s="1" t="s">
        <v>33</v>
      </c>
      <c r="U864" s="1" t="s">
        <v>41</v>
      </c>
      <c r="V864" s="1" t="str">
        <f>_xlfn.XLOOKUP(A864,Dictonary!$A$2:$A$5,Dictonary!$B$2:$B$5)</f>
        <v>Negative balance</v>
      </c>
      <c r="W864" s="1" t="str">
        <f>_xlfn.XLOOKUP(D864,Dictonary!$D$2:$D$12,Dictonary!$E$2:$E$12)</f>
        <v>radio/television</v>
      </c>
      <c r="X864" s="1" t="str">
        <f>_xlfn.XLOOKUP(F864,Dictonary!$G$2:$G$6,Dictonary!$H$2:$H$6)</f>
        <v>Less 100</v>
      </c>
      <c r="Y864" s="1" t="str">
        <f>_xlfn.XLOOKUP(I864,Dictonary!$J$2:$J$6,Dictonary!$K$2:$K$6)</f>
        <v>female : divorced/separated/married</v>
      </c>
      <c r="Z864" s="1" t="str">
        <f>_xlfn.XLOOKUP(Q864,Dictonary!$M$2:$M$5,Dictonary!$N$2:$N$5)</f>
        <v>skilled employee / official</v>
      </c>
      <c r="AA864" s="1" t="str">
        <f>_xlfn.XLOOKUP(O864,Dictonary!$P$2:$P$4,Dictonary!$Q$2:$Q$4)</f>
        <v>own</v>
      </c>
    </row>
    <row r="865" spans="1:27" x14ac:dyDescent="0.3">
      <c r="A865" s="1" t="s">
        <v>42</v>
      </c>
      <c r="B865">
        <v>27</v>
      </c>
      <c r="C865" s="1" t="s">
        <v>22</v>
      </c>
      <c r="D865" s="1" t="s">
        <v>46</v>
      </c>
      <c r="E865">
        <v>4526</v>
      </c>
      <c r="F865" s="1" t="s">
        <v>58</v>
      </c>
      <c r="G865" s="1" t="s">
        <v>62</v>
      </c>
      <c r="H865">
        <v>4</v>
      </c>
      <c r="I865" s="1" t="s">
        <v>26</v>
      </c>
      <c r="J865" s="1" t="s">
        <v>27</v>
      </c>
      <c r="K865">
        <v>2</v>
      </c>
      <c r="L865" s="1" t="s">
        <v>28</v>
      </c>
      <c r="M865">
        <v>32</v>
      </c>
      <c r="N865" s="1" t="s">
        <v>70</v>
      </c>
      <c r="O865" s="1" t="s">
        <v>30</v>
      </c>
      <c r="P865">
        <v>2</v>
      </c>
      <c r="Q865" s="1" t="s">
        <v>45</v>
      </c>
      <c r="R865">
        <v>2</v>
      </c>
      <c r="S865" s="1" t="s">
        <v>32</v>
      </c>
      <c r="T865" s="1" t="s">
        <v>33</v>
      </c>
      <c r="U865" s="1" t="s">
        <v>34</v>
      </c>
      <c r="V865" s="1" t="str">
        <f>_xlfn.XLOOKUP(A865,Dictonary!$A$2:$A$5,Dictonary!$B$2:$B$5)</f>
        <v>No information</v>
      </c>
      <c r="W865" s="1" t="str">
        <f>_xlfn.XLOOKUP(D865,Dictonary!$D$2:$D$12,Dictonary!$E$2:$E$12)</f>
        <v>furniture/equipment</v>
      </c>
      <c r="X865" s="1" t="str">
        <f>_xlfn.XLOOKUP(F865,Dictonary!$G$2:$G$6,Dictonary!$H$2:$H$6)</f>
        <v>More 1000</v>
      </c>
      <c r="Y865" s="1" t="str">
        <f>_xlfn.XLOOKUP(I865,Dictonary!$J$2:$J$6,Dictonary!$K$2:$K$6)</f>
        <v>male : single</v>
      </c>
      <c r="Z865" s="1" t="str">
        <f>_xlfn.XLOOKUP(Q865,Dictonary!$M$2:$M$5,Dictonary!$N$2:$N$5)</f>
        <v>unskilled - resident</v>
      </c>
      <c r="AA865" s="1" t="str">
        <f>_xlfn.XLOOKUP(O865,Dictonary!$P$2:$P$4,Dictonary!$Q$2:$Q$4)</f>
        <v>own</v>
      </c>
    </row>
    <row r="866" spans="1:27" x14ac:dyDescent="0.3">
      <c r="A866" s="1" t="s">
        <v>42</v>
      </c>
      <c r="B866">
        <v>10</v>
      </c>
      <c r="C866" s="1" t="s">
        <v>36</v>
      </c>
      <c r="D866" s="1" t="s">
        <v>46</v>
      </c>
      <c r="E866">
        <v>2210</v>
      </c>
      <c r="F866" s="1" t="s">
        <v>37</v>
      </c>
      <c r="G866" s="1" t="s">
        <v>38</v>
      </c>
      <c r="H866">
        <v>2</v>
      </c>
      <c r="I866" s="1" t="s">
        <v>26</v>
      </c>
      <c r="J866" s="1" t="s">
        <v>27</v>
      </c>
      <c r="K866">
        <v>2</v>
      </c>
      <c r="L866" s="1" t="s">
        <v>28</v>
      </c>
      <c r="M866">
        <v>25</v>
      </c>
      <c r="N866" s="1" t="s">
        <v>66</v>
      </c>
      <c r="O866" s="1" t="s">
        <v>56</v>
      </c>
      <c r="P866">
        <v>1</v>
      </c>
      <c r="Q866" s="1" t="s">
        <v>45</v>
      </c>
      <c r="R866">
        <v>1</v>
      </c>
      <c r="S866" s="1" t="s">
        <v>40</v>
      </c>
      <c r="T866" s="1" t="s">
        <v>33</v>
      </c>
      <c r="U866" s="1" t="s">
        <v>41</v>
      </c>
      <c r="V866" s="1" t="str">
        <f>_xlfn.XLOOKUP(A866,Dictonary!$A$2:$A$5,Dictonary!$B$2:$B$5)</f>
        <v>No information</v>
      </c>
      <c r="W866" s="1" t="str">
        <f>_xlfn.XLOOKUP(D866,Dictonary!$D$2:$D$12,Dictonary!$E$2:$E$12)</f>
        <v>furniture/equipment</v>
      </c>
      <c r="X866" s="1" t="str">
        <f>_xlfn.XLOOKUP(F866,Dictonary!$G$2:$G$6,Dictonary!$H$2:$H$6)</f>
        <v>Less 100</v>
      </c>
      <c r="Y866" s="1" t="str">
        <f>_xlfn.XLOOKUP(I866,Dictonary!$J$2:$J$6,Dictonary!$K$2:$K$6)</f>
        <v>male : single</v>
      </c>
      <c r="Z866" s="1" t="str">
        <f>_xlfn.XLOOKUP(Q866,Dictonary!$M$2:$M$5,Dictonary!$N$2:$N$5)</f>
        <v>unskilled - resident</v>
      </c>
      <c r="AA866" s="1" t="str">
        <f>_xlfn.XLOOKUP(O866,Dictonary!$P$2:$P$4,Dictonary!$Q$2:$Q$4)</f>
        <v>rent</v>
      </c>
    </row>
    <row r="867" spans="1:27" x14ac:dyDescent="0.3">
      <c r="A867" s="1" t="s">
        <v>42</v>
      </c>
      <c r="B867">
        <v>15</v>
      </c>
      <c r="C867" s="1" t="s">
        <v>36</v>
      </c>
      <c r="D867" s="1" t="s">
        <v>46</v>
      </c>
      <c r="E867">
        <v>2221</v>
      </c>
      <c r="F867" s="1" t="s">
        <v>53</v>
      </c>
      <c r="G867" s="1" t="s">
        <v>38</v>
      </c>
      <c r="H867">
        <v>2</v>
      </c>
      <c r="I867" s="1" t="s">
        <v>39</v>
      </c>
      <c r="J867" s="1" t="s">
        <v>27</v>
      </c>
      <c r="K867">
        <v>4</v>
      </c>
      <c r="L867" s="1" t="s">
        <v>55</v>
      </c>
      <c r="M867">
        <v>20</v>
      </c>
      <c r="N867" s="1" t="s">
        <v>29</v>
      </c>
      <c r="O867" s="1" t="s">
        <v>56</v>
      </c>
      <c r="P867">
        <v>1</v>
      </c>
      <c r="Q867" s="1" t="s">
        <v>31</v>
      </c>
      <c r="R867">
        <v>1</v>
      </c>
      <c r="S867" s="1" t="s">
        <v>40</v>
      </c>
      <c r="T867" s="1" t="s">
        <v>33</v>
      </c>
      <c r="U867" s="1" t="s">
        <v>34</v>
      </c>
      <c r="V867" s="1" t="str">
        <f>_xlfn.XLOOKUP(A867,Dictonary!$A$2:$A$5,Dictonary!$B$2:$B$5)</f>
        <v>No information</v>
      </c>
      <c r="W867" s="1" t="str">
        <f>_xlfn.XLOOKUP(D867,Dictonary!$D$2:$D$12,Dictonary!$E$2:$E$12)</f>
        <v>furniture/equipment</v>
      </c>
      <c r="X867" s="1" t="str">
        <f>_xlfn.XLOOKUP(F867,Dictonary!$G$2:$G$6,Dictonary!$H$2:$H$6)</f>
        <v>Up to 1000</v>
      </c>
      <c r="Y867" s="1" t="str">
        <f>_xlfn.XLOOKUP(I867,Dictonary!$J$2:$J$6,Dictonary!$K$2:$K$6)</f>
        <v>female : divorced/separated/married</v>
      </c>
      <c r="Z867" s="1" t="str">
        <f>_xlfn.XLOOKUP(Q867,Dictonary!$M$2:$M$5,Dictonary!$N$2:$N$5)</f>
        <v>skilled employee / official</v>
      </c>
      <c r="AA867" s="1" t="str">
        <f>_xlfn.XLOOKUP(O867,Dictonary!$P$2:$P$4,Dictonary!$Q$2:$Q$4)</f>
        <v>rent</v>
      </c>
    </row>
    <row r="868" spans="1:27" x14ac:dyDescent="0.3">
      <c r="A868" s="1" t="s">
        <v>21</v>
      </c>
      <c r="B868">
        <v>18</v>
      </c>
      <c r="C868" s="1" t="s">
        <v>36</v>
      </c>
      <c r="D868" s="1" t="s">
        <v>23</v>
      </c>
      <c r="E868">
        <v>2389</v>
      </c>
      <c r="F868" s="1" t="s">
        <v>37</v>
      </c>
      <c r="G868" s="1" t="s">
        <v>62</v>
      </c>
      <c r="H868">
        <v>4</v>
      </c>
      <c r="I868" s="1" t="s">
        <v>39</v>
      </c>
      <c r="J868" s="1" t="s">
        <v>27</v>
      </c>
      <c r="K868">
        <v>1</v>
      </c>
      <c r="L868" s="1" t="s">
        <v>55</v>
      </c>
      <c r="M868">
        <v>27</v>
      </c>
      <c r="N868" s="1" t="s">
        <v>70</v>
      </c>
      <c r="O868" s="1" t="s">
        <v>30</v>
      </c>
      <c r="P868">
        <v>1</v>
      </c>
      <c r="Q868" s="1" t="s">
        <v>31</v>
      </c>
      <c r="R868">
        <v>1</v>
      </c>
      <c r="S868" s="1" t="s">
        <v>40</v>
      </c>
      <c r="T868" s="1" t="s">
        <v>33</v>
      </c>
      <c r="U868" s="1" t="s">
        <v>34</v>
      </c>
      <c r="V868" s="1" t="str">
        <f>_xlfn.XLOOKUP(A868,Dictonary!$A$2:$A$5,Dictonary!$B$2:$B$5)</f>
        <v>Negative balance</v>
      </c>
      <c r="W868" s="1" t="str">
        <f>_xlfn.XLOOKUP(D868,Dictonary!$D$2:$D$12,Dictonary!$E$2:$E$12)</f>
        <v>radio/television</v>
      </c>
      <c r="X868" s="1" t="str">
        <f>_xlfn.XLOOKUP(F868,Dictonary!$G$2:$G$6,Dictonary!$H$2:$H$6)</f>
        <v>Less 100</v>
      </c>
      <c r="Y868" s="1" t="str">
        <f>_xlfn.XLOOKUP(I868,Dictonary!$J$2:$J$6,Dictonary!$K$2:$K$6)</f>
        <v>female : divorced/separated/married</v>
      </c>
      <c r="Z868" s="1" t="str">
        <f>_xlfn.XLOOKUP(Q868,Dictonary!$M$2:$M$5,Dictonary!$N$2:$N$5)</f>
        <v>skilled employee / official</v>
      </c>
      <c r="AA868" s="1" t="str">
        <f>_xlfn.XLOOKUP(O868,Dictonary!$P$2:$P$4,Dictonary!$Q$2:$Q$4)</f>
        <v>own</v>
      </c>
    </row>
    <row r="869" spans="1:27" x14ac:dyDescent="0.3">
      <c r="A869" s="1" t="s">
        <v>42</v>
      </c>
      <c r="B869">
        <v>12</v>
      </c>
      <c r="C869" s="1" t="s">
        <v>22</v>
      </c>
      <c r="D869" s="1" t="s">
        <v>46</v>
      </c>
      <c r="E869">
        <v>3331</v>
      </c>
      <c r="F869" s="1" t="s">
        <v>37</v>
      </c>
      <c r="G869" s="1" t="s">
        <v>25</v>
      </c>
      <c r="H869">
        <v>2</v>
      </c>
      <c r="I869" s="1" t="s">
        <v>26</v>
      </c>
      <c r="J869" s="1" t="s">
        <v>27</v>
      </c>
      <c r="K869">
        <v>4</v>
      </c>
      <c r="L869" s="1" t="s">
        <v>48</v>
      </c>
      <c r="M869">
        <v>42</v>
      </c>
      <c r="N869" s="1" t="s">
        <v>70</v>
      </c>
      <c r="O869" s="1" t="s">
        <v>30</v>
      </c>
      <c r="P869">
        <v>1</v>
      </c>
      <c r="Q869" s="1" t="s">
        <v>31</v>
      </c>
      <c r="R869">
        <v>1</v>
      </c>
      <c r="S869" s="1" t="s">
        <v>40</v>
      </c>
      <c r="T869" s="1" t="s">
        <v>33</v>
      </c>
      <c r="U869" s="1" t="s">
        <v>34</v>
      </c>
      <c r="V869" s="1" t="str">
        <f>_xlfn.XLOOKUP(A869,Dictonary!$A$2:$A$5,Dictonary!$B$2:$B$5)</f>
        <v>No information</v>
      </c>
      <c r="W869" s="1" t="str">
        <f>_xlfn.XLOOKUP(D869,Dictonary!$D$2:$D$12,Dictonary!$E$2:$E$12)</f>
        <v>furniture/equipment</v>
      </c>
      <c r="X869" s="1" t="str">
        <f>_xlfn.XLOOKUP(F869,Dictonary!$G$2:$G$6,Dictonary!$H$2:$H$6)</f>
        <v>Less 100</v>
      </c>
      <c r="Y869" s="1" t="str">
        <f>_xlfn.XLOOKUP(I869,Dictonary!$J$2:$J$6,Dictonary!$K$2:$K$6)</f>
        <v>male : single</v>
      </c>
      <c r="Z869" s="1" t="str">
        <f>_xlfn.XLOOKUP(Q869,Dictonary!$M$2:$M$5,Dictonary!$N$2:$N$5)</f>
        <v>skilled employee / official</v>
      </c>
      <c r="AA869" s="1" t="str">
        <f>_xlfn.XLOOKUP(O869,Dictonary!$P$2:$P$4,Dictonary!$Q$2:$Q$4)</f>
        <v>own</v>
      </c>
    </row>
    <row r="870" spans="1:27" x14ac:dyDescent="0.3">
      <c r="A870" s="1" t="s">
        <v>42</v>
      </c>
      <c r="B870">
        <v>36</v>
      </c>
      <c r="C870" s="1" t="s">
        <v>36</v>
      </c>
      <c r="D870" s="1" t="s">
        <v>63</v>
      </c>
      <c r="E870">
        <v>7409</v>
      </c>
      <c r="F870" s="1" t="s">
        <v>24</v>
      </c>
      <c r="G870" s="1" t="s">
        <v>25</v>
      </c>
      <c r="H870">
        <v>3</v>
      </c>
      <c r="I870" s="1" t="s">
        <v>26</v>
      </c>
      <c r="J870" s="1" t="s">
        <v>27</v>
      </c>
      <c r="K870">
        <v>2</v>
      </c>
      <c r="L870" s="1" t="s">
        <v>48</v>
      </c>
      <c r="M870">
        <v>37</v>
      </c>
      <c r="N870" s="1" t="s">
        <v>29</v>
      </c>
      <c r="O870" s="1" t="s">
        <v>30</v>
      </c>
      <c r="P870">
        <v>2</v>
      </c>
      <c r="Q870" s="1" t="s">
        <v>31</v>
      </c>
      <c r="R870">
        <v>1</v>
      </c>
      <c r="S870" s="1" t="s">
        <v>40</v>
      </c>
      <c r="T870" s="1" t="s">
        <v>33</v>
      </c>
      <c r="U870" s="1" t="s">
        <v>34</v>
      </c>
      <c r="V870" s="1" t="str">
        <f>_xlfn.XLOOKUP(A870,Dictonary!$A$2:$A$5,Dictonary!$B$2:$B$5)</f>
        <v>No information</v>
      </c>
      <c r="W870" s="1" t="str">
        <f>_xlfn.XLOOKUP(D870,Dictonary!$D$2:$D$12,Dictonary!$E$2:$E$12)</f>
        <v>business</v>
      </c>
      <c r="X870" s="1" t="str">
        <f>_xlfn.XLOOKUP(F870,Dictonary!$G$2:$G$6,Dictonary!$H$2:$H$6)</f>
        <v>No information</v>
      </c>
      <c r="Y870" s="1" t="str">
        <f>_xlfn.XLOOKUP(I870,Dictonary!$J$2:$J$6,Dictonary!$K$2:$K$6)</f>
        <v>male : single</v>
      </c>
      <c r="Z870" s="1" t="str">
        <f>_xlfn.XLOOKUP(Q870,Dictonary!$M$2:$M$5,Dictonary!$N$2:$N$5)</f>
        <v>skilled employee / official</v>
      </c>
      <c r="AA870" s="1" t="str">
        <f>_xlfn.XLOOKUP(O870,Dictonary!$P$2:$P$4,Dictonary!$Q$2:$Q$4)</f>
        <v>own</v>
      </c>
    </row>
    <row r="871" spans="1:27" x14ac:dyDescent="0.3">
      <c r="A871" s="1" t="s">
        <v>21</v>
      </c>
      <c r="B871">
        <v>12</v>
      </c>
      <c r="C871" s="1" t="s">
        <v>36</v>
      </c>
      <c r="D871" s="1" t="s">
        <v>46</v>
      </c>
      <c r="E871">
        <v>652</v>
      </c>
      <c r="F871" s="1" t="s">
        <v>37</v>
      </c>
      <c r="G871" s="1" t="s">
        <v>25</v>
      </c>
      <c r="H871">
        <v>4</v>
      </c>
      <c r="I871" s="1" t="s">
        <v>39</v>
      </c>
      <c r="J871" s="1" t="s">
        <v>27</v>
      </c>
      <c r="K871">
        <v>4</v>
      </c>
      <c r="L871" s="1" t="s">
        <v>48</v>
      </c>
      <c r="M871">
        <v>24</v>
      </c>
      <c r="N871" s="1" t="s">
        <v>29</v>
      </c>
      <c r="O871" s="1" t="s">
        <v>56</v>
      </c>
      <c r="P871">
        <v>1</v>
      </c>
      <c r="Q871" s="1" t="s">
        <v>31</v>
      </c>
      <c r="R871">
        <v>1</v>
      </c>
      <c r="S871" s="1" t="s">
        <v>40</v>
      </c>
      <c r="T871" s="1" t="s">
        <v>33</v>
      </c>
      <c r="U871" s="1" t="s">
        <v>34</v>
      </c>
      <c r="V871" s="1" t="str">
        <f>_xlfn.XLOOKUP(A871,Dictonary!$A$2:$A$5,Dictonary!$B$2:$B$5)</f>
        <v>Negative balance</v>
      </c>
      <c r="W871" s="1" t="str">
        <f>_xlfn.XLOOKUP(D871,Dictonary!$D$2:$D$12,Dictonary!$E$2:$E$12)</f>
        <v>furniture/equipment</v>
      </c>
      <c r="X871" s="1" t="str">
        <f>_xlfn.XLOOKUP(F871,Dictonary!$G$2:$G$6,Dictonary!$H$2:$H$6)</f>
        <v>Less 100</v>
      </c>
      <c r="Y871" s="1" t="str">
        <f>_xlfn.XLOOKUP(I871,Dictonary!$J$2:$J$6,Dictonary!$K$2:$K$6)</f>
        <v>female : divorced/separated/married</v>
      </c>
      <c r="Z871" s="1" t="str">
        <f>_xlfn.XLOOKUP(Q871,Dictonary!$M$2:$M$5,Dictonary!$N$2:$N$5)</f>
        <v>skilled employee / official</v>
      </c>
      <c r="AA871" s="1" t="str">
        <f>_xlfn.XLOOKUP(O871,Dictonary!$P$2:$P$4,Dictonary!$Q$2:$Q$4)</f>
        <v>rent</v>
      </c>
    </row>
    <row r="872" spans="1:27" x14ac:dyDescent="0.3">
      <c r="A872" s="1" t="s">
        <v>42</v>
      </c>
      <c r="B872">
        <v>36</v>
      </c>
      <c r="C872" s="1" t="s">
        <v>50</v>
      </c>
      <c r="D872" s="1" t="s">
        <v>46</v>
      </c>
      <c r="E872">
        <v>7678</v>
      </c>
      <c r="F872" s="1" t="s">
        <v>53</v>
      </c>
      <c r="G872" s="1" t="s">
        <v>44</v>
      </c>
      <c r="H872">
        <v>2</v>
      </c>
      <c r="I872" s="1" t="s">
        <v>39</v>
      </c>
      <c r="J872" s="1" t="s">
        <v>27</v>
      </c>
      <c r="K872">
        <v>4</v>
      </c>
      <c r="L872" s="1" t="s">
        <v>55</v>
      </c>
      <c r="M872">
        <v>40</v>
      </c>
      <c r="N872" s="1" t="s">
        <v>29</v>
      </c>
      <c r="O872" s="1" t="s">
        <v>30</v>
      </c>
      <c r="P872">
        <v>2</v>
      </c>
      <c r="Q872" s="1" t="s">
        <v>31</v>
      </c>
      <c r="R872">
        <v>1</v>
      </c>
      <c r="S872" s="1" t="s">
        <v>32</v>
      </c>
      <c r="T872" s="1" t="s">
        <v>33</v>
      </c>
      <c r="U872" s="1" t="s">
        <v>34</v>
      </c>
      <c r="V872" s="1" t="str">
        <f>_xlfn.XLOOKUP(A872,Dictonary!$A$2:$A$5,Dictonary!$B$2:$B$5)</f>
        <v>No information</v>
      </c>
      <c r="W872" s="1" t="str">
        <f>_xlfn.XLOOKUP(D872,Dictonary!$D$2:$D$12,Dictonary!$E$2:$E$12)</f>
        <v>furniture/equipment</v>
      </c>
      <c r="X872" s="1" t="str">
        <f>_xlfn.XLOOKUP(F872,Dictonary!$G$2:$G$6,Dictonary!$H$2:$H$6)</f>
        <v>Up to 1000</v>
      </c>
      <c r="Y872" s="1" t="str">
        <f>_xlfn.XLOOKUP(I872,Dictonary!$J$2:$J$6,Dictonary!$K$2:$K$6)</f>
        <v>female : divorced/separated/married</v>
      </c>
      <c r="Z872" s="1" t="str">
        <f>_xlfn.XLOOKUP(Q872,Dictonary!$M$2:$M$5,Dictonary!$N$2:$N$5)</f>
        <v>skilled employee / official</v>
      </c>
      <c r="AA872" s="1" t="str">
        <f>_xlfn.XLOOKUP(O872,Dictonary!$P$2:$P$4,Dictonary!$Q$2:$Q$4)</f>
        <v>own</v>
      </c>
    </row>
    <row r="873" spans="1:27" x14ac:dyDescent="0.3">
      <c r="A873" s="1" t="s">
        <v>68</v>
      </c>
      <c r="B873">
        <v>6</v>
      </c>
      <c r="C873" s="1" t="s">
        <v>22</v>
      </c>
      <c r="D873" s="1" t="s">
        <v>51</v>
      </c>
      <c r="E873">
        <v>1343</v>
      </c>
      <c r="F873" s="1" t="s">
        <v>37</v>
      </c>
      <c r="G873" s="1" t="s">
        <v>25</v>
      </c>
      <c r="H873">
        <v>1</v>
      </c>
      <c r="I873" s="1" t="s">
        <v>26</v>
      </c>
      <c r="J873" s="1" t="s">
        <v>27</v>
      </c>
      <c r="K873">
        <v>4</v>
      </c>
      <c r="L873" s="1" t="s">
        <v>28</v>
      </c>
      <c r="M873">
        <v>46</v>
      </c>
      <c r="N873" s="1" t="s">
        <v>29</v>
      </c>
      <c r="O873" s="1" t="s">
        <v>30</v>
      </c>
      <c r="P873">
        <v>2</v>
      </c>
      <c r="Q873" s="1" t="s">
        <v>31</v>
      </c>
      <c r="R873">
        <v>2</v>
      </c>
      <c r="S873" s="1" t="s">
        <v>40</v>
      </c>
      <c r="T873" s="1" t="s">
        <v>67</v>
      </c>
      <c r="U873" s="1" t="s">
        <v>34</v>
      </c>
      <c r="V873" s="1" t="str">
        <f>_xlfn.XLOOKUP(A873,Dictonary!$A$2:$A$5,Dictonary!$B$2:$B$5)</f>
        <v>Normal balance</v>
      </c>
      <c r="W873" s="1" t="str">
        <f>_xlfn.XLOOKUP(D873,Dictonary!$D$2:$D$12,Dictonary!$E$2:$E$12)</f>
        <v>car (new)</v>
      </c>
      <c r="X873" s="1" t="str">
        <f>_xlfn.XLOOKUP(F873,Dictonary!$G$2:$G$6,Dictonary!$H$2:$H$6)</f>
        <v>Less 100</v>
      </c>
      <c r="Y873" s="1" t="str">
        <f>_xlfn.XLOOKUP(I873,Dictonary!$J$2:$J$6,Dictonary!$K$2:$K$6)</f>
        <v>male : single</v>
      </c>
      <c r="Z873" s="1" t="str">
        <f>_xlfn.XLOOKUP(Q873,Dictonary!$M$2:$M$5,Dictonary!$N$2:$N$5)</f>
        <v>skilled employee / official</v>
      </c>
      <c r="AA873" s="1" t="str">
        <f>_xlfn.XLOOKUP(O873,Dictonary!$P$2:$P$4,Dictonary!$Q$2:$Q$4)</f>
        <v>own</v>
      </c>
    </row>
    <row r="874" spans="1:27" x14ac:dyDescent="0.3">
      <c r="A874" s="1" t="s">
        <v>21</v>
      </c>
      <c r="B874">
        <v>24</v>
      </c>
      <c r="C874" s="1" t="s">
        <v>22</v>
      </c>
      <c r="D874" s="1" t="s">
        <v>63</v>
      </c>
      <c r="E874">
        <v>1382</v>
      </c>
      <c r="F874" s="1" t="s">
        <v>64</v>
      </c>
      <c r="G874" s="1" t="s">
        <v>44</v>
      </c>
      <c r="H874">
        <v>4</v>
      </c>
      <c r="I874" s="1" t="s">
        <v>26</v>
      </c>
      <c r="J874" s="1" t="s">
        <v>27</v>
      </c>
      <c r="K874">
        <v>1</v>
      </c>
      <c r="L874" s="1" t="s">
        <v>28</v>
      </c>
      <c r="M874">
        <v>26</v>
      </c>
      <c r="N874" s="1" t="s">
        <v>29</v>
      </c>
      <c r="O874" s="1" t="s">
        <v>30</v>
      </c>
      <c r="P874">
        <v>2</v>
      </c>
      <c r="Q874" s="1" t="s">
        <v>31</v>
      </c>
      <c r="R874">
        <v>1</v>
      </c>
      <c r="S874" s="1" t="s">
        <v>32</v>
      </c>
      <c r="T874" s="1" t="s">
        <v>33</v>
      </c>
      <c r="U874" s="1" t="s">
        <v>34</v>
      </c>
      <c r="V874" s="1" t="str">
        <f>_xlfn.XLOOKUP(A874,Dictonary!$A$2:$A$5,Dictonary!$B$2:$B$5)</f>
        <v>Negative balance</v>
      </c>
      <c r="W874" s="1" t="str">
        <f>_xlfn.XLOOKUP(D874,Dictonary!$D$2:$D$12,Dictonary!$E$2:$E$12)</f>
        <v>business</v>
      </c>
      <c r="X874" s="1" t="str">
        <f>_xlfn.XLOOKUP(F874,Dictonary!$G$2:$G$6,Dictonary!$H$2:$H$6)</f>
        <v>Up to 500</v>
      </c>
      <c r="Y874" s="1" t="str">
        <f>_xlfn.XLOOKUP(I874,Dictonary!$J$2:$J$6,Dictonary!$K$2:$K$6)</f>
        <v>male : single</v>
      </c>
      <c r="Z874" s="1" t="str">
        <f>_xlfn.XLOOKUP(Q874,Dictonary!$M$2:$M$5,Dictonary!$N$2:$N$5)</f>
        <v>skilled employee / official</v>
      </c>
      <c r="AA874" s="1" t="str">
        <f>_xlfn.XLOOKUP(O874,Dictonary!$P$2:$P$4,Dictonary!$Q$2:$Q$4)</f>
        <v>own</v>
      </c>
    </row>
    <row r="875" spans="1:27" x14ac:dyDescent="0.3">
      <c r="A875" s="1" t="s">
        <v>42</v>
      </c>
      <c r="B875">
        <v>15</v>
      </c>
      <c r="C875" s="1" t="s">
        <v>36</v>
      </c>
      <c r="D875" s="1" t="s">
        <v>72</v>
      </c>
      <c r="E875">
        <v>874</v>
      </c>
      <c r="F875" s="1" t="s">
        <v>24</v>
      </c>
      <c r="G875" s="1" t="s">
        <v>62</v>
      </c>
      <c r="H875">
        <v>4</v>
      </c>
      <c r="I875" s="1" t="s">
        <v>39</v>
      </c>
      <c r="J875" s="1" t="s">
        <v>27</v>
      </c>
      <c r="K875">
        <v>1</v>
      </c>
      <c r="L875" s="1" t="s">
        <v>28</v>
      </c>
      <c r="M875">
        <v>24</v>
      </c>
      <c r="N875" s="1" t="s">
        <v>29</v>
      </c>
      <c r="O875" s="1" t="s">
        <v>30</v>
      </c>
      <c r="P875">
        <v>1</v>
      </c>
      <c r="Q875" s="1" t="s">
        <v>31</v>
      </c>
      <c r="R875">
        <v>1</v>
      </c>
      <c r="S875" s="1" t="s">
        <v>40</v>
      </c>
      <c r="T875" s="1" t="s">
        <v>33</v>
      </c>
      <c r="U875" s="1" t="s">
        <v>34</v>
      </c>
      <c r="V875" s="1" t="str">
        <f>_xlfn.XLOOKUP(A875,Dictonary!$A$2:$A$5,Dictonary!$B$2:$B$5)</f>
        <v>No information</v>
      </c>
      <c r="W875" s="1" t="str">
        <f>_xlfn.XLOOKUP(D875,Dictonary!$D$2:$D$12,Dictonary!$E$2:$E$12)</f>
        <v>domestic appliances</v>
      </c>
      <c r="X875" s="1" t="str">
        <f>_xlfn.XLOOKUP(F875,Dictonary!$G$2:$G$6,Dictonary!$H$2:$H$6)</f>
        <v>No information</v>
      </c>
      <c r="Y875" s="1" t="str">
        <f>_xlfn.XLOOKUP(I875,Dictonary!$J$2:$J$6,Dictonary!$K$2:$K$6)</f>
        <v>female : divorced/separated/married</v>
      </c>
      <c r="Z875" s="1" t="str">
        <f>_xlfn.XLOOKUP(Q875,Dictonary!$M$2:$M$5,Dictonary!$N$2:$N$5)</f>
        <v>skilled employee / official</v>
      </c>
      <c r="AA875" s="1" t="str">
        <f>_xlfn.XLOOKUP(O875,Dictonary!$P$2:$P$4,Dictonary!$Q$2:$Q$4)</f>
        <v>own</v>
      </c>
    </row>
    <row r="876" spans="1:27" x14ac:dyDescent="0.3">
      <c r="A876" s="1" t="s">
        <v>21</v>
      </c>
      <c r="B876">
        <v>12</v>
      </c>
      <c r="C876" s="1" t="s">
        <v>36</v>
      </c>
      <c r="D876" s="1" t="s">
        <v>46</v>
      </c>
      <c r="E876">
        <v>3590</v>
      </c>
      <c r="F876" s="1" t="s">
        <v>37</v>
      </c>
      <c r="G876" s="1" t="s">
        <v>38</v>
      </c>
      <c r="H876">
        <v>2</v>
      </c>
      <c r="I876" s="1" t="s">
        <v>26</v>
      </c>
      <c r="J876" s="1" t="s">
        <v>71</v>
      </c>
      <c r="K876">
        <v>2</v>
      </c>
      <c r="L876" s="1" t="s">
        <v>48</v>
      </c>
      <c r="M876">
        <v>29</v>
      </c>
      <c r="N876" s="1" t="s">
        <v>29</v>
      </c>
      <c r="O876" s="1" t="s">
        <v>30</v>
      </c>
      <c r="P876">
        <v>1</v>
      </c>
      <c r="Q876" s="1" t="s">
        <v>45</v>
      </c>
      <c r="R876">
        <v>2</v>
      </c>
      <c r="S876" s="1" t="s">
        <v>40</v>
      </c>
      <c r="T876" s="1" t="s">
        <v>33</v>
      </c>
      <c r="U876" s="1" t="s">
        <v>34</v>
      </c>
      <c r="V876" s="1" t="str">
        <f>_xlfn.XLOOKUP(A876,Dictonary!$A$2:$A$5,Dictonary!$B$2:$B$5)</f>
        <v>Negative balance</v>
      </c>
      <c r="W876" s="1" t="str">
        <f>_xlfn.XLOOKUP(D876,Dictonary!$D$2:$D$12,Dictonary!$E$2:$E$12)</f>
        <v>furniture/equipment</v>
      </c>
      <c r="X876" s="1" t="str">
        <f>_xlfn.XLOOKUP(F876,Dictonary!$G$2:$G$6,Dictonary!$H$2:$H$6)</f>
        <v>Less 100</v>
      </c>
      <c r="Y876" s="1" t="str">
        <f>_xlfn.XLOOKUP(I876,Dictonary!$J$2:$J$6,Dictonary!$K$2:$K$6)</f>
        <v>male : single</v>
      </c>
      <c r="Z876" s="1" t="str">
        <f>_xlfn.XLOOKUP(Q876,Dictonary!$M$2:$M$5,Dictonary!$N$2:$N$5)</f>
        <v>unskilled - resident</v>
      </c>
      <c r="AA876" s="1" t="str">
        <f>_xlfn.XLOOKUP(O876,Dictonary!$P$2:$P$4,Dictonary!$Q$2:$Q$4)</f>
        <v>own</v>
      </c>
    </row>
    <row r="877" spans="1:27" x14ac:dyDescent="0.3">
      <c r="A877" s="1" t="s">
        <v>35</v>
      </c>
      <c r="B877">
        <v>11</v>
      </c>
      <c r="C877" s="1" t="s">
        <v>22</v>
      </c>
      <c r="D877" s="1" t="s">
        <v>51</v>
      </c>
      <c r="E877">
        <v>1322</v>
      </c>
      <c r="F877" s="1" t="s">
        <v>58</v>
      </c>
      <c r="G877" s="1" t="s">
        <v>38</v>
      </c>
      <c r="H877">
        <v>4</v>
      </c>
      <c r="I877" s="1" t="s">
        <v>39</v>
      </c>
      <c r="J877" s="1" t="s">
        <v>27</v>
      </c>
      <c r="K877">
        <v>4</v>
      </c>
      <c r="L877" s="1" t="s">
        <v>55</v>
      </c>
      <c r="M877">
        <v>40</v>
      </c>
      <c r="N877" s="1" t="s">
        <v>29</v>
      </c>
      <c r="O877" s="1" t="s">
        <v>30</v>
      </c>
      <c r="P877">
        <v>2</v>
      </c>
      <c r="Q877" s="1" t="s">
        <v>31</v>
      </c>
      <c r="R877">
        <v>1</v>
      </c>
      <c r="S877" s="1" t="s">
        <v>40</v>
      </c>
      <c r="T877" s="1" t="s">
        <v>33</v>
      </c>
      <c r="U877" s="1" t="s">
        <v>34</v>
      </c>
      <c r="V877" s="1" t="str">
        <f>_xlfn.XLOOKUP(A877,Dictonary!$A$2:$A$5,Dictonary!$B$2:$B$5)</f>
        <v>Low balance</v>
      </c>
      <c r="W877" s="1" t="str">
        <f>_xlfn.XLOOKUP(D877,Dictonary!$D$2:$D$12,Dictonary!$E$2:$E$12)</f>
        <v>car (new)</v>
      </c>
      <c r="X877" s="1" t="str">
        <f>_xlfn.XLOOKUP(F877,Dictonary!$G$2:$G$6,Dictonary!$H$2:$H$6)</f>
        <v>More 1000</v>
      </c>
      <c r="Y877" s="1" t="str">
        <f>_xlfn.XLOOKUP(I877,Dictonary!$J$2:$J$6,Dictonary!$K$2:$K$6)</f>
        <v>female : divorced/separated/married</v>
      </c>
      <c r="Z877" s="1" t="str">
        <f>_xlfn.XLOOKUP(Q877,Dictonary!$M$2:$M$5,Dictonary!$N$2:$N$5)</f>
        <v>skilled employee / official</v>
      </c>
      <c r="AA877" s="1" t="str">
        <f>_xlfn.XLOOKUP(O877,Dictonary!$P$2:$P$4,Dictonary!$Q$2:$Q$4)</f>
        <v>own</v>
      </c>
    </row>
    <row r="878" spans="1:27" x14ac:dyDescent="0.3">
      <c r="A878" s="1" t="s">
        <v>21</v>
      </c>
      <c r="B878">
        <v>18</v>
      </c>
      <c r="C878" s="1" t="s">
        <v>69</v>
      </c>
      <c r="D878" s="1" t="s">
        <v>23</v>
      </c>
      <c r="E878">
        <v>1940</v>
      </c>
      <c r="F878" s="1" t="s">
        <v>37</v>
      </c>
      <c r="G878" s="1" t="s">
        <v>62</v>
      </c>
      <c r="H878">
        <v>3</v>
      </c>
      <c r="I878" s="1" t="s">
        <v>26</v>
      </c>
      <c r="J878" s="1" t="s">
        <v>71</v>
      </c>
      <c r="K878">
        <v>4</v>
      </c>
      <c r="L878" s="1" t="s">
        <v>52</v>
      </c>
      <c r="M878">
        <v>36</v>
      </c>
      <c r="N878" s="1" t="s">
        <v>66</v>
      </c>
      <c r="O878" s="1" t="s">
        <v>49</v>
      </c>
      <c r="P878">
        <v>1</v>
      </c>
      <c r="Q878" s="1" t="s">
        <v>57</v>
      </c>
      <c r="R878">
        <v>1</v>
      </c>
      <c r="S878" s="1" t="s">
        <v>32</v>
      </c>
      <c r="T878" s="1" t="s">
        <v>33</v>
      </c>
      <c r="U878" s="1" t="s">
        <v>34</v>
      </c>
      <c r="V878" s="1" t="str">
        <f>_xlfn.XLOOKUP(A878,Dictonary!$A$2:$A$5,Dictonary!$B$2:$B$5)</f>
        <v>Negative balance</v>
      </c>
      <c r="W878" s="1" t="str">
        <f>_xlfn.XLOOKUP(D878,Dictonary!$D$2:$D$12,Dictonary!$E$2:$E$12)</f>
        <v>radio/television</v>
      </c>
      <c r="X878" s="1" t="str">
        <f>_xlfn.XLOOKUP(F878,Dictonary!$G$2:$G$6,Dictonary!$H$2:$H$6)</f>
        <v>Less 100</v>
      </c>
      <c r="Y878" s="1" t="str">
        <f>_xlfn.XLOOKUP(I878,Dictonary!$J$2:$J$6,Dictonary!$K$2:$K$6)</f>
        <v>male : single</v>
      </c>
      <c r="Z878" s="1" t="str">
        <f>_xlfn.XLOOKUP(Q878,Dictonary!$M$2:$M$5,Dictonary!$N$2:$N$5)</f>
        <v>management/ self-employed/ highly qualified employee/ officer</v>
      </c>
      <c r="AA878" s="1" t="str">
        <f>_xlfn.XLOOKUP(O878,Dictonary!$P$2:$P$4,Dictonary!$Q$2:$Q$4)</f>
        <v>for free</v>
      </c>
    </row>
    <row r="879" spans="1:27" x14ac:dyDescent="0.3">
      <c r="A879" s="1" t="s">
        <v>42</v>
      </c>
      <c r="B879">
        <v>36</v>
      </c>
      <c r="C879" s="1" t="s">
        <v>36</v>
      </c>
      <c r="D879" s="1" t="s">
        <v>23</v>
      </c>
      <c r="E879">
        <v>3595</v>
      </c>
      <c r="F879" s="1" t="s">
        <v>37</v>
      </c>
      <c r="G879" s="1" t="s">
        <v>25</v>
      </c>
      <c r="H879">
        <v>4</v>
      </c>
      <c r="I879" s="1" t="s">
        <v>26</v>
      </c>
      <c r="J879" s="1" t="s">
        <v>27</v>
      </c>
      <c r="K879">
        <v>2</v>
      </c>
      <c r="L879" s="1" t="s">
        <v>55</v>
      </c>
      <c r="M879">
        <v>28</v>
      </c>
      <c r="N879" s="1" t="s">
        <v>29</v>
      </c>
      <c r="O879" s="1" t="s">
        <v>30</v>
      </c>
      <c r="P879">
        <v>1</v>
      </c>
      <c r="Q879" s="1" t="s">
        <v>31</v>
      </c>
      <c r="R879">
        <v>1</v>
      </c>
      <c r="S879" s="1" t="s">
        <v>40</v>
      </c>
      <c r="T879" s="1" t="s">
        <v>33</v>
      </c>
      <c r="U879" s="1" t="s">
        <v>34</v>
      </c>
      <c r="V879" s="1" t="str">
        <f>_xlfn.XLOOKUP(A879,Dictonary!$A$2:$A$5,Dictonary!$B$2:$B$5)</f>
        <v>No information</v>
      </c>
      <c r="W879" s="1" t="str">
        <f>_xlfn.XLOOKUP(D879,Dictonary!$D$2:$D$12,Dictonary!$E$2:$E$12)</f>
        <v>radio/television</v>
      </c>
      <c r="X879" s="1" t="str">
        <f>_xlfn.XLOOKUP(F879,Dictonary!$G$2:$G$6,Dictonary!$H$2:$H$6)</f>
        <v>Less 100</v>
      </c>
      <c r="Y879" s="1" t="str">
        <f>_xlfn.XLOOKUP(I879,Dictonary!$J$2:$J$6,Dictonary!$K$2:$K$6)</f>
        <v>male : single</v>
      </c>
      <c r="Z879" s="1" t="str">
        <f>_xlfn.XLOOKUP(Q879,Dictonary!$M$2:$M$5,Dictonary!$N$2:$N$5)</f>
        <v>skilled employee / official</v>
      </c>
      <c r="AA879" s="1" t="str">
        <f>_xlfn.XLOOKUP(O879,Dictonary!$P$2:$P$4,Dictonary!$Q$2:$Q$4)</f>
        <v>own</v>
      </c>
    </row>
    <row r="880" spans="1:27" x14ac:dyDescent="0.3">
      <c r="A880" s="1" t="s">
        <v>21</v>
      </c>
      <c r="B880">
        <v>9</v>
      </c>
      <c r="C880" s="1" t="s">
        <v>36</v>
      </c>
      <c r="D880" s="1" t="s">
        <v>51</v>
      </c>
      <c r="E880">
        <v>1422</v>
      </c>
      <c r="F880" s="1" t="s">
        <v>37</v>
      </c>
      <c r="G880" s="1" t="s">
        <v>62</v>
      </c>
      <c r="H880">
        <v>3</v>
      </c>
      <c r="I880" s="1" t="s">
        <v>26</v>
      </c>
      <c r="J880" s="1" t="s">
        <v>27</v>
      </c>
      <c r="K880">
        <v>2</v>
      </c>
      <c r="L880" s="1" t="s">
        <v>52</v>
      </c>
      <c r="M880">
        <v>27</v>
      </c>
      <c r="N880" s="1" t="s">
        <v>29</v>
      </c>
      <c r="O880" s="1" t="s">
        <v>49</v>
      </c>
      <c r="P880">
        <v>1</v>
      </c>
      <c r="Q880" s="1" t="s">
        <v>57</v>
      </c>
      <c r="R880">
        <v>1</v>
      </c>
      <c r="S880" s="1" t="s">
        <v>32</v>
      </c>
      <c r="T880" s="1" t="s">
        <v>33</v>
      </c>
      <c r="U880" s="1" t="s">
        <v>41</v>
      </c>
      <c r="V880" s="1" t="str">
        <f>_xlfn.XLOOKUP(A880,Dictonary!$A$2:$A$5,Dictonary!$B$2:$B$5)</f>
        <v>Negative balance</v>
      </c>
      <c r="W880" s="1" t="str">
        <f>_xlfn.XLOOKUP(D880,Dictonary!$D$2:$D$12,Dictonary!$E$2:$E$12)</f>
        <v>car (new)</v>
      </c>
      <c r="X880" s="1" t="str">
        <f>_xlfn.XLOOKUP(F880,Dictonary!$G$2:$G$6,Dictonary!$H$2:$H$6)</f>
        <v>Less 100</v>
      </c>
      <c r="Y880" s="1" t="str">
        <f>_xlfn.XLOOKUP(I880,Dictonary!$J$2:$J$6,Dictonary!$K$2:$K$6)</f>
        <v>male : single</v>
      </c>
      <c r="Z880" s="1" t="str">
        <f>_xlfn.XLOOKUP(Q880,Dictonary!$M$2:$M$5,Dictonary!$N$2:$N$5)</f>
        <v>management/ self-employed/ highly qualified employee/ officer</v>
      </c>
      <c r="AA880" s="1" t="str">
        <f>_xlfn.XLOOKUP(O880,Dictonary!$P$2:$P$4,Dictonary!$Q$2:$Q$4)</f>
        <v>for free</v>
      </c>
    </row>
    <row r="881" spans="1:27" x14ac:dyDescent="0.3">
      <c r="A881" s="1" t="s">
        <v>42</v>
      </c>
      <c r="B881">
        <v>30</v>
      </c>
      <c r="C881" s="1" t="s">
        <v>22</v>
      </c>
      <c r="D881" s="1" t="s">
        <v>23</v>
      </c>
      <c r="E881">
        <v>6742</v>
      </c>
      <c r="F881" s="1" t="s">
        <v>24</v>
      </c>
      <c r="G881" s="1" t="s">
        <v>44</v>
      </c>
      <c r="H881">
        <v>2</v>
      </c>
      <c r="I881" s="1" t="s">
        <v>26</v>
      </c>
      <c r="J881" s="1" t="s">
        <v>27</v>
      </c>
      <c r="K881">
        <v>3</v>
      </c>
      <c r="L881" s="1" t="s">
        <v>48</v>
      </c>
      <c r="M881">
        <v>36</v>
      </c>
      <c r="N881" s="1" t="s">
        <v>29</v>
      </c>
      <c r="O881" s="1" t="s">
        <v>30</v>
      </c>
      <c r="P881">
        <v>2</v>
      </c>
      <c r="Q881" s="1" t="s">
        <v>31</v>
      </c>
      <c r="R881">
        <v>1</v>
      </c>
      <c r="S881" s="1" t="s">
        <v>40</v>
      </c>
      <c r="T881" s="1" t="s">
        <v>33</v>
      </c>
      <c r="U881" s="1" t="s">
        <v>34</v>
      </c>
      <c r="V881" s="1" t="str">
        <f>_xlfn.XLOOKUP(A881,Dictonary!$A$2:$A$5,Dictonary!$B$2:$B$5)</f>
        <v>No information</v>
      </c>
      <c r="W881" s="1" t="str">
        <f>_xlfn.XLOOKUP(D881,Dictonary!$D$2:$D$12,Dictonary!$E$2:$E$12)</f>
        <v>radio/television</v>
      </c>
      <c r="X881" s="1" t="str">
        <f>_xlfn.XLOOKUP(F881,Dictonary!$G$2:$G$6,Dictonary!$H$2:$H$6)</f>
        <v>No information</v>
      </c>
      <c r="Y881" s="1" t="str">
        <f>_xlfn.XLOOKUP(I881,Dictonary!$J$2:$J$6,Dictonary!$K$2:$K$6)</f>
        <v>male : single</v>
      </c>
      <c r="Z881" s="1" t="str">
        <f>_xlfn.XLOOKUP(Q881,Dictonary!$M$2:$M$5,Dictonary!$N$2:$N$5)</f>
        <v>skilled employee / official</v>
      </c>
      <c r="AA881" s="1" t="str">
        <f>_xlfn.XLOOKUP(O881,Dictonary!$P$2:$P$4,Dictonary!$Q$2:$Q$4)</f>
        <v>own</v>
      </c>
    </row>
    <row r="882" spans="1:27" x14ac:dyDescent="0.3">
      <c r="A882" s="1" t="s">
        <v>42</v>
      </c>
      <c r="B882">
        <v>24</v>
      </c>
      <c r="C882" s="1" t="s">
        <v>36</v>
      </c>
      <c r="D882" s="1" t="s">
        <v>54</v>
      </c>
      <c r="E882">
        <v>7814</v>
      </c>
      <c r="F882" s="1" t="s">
        <v>37</v>
      </c>
      <c r="G882" s="1" t="s">
        <v>44</v>
      </c>
      <c r="H882">
        <v>3</v>
      </c>
      <c r="I882" s="1" t="s">
        <v>26</v>
      </c>
      <c r="J882" s="1" t="s">
        <v>27</v>
      </c>
      <c r="K882">
        <v>3</v>
      </c>
      <c r="L882" s="1" t="s">
        <v>55</v>
      </c>
      <c r="M882">
        <v>38</v>
      </c>
      <c r="N882" s="1" t="s">
        <v>29</v>
      </c>
      <c r="O882" s="1" t="s">
        <v>30</v>
      </c>
      <c r="P882">
        <v>1</v>
      </c>
      <c r="Q882" s="1" t="s">
        <v>57</v>
      </c>
      <c r="R882">
        <v>1</v>
      </c>
      <c r="S882" s="1" t="s">
        <v>32</v>
      </c>
      <c r="T882" s="1" t="s">
        <v>33</v>
      </c>
      <c r="U882" s="1" t="s">
        <v>34</v>
      </c>
      <c r="V882" s="1" t="str">
        <f>_xlfn.XLOOKUP(A882,Dictonary!$A$2:$A$5,Dictonary!$B$2:$B$5)</f>
        <v>No information</v>
      </c>
      <c r="W882" s="1" t="str">
        <f>_xlfn.XLOOKUP(D882,Dictonary!$D$2:$D$12,Dictonary!$E$2:$E$12)</f>
        <v>car (used)</v>
      </c>
      <c r="X882" s="1" t="str">
        <f>_xlfn.XLOOKUP(F882,Dictonary!$G$2:$G$6,Dictonary!$H$2:$H$6)</f>
        <v>Less 100</v>
      </c>
      <c r="Y882" s="1" t="str">
        <f>_xlfn.XLOOKUP(I882,Dictonary!$J$2:$J$6,Dictonary!$K$2:$K$6)</f>
        <v>male : single</v>
      </c>
      <c r="Z882" s="1" t="str">
        <f>_xlfn.XLOOKUP(Q882,Dictonary!$M$2:$M$5,Dictonary!$N$2:$N$5)</f>
        <v>management/ self-employed/ highly qualified employee/ officer</v>
      </c>
      <c r="AA882" s="1" t="str">
        <f>_xlfn.XLOOKUP(O882,Dictonary!$P$2:$P$4,Dictonary!$Q$2:$Q$4)</f>
        <v>own</v>
      </c>
    </row>
    <row r="883" spans="1:27" x14ac:dyDescent="0.3">
      <c r="A883" s="1" t="s">
        <v>42</v>
      </c>
      <c r="B883">
        <v>24</v>
      </c>
      <c r="C883" s="1" t="s">
        <v>36</v>
      </c>
      <c r="D883" s="1" t="s">
        <v>54</v>
      </c>
      <c r="E883">
        <v>9277</v>
      </c>
      <c r="F883" s="1" t="s">
        <v>24</v>
      </c>
      <c r="G883" s="1" t="s">
        <v>38</v>
      </c>
      <c r="H883">
        <v>2</v>
      </c>
      <c r="I883" s="1" t="s">
        <v>59</v>
      </c>
      <c r="J883" s="1" t="s">
        <v>27</v>
      </c>
      <c r="K883">
        <v>4</v>
      </c>
      <c r="L883" s="1" t="s">
        <v>52</v>
      </c>
      <c r="M883">
        <v>48</v>
      </c>
      <c r="N883" s="1" t="s">
        <v>29</v>
      </c>
      <c r="O883" s="1" t="s">
        <v>49</v>
      </c>
      <c r="P883">
        <v>1</v>
      </c>
      <c r="Q883" s="1" t="s">
        <v>31</v>
      </c>
      <c r="R883">
        <v>1</v>
      </c>
      <c r="S883" s="1" t="s">
        <v>32</v>
      </c>
      <c r="T883" s="1" t="s">
        <v>33</v>
      </c>
      <c r="U883" s="1" t="s">
        <v>34</v>
      </c>
      <c r="V883" s="1" t="str">
        <f>_xlfn.XLOOKUP(A883,Dictonary!$A$2:$A$5,Dictonary!$B$2:$B$5)</f>
        <v>No information</v>
      </c>
      <c r="W883" s="1" t="str">
        <f>_xlfn.XLOOKUP(D883,Dictonary!$D$2:$D$12,Dictonary!$E$2:$E$12)</f>
        <v>car (used)</v>
      </c>
      <c r="X883" s="1" t="str">
        <f>_xlfn.XLOOKUP(F883,Dictonary!$G$2:$G$6,Dictonary!$H$2:$H$6)</f>
        <v>No information</v>
      </c>
      <c r="Y883" s="1" t="str">
        <f>_xlfn.XLOOKUP(I883,Dictonary!$J$2:$J$6,Dictonary!$K$2:$K$6)</f>
        <v>male : divorced/separated</v>
      </c>
      <c r="Z883" s="1" t="str">
        <f>_xlfn.XLOOKUP(Q883,Dictonary!$M$2:$M$5,Dictonary!$N$2:$N$5)</f>
        <v>skilled employee / official</v>
      </c>
      <c r="AA883" s="1" t="str">
        <f>_xlfn.XLOOKUP(O883,Dictonary!$P$2:$P$4,Dictonary!$Q$2:$Q$4)</f>
        <v>for free</v>
      </c>
    </row>
    <row r="884" spans="1:27" x14ac:dyDescent="0.3">
      <c r="A884" s="1" t="s">
        <v>35</v>
      </c>
      <c r="B884">
        <v>30</v>
      </c>
      <c r="C884" s="1" t="s">
        <v>22</v>
      </c>
      <c r="D884" s="1" t="s">
        <v>51</v>
      </c>
      <c r="E884">
        <v>2181</v>
      </c>
      <c r="F884" s="1" t="s">
        <v>24</v>
      </c>
      <c r="G884" s="1" t="s">
        <v>25</v>
      </c>
      <c r="H884">
        <v>4</v>
      </c>
      <c r="I884" s="1" t="s">
        <v>26</v>
      </c>
      <c r="J884" s="1" t="s">
        <v>27</v>
      </c>
      <c r="K884">
        <v>4</v>
      </c>
      <c r="L884" s="1" t="s">
        <v>28</v>
      </c>
      <c r="M884">
        <v>36</v>
      </c>
      <c r="N884" s="1" t="s">
        <v>29</v>
      </c>
      <c r="O884" s="1" t="s">
        <v>30</v>
      </c>
      <c r="P884">
        <v>2</v>
      </c>
      <c r="Q884" s="1" t="s">
        <v>31</v>
      </c>
      <c r="R884">
        <v>1</v>
      </c>
      <c r="S884" s="1" t="s">
        <v>40</v>
      </c>
      <c r="T884" s="1" t="s">
        <v>33</v>
      </c>
      <c r="U884" s="1" t="s">
        <v>34</v>
      </c>
      <c r="V884" s="1" t="str">
        <f>_xlfn.XLOOKUP(A884,Dictonary!$A$2:$A$5,Dictonary!$B$2:$B$5)</f>
        <v>Low balance</v>
      </c>
      <c r="W884" s="1" t="str">
        <f>_xlfn.XLOOKUP(D884,Dictonary!$D$2:$D$12,Dictonary!$E$2:$E$12)</f>
        <v>car (new)</v>
      </c>
      <c r="X884" s="1" t="str">
        <f>_xlfn.XLOOKUP(F884,Dictonary!$G$2:$G$6,Dictonary!$H$2:$H$6)</f>
        <v>No information</v>
      </c>
      <c r="Y884" s="1" t="str">
        <f>_xlfn.XLOOKUP(I884,Dictonary!$J$2:$J$6,Dictonary!$K$2:$K$6)</f>
        <v>male : single</v>
      </c>
      <c r="Z884" s="1" t="str">
        <f>_xlfn.XLOOKUP(Q884,Dictonary!$M$2:$M$5,Dictonary!$N$2:$N$5)</f>
        <v>skilled employee / official</v>
      </c>
      <c r="AA884" s="1" t="str">
        <f>_xlfn.XLOOKUP(O884,Dictonary!$P$2:$P$4,Dictonary!$Q$2:$Q$4)</f>
        <v>own</v>
      </c>
    </row>
    <row r="885" spans="1:27" x14ac:dyDescent="0.3">
      <c r="A885" s="1" t="s">
        <v>42</v>
      </c>
      <c r="B885">
        <v>18</v>
      </c>
      <c r="C885" s="1" t="s">
        <v>22</v>
      </c>
      <c r="D885" s="1" t="s">
        <v>23</v>
      </c>
      <c r="E885">
        <v>1098</v>
      </c>
      <c r="F885" s="1" t="s">
        <v>37</v>
      </c>
      <c r="G885" s="1" t="s">
        <v>60</v>
      </c>
      <c r="H885">
        <v>4</v>
      </c>
      <c r="I885" s="1" t="s">
        <v>39</v>
      </c>
      <c r="J885" s="1" t="s">
        <v>27</v>
      </c>
      <c r="K885">
        <v>4</v>
      </c>
      <c r="L885" s="1" t="s">
        <v>55</v>
      </c>
      <c r="M885">
        <v>65</v>
      </c>
      <c r="N885" s="1" t="s">
        <v>29</v>
      </c>
      <c r="O885" s="1" t="s">
        <v>30</v>
      </c>
      <c r="P885">
        <v>2</v>
      </c>
      <c r="Q885" s="1" t="s">
        <v>74</v>
      </c>
      <c r="R885">
        <v>1</v>
      </c>
      <c r="S885" s="1" t="s">
        <v>40</v>
      </c>
      <c r="T885" s="1" t="s">
        <v>33</v>
      </c>
      <c r="U885" s="1" t="s">
        <v>34</v>
      </c>
      <c r="V885" s="1" t="str">
        <f>_xlfn.XLOOKUP(A885,Dictonary!$A$2:$A$5,Dictonary!$B$2:$B$5)</f>
        <v>No information</v>
      </c>
      <c r="W885" s="1" t="str">
        <f>_xlfn.XLOOKUP(D885,Dictonary!$D$2:$D$12,Dictonary!$E$2:$E$12)</f>
        <v>radio/television</v>
      </c>
      <c r="X885" s="1" t="str">
        <f>_xlfn.XLOOKUP(F885,Dictonary!$G$2:$G$6,Dictonary!$H$2:$H$6)</f>
        <v>Less 100</v>
      </c>
      <c r="Y885" s="1" t="str">
        <f>_xlfn.XLOOKUP(I885,Dictonary!$J$2:$J$6,Dictonary!$K$2:$K$6)</f>
        <v>female : divorced/separated/married</v>
      </c>
      <c r="Z885" s="1" t="str">
        <f>_xlfn.XLOOKUP(Q885,Dictonary!$M$2:$M$5,Dictonary!$N$2:$N$5)</f>
        <v>unemployed/ unskilled  - non-resident</v>
      </c>
      <c r="AA885" s="1" t="str">
        <f>_xlfn.XLOOKUP(O885,Dictonary!$P$2:$P$4,Dictonary!$Q$2:$Q$4)</f>
        <v>own</v>
      </c>
    </row>
    <row r="886" spans="1:27" x14ac:dyDescent="0.3">
      <c r="A886" s="1" t="s">
        <v>35</v>
      </c>
      <c r="B886">
        <v>24</v>
      </c>
      <c r="C886" s="1" t="s">
        <v>36</v>
      </c>
      <c r="D886" s="1" t="s">
        <v>46</v>
      </c>
      <c r="E886">
        <v>4057</v>
      </c>
      <c r="F886" s="1" t="s">
        <v>37</v>
      </c>
      <c r="G886" s="1" t="s">
        <v>44</v>
      </c>
      <c r="H886">
        <v>3</v>
      </c>
      <c r="I886" s="1" t="s">
        <v>59</v>
      </c>
      <c r="J886" s="1" t="s">
        <v>27</v>
      </c>
      <c r="K886">
        <v>3</v>
      </c>
      <c r="L886" s="1" t="s">
        <v>55</v>
      </c>
      <c r="M886">
        <v>43</v>
      </c>
      <c r="N886" s="1" t="s">
        <v>29</v>
      </c>
      <c r="O886" s="1" t="s">
        <v>30</v>
      </c>
      <c r="P886">
        <v>1</v>
      </c>
      <c r="Q886" s="1" t="s">
        <v>31</v>
      </c>
      <c r="R886">
        <v>1</v>
      </c>
      <c r="S886" s="1" t="s">
        <v>32</v>
      </c>
      <c r="T886" s="1" t="s">
        <v>33</v>
      </c>
      <c r="U886" s="1" t="s">
        <v>41</v>
      </c>
      <c r="V886" s="1" t="str">
        <f>_xlfn.XLOOKUP(A886,Dictonary!$A$2:$A$5,Dictonary!$B$2:$B$5)</f>
        <v>Low balance</v>
      </c>
      <c r="W886" s="1" t="str">
        <f>_xlfn.XLOOKUP(D886,Dictonary!$D$2:$D$12,Dictonary!$E$2:$E$12)</f>
        <v>furniture/equipment</v>
      </c>
      <c r="X886" s="1" t="str">
        <f>_xlfn.XLOOKUP(F886,Dictonary!$G$2:$G$6,Dictonary!$H$2:$H$6)</f>
        <v>Less 100</v>
      </c>
      <c r="Y886" s="1" t="str">
        <f>_xlfn.XLOOKUP(I886,Dictonary!$J$2:$J$6,Dictonary!$K$2:$K$6)</f>
        <v>male : divorced/separated</v>
      </c>
      <c r="Z886" s="1" t="str">
        <f>_xlfn.XLOOKUP(Q886,Dictonary!$M$2:$M$5,Dictonary!$N$2:$N$5)</f>
        <v>skilled employee / official</v>
      </c>
      <c r="AA886" s="1" t="str">
        <f>_xlfn.XLOOKUP(O886,Dictonary!$P$2:$P$4,Dictonary!$Q$2:$Q$4)</f>
        <v>own</v>
      </c>
    </row>
    <row r="887" spans="1:27" x14ac:dyDescent="0.3">
      <c r="A887" s="1" t="s">
        <v>21</v>
      </c>
      <c r="B887">
        <v>12</v>
      </c>
      <c r="C887" s="1" t="s">
        <v>36</v>
      </c>
      <c r="D887" s="1" t="s">
        <v>43</v>
      </c>
      <c r="E887">
        <v>795</v>
      </c>
      <c r="F887" s="1" t="s">
        <v>37</v>
      </c>
      <c r="G887" s="1" t="s">
        <v>62</v>
      </c>
      <c r="H887">
        <v>4</v>
      </c>
      <c r="I887" s="1" t="s">
        <v>39</v>
      </c>
      <c r="J887" s="1" t="s">
        <v>27</v>
      </c>
      <c r="K887">
        <v>4</v>
      </c>
      <c r="L887" s="1" t="s">
        <v>48</v>
      </c>
      <c r="M887">
        <v>53</v>
      </c>
      <c r="N887" s="1" t="s">
        <v>29</v>
      </c>
      <c r="O887" s="1" t="s">
        <v>30</v>
      </c>
      <c r="P887">
        <v>1</v>
      </c>
      <c r="Q887" s="1" t="s">
        <v>31</v>
      </c>
      <c r="R887">
        <v>1</v>
      </c>
      <c r="S887" s="1" t="s">
        <v>40</v>
      </c>
      <c r="T887" s="1" t="s">
        <v>33</v>
      </c>
      <c r="U887" s="1" t="s">
        <v>41</v>
      </c>
      <c r="V887" s="1" t="str">
        <f>_xlfn.XLOOKUP(A887,Dictonary!$A$2:$A$5,Dictonary!$B$2:$B$5)</f>
        <v>Negative balance</v>
      </c>
      <c r="W887" s="1" t="str">
        <f>_xlfn.XLOOKUP(D887,Dictonary!$D$2:$D$12,Dictonary!$E$2:$E$12)</f>
        <v>education</v>
      </c>
      <c r="X887" s="1" t="str">
        <f>_xlfn.XLOOKUP(F887,Dictonary!$G$2:$G$6,Dictonary!$H$2:$H$6)</f>
        <v>Less 100</v>
      </c>
      <c r="Y887" s="1" t="str">
        <f>_xlfn.XLOOKUP(I887,Dictonary!$J$2:$J$6,Dictonary!$K$2:$K$6)</f>
        <v>female : divorced/separated/married</v>
      </c>
      <c r="Z887" s="1" t="str">
        <f>_xlfn.XLOOKUP(Q887,Dictonary!$M$2:$M$5,Dictonary!$N$2:$N$5)</f>
        <v>skilled employee / official</v>
      </c>
      <c r="AA887" s="1" t="str">
        <f>_xlfn.XLOOKUP(O887,Dictonary!$P$2:$P$4,Dictonary!$Q$2:$Q$4)</f>
        <v>own</v>
      </c>
    </row>
    <row r="888" spans="1:27" x14ac:dyDescent="0.3">
      <c r="A888" s="1" t="s">
        <v>35</v>
      </c>
      <c r="B888">
        <v>24</v>
      </c>
      <c r="C888" s="1" t="s">
        <v>22</v>
      </c>
      <c r="D888" s="1" t="s">
        <v>63</v>
      </c>
      <c r="E888">
        <v>2825</v>
      </c>
      <c r="F888" s="1" t="s">
        <v>24</v>
      </c>
      <c r="G888" s="1" t="s">
        <v>44</v>
      </c>
      <c r="H888">
        <v>4</v>
      </c>
      <c r="I888" s="1" t="s">
        <v>26</v>
      </c>
      <c r="J888" s="1" t="s">
        <v>27</v>
      </c>
      <c r="K888">
        <v>3</v>
      </c>
      <c r="L888" s="1" t="s">
        <v>52</v>
      </c>
      <c r="M888">
        <v>34</v>
      </c>
      <c r="N888" s="1" t="s">
        <v>29</v>
      </c>
      <c r="O888" s="1" t="s">
        <v>30</v>
      </c>
      <c r="P888">
        <v>2</v>
      </c>
      <c r="Q888" s="1" t="s">
        <v>31</v>
      </c>
      <c r="R888">
        <v>2</v>
      </c>
      <c r="S888" s="1" t="s">
        <v>32</v>
      </c>
      <c r="T888" s="1" t="s">
        <v>33</v>
      </c>
      <c r="U888" s="1" t="s">
        <v>34</v>
      </c>
      <c r="V888" s="1" t="str">
        <f>_xlfn.XLOOKUP(A888,Dictonary!$A$2:$A$5,Dictonary!$B$2:$B$5)</f>
        <v>Low balance</v>
      </c>
      <c r="W888" s="1" t="str">
        <f>_xlfn.XLOOKUP(D888,Dictonary!$D$2:$D$12,Dictonary!$E$2:$E$12)</f>
        <v>business</v>
      </c>
      <c r="X888" s="1" t="str">
        <f>_xlfn.XLOOKUP(F888,Dictonary!$G$2:$G$6,Dictonary!$H$2:$H$6)</f>
        <v>No information</v>
      </c>
      <c r="Y888" s="1" t="str">
        <f>_xlfn.XLOOKUP(I888,Dictonary!$J$2:$J$6,Dictonary!$K$2:$K$6)</f>
        <v>male : single</v>
      </c>
      <c r="Z888" s="1" t="str">
        <f>_xlfn.XLOOKUP(Q888,Dictonary!$M$2:$M$5,Dictonary!$N$2:$N$5)</f>
        <v>skilled employee / official</v>
      </c>
      <c r="AA888" s="1" t="str">
        <f>_xlfn.XLOOKUP(O888,Dictonary!$P$2:$P$4,Dictonary!$Q$2:$Q$4)</f>
        <v>own</v>
      </c>
    </row>
    <row r="889" spans="1:27" x14ac:dyDescent="0.3">
      <c r="A889" s="1" t="s">
        <v>35</v>
      </c>
      <c r="B889">
        <v>48</v>
      </c>
      <c r="C889" s="1" t="s">
        <v>36</v>
      </c>
      <c r="D889" s="1" t="s">
        <v>63</v>
      </c>
      <c r="E889">
        <v>15672</v>
      </c>
      <c r="F889" s="1" t="s">
        <v>37</v>
      </c>
      <c r="G889" s="1" t="s">
        <v>38</v>
      </c>
      <c r="H889">
        <v>2</v>
      </c>
      <c r="I889" s="1" t="s">
        <v>26</v>
      </c>
      <c r="J889" s="1" t="s">
        <v>27</v>
      </c>
      <c r="K889">
        <v>2</v>
      </c>
      <c r="L889" s="1" t="s">
        <v>55</v>
      </c>
      <c r="M889">
        <v>23</v>
      </c>
      <c r="N889" s="1" t="s">
        <v>29</v>
      </c>
      <c r="O889" s="1" t="s">
        <v>30</v>
      </c>
      <c r="P889">
        <v>1</v>
      </c>
      <c r="Q889" s="1" t="s">
        <v>31</v>
      </c>
      <c r="R889">
        <v>1</v>
      </c>
      <c r="S889" s="1" t="s">
        <v>32</v>
      </c>
      <c r="T889" s="1" t="s">
        <v>33</v>
      </c>
      <c r="U889" s="1" t="s">
        <v>41</v>
      </c>
      <c r="V889" s="1" t="str">
        <f>_xlfn.XLOOKUP(A889,Dictonary!$A$2:$A$5,Dictonary!$B$2:$B$5)</f>
        <v>Low balance</v>
      </c>
      <c r="W889" s="1" t="str">
        <f>_xlfn.XLOOKUP(D889,Dictonary!$D$2:$D$12,Dictonary!$E$2:$E$12)</f>
        <v>business</v>
      </c>
      <c r="X889" s="1" t="str">
        <f>_xlfn.XLOOKUP(F889,Dictonary!$G$2:$G$6,Dictonary!$H$2:$H$6)</f>
        <v>Less 100</v>
      </c>
      <c r="Y889" s="1" t="str">
        <f>_xlfn.XLOOKUP(I889,Dictonary!$J$2:$J$6,Dictonary!$K$2:$K$6)</f>
        <v>male : single</v>
      </c>
      <c r="Z889" s="1" t="str">
        <f>_xlfn.XLOOKUP(Q889,Dictonary!$M$2:$M$5,Dictonary!$N$2:$N$5)</f>
        <v>skilled employee / official</v>
      </c>
      <c r="AA889" s="1" t="str">
        <f>_xlfn.XLOOKUP(O889,Dictonary!$P$2:$P$4,Dictonary!$Q$2:$Q$4)</f>
        <v>own</v>
      </c>
    </row>
    <row r="890" spans="1:27" x14ac:dyDescent="0.3">
      <c r="A890" s="1" t="s">
        <v>42</v>
      </c>
      <c r="B890">
        <v>36</v>
      </c>
      <c r="C890" s="1" t="s">
        <v>22</v>
      </c>
      <c r="D890" s="1" t="s">
        <v>51</v>
      </c>
      <c r="E890">
        <v>6614</v>
      </c>
      <c r="F890" s="1" t="s">
        <v>37</v>
      </c>
      <c r="G890" s="1" t="s">
        <v>25</v>
      </c>
      <c r="H890">
        <v>4</v>
      </c>
      <c r="I890" s="1" t="s">
        <v>26</v>
      </c>
      <c r="J890" s="1" t="s">
        <v>27</v>
      </c>
      <c r="K890">
        <v>4</v>
      </c>
      <c r="L890" s="1" t="s">
        <v>55</v>
      </c>
      <c r="M890">
        <v>34</v>
      </c>
      <c r="N890" s="1" t="s">
        <v>29</v>
      </c>
      <c r="O890" s="1" t="s">
        <v>30</v>
      </c>
      <c r="P890">
        <v>2</v>
      </c>
      <c r="Q890" s="1" t="s">
        <v>57</v>
      </c>
      <c r="R890">
        <v>1</v>
      </c>
      <c r="S890" s="1" t="s">
        <v>32</v>
      </c>
      <c r="T890" s="1" t="s">
        <v>33</v>
      </c>
      <c r="U890" s="1" t="s">
        <v>34</v>
      </c>
      <c r="V890" s="1" t="str">
        <f>_xlfn.XLOOKUP(A890,Dictonary!$A$2:$A$5,Dictonary!$B$2:$B$5)</f>
        <v>No information</v>
      </c>
      <c r="W890" s="1" t="str">
        <f>_xlfn.XLOOKUP(D890,Dictonary!$D$2:$D$12,Dictonary!$E$2:$E$12)</f>
        <v>car (new)</v>
      </c>
      <c r="X890" s="1" t="str">
        <f>_xlfn.XLOOKUP(F890,Dictonary!$G$2:$G$6,Dictonary!$H$2:$H$6)</f>
        <v>Less 100</v>
      </c>
      <c r="Y890" s="1" t="str">
        <f>_xlfn.XLOOKUP(I890,Dictonary!$J$2:$J$6,Dictonary!$K$2:$K$6)</f>
        <v>male : single</v>
      </c>
      <c r="Z890" s="1" t="str">
        <f>_xlfn.XLOOKUP(Q890,Dictonary!$M$2:$M$5,Dictonary!$N$2:$N$5)</f>
        <v>management/ self-employed/ highly qualified employee/ officer</v>
      </c>
      <c r="AA890" s="1" t="str">
        <f>_xlfn.XLOOKUP(O890,Dictonary!$P$2:$P$4,Dictonary!$Q$2:$Q$4)</f>
        <v>own</v>
      </c>
    </row>
    <row r="891" spans="1:27" x14ac:dyDescent="0.3">
      <c r="A891" s="1" t="s">
        <v>42</v>
      </c>
      <c r="B891">
        <v>28</v>
      </c>
      <c r="C891" s="1" t="s">
        <v>69</v>
      </c>
      <c r="D891" s="1" t="s">
        <v>54</v>
      </c>
      <c r="E891">
        <v>7824</v>
      </c>
      <c r="F891" s="1" t="s">
        <v>24</v>
      </c>
      <c r="G891" s="1" t="s">
        <v>62</v>
      </c>
      <c r="H891">
        <v>3</v>
      </c>
      <c r="I891" s="1" t="s">
        <v>26</v>
      </c>
      <c r="J891" s="1" t="s">
        <v>47</v>
      </c>
      <c r="K891">
        <v>4</v>
      </c>
      <c r="L891" s="1" t="s">
        <v>28</v>
      </c>
      <c r="M891">
        <v>40</v>
      </c>
      <c r="N891" s="1" t="s">
        <v>66</v>
      </c>
      <c r="O891" s="1" t="s">
        <v>56</v>
      </c>
      <c r="P891">
        <v>2</v>
      </c>
      <c r="Q891" s="1" t="s">
        <v>31</v>
      </c>
      <c r="R891">
        <v>2</v>
      </c>
      <c r="S891" s="1" t="s">
        <v>32</v>
      </c>
      <c r="T891" s="1" t="s">
        <v>33</v>
      </c>
      <c r="U891" s="1" t="s">
        <v>34</v>
      </c>
      <c r="V891" s="1" t="str">
        <f>_xlfn.XLOOKUP(A891,Dictonary!$A$2:$A$5,Dictonary!$B$2:$B$5)</f>
        <v>No information</v>
      </c>
      <c r="W891" s="1" t="str">
        <f>_xlfn.XLOOKUP(D891,Dictonary!$D$2:$D$12,Dictonary!$E$2:$E$12)</f>
        <v>car (used)</v>
      </c>
      <c r="X891" s="1" t="str">
        <f>_xlfn.XLOOKUP(F891,Dictonary!$G$2:$G$6,Dictonary!$H$2:$H$6)</f>
        <v>No information</v>
      </c>
      <c r="Y891" s="1" t="str">
        <f>_xlfn.XLOOKUP(I891,Dictonary!$J$2:$J$6,Dictonary!$K$2:$K$6)</f>
        <v>male : single</v>
      </c>
      <c r="Z891" s="1" t="str">
        <f>_xlfn.XLOOKUP(Q891,Dictonary!$M$2:$M$5,Dictonary!$N$2:$N$5)</f>
        <v>skilled employee / official</v>
      </c>
      <c r="AA891" s="1" t="str">
        <f>_xlfn.XLOOKUP(O891,Dictonary!$P$2:$P$4,Dictonary!$Q$2:$Q$4)</f>
        <v>rent</v>
      </c>
    </row>
    <row r="892" spans="1:27" x14ac:dyDescent="0.3">
      <c r="A892" s="1" t="s">
        <v>21</v>
      </c>
      <c r="B892">
        <v>27</v>
      </c>
      <c r="C892" s="1" t="s">
        <v>22</v>
      </c>
      <c r="D892" s="1" t="s">
        <v>63</v>
      </c>
      <c r="E892">
        <v>2442</v>
      </c>
      <c r="F892" s="1" t="s">
        <v>37</v>
      </c>
      <c r="G892" s="1" t="s">
        <v>25</v>
      </c>
      <c r="H892">
        <v>4</v>
      </c>
      <c r="I892" s="1" t="s">
        <v>26</v>
      </c>
      <c r="J892" s="1" t="s">
        <v>27</v>
      </c>
      <c r="K892">
        <v>4</v>
      </c>
      <c r="L892" s="1" t="s">
        <v>55</v>
      </c>
      <c r="M892">
        <v>43</v>
      </c>
      <c r="N892" s="1" t="s">
        <v>70</v>
      </c>
      <c r="O892" s="1" t="s">
        <v>30</v>
      </c>
      <c r="P892">
        <v>4</v>
      </c>
      <c r="Q892" s="1" t="s">
        <v>57</v>
      </c>
      <c r="R892">
        <v>2</v>
      </c>
      <c r="S892" s="1" t="s">
        <v>32</v>
      </c>
      <c r="T892" s="1" t="s">
        <v>33</v>
      </c>
      <c r="U892" s="1" t="s">
        <v>34</v>
      </c>
      <c r="V892" s="1" t="str">
        <f>_xlfn.XLOOKUP(A892,Dictonary!$A$2:$A$5,Dictonary!$B$2:$B$5)</f>
        <v>Negative balance</v>
      </c>
      <c r="W892" s="1" t="str">
        <f>_xlfn.XLOOKUP(D892,Dictonary!$D$2:$D$12,Dictonary!$E$2:$E$12)</f>
        <v>business</v>
      </c>
      <c r="X892" s="1" t="str">
        <f>_xlfn.XLOOKUP(F892,Dictonary!$G$2:$G$6,Dictonary!$H$2:$H$6)</f>
        <v>Less 100</v>
      </c>
      <c r="Y892" s="1" t="str">
        <f>_xlfn.XLOOKUP(I892,Dictonary!$J$2:$J$6,Dictonary!$K$2:$K$6)</f>
        <v>male : single</v>
      </c>
      <c r="Z892" s="1" t="str">
        <f>_xlfn.XLOOKUP(Q892,Dictonary!$M$2:$M$5,Dictonary!$N$2:$N$5)</f>
        <v>management/ self-employed/ highly qualified employee/ officer</v>
      </c>
      <c r="AA892" s="1" t="str">
        <f>_xlfn.XLOOKUP(O892,Dictonary!$P$2:$P$4,Dictonary!$Q$2:$Q$4)</f>
        <v>own</v>
      </c>
    </row>
    <row r="893" spans="1:27" x14ac:dyDescent="0.3">
      <c r="A893" s="1" t="s">
        <v>42</v>
      </c>
      <c r="B893">
        <v>15</v>
      </c>
      <c r="C893" s="1" t="s">
        <v>22</v>
      </c>
      <c r="D893" s="1" t="s">
        <v>23</v>
      </c>
      <c r="E893">
        <v>1829</v>
      </c>
      <c r="F893" s="1" t="s">
        <v>37</v>
      </c>
      <c r="G893" s="1" t="s">
        <v>25</v>
      </c>
      <c r="H893">
        <v>4</v>
      </c>
      <c r="I893" s="1" t="s">
        <v>26</v>
      </c>
      <c r="J893" s="1" t="s">
        <v>27</v>
      </c>
      <c r="K893">
        <v>4</v>
      </c>
      <c r="L893" s="1" t="s">
        <v>55</v>
      </c>
      <c r="M893">
        <v>46</v>
      </c>
      <c r="N893" s="1" t="s">
        <v>29</v>
      </c>
      <c r="O893" s="1" t="s">
        <v>30</v>
      </c>
      <c r="P893">
        <v>2</v>
      </c>
      <c r="Q893" s="1" t="s">
        <v>31</v>
      </c>
      <c r="R893">
        <v>1</v>
      </c>
      <c r="S893" s="1" t="s">
        <v>32</v>
      </c>
      <c r="T893" s="1" t="s">
        <v>33</v>
      </c>
      <c r="U893" s="1" t="s">
        <v>34</v>
      </c>
      <c r="V893" s="1" t="str">
        <f>_xlfn.XLOOKUP(A893,Dictonary!$A$2:$A$5,Dictonary!$B$2:$B$5)</f>
        <v>No information</v>
      </c>
      <c r="W893" s="1" t="str">
        <f>_xlfn.XLOOKUP(D893,Dictonary!$D$2:$D$12,Dictonary!$E$2:$E$12)</f>
        <v>radio/television</v>
      </c>
      <c r="X893" s="1" t="str">
        <f>_xlfn.XLOOKUP(F893,Dictonary!$G$2:$G$6,Dictonary!$H$2:$H$6)</f>
        <v>Less 100</v>
      </c>
      <c r="Y893" s="1" t="str">
        <f>_xlfn.XLOOKUP(I893,Dictonary!$J$2:$J$6,Dictonary!$K$2:$K$6)</f>
        <v>male : single</v>
      </c>
      <c r="Z893" s="1" t="str">
        <f>_xlfn.XLOOKUP(Q893,Dictonary!$M$2:$M$5,Dictonary!$N$2:$N$5)</f>
        <v>skilled employee / official</v>
      </c>
      <c r="AA893" s="1" t="str">
        <f>_xlfn.XLOOKUP(O893,Dictonary!$P$2:$P$4,Dictonary!$Q$2:$Q$4)</f>
        <v>own</v>
      </c>
    </row>
    <row r="894" spans="1:27" x14ac:dyDescent="0.3">
      <c r="A894" s="1" t="s">
        <v>21</v>
      </c>
      <c r="B894">
        <v>12</v>
      </c>
      <c r="C894" s="1" t="s">
        <v>22</v>
      </c>
      <c r="D894" s="1" t="s">
        <v>51</v>
      </c>
      <c r="E894">
        <v>2171</v>
      </c>
      <c r="F894" s="1" t="s">
        <v>37</v>
      </c>
      <c r="G894" s="1" t="s">
        <v>38</v>
      </c>
      <c r="H894">
        <v>4</v>
      </c>
      <c r="I894" s="1" t="s">
        <v>26</v>
      </c>
      <c r="J894" s="1" t="s">
        <v>27</v>
      </c>
      <c r="K894">
        <v>4</v>
      </c>
      <c r="L894" s="1" t="s">
        <v>48</v>
      </c>
      <c r="M894">
        <v>38</v>
      </c>
      <c r="N894" s="1" t="s">
        <v>66</v>
      </c>
      <c r="O894" s="1" t="s">
        <v>30</v>
      </c>
      <c r="P894">
        <v>2</v>
      </c>
      <c r="Q894" s="1" t="s">
        <v>45</v>
      </c>
      <c r="R894">
        <v>1</v>
      </c>
      <c r="S894" s="1" t="s">
        <v>40</v>
      </c>
      <c r="T894" s="1" t="s">
        <v>67</v>
      </c>
      <c r="U894" s="1" t="s">
        <v>34</v>
      </c>
      <c r="V894" s="1" t="str">
        <f>_xlfn.XLOOKUP(A894,Dictonary!$A$2:$A$5,Dictonary!$B$2:$B$5)</f>
        <v>Negative balance</v>
      </c>
      <c r="W894" s="1" t="str">
        <f>_xlfn.XLOOKUP(D894,Dictonary!$D$2:$D$12,Dictonary!$E$2:$E$12)</f>
        <v>car (new)</v>
      </c>
      <c r="X894" s="1" t="str">
        <f>_xlfn.XLOOKUP(F894,Dictonary!$G$2:$G$6,Dictonary!$H$2:$H$6)</f>
        <v>Less 100</v>
      </c>
      <c r="Y894" s="1" t="str">
        <f>_xlfn.XLOOKUP(I894,Dictonary!$J$2:$J$6,Dictonary!$K$2:$K$6)</f>
        <v>male : single</v>
      </c>
      <c r="Z894" s="1" t="str">
        <f>_xlfn.XLOOKUP(Q894,Dictonary!$M$2:$M$5,Dictonary!$N$2:$N$5)</f>
        <v>unskilled - resident</v>
      </c>
      <c r="AA894" s="1" t="str">
        <f>_xlfn.XLOOKUP(O894,Dictonary!$P$2:$P$4,Dictonary!$Q$2:$Q$4)</f>
        <v>own</v>
      </c>
    </row>
    <row r="895" spans="1:27" x14ac:dyDescent="0.3">
      <c r="A895" s="1" t="s">
        <v>35</v>
      </c>
      <c r="B895">
        <v>36</v>
      </c>
      <c r="C895" s="1" t="s">
        <v>22</v>
      </c>
      <c r="D895" s="1" t="s">
        <v>54</v>
      </c>
      <c r="E895">
        <v>5800</v>
      </c>
      <c r="F895" s="1" t="s">
        <v>37</v>
      </c>
      <c r="G895" s="1" t="s">
        <v>38</v>
      </c>
      <c r="H895">
        <v>3</v>
      </c>
      <c r="I895" s="1" t="s">
        <v>26</v>
      </c>
      <c r="J895" s="1" t="s">
        <v>27</v>
      </c>
      <c r="K895">
        <v>4</v>
      </c>
      <c r="L895" s="1" t="s">
        <v>55</v>
      </c>
      <c r="M895">
        <v>34</v>
      </c>
      <c r="N895" s="1" t="s">
        <v>29</v>
      </c>
      <c r="O895" s="1" t="s">
        <v>30</v>
      </c>
      <c r="P895">
        <v>2</v>
      </c>
      <c r="Q895" s="1" t="s">
        <v>31</v>
      </c>
      <c r="R895">
        <v>1</v>
      </c>
      <c r="S895" s="1" t="s">
        <v>32</v>
      </c>
      <c r="T895" s="1" t="s">
        <v>33</v>
      </c>
      <c r="U895" s="1" t="s">
        <v>34</v>
      </c>
      <c r="V895" s="1" t="str">
        <f>_xlfn.XLOOKUP(A895,Dictonary!$A$2:$A$5,Dictonary!$B$2:$B$5)</f>
        <v>Low balance</v>
      </c>
      <c r="W895" s="1" t="str">
        <f>_xlfn.XLOOKUP(D895,Dictonary!$D$2:$D$12,Dictonary!$E$2:$E$12)</f>
        <v>car (used)</v>
      </c>
      <c r="X895" s="1" t="str">
        <f>_xlfn.XLOOKUP(F895,Dictonary!$G$2:$G$6,Dictonary!$H$2:$H$6)</f>
        <v>Less 100</v>
      </c>
      <c r="Y895" s="1" t="str">
        <f>_xlfn.XLOOKUP(I895,Dictonary!$J$2:$J$6,Dictonary!$K$2:$K$6)</f>
        <v>male : single</v>
      </c>
      <c r="Z895" s="1" t="str">
        <f>_xlfn.XLOOKUP(Q895,Dictonary!$M$2:$M$5,Dictonary!$N$2:$N$5)</f>
        <v>skilled employee / official</v>
      </c>
      <c r="AA895" s="1" t="str">
        <f>_xlfn.XLOOKUP(O895,Dictonary!$P$2:$P$4,Dictonary!$Q$2:$Q$4)</f>
        <v>own</v>
      </c>
    </row>
    <row r="896" spans="1:27" x14ac:dyDescent="0.3">
      <c r="A896" s="1" t="s">
        <v>42</v>
      </c>
      <c r="B896">
        <v>18</v>
      </c>
      <c r="C896" s="1" t="s">
        <v>22</v>
      </c>
      <c r="D896" s="1" t="s">
        <v>23</v>
      </c>
      <c r="E896">
        <v>1169</v>
      </c>
      <c r="F896" s="1" t="s">
        <v>24</v>
      </c>
      <c r="G896" s="1" t="s">
        <v>38</v>
      </c>
      <c r="H896">
        <v>4</v>
      </c>
      <c r="I896" s="1" t="s">
        <v>26</v>
      </c>
      <c r="J896" s="1" t="s">
        <v>27</v>
      </c>
      <c r="K896">
        <v>3</v>
      </c>
      <c r="L896" s="1" t="s">
        <v>48</v>
      </c>
      <c r="M896">
        <v>29</v>
      </c>
      <c r="N896" s="1" t="s">
        <v>29</v>
      </c>
      <c r="O896" s="1" t="s">
        <v>30</v>
      </c>
      <c r="P896">
        <v>2</v>
      </c>
      <c r="Q896" s="1" t="s">
        <v>31</v>
      </c>
      <c r="R896">
        <v>1</v>
      </c>
      <c r="S896" s="1" t="s">
        <v>32</v>
      </c>
      <c r="T896" s="1" t="s">
        <v>33</v>
      </c>
      <c r="U896" s="1" t="s">
        <v>34</v>
      </c>
      <c r="V896" s="1" t="str">
        <f>_xlfn.XLOOKUP(A896,Dictonary!$A$2:$A$5,Dictonary!$B$2:$B$5)</f>
        <v>No information</v>
      </c>
      <c r="W896" s="1" t="str">
        <f>_xlfn.XLOOKUP(D896,Dictonary!$D$2:$D$12,Dictonary!$E$2:$E$12)</f>
        <v>radio/television</v>
      </c>
      <c r="X896" s="1" t="str">
        <f>_xlfn.XLOOKUP(F896,Dictonary!$G$2:$G$6,Dictonary!$H$2:$H$6)</f>
        <v>No information</v>
      </c>
      <c r="Y896" s="1" t="str">
        <f>_xlfn.XLOOKUP(I896,Dictonary!$J$2:$J$6,Dictonary!$K$2:$K$6)</f>
        <v>male : single</v>
      </c>
      <c r="Z896" s="1" t="str">
        <f>_xlfn.XLOOKUP(Q896,Dictonary!$M$2:$M$5,Dictonary!$N$2:$N$5)</f>
        <v>skilled employee / official</v>
      </c>
      <c r="AA896" s="1" t="str">
        <f>_xlfn.XLOOKUP(O896,Dictonary!$P$2:$P$4,Dictonary!$Q$2:$Q$4)</f>
        <v>own</v>
      </c>
    </row>
    <row r="897" spans="1:27" x14ac:dyDescent="0.3">
      <c r="A897" s="1" t="s">
        <v>42</v>
      </c>
      <c r="B897">
        <v>36</v>
      </c>
      <c r="C897" s="1" t="s">
        <v>50</v>
      </c>
      <c r="D897" s="1" t="s">
        <v>54</v>
      </c>
      <c r="E897">
        <v>8947</v>
      </c>
      <c r="F897" s="1" t="s">
        <v>24</v>
      </c>
      <c r="G897" s="1" t="s">
        <v>44</v>
      </c>
      <c r="H897">
        <v>3</v>
      </c>
      <c r="I897" s="1" t="s">
        <v>26</v>
      </c>
      <c r="J897" s="1" t="s">
        <v>27</v>
      </c>
      <c r="K897">
        <v>2</v>
      </c>
      <c r="L897" s="1" t="s">
        <v>55</v>
      </c>
      <c r="M897">
        <v>31</v>
      </c>
      <c r="N897" s="1" t="s">
        <v>70</v>
      </c>
      <c r="O897" s="1" t="s">
        <v>30</v>
      </c>
      <c r="P897">
        <v>1</v>
      </c>
      <c r="Q897" s="1" t="s">
        <v>57</v>
      </c>
      <c r="R897">
        <v>2</v>
      </c>
      <c r="S897" s="1" t="s">
        <v>32</v>
      </c>
      <c r="T897" s="1" t="s">
        <v>33</v>
      </c>
      <c r="U897" s="1" t="s">
        <v>34</v>
      </c>
      <c r="V897" s="1" t="str">
        <f>_xlfn.XLOOKUP(A897,Dictonary!$A$2:$A$5,Dictonary!$B$2:$B$5)</f>
        <v>No information</v>
      </c>
      <c r="W897" s="1" t="str">
        <f>_xlfn.XLOOKUP(D897,Dictonary!$D$2:$D$12,Dictonary!$E$2:$E$12)</f>
        <v>car (used)</v>
      </c>
      <c r="X897" s="1" t="str">
        <f>_xlfn.XLOOKUP(F897,Dictonary!$G$2:$G$6,Dictonary!$H$2:$H$6)</f>
        <v>No information</v>
      </c>
      <c r="Y897" s="1" t="str">
        <f>_xlfn.XLOOKUP(I897,Dictonary!$J$2:$J$6,Dictonary!$K$2:$K$6)</f>
        <v>male : single</v>
      </c>
      <c r="Z897" s="1" t="str">
        <f>_xlfn.XLOOKUP(Q897,Dictonary!$M$2:$M$5,Dictonary!$N$2:$N$5)</f>
        <v>management/ self-employed/ highly qualified employee/ officer</v>
      </c>
      <c r="AA897" s="1" t="str">
        <f>_xlfn.XLOOKUP(O897,Dictonary!$P$2:$P$4,Dictonary!$Q$2:$Q$4)</f>
        <v>own</v>
      </c>
    </row>
    <row r="898" spans="1:27" x14ac:dyDescent="0.3">
      <c r="A898" s="1" t="s">
        <v>21</v>
      </c>
      <c r="B898">
        <v>21</v>
      </c>
      <c r="C898" s="1" t="s">
        <v>36</v>
      </c>
      <c r="D898" s="1" t="s">
        <v>23</v>
      </c>
      <c r="E898">
        <v>2606</v>
      </c>
      <c r="F898" s="1" t="s">
        <v>37</v>
      </c>
      <c r="G898" s="1" t="s">
        <v>62</v>
      </c>
      <c r="H898">
        <v>4</v>
      </c>
      <c r="I898" s="1" t="s">
        <v>39</v>
      </c>
      <c r="J898" s="1" t="s">
        <v>27</v>
      </c>
      <c r="K898">
        <v>4</v>
      </c>
      <c r="L898" s="1" t="s">
        <v>48</v>
      </c>
      <c r="M898">
        <v>28</v>
      </c>
      <c r="N898" s="1" t="s">
        <v>29</v>
      </c>
      <c r="O898" s="1" t="s">
        <v>56</v>
      </c>
      <c r="P898">
        <v>1</v>
      </c>
      <c r="Q898" s="1" t="s">
        <v>57</v>
      </c>
      <c r="R898">
        <v>1</v>
      </c>
      <c r="S898" s="1" t="s">
        <v>32</v>
      </c>
      <c r="T898" s="1" t="s">
        <v>33</v>
      </c>
      <c r="U898" s="1" t="s">
        <v>34</v>
      </c>
      <c r="V898" s="1" t="str">
        <f>_xlfn.XLOOKUP(A898,Dictonary!$A$2:$A$5,Dictonary!$B$2:$B$5)</f>
        <v>Negative balance</v>
      </c>
      <c r="W898" s="1" t="str">
        <f>_xlfn.XLOOKUP(D898,Dictonary!$D$2:$D$12,Dictonary!$E$2:$E$12)</f>
        <v>radio/television</v>
      </c>
      <c r="X898" s="1" t="str">
        <f>_xlfn.XLOOKUP(F898,Dictonary!$G$2:$G$6,Dictonary!$H$2:$H$6)</f>
        <v>Less 100</v>
      </c>
      <c r="Y898" s="1" t="str">
        <f>_xlfn.XLOOKUP(I898,Dictonary!$J$2:$J$6,Dictonary!$K$2:$K$6)</f>
        <v>female : divorced/separated/married</v>
      </c>
      <c r="Z898" s="1" t="str">
        <f>_xlfn.XLOOKUP(Q898,Dictonary!$M$2:$M$5,Dictonary!$N$2:$N$5)</f>
        <v>management/ self-employed/ highly qualified employee/ officer</v>
      </c>
      <c r="AA898" s="1" t="str">
        <f>_xlfn.XLOOKUP(O898,Dictonary!$P$2:$P$4,Dictonary!$Q$2:$Q$4)</f>
        <v>rent</v>
      </c>
    </row>
    <row r="899" spans="1:27" x14ac:dyDescent="0.3">
      <c r="A899" s="1" t="s">
        <v>42</v>
      </c>
      <c r="B899">
        <v>12</v>
      </c>
      <c r="C899" s="1" t="s">
        <v>22</v>
      </c>
      <c r="D899" s="1" t="s">
        <v>46</v>
      </c>
      <c r="E899">
        <v>1592</v>
      </c>
      <c r="F899" s="1" t="s">
        <v>58</v>
      </c>
      <c r="G899" s="1" t="s">
        <v>44</v>
      </c>
      <c r="H899">
        <v>3</v>
      </c>
      <c r="I899" s="1" t="s">
        <v>39</v>
      </c>
      <c r="J899" s="1" t="s">
        <v>27</v>
      </c>
      <c r="K899">
        <v>2</v>
      </c>
      <c r="L899" s="1" t="s">
        <v>48</v>
      </c>
      <c r="M899">
        <v>35</v>
      </c>
      <c r="N899" s="1" t="s">
        <v>29</v>
      </c>
      <c r="O899" s="1" t="s">
        <v>30</v>
      </c>
      <c r="P899">
        <v>1</v>
      </c>
      <c r="Q899" s="1" t="s">
        <v>31</v>
      </c>
      <c r="R899">
        <v>1</v>
      </c>
      <c r="S899" s="1" t="s">
        <v>40</v>
      </c>
      <c r="T899" s="1" t="s">
        <v>67</v>
      </c>
      <c r="U899" s="1" t="s">
        <v>34</v>
      </c>
      <c r="V899" s="1" t="str">
        <f>_xlfn.XLOOKUP(A899,Dictonary!$A$2:$A$5,Dictonary!$B$2:$B$5)</f>
        <v>No information</v>
      </c>
      <c r="W899" s="1" t="str">
        <f>_xlfn.XLOOKUP(D899,Dictonary!$D$2:$D$12,Dictonary!$E$2:$E$12)</f>
        <v>furniture/equipment</v>
      </c>
      <c r="X899" s="1" t="str">
        <f>_xlfn.XLOOKUP(F899,Dictonary!$G$2:$G$6,Dictonary!$H$2:$H$6)</f>
        <v>More 1000</v>
      </c>
      <c r="Y899" s="1" t="str">
        <f>_xlfn.XLOOKUP(I899,Dictonary!$J$2:$J$6,Dictonary!$K$2:$K$6)</f>
        <v>female : divorced/separated/married</v>
      </c>
      <c r="Z899" s="1" t="str">
        <f>_xlfn.XLOOKUP(Q899,Dictonary!$M$2:$M$5,Dictonary!$N$2:$N$5)</f>
        <v>skilled employee / official</v>
      </c>
      <c r="AA899" s="1" t="str">
        <f>_xlfn.XLOOKUP(O899,Dictonary!$P$2:$P$4,Dictonary!$Q$2:$Q$4)</f>
        <v>own</v>
      </c>
    </row>
    <row r="900" spans="1:27" x14ac:dyDescent="0.3">
      <c r="A900" s="1" t="s">
        <v>42</v>
      </c>
      <c r="B900">
        <v>15</v>
      </c>
      <c r="C900" s="1" t="s">
        <v>36</v>
      </c>
      <c r="D900" s="1" t="s">
        <v>46</v>
      </c>
      <c r="E900">
        <v>2186</v>
      </c>
      <c r="F900" s="1" t="s">
        <v>24</v>
      </c>
      <c r="G900" s="1" t="s">
        <v>44</v>
      </c>
      <c r="H900">
        <v>1</v>
      </c>
      <c r="I900" s="1" t="s">
        <v>39</v>
      </c>
      <c r="J900" s="1" t="s">
        <v>27</v>
      </c>
      <c r="K900">
        <v>4</v>
      </c>
      <c r="L900" s="1" t="s">
        <v>28</v>
      </c>
      <c r="M900">
        <v>33</v>
      </c>
      <c r="N900" s="1" t="s">
        <v>66</v>
      </c>
      <c r="O900" s="1" t="s">
        <v>56</v>
      </c>
      <c r="P900">
        <v>1</v>
      </c>
      <c r="Q900" s="1" t="s">
        <v>45</v>
      </c>
      <c r="R900">
        <v>1</v>
      </c>
      <c r="S900" s="1" t="s">
        <v>40</v>
      </c>
      <c r="T900" s="1" t="s">
        <v>33</v>
      </c>
      <c r="U900" s="1" t="s">
        <v>34</v>
      </c>
      <c r="V900" s="1" t="str">
        <f>_xlfn.XLOOKUP(A900,Dictonary!$A$2:$A$5,Dictonary!$B$2:$B$5)</f>
        <v>No information</v>
      </c>
      <c r="W900" s="1" t="str">
        <f>_xlfn.XLOOKUP(D900,Dictonary!$D$2:$D$12,Dictonary!$E$2:$E$12)</f>
        <v>furniture/equipment</v>
      </c>
      <c r="X900" s="1" t="str">
        <f>_xlfn.XLOOKUP(F900,Dictonary!$G$2:$G$6,Dictonary!$H$2:$H$6)</f>
        <v>No information</v>
      </c>
      <c r="Y900" s="1" t="str">
        <f>_xlfn.XLOOKUP(I900,Dictonary!$J$2:$J$6,Dictonary!$K$2:$K$6)</f>
        <v>female : divorced/separated/married</v>
      </c>
      <c r="Z900" s="1" t="str">
        <f>_xlfn.XLOOKUP(Q900,Dictonary!$M$2:$M$5,Dictonary!$N$2:$N$5)</f>
        <v>unskilled - resident</v>
      </c>
      <c r="AA900" s="1" t="str">
        <f>_xlfn.XLOOKUP(O900,Dictonary!$P$2:$P$4,Dictonary!$Q$2:$Q$4)</f>
        <v>rent</v>
      </c>
    </row>
    <row r="901" spans="1:27" x14ac:dyDescent="0.3">
      <c r="A901" s="1" t="s">
        <v>21</v>
      </c>
      <c r="B901">
        <v>18</v>
      </c>
      <c r="C901" s="1" t="s">
        <v>36</v>
      </c>
      <c r="D901" s="1" t="s">
        <v>46</v>
      </c>
      <c r="E901">
        <v>4153</v>
      </c>
      <c r="F901" s="1" t="s">
        <v>37</v>
      </c>
      <c r="G901" s="1" t="s">
        <v>38</v>
      </c>
      <c r="H901">
        <v>2</v>
      </c>
      <c r="I901" s="1" t="s">
        <v>26</v>
      </c>
      <c r="J901" s="1" t="s">
        <v>71</v>
      </c>
      <c r="K901">
        <v>3</v>
      </c>
      <c r="L901" s="1" t="s">
        <v>55</v>
      </c>
      <c r="M901">
        <v>42</v>
      </c>
      <c r="N901" s="1" t="s">
        <v>29</v>
      </c>
      <c r="O901" s="1" t="s">
        <v>30</v>
      </c>
      <c r="P901">
        <v>1</v>
      </c>
      <c r="Q901" s="1" t="s">
        <v>31</v>
      </c>
      <c r="R901">
        <v>1</v>
      </c>
      <c r="S901" s="1" t="s">
        <v>40</v>
      </c>
      <c r="T901" s="1" t="s">
        <v>33</v>
      </c>
      <c r="U901" s="1" t="s">
        <v>41</v>
      </c>
      <c r="V901" s="1" t="str">
        <f>_xlfn.XLOOKUP(A901,Dictonary!$A$2:$A$5,Dictonary!$B$2:$B$5)</f>
        <v>Negative balance</v>
      </c>
      <c r="W901" s="1" t="str">
        <f>_xlfn.XLOOKUP(D901,Dictonary!$D$2:$D$12,Dictonary!$E$2:$E$12)</f>
        <v>furniture/equipment</v>
      </c>
      <c r="X901" s="1" t="str">
        <f>_xlfn.XLOOKUP(F901,Dictonary!$G$2:$G$6,Dictonary!$H$2:$H$6)</f>
        <v>Less 100</v>
      </c>
      <c r="Y901" s="1" t="str">
        <f>_xlfn.XLOOKUP(I901,Dictonary!$J$2:$J$6,Dictonary!$K$2:$K$6)</f>
        <v>male : single</v>
      </c>
      <c r="Z901" s="1" t="str">
        <f>_xlfn.XLOOKUP(Q901,Dictonary!$M$2:$M$5,Dictonary!$N$2:$N$5)</f>
        <v>skilled employee / official</v>
      </c>
      <c r="AA901" s="1" t="str">
        <f>_xlfn.XLOOKUP(O901,Dictonary!$P$2:$P$4,Dictonary!$Q$2:$Q$4)</f>
        <v>own</v>
      </c>
    </row>
    <row r="902" spans="1:27" x14ac:dyDescent="0.3">
      <c r="A902" s="1" t="s">
        <v>21</v>
      </c>
      <c r="B902">
        <v>16</v>
      </c>
      <c r="C902" s="1" t="s">
        <v>22</v>
      </c>
      <c r="D902" s="1" t="s">
        <v>51</v>
      </c>
      <c r="E902">
        <v>2625</v>
      </c>
      <c r="F902" s="1" t="s">
        <v>37</v>
      </c>
      <c r="G902" s="1" t="s">
        <v>25</v>
      </c>
      <c r="H902">
        <v>2</v>
      </c>
      <c r="I902" s="1" t="s">
        <v>26</v>
      </c>
      <c r="J902" s="1" t="s">
        <v>47</v>
      </c>
      <c r="K902">
        <v>4</v>
      </c>
      <c r="L902" s="1" t="s">
        <v>48</v>
      </c>
      <c r="M902">
        <v>43</v>
      </c>
      <c r="N902" s="1" t="s">
        <v>66</v>
      </c>
      <c r="O902" s="1" t="s">
        <v>56</v>
      </c>
      <c r="P902">
        <v>1</v>
      </c>
      <c r="Q902" s="1" t="s">
        <v>31</v>
      </c>
      <c r="R902">
        <v>1</v>
      </c>
      <c r="S902" s="1" t="s">
        <v>32</v>
      </c>
      <c r="T902" s="1" t="s">
        <v>33</v>
      </c>
      <c r="U902" s="1" t="s">
        <v>41</v>
      </c>
      <c r="V902" s="1" t="str">
        <f>_xlfn.XLOOKUP(A902,Dictonary!$A$2:$A$5,Dictonary!$B$2:$B$5)</f>
        <v>Negative balance</v>
      </c>
      <c r="W902" s="1" t="str">
        <f>_xlfn.XLOOKUP(D902,Dictonary!$D$2:$D$12,Dictonary!$E$2:$E$12)</f>
        <v>car (new)</v>
      </c>
      <c r="X902" s="1" t="str">
        <f>_xlfn.XLOOKUP(F902,Dictonary!$G$2:$G$6,Dictonary!$H$2:$H$6)</f>
        <v>Less 100</v>
      </c>
      <c r="Y902" s="1" t="str">
        <f>_xlfn.XLOOKUP(I902,Dictonary!$J$2:$J$6,Dictonary!$K$2:$K$6)</f>
        <v>male : single</v>
      </c>
      <c r="Z902" s="1" t="str">
        <f>_xlfn.XLOOKUP(Q902,Dictonary!$M$2:$M$5,Dictonary!$N$2:$N$5)</f>
        <v>skilled employee / official</v>
      </c>
      <c r="AA902" s="1" t="str">
        <f>_xlfn.XLOOKUP(O902,Dictonary!$P$2:$P$4,Dictonary!$Q$2:$Q$4)</f>
        <v>rent</v>
      </c>
    </row>
    <row r="903" spans="1:27" x14ac:dyDescent="0.3">
      <c r="A903" s="1" t="s">
        <v>42</v>
      </c>
      <c r="B903">
        <v>20</v>
      </c>
      <c r="C903" s="1" t="s">
        <v>22</v>
      </c>
      <c r="D903" s="1" t="s">
        <v>51</v>
      </c>
      <c r="E903">
        <v>3485</v>
      </c>
      <c r="F903" s="1" t="s">
        <v>24</v>
      </c>
      <c r="G903" s="1" t="s">
        <v>62</v>
      </c>
      <c r="H903">
        <v>2</v>
      </c>
      <c r="I903" s="1" t="s">
        <v>59</v>
      </c>
      <c r="J903" s="1" t="s">
        <v>27</v>
      </c>
      <c r="K903">
        <v>4</v>
      </c>
      <c r="L903" s="1" t="s">
        <v>28</v>
      </c>
      <c r="M903">
        <v>44</v>
      </c>
      <c r="N903" s="1" t="s">
        <v>29</v>
      </c>
      <c r="O903" s="1" t="s">
        <v>30</v>
      </c>
      <c r="P903">
        <v>2</v>
      </c>
      <c r="Q903" s="1" t="s">
        <v>31</v>
      </c>
      <c r="R903">
        <v>1</v>
      </c>
      <c r="S903" s="1" t="s">
        <v>32</v>
      </c>
      <c r="T903" s="1" t="s">
        <v>33</v>
      </c>
      <c r="U903" s="1" t="s">
        <v>34</v>
      </c>
      <c r="V903" s="1" t="str">
        <f>_xlfn.XLOOKUP(A903,Dictonary!$A$2:$A$5,Dictonary!$B$2:$B$5)</f>
        <v>No information</v>
      </c>
      <c r="W903" s="1" t="str">
        <f>_xlfn.XLOOKUP(D903,Dictonary!$D$2:$D$12,Dictonary!$E$2:$E$12)</f>
        <v>car (new)</v>
      </c>
      <c r="X903" s="1" t="str">
        <f>_xlfn.XLOOKUP(F903,Dictonary!$G$2:$G$6,Dictonary!$H$2:$H$6)</f>
        <v>No information</v>
      </c>
      <c r="Y903" s="1" t="str">
        <f>_xlfn.XLOOKUP(I903,Dictonary!$J$2:$J$6,Dictonary!$K$2:$K$6)</f>
        <v>male : divorced/separated</v>
      </c>
      <c r="Z903" s="1" t="str">
        <f>_xlfn.XLOOKUP(Q903,Dictonary!$M$2:$M$5,Dictonary!$N$2:$N$5)</f>
        <v>skilled employee / official</v>
      </c>
      <c r="AA903" s="1" t="str">
        <f>_xlfn.XLOOKUP(O903,Dictonary!$P$2:$P$4,Dictonary!$Q$2:$Q$4)</f>
        <v>own</v>
      </c>
    </row>
    <row r="904" spans="1:27" x14ac:dyDescent="0.3">
      <c r="A904" s="1" t="s">
        <v>42</v>
      </c>
      <c r="B904">
        <v>36</v>
      </c>
      <c r="C904" s="1" t="s">
        <v>22</v>
      </c>
      <c r="D904" s="1" t="s">
        <v>54</v>
      </c>
      <c r="E904">
        <v>10477</v>
      </c>
      <c r="F904" s="1" t="s">
        <v>24</v>
      </c>
      <c r="G904" s="1" t="s">
        <v>25</v>
      </c>
      <c r="H904">
        <v>2</v>
      </c>
      <c r="I904" s="1" t="s">
        <v>26</v>
      </c>
      <c r="J904" s="1" t="s">
        <v>27</v>
      </c>
      <c r="K904">
        <v>4</v>
      </c>
      <c r="L904" s="1" t="s">
        <v>52</v>
      </c>
      <c r="M904">
        <v>42</v>
      </c>
      <c r="N904" s="1" t="s">
        <v>29</v>
      </c>
      <c r="O904" s="1" t="s">
        <v>49</v>
      </c>
      <c r="P904">
        <v>2</v>
      </c>
      <c r="Q904" s="1" t="s">
        <v>31</v>
      </c>
      <c r="R904">
        <v>1</v>
      </c>
      <c r="S904" s="1" t="s">
        <v>40</v>
      </c>
      <c r="T904" s="1" t="s">
        <v>33</v>
      </c>
      <c r="U904" s="1" t="s">
        <v>34</v>
      </c>
      <c r="V904" s="1" t="str">
        <f>_xlfn.XLOOKUP(A904,Dictonary!$A$2:$A$5,Dictonary!$B$2:$B$5)</f>
        <v>No information</v>
      </c>
      <c r="W904" s="1" t="str">
        <f>_xlfn.XLOOKUP(D904,Dictonary!$D$2:$D$12,Dictonary!$E$2:$E$12)</f>
        <v>car (used)</v>
      </c>
      <c r="X904" s="1" t="str">
        <f>_xlfn.XLOOKUP(F904,Dictonary!$G$2:$G$6,Dictonary!$H$2:$H$6)</f>
        <v>No information</v>
      </c>
      <c r="Y904" s="1" t="str">
        <f>_xlfn.XLOOKUP(I904,Dictonary!$J$2:$J$6,Dictonary!$K$2:$K$6)</f>
        <v>male : single</v>
      </c>
      <c r="Z904" s="1" t="str">
        <f>_xlfn.XLOOKUP(Q904,Dictonary!$M$2:$M$5,Dictonary!$N$2:$N$5)</f>
        <v>skilled employee / official</v>
      </c>
      <c r="AA904" s="1" t="str">
        <f>_xlfn.XLOOKUP(O904,Dictonary!$P$2:$P$4,Dictonary!$Q$2:$Q$4)</f>
        <v>for free</v>
      </c>
    </row>
    <row r="905" spans="1:27" x14ac:dyDescent="0.3">
      <c r="A905" s="1" t="s">
        <v>42</v>
      </c>
      <c r="B905">
        <v>15</v>
      </c>
      <c r="C905" s="1" t="s">
        <v>36</v>
      </c>
      <c r="D905" s="1" t="s">
        <v>23</v>
      </c>
      <c r="E905">
        <v>1386</v>
      </c>
      <c r="F905" s="1" t="s">
        <v>24</v>
      </c>
      <c r="G905" s="1" t="s">
        <v>38</v>
      </c>
      <c r="H905">
        <v>4</v>
      </c>
      <c r="I905" s="1" t="s">
        <v>61</v>
      </c>
      <c r="J905" s="1" t="s">
        <v>27</v>
      </c>
      <c r="K905">
        <v>2</v>
      </c>
      <c r="L905" s="1" t="s">
        <v>28</v>
      </c>
      <c r="M905">
        <v>40</v>
      </c>
      <c r="N905" s="1" t="s">
        <v>29</v>
      </c>
      <c r="O905" s="1" t="s">
        <v>56</v>
      </c>
      <c r="P905">
        <v>1</v>
      </c>
      <c r="Q905" s="1" t="s">
        <v>31</v>
      </c>
      <c r="R905">
        <v>1</v>
      </c>
      <c r="S905" s="1" t="s">
        <v>32</v>
      </c>
      <c r="T905" s="1" t="s">
        <v>33</v>
      </c>
      <c r="U905" s="1" t="s">
        <v>34</v>
      </c>
      <c r="V905" s="1" t="str">
        <f>_xlfn.XLOOKUP(A905,Dictonary!$A$2:$A$5,Dictonary!$B$2:$B$5)</f>
        <v>No information</v>
      </c>
      <c r="W905" s="1" t="str">
        <f>_xlfn.XLOOKUP(D905,Dictonary!$D$2:$D$12,Dictonary!$E$2:$E$12)</f>
        <v>radio/television</v>
      </c>
      <c r="X905" s="1" t="str">
        <f>_xlfn.XLOOKUP(F905,Dictonary!$G$2:$G$6,Dictonary!$H$2:$H$6)</f>
        <v>No information</v>
      </c>
      <c r="Y905" s="1" t="str">
        <f>_xlfn.XLOOKUP(I905,Dictonary!$J$2:$J$6,Dictonary!$K$2:$K$6)</f>
        <v>male : married/widowed</v>
      </c>
      <c r="Z905" s="1" t="str">
        <f>_xlfn.XLOOKUP(Q905,Dictonary!$M$2:$M$5,Dictonary!$N$2:$N$5)</f>
        <v>skilled employee / official</v>
      </c>
      <c r="AA905" s="1" t="str">
        <f>_xlfn.XLOOKUP(O905,Dictonary!$P$2:$P$4,Dictonary!$Q$2:$Q$4)</f>
        <v>rent</v>
      </c>
    </row>
    <row r="906" spans="1:27" x14ac:dyDescent="0.3">
      <c r="A906" s="1" t="s">
        <v>42</v>
      </c>
      <c r="B906">
        <v>24</v>
      </c>
      <c r="C906" s="1" t="s">
        <v>36</v>
      </c>
      <c r="D906" s="1" t="s">
        <v>23</v>
      </c>
      <c r="E906">
        <v>1278</v>
      </c>
      <c r="F906" s="1" t="s">
        <v>37</v>
      </c>
      <c r="G906" s="1" t="s">
        <v>25</v>
      </c>
      <c r="H906">
        <v>4</v>
      </c>
      <c r="I906" s="1" t="s">
        <v>26</v>
      </c>
      <c r="J906" s="1" t="s">
        <v>27</v>
      </c>
      <c r="K906">
        <v>1</v>
      </c>
      <c r="L906" s="1" t="s">
        <v>28</v>
      </c>
      <c r="M906">
        <v>36</v>
      </c>
      <c r="N906" s="1" t="s">
        <v>29</v>
      </c>
      <c r="O906" s="1" t="s">
        <v>30</v>
      </c>
      <c r="P906">
        <v>1</v>
      </c>
      <c r="Q906" s="1" t="s">
        <v>57</v>
      </c>
      <c r="R906">
        <v>1</v>
      </c>
      <c r="S906" s="1" t="s">
        <v>32</v>
      </c>
      <c r="T906" s="1" t="s">
        <v>33</v>
      </c>
      <c r="U906" s="1" t="s">
        <v>34</v>
      </c>
      <c r="V906" s="1" t="str">
        <f>_xlfn.XLOOKUP(A906,Dictonary!$A$2:$A$5,Dictonary!$B$2:$B$5)</f>
        <v>No information</v>
      </c>
      <c r="W906" s="1" t="str">
        <f>_xlfn.XLOOKUP(D906,Dictonary!$D$2:$D$12,Dictonary!$E$2:$E$12)</f>
        <v>radio/television</v>
      </c>
      <c r="X906" s="1" t="str">
        <f>_xlfn.XLOOKUP(F906,Dictonary!$G$2:$G$6,Dictonary!$H$2:$H$6)</f>
        <v>Less 100</v>
      </c>
      <c r="Y906" s="1" t="str">
        <f>_xlfn.XLOOKUP(I906,Dictonary!$J$2:$J$6,Dictonary!$K$2:$K$6)</f>
        <v>male : single</v>
      </c>
      <c r="Z906" s="1" t="str">
        <f>_xlfn.XLOOKUP(Q906,Dictonary!$M$2:$M$5,Dictonary!$N$2:$N$5)</f>
        <v>management/ self-employed/ highly qualified employee/ officer</v>
      </c>
      <c r="AA906" s="1" t="str">
        <f>_xlfn.XLOOKUP(O906,Dictonary!$P$2:$P$4,Dictonary!$Q$2:$Q$4)</f>
        <v>own</v>
      </c>
    </row>
    <row r="907" spans="1:27" x14ac:dyDescent="0.3">
      <c r="A907" s="1" t="s">
        <v>21</v>
      </c>
      <c r="B907">
        <v>12</v>
      </c>
      <c r="C907" s="1" t="s">
        <v>36</v>
      </c>
      <c r="D907" s="1" t="s">
        <v>23</v>
      </c>
      <c r="E907">
        <v>1107</v>
      </c>
      <c r="F907" s="1" t="s">
        <v>37</v>
      </c>
      <c r="G907" s="1" t="s">
        <v>38</v>
      </c>
      <c r="H907">
        <v>2</v>
      </c>
      <c r="I907" s="1" t="s">
        <v>26</v>
      </c>
      <c r="J907" s="1" t="s">
        <v>27</v>
      </c>
      <c r="K907">
        <v>2</v>
      </c>
      <c r="L907" s="1" t="s">
        <v>28</v>
      </c>
      <c r="M907">
        <v>20</v>
      </c>
      <c r="N907" s="1" t="s">
        <v>29</v>
      </c>
      <c r="O907" s="1" t="s">
        <v>56</v>
      </c>
      <c r="P907">
        <v>1</v>
      </c>
      <c r="Q907" s="1" t="s">
        <v>57</v>
      </c>
      <c r="R907">
        <v>2</v>
      </c>
      <c r="S907" s="1" t="s">
        <v>32</v>
      </c>
      <c r="T907" s="1" t="s">
        <v>33</v>
      </c>
      <c r="U907" s="1" t="s">
        <v>34</v>
      </c>
      <c r="V907" s="1" t="str">
        <f>_xlfn.XLOOKUP(A907,Dictonary!$A$2:$A$5,Dictonary!$B$2:$B$5)</f>
        <v>Negative balance</v>
      </c>
      <c r="W907" s="1" t="str">
        <f>_xlfn.XLOOKUP(D907,Dictonary!$D$2:$D$12,Dictonary!$E$2:$E$12)</f>
        <v>radio/television</v>
      </c>
      <c r="X907" s="1" t="str">
        <f>_xlfn.XLOOKUP(F907,Dictonary!$G$2:$G$6,Dictonary!$H$2:$H$6)</f>
        <v>Less 100</v>
      </c>
      <c r="Y907" s="1" t="str">
        <f>_xlfn.XLOOKUP(I907,Dictonary!$J$2:$J$6,Dictonary!$K$2:$K$6)</f>
        <v>male : single</v>
      </c>
      <c r="Z907" s="1" t="str">
        <f>_xlfn.XLOOKUP(Q907,Dictonary!$M$2:$M$5,Dictonary!$N$2:$N$5)</f>
        <v>management/ self-employed/ highly qualified employee/ officer</v>
      </c>
      <c r="AA907" s="1" t="str">
        <f>_xlfn.XLOOKUP(O907,Dictonary!$P$2:$P$4,Dictonary!$Q$2:$Q$4)</f>
        <v>rent</v>
      </c>
    </row>
    <row r="908" spans="1:27" x14ac:dyDescent="0.3">
      <c r="A908" s="1" t="s">
        <v>21</v>
      </c>
      <c r="B908">
        <v>21</v>
      </c>
      <c r="C908" s="1" t="s">
        <v>36</v>
      </c>
      <c r="D908" s="1" t="s">
        <v>51</v>
      </c>
      <c r="E908">
        <v>3763</v>
      </c>
      <c r="F908" s="1" t="s">
        <v>24</v>
      </c>
      <c r="G908" s="1" t="s">
        <v>44</v>
      </c>
      <c r="H908">
        <v>2</v>
      </c>
      <c r="I908" s="1" t="s">
        <v>26</v>
      </c>
      <c r="J908" s="1" t="s">
        <v>71</v>
      </c>
      <c r="K908">
        <v>2</v>
      </c>
      <c r="L908" s="1" t="s">
        <v>28</v>
      </c>
      <c r="M908">
        <v>24</v>
      </c>
      <c r="N908" s="1" t="s">
        <v>29</v>
      </c>
      <c r="O908" s="1" t="s">
        <v>30</v>
      </c>
      <c r="P908">
        <v>1</v>
      </c>
      <c r="Q908" s="1" t="s">
        <v>45</v>
      </c>
      <c r="R908">
        <v>1</v>
      </c>
      <c r="S908" s="1" t="s">
        <v>40</v>
      </c>
      <c r="T908" s="1" t="s">
        <v>67</v>
      </c>
      <c r="U908" s="1" t="s">
        <v>34</v>
      </c>
      <c r="V908" s="1" t="str">
        <f>_xlfn.XLOOKUP(A908,Dictonary!$A$2:$A$5,Dictonary!$B$2:$B$5)</f>
        <v>Negative balance</v>
      </c>
      <c r="W908" s="1" t="str">
        <f>_xlfn.XLOOKUP(D908,Dictonary!$D$2:$D$12,Dictonary!$E$2:$E$12)</f>
        <v>car (new)</v>
      </c>
      <c r="X908" s="1" t="str">
        <f>_xlfn.XLOOKUP(F908,Dictonary!$G$2:$G$6,Dictonary!$H$2:$H$6)</f>
        <v>No information</v>
      </c>
      <c r="Y908" s="1" t="str">
        <f>_xlfn.XLOOKUP(I908,Dictonary!$J$2:$J$6,Dictonary!$K$2:$K$6)</f>
        <v>male : single</v>
      </c>
      <c r="Z908" s="1" t="str">
        <f>_xlfn.XLOOKUP(Q908,Dictonary!$M$2:$M$5,Dictonary!$N$2:$N$5)</f>
        <v>unskilled - resident</v>
      </c>
      <c r="AA908" s="1" t="str">
        <f>_xlfn.XLOOKUP(O908,Dictonary!$P$2:$P$4,Dictonary!$Q$2:$Q$4)</f>
        <v>own</v>
      </c>
    </row>
    <row r="909" spans="1:27" x14ac:dyDescent="0.3">
      <c r="A909" s="1" t="s">
        <v>35</v>
      </c>
      <c r="B909">
        <v>36</v>
      </c>
      <c r="C909" s="1" t="s">
        <v>36</v>
      </c>
      <c r="D909" s="1" t="s">
        <v>43</v>
      </c>
      <c r="E909">
        <v>3711</v>
      </c>
      <c r="F909" s="1" t="s">
        <v>24</v>
      </c>
      <c r="G909" s="1" t="s">
        <v>38</v>
      </c>
      <c r="H909">
        <v>2</v>
      </c>
      <c r="I909" s="1" t="s">
        <v>61</v>
      </c>
      <c r="J909" s="1" t="s">
        <v>27</v>
      </c>
      <c r="K909">
        <v>2</v>
      </c>
      <c r="L909" s="1" t="s">
        <v>55</v>
      </c>
      <c r="M909">
        <v>27</v>
      </c>
      <c r="N909" s="1" t="s">
        <v>29</v>
      </c>
      <c r="O909" s="1" t="s">
        <v>30</v>
      </c>
      <c r="P909">
        <v>1</v>
      </c>
      <c r="Q909" s="1" t="s">
        <v>31</v>
      </c>
      <c r="R909">
        <v>1</v>
      </c>
      <c r="S909" s="1" t="s">
        <v>40</v>
      </c>
      <c r="T909" s="1" t="s">
        <v>33</v>
      </c>
      <c r="U909" s="1" t="s">
        <v>34</v>
      </c>
      <c r="V909" s="1" t="str">
        <f>_xlfn.XLOOKUP(A909,Dictonary!$A$2:$A$5,Dictonary!$B$2:$B$5)</f>
        <v>Low balance</v>
      </c>
      <c r="W909" s="1" t="str">
        <f>_xlfn.XLOOKUP(D909,Dictonary!$D$2:$D$12,Dictonary!$E$2:$E$12)</f>
        <v>education</v>
      </c>
      <c r="X909" s="1" t="str">
        <f>_xlfn.XLOOKUP(F909,Dictonary!$G$2:$G$6,Dictonary!$H$2:$H$6)</f>
        <v>No information</v>
      </c>
      <c r="Y909" s="1" t="str">
        <f>_xlfn.XLOOKUP(I909,Dictonary!$J$2:$J$6,Dictonary!$K$2:$K$6)</f>
        <v>male : married/widowed</v>
      </c>
      <c r="Z909" s="1" t="str">
        <f>_xlfn.XLOOKUP(Q909,Dictonary!$M$2:$M$5,Dictonary!$N$2:$N$5)</f>
        <v>skilled employee / official</v>
      </c>
      <c r="AA909" s="1" t="str">
        <f>_xlfn.XLOOKUP(O909,Dictonary!$P$2:$P$4,Dictonary!$Q$2:$Q$4)</f>
        <v>own</v>
      </c>
    </row>
    <row r="910" spans="1:27" x14ac:dyDescent="0.3">
      <c r="A910" s="1" t="s">
        <v>42</v>
      </c>
      <c r="B910">
        <v>15</v>
      </c>
      <c r="C910" s="1" t="s">
        <v>50</v>
      </c>
      <c r="D910" s="1" t="s">
        <v>54</v>
      </c>
      <c r="E910">
        <v>3594</v>
      </c>
      <c r="F910" s="1" t="s">
        <v>37</v>
      </c>
      <c r="G910" s="1" t="s">
        <v>62</v>
      </c>
      <c r="H910">
        <v>1</v>
      </c>
      <c r="I910" s="1" t="s">
        <v>39</v>
      </c>
      <c r="J910" s="1" t="s">
        <v>27</v>
      </c>
      <c r="K910">
        <v>2</v>
      </c>
      <c r="L910" s="1" t="s">
        <v>48</v>
      </c>
      <c r="M910">
        <v>46</v>
      </c>
      <c r="N910" s="1" t="s">
        <v>29</v>
      </c>
      <c r="O910" s="1" t="s">
        <v>30</v>
      </c>
      <c r="P910">
        <v>2</v>
      </c>
      <c r="Q910" s="1" t="s">
        <v>45</v>
      </c>
      <c r="R910">
        <v>1</v>
      </c>
      <c r="S910" s="1" t="s">
        <v>40</v>
      </c>
      <c r="T910" s="1" t="s">
        <v>33</v>
      </c>
      <c r="U910" s="1" t="s">
        <v>34</v>
      </c>
      <c r="V910" s="1" t="str">
        <f>_xlfn.XLOOKUP(A910,Dictonary!$A$2:$A$5,Dictonary!$B$2:$B$5)</f>
        <v>No information</v>
      </c>
      <c r="W910" s="1" t="str">
        <f>_xlfn.XLOOKUP(D910,Dictonary!$D$2:$D$12,Dictonary!$E$2:$E$12)</f>
        <v>car (used)</v>
      </c>
      <c r="X910" s="1" t="str">
        <f>_xlfn.XLOOKUP(F910,Dictonary!$G$2:$G$6,Dictonary!$H$2:$H$6)</f>
        <v>Less 100</v>
      </c>
      <c r="Y910" s="1" t="str">
        <f>_xlfn.XLOOKUP(I910,Dictonary!$J$2:$J$6,Dictonary!$K$2:$K$6)</f>
        <v>female : divorced/separated/married</v>
      </c>
      <c r="Z910" s="1" t="str">
        <f>_xlfn.XLOOKUP(Q910,Dictonary!$M$2:$M$5,Dictonary!$N$2:$N$5)</f>
        <v>unskilled - resident</v>
      </c>
      <c r="AA910" s="1" t="str">
        <f>_xlfn.XLOOKUP(O910,Dictonary!$P$2:$P$4,Dictonary!$Q$2:$Q$4)</f>
        <v>own</v>
      </c>
    </row>
    <row r="911" spans="1:27" x14ac:dyDescent="0.3">
      <c r="A911" s="1" t="s">
        <v>35</v>
      </c>
      <c r="B911">
        <v>9</v>
      </c>
      <c r="C911" s="1" t="s">
        <v>36</v>
      </c>
      <c r="D911" s="1" t="s">
        <v>51</v>
      </c>
      <c r="E911">
        <v>3195</v>
      </c>
      <c r="F911" s="1" t="s">
        <v>24</v>
      </c>
      <c r="G911" s="1" t="s">
        <v>38</v>
      </c>
      <c r="H911">
        <v>1</v>
      </c>
      <c r="I911" s="1" t="s">
        <v>39</v>
      </c>
      <c r="J911" s="1" t="s">
        <v>27</v>
      </c>
      <c r="K911">
        <v>2</v>
      </c>
      <c r="L911" s="1" t="s">
        <v>28</v>
      </c>
      <c r="M911">
        <v>33</v>
      </c>
      <c r="N911" s="1" t="s">
        <v>29</v>
      </c>
      <c r="O911" s="1" t="s">
        <v>30</v>
      </c>
      <c r="P911">
        <v>1</v>
      </c>
      <c r="Q911" s="1" t="s">
        <v>45</v>
      </c>
      <c r="R911">
        <v>1</v>
      </c>
      <c r="S911" s="1" t="s">
        <v>40</v>
      </c>
      <c r="T911" s="1" t="s">
        <v>33</v>
      </c>
      <c r="U911" s="1" t="s">
        <v>34</v>
      </c>
      <c r="V911" s="1" t="str">
        <f>_xlfn.XLOOKUP(A911,Dictonary!$A$2:$A$5,Dictonary!$B$2:$B$5)</f>
        <v>Low balance</v>
      </c>
      <c r="W911" s="1" t="str">
        <f>_xlfn.XLOOKUP(D911,Dictonary!$D$2:$D$12,Dictonary!$E$2:$E$12)</f>
        <v>car (new)</v>
      </c>
      <c r="X911" s="1" t="str">
        <f>_xlfn.XLOOKUP(F911,Dictonary!$G$2:$G$6,Dictonary!$H$2:$H$6)</f>
        <v>No information</v>
      </c>
      <c r="Y911" s="1" t="str">
        <f>_xlfn.XLOOKUP(I911,Dictonary!$J$2:$J$6,Dictonary!$K$2:$K$6)</f>
        <v>female : divorced/separated/married</v>
      </c>
      <c r="Z911" s="1" t="str">
        <f>_xlfn.XLOOKUP(Q911,Dictonary!$M$2:$M$5,Dictonary!$N$2:$N$5)</f>
        <v>unskilled - resident</v>
      </c>
      <c r="AA911" s="1" t="str">
        <f>_xlfn.XLOOKUP(O911,Dictonary!$P$2:$P$4,Dictonary!$Q$2:$Q$4)</f>
        <v>own</v>
      </c>
    </row>
    <row r="912" spans="1:27" x14ac:dyDescent="0.3">
      <c r="A912" s="1" t="s">
        <v>42</v>
      </c>
      <c r="B912">
        <v>36</v>
      </c>
      <c r="C912" s="1" t="s">
        <v>50</v>
      </c>
      <c r="D912" s="1" t="s">
        <v>23</v>
      </c>
      <c r="E912">
        <v>4454</v>
      </c>
      <c r="F912" s="1" t="s">
        <v>37</v>
      </c>
      <c r="G912" s="1" t="s">
        <v>38</v>
      </c>
      <c r="H912">
        <v>4</v>
      </c>
      <c r="I912" s="1" t="s">
        <v>39</v>
      </c>
      <c r="J912" s="1" t="s">
        <v>27</v>
      </c>
      <c r="K912">
        <v>4</v>
      </c>
      <c r="L912" s="1" t="s">
        <v>28</v>
      </c>
      <c r="M912">
        <v>34</v>
      </c>
      <c r="N912" s="1" t="s">
        <v>29</v>
      </c>
      <c r="O912" s="1" t="s">
        <v>30</v>
      </c>
      <c r="P912">
        <v>2</v>
      </c>
      <c r="Q912" s="1" t="s">
        <v>31</v>
      </c>
      <c r="R912">
        <v>1</v>
      </c>
      <c r="S912" s="1" t="s">
        <v>40</v>
      </c>
      <c r="T912" s="1" t="s">
        <v>33</v>
      </c>
      <c r="U912" s="1" t="s">
        <v>34</v>
      </c>
      <c r="V912" s="1" t="str">
        <f>_xlfn.XLOOKUP(A912,Dictonary!$A$2:$A$5,Dictonary!$B$2:$B$5)</f>
        <v>No information</v>
      </c>
      <c r="W912" s="1" t="str">
        <f>_xlfn.XLOOKUP(D912,Dictonary!$D$2:$D$12,Dictonary!$E$2:$E$12)</f>
        <v>radio/television</v>
      </c>
      <c r="X912" s="1" t="str">
        <f>_xlfn.XLOOKUP(F912,Dictonary!$G$2:$G$6,Dictonary!$H$2:$H$6)</f>
        <v>Less 100</v>
      </c>
      <c r="Y912" s="1" t="str">
        <f>_xlfn.XLOOKUP(I912,Dictonary!$J$2:$J$6,Dictonary!$K$2:$K$6)</f>
        <v>female : divorced/separated/married</v>
      </c>
      <c r="Z912" s="1" t="str">
        <f>_xlfn.XLOOKUP(Q912,Dictonary!$M$2:$M$5,Dictonary!$N$2:$N$5)</f>
        <v>skilled employee / official</v>
      </c>
      <c r="AA912" s="1" t="str">
        <f>_xlfn.XLOOKUP(O912,Dictonary!$P$2:$P$4,Dictonary!$Q$2:$Q$4)</f>
        <v>own</v>
      </c>
    </row>
    <row r="913" spans="1:27" x14ac:dyDescent="0.3">
      <c r="A913" s="1" t="s">
        <v>35</v>
      </c>
      <c r="B913">
        <v>24</v>
      </c>
      <c r="C913" s="1" t="s">
        <v>22</v>
      </c>
      <c r="D913" s="1" t="s">
        <v>46</v>
      </c>
      <c r="E913">
        <v>4736</v>
      </c>
      <c r="F913" s="1" t="s">
        <v>37</v>
      </c>
      <c r="G913" s="1" t="s">
        <v>62</v>
      </c>
      <c r="H913">
        <v>2</v>
      </c>
      <c r="I913" s="1" t="s">
        <v>39</v>
      </c>
      <c r="J913" s="1" t="s">
        <v>27</v>
      </c>
      <c r="K913">
        <v>4</v>
      </c>
      <c r="L913" s="1" t="s">
        <v>55</v>
      </c>
      <c r="M913">
        <v>25</v>
      </c>
      <c r="N913" s="1" t="s">
        <v>66</v>
      </c>
      <c r="O913" s="1" t="s">
        <v>30</v>
      </c>
      <c r="P913">
        <v>1</v>
      </c>
      <c r="Q913" s="1" t="s">
        <v>45</v>
      </c>
      <c r="R913">
        <v>1</v>
      </c>
      <c r="S913" s="1" t="s">
        <v>40</v>
      </c>
      <c r="T913" s="1" t="s">
        <v>33</v>
      </c>
      <c r="U913" s="1" t="s">
        <v>41</v>
      </c>
      <c r="V913" s="1" t="str">
        <f>_xlfn.XLOOKUP(A913,Dictonary!$A$2:$A$5,Dictonary!$B$2:$B$5)</f>
        <v>Low balance</v>
      </c>
      <c r="W913" s="1" t="str">
        <f>_xlfn.XLOOKUP(D913,Dictonary!$D$2:$D$12,Dictonary!$E$2:$E$12)</f>
        <v>furniture/equipment</v>
      </c>
      <c r="X913" s="1" t="str">
        <f>_xlfn.XLOOKUP(F913,Dictonary!$G$2:$G$6,Dictonary!$H$2:$H$6)</f>
        <v>Less 100</v>
      </c>
      <c r="Y913" s="1" t="str">
        <f>_xlfn.XLOOKUP(I913,Dictonary!$J$2:$J$6,Dictonary!$K$2:$K$6)</f>
        <v>female : divorced/separated/married</v>
      </c>
      <c r="Z913" s="1" t="str">
        <f>_xlfn.XLOOKUP(Q913,Dictonary!$M$2:$M$5,Dictonary!$N$2:$N$5)</f>
        <v>unskilled - resident</v>
      </c>
      <c r="AA913" s="1" t="str">
        <f>_xlfn.XLOOKUP(O913,Dictonary!$P$2:$P$4,Dictonary!$Q$2:$Q$4)</f>
        <v>own</v>
      </c>
    </row>
    <row r="914" spans="1:27" x14ac:dyDescent="0.3">
      <c r="A914" s="1" t="s">
        <v>35</v>
      </c>
      <c r="B914">
        <v>30</v>
      </c>
      <c r="C914" s="1" t="s">
        <v>36</v>
      </c>
      <c r="D914" s="1" t="s">
        <v>23</v>
      </c>
      <c r="E914">
        <v>2991</v>
      </c>
      <c r="F914" s="1" t="s">
        <v>24</v>
      </c>
      <c r="G914" s="1" t="s">
        <v>25</v>
      </c>
      <c r="H914">
        <v>2</v>
      </c>
      <c r="I914" s="1" t="s">
        <v>39</v>
      </c>
      <c r="J914" s="1" t="s">
        <v>27</v>
      </c>
      <c r="K914">
        <v>4</v>
      </c>
      <c r="L914" s="1" t="s">
        <v>55</v>
      </c>
      <c r="M914">
        <v>25</v>
      </c>
      <c r="N914" s="1" t="s">
        <v>29</v>
      </c>
      <c r="O914" s="1" t="s">
        <v>30</v>
      </c>
      <c r="P914">
        <v>1</v>
      </c>
      <c r="Q914" s="1" t="s">
        <v>31</v>
      </c>
      <c r="R914">
        <v>1</v>
      </c>
      <c r="S914" s="1" t="s">
        <v>40</v>
      </c>
      <c r="T914" s="1" t="s">
        <v>33</v>
      </c>
      <c r="U914" s="1" t="s">
        <v>34</v>
      </c>
      <c r="V914" s="1" t="str">
        <f>_xlfn.XLOOKUP(A914,Dictonary!$A$2:$A$5,Dictonary!$B$2:$B$5)</f>
        <v>Low balance</v>
      </c>
      <c r="W914" s="1" t="str">
        <f>_xlfn.XLOOKUP(D914,Dictonary!$D$2:$D$12,Dictonary!$E$2:$E$12)</f>
        <v>radio/television</v>
      </c>
      <c r="X914" s="1" t="str">
        <f>_xlfn.XLOOKUP(F914,Dictonary!$G$2:$G$6,Dictonary!$H$2:$H$6)</f>
        <v>No information</v>
      </c>
      <c r="Y914" s="1" t="str">
        <f>_xlfn.XLOOKUP(I914,Dictonary!$J$2:$J$6,Dictonary!$K$2:$K$6)</f>
        <v>female : divorced/separated/married</v>
      </c>
      <c r="Z914" s="1" t="str">
        <f>_xlfn.XLOOKUP(Q914,Dictonary!$M$2:$M$5,Dictonary!$N$2:$N$5)</f>
        <v>skilled employee / official</v>
      </c>
      <c r="AA914" s="1" t="str">
        <f>_xlfn.XLOOKUP(O914,Dictonary!$P$2:$P$4,Dictonary!$Q$2:$Q$4)</f>
        <v>own</v>
      </c>
    </row>
    <row r="915" spans="1:27" x14ac:dyDescent="0.3">
      <c r="A915" s="1" t="s">
        <v>42</v>
      </c>
      <c r="B915">
        <v>11</v>
      </c>
      <c r="C915" s="1" t="s">
        <v>36</v>
      </c>
      <c r="D915" s="1" t="s">
        <v>63</v>
      </c>
      <c r="E915">
        <v>2142</v>
      </c>
      <c r="F915" s="1" t="s">
        <v>58</v>
      </c>
      <c r="G915" s="1" t="s">
        <v>25</v>
      </c>
      <c r="H915">
        <v>1</v>
      </c>
      <c r="I915" s="1" t="s">
        <v>59</v>
      </c>
      <c r="J915" s="1" t="s">
        <v>27</v>
      </c>
      <c r="K915">
        <v>2</v>
      </c>
      <c r="L915" s="1" t="s">
        <v>28</v>
      </c>
      <c r="M915">
        <v>28</v>
      </c>
      <c r="N915" s="1" t="s">
        <v>29</v>
      </c>
      <c r="O915" s="1" t="s">
        <v>30</v>
      </c>
      <c r="P915">
        <v>1</v>
      </c>
      <c r="Q915" s="1" t="s">
        <v>31</v>
      </c>
      <c r="R915">
        <v>1</v>
      </c>
      <c r="S915" s="1" t="s">
        <v>32</v>
      </c>
      <c r="T915" s="1" t="s">
        <v>33</v>
      </c>
      <c r="U915" s="1" t="s">
        <v>34</v>
      </c>
      <c r="V915" s="1" t="str">
        <f>_xlfn.XLOOKUP(A915,Dictonary!$A$2:$A$5,Dictonary!$B$2:$B$5)</f>
        <v>No information</v>
      </c>
      <c r="W915" s="1" t="str">
        <f>_xlfn.XLOOKUP(D915,Dictonary!$D$2:$D$12,Dictonary!$E$2:$E$12)</f>
        <v>business</v>
      </c>
      <c r="X915" s="1" t="str">
        <f>_xlfn.XLOOKUP(F915,Dictonary!$G$2:$G$6,Dictonary!$H$2:$H$6)</f>
        <v>More 1000</v>
      </c>
      <c r="Y915" s="1" t="str">
        <f>_xlfn.XLOOKUP(I915,Dictonary!$J$2:$J$6,Dictonary!$K$2:$K$6)</f>
        <v>male : divorced/separated</v>
      </c>
      <c r="Z915" s="1" t="str">
        <f>_xlfn.XLOOKUP(Q915,Dictonary!$M$2:$M$5,Dictonary!$N$2:$N$5)</f>
        <v>skilled employee / official</v>
      </c>
      <c r="AA915" s="1" t="str">
        <f>_xlfn.XLOOKUP(O915,Dictonary!$P$2:$P$4,Dictonary!$Q$2:$Q$4)</f>
        <v>own</v>
      </c>
    </row>
    <row r="916" spans="1:27" x14ac:dyDescent="0.3">
      <c r="A916" s="1" t="s">
        <v>21</v>
      </c>
      <c r="B916">
        <v>24</v>
      </c>
      <c r="C916" s="1" t="s">
        <v>69</v>
      </c>
      <c r="D916" s="1" t="s">
        <v>63</v>
      </c>
      <c r="E916">
        <v>3161</v>
      </c>
      <c r="F916" s="1" t="s">
        <v>37</v>
      </c>
      <c r="G916" s="1" t="s">
        <v>38</v>
      </c>
      <c r="H916">
        <v>4</v>
      </c>
      <c r="I916" s="1" t="s">
        <v>26</v>
      </c>
      <c r="J916" s="1" t="s">
        <v>27</v>
      </c>
      <c r="K916">
        <v>2</v>
      </c>
      <c r="L916" s="1" t="s">
        <v>48</v>
      </c>
      <c r="M916">
        <v>31</v>
      </c>
      <c r="N916" s="1" t="s">
        <v>29</v>
      </c>
      <c r="O916" s="1" t="s">
        <v>56</v>
      </c>
      <c r="P916">
        <v>1</v>
      </c>
      <c r="Q916" s="1" t="s">
        <v>31</v>
      </c>
      <c r="R916">
        <v>1</v>
      </c>
      <c r="S916" s="1" t="s">
        <v>32</v>
      </c>
      <c r="T916" s="1" t="s">
        <v>33</v>
      </c>
      <c r="U916" s="1" t="s">
        <v>41</v>
      </c>
      <c r="V916" s="1" t="str">
        <f>_xlfn.XLOOKUP(A916,Dictonary!$A$2:$A$5,Dictonary!$B$2:$B$5)</f>
        <v>Negative balance</v>
      </c>
      <c r="W916" s="1" t="str">
        <f>_xlfn.XLOOKUP(D916,Dictonary!$D$2:$D$12,Dictonary!$E$2:$E$12)</f>
        <v>business</v>
      </c>
      <c r="X916" s="1" t="str">
        <f>_xlfn.XLOOKUP(F916,Dictonary!$G$2:$G$6,Dictonary!$H$2:$H$6)</f>
        <v>Less 100</v>
      </c>
      <c r="Y916" s="1" t="str">
        <f>_xlfn.XLOOKUP(I916,Dictonary!$J$2:$J$6,Dictonary!$K$2:$K$6)</f>
        <v>male : single</v>
      </c>
      <c r="Z916" s="1" t="str">
        <f>_xlfn.XLOOKUP(Q916,Dictonary!$M$2:$M$5,Dictonary!$N$2:$N$5)</f>
        <v>skilled employee / official</v>
      </c>
      <c r="AA916" s="1" t="str">
        <f>_xlfn.XLOOKUP(O916,Dictonary!$P$2:$P$4,Dictonary!$Q$2:$Q$4)</f>
        <v>rent</v>
      </c>
    </row>
    <row r="917" spans="1:27" x14ac:dyDescent="0.3">
      <c r="A917" s="1" t="s">
        <v>35</v>
      </c>
      <c r="B917">
        <v>48</v>
      </c>
      <c r="C917" s="1" t="s">
        <v>65</v>
      </c>
      <c r="D917" s="1" t="s">
        <v>75</v>
      </c>
      <c r="E917">
        <v>18424</v>
      </c>
      <c r="F917" s="1" t="s">
        <v>37</v>
      </c>
      <c r="G917" s="1" t="s">
        <v>38</v>
      </c>
      <c r="H917">
        <v>1</v>
      </c>
      <c r="I917" s="1" t="s">
        <v>39</v>
      </c>
      <c r="J917" s="1" t="s">
        <v>27</v>
      </c>
      <c r="K917">
        <v>2</v>
      </c>
      <c r="L917" s="1" t="s">
        <v>48</v>
      </c>
      <c r="M917">
        <v>32</v>
      </c>
      <c r="N917" s="1" t="s">
        <v>66</v>
      </c>
      <c r="O917" s="1" t="s">
        <v>30</v>
      </c>
      <c r="P917">
        <v>1</v>
      </c>
      <c r="Q917" s="1" t="s">
        <v>57</v>
      </c>
      <c r="R917">
        <v>1</v>
      </c>
      <c r="S917" s="1" t="s">
        <v>32</v>
      </c>
      <c r="T917" s="1" t="s">
        <v>67</v>
      </c>
      <c r="U917" s="1" t="s">
        <v>41</v>
      </c>
      <c r="V917" s="1" t="str">
        <f>_xlfn.XLOOKUP(A917,Dictonary!$A$2:$A$5,Dictonary!$B$2:$B$5)</f>
        <v>Low balance</v>
      </c>
      <c r="W917" s="1" t="str">
        <f>_xlfn.XLOOKUP(D917,Dictonary!$D$2:$D$12,Dictonary!$E$2:$E$12)</f>
        <v>others</v>
      </c>
      <c r="X917" s="1" t="str">
        <f>_xlfn.XLOOKUP(F917,Dictonary!$G$2:$G$6,Dictonary!$H$2:$H$6)</f>
        <v>Less 100</v>
      </c>
      <c r="Y917" s="1" t="str">
        <f>_xlfn.XLOOKUP(I917,Dictonary!$J$2:$J$6,Dictonary!$K$2:$K$6)</f>
        <v>female : divorced/separated/married</v>
      </c>
      <c r="Z917" s="1" t="str">
        <f>_xlfn.XLOOKUP(Q917,Dictonary!$M$2:$M$5,Dictonary!$N$2:$N$5)</f>
        <v>management/ self-employed/ highly qualified employee/ officer</v>
      </c>
      <c r="AA917" s="1" t="str">
        <f>_xlfn.XLOOKUP(O917,Dictonary!$P$2:$P$4,Dictonary!$Q$2:$Q$4)</f>
        <v>own</v>
      </c>
    </row>
    <row r="918" spans="1:27" x14ac:dyDescent="0.3">
      <c r="A918" s="1" t="s">
        <v>42</v>
      </c>
      <c r="B918">
        <v>10</v>
      </c>
      <c r="C918" s="1" t="s">
        <v>36</v>
      </c>
      <c r="D918" s="1" t="s">
        <v>54</v>
      </c>
      <c r="E918">
        <v>2848</v>
      </c>
      <c r="F918" s="1" t="s">
        <v>64</v>
      </c>
      <c r="G918" s="1" t="s">
        <v>38</v>
      </c>
      <c r="H918">
        <v>1</v>
      </c>
      <c r="I918" s="1" t="s">
        <v>26</v>
      </c>
      <c r="J918" s="1" t="s">
        <v>71</v>
      </c>
      <c r="K918">
        <v>2</v>
      </c>
      <c r="L918" s="1" t="s">
        <v>28</v>
      </c>
      <c r="M918">
        <v>32</v>
      </c>
      <c r="N918" s="1" t="s">
        <v>29</v>
      </c>
      <c r="O918" s="1" t="s">
        <v>30</v>
      </c>
      <c r="P918">
        <v>1</v>
      </c>
      <c r="Q918" s="1" t="s">
        <v>31</v>
      </c>
      <c r="R918">
        <v>2</v>
      </c>
      <c r="S918" s="1" t="s">
        <v>40</v>
      </c>
      <c r="T918" s="1" t="s">
        <v>33</v>
      </c>
      <c r="U918" s="1" t="s">
        <v>34</v>
      </c>
      <c r="V918" s="1" t="str">
        <f>_xlfn.XLOOKUP(A918,Dictonary!$A$2:$A$5,Dictonary!$B$2:$B$5)</f>
        <v>No information</v>
      </c>
      <c r="W918" s="1" t="str">
        <f>_xlfn.XLOOKUP(D918,Dictonary!$D$2:$D$12,Dictonary!$E$2:$E$12)</f>
        <v>car (used)</v>
      </c>
      <c r="X918" s="1" t="str">
        <f>_xlfn.XLOOKUP(F918,Dictonary!$G$2:$G$6,Dictonary!$H$2:$H$6)</f>
        <v>Up to 500</v>
      </c>
      <c r="Y918" s="1" t="str">
        <f>_xlfn.XLOOKUP(I918,Dictonary!$J$2:$J$6,Dictonary!$K$2:$K$6)</f>
        <v>male : single</v>
      </c>
      <c r="Z918" s="1" t="str">
        <f>_xlfn.XLOOKUP(Q918,Dictonary!$M$2:$M$5,Dictonary!$N$2:$N$5)</f>
        <v>skilled employee / official</v>
      </c>
      <c r="AA918" s="1" t="str">
        <f>_xlfn.XLOOKUP(O918,Dictonary!$P$2:$P$4,Dictonary!$Q$2:$Q$4)</f>
        <v>own</v>
      </c>
    </row>
    <row r="919" spans="1:27" x14ac:dyDescent="0.3">
      <c r="A919" s="1" t="s">
        <v>21</v>
      </c>
      <c r="B919">
        <v>6</v>
      </c>
      <c r="C919" s="1" t="s">
        <v>36</v>
      </c>
      <c r="D919" s="1" t="s">
        <v>51</v>
      </c>
      <c r="E919">
        <v>14896</v>
      </c>
      <c r="F919" s="1" t="s">
        <v>37</v>
      </c>
      <c r="G919" s="1" t="s">
        <v>25</v>
      </c>
      <c r="H919">
        <v>1</v>
      </c>
      <c r="I919" s="1" t="s">
        <v>26</v>
      </c>
      <c r="J919" s="1" t="s">
        <v>27</v>
      </c>
      <c r="K919">
        <v>4</v>
      </c>
      <c r="L919" s="1" t="s">
        <v>52</v>
      </c>
      <c r="M919">
        <v>68</v>
      </c>
      <c r="N919" s="1" t="s">
        <v>66</v>
      </c>
      <c r="O919" s="1" t="s">
        <v>30</v>
      </c>
      <c r="P919">
        <v>1</v>
      </c>
      <c r="Q919" s="1" t="s">
        <v>57</v>
      </c>
      <c r="R919">
        <v>1</v>
      </c>
      <c r="S919" s="1" t="s">
        <v>32</v>
      </c>
      <c r="T919" s="1" t="s">
        <v>33</v>
      </c>
      <c r="U919" s="1" t="s">
        <v>41</v>
      </c>
      <c r="V919" s="1" t="str">
        <f>_xlfn.XLOOKUP(A919,Dictonary!$A$2:$A$5,Dictonary!$B$2:$B$5)</f>
        <v>Negative balance</v>
      </c>
      <c r="W919" s="1" t="str">
        <f>_xlfn.XLOOKUP(D919,Dictonary!$D$2:$D$12,Dictonary!$E$2:$E$12)</f>
        <v>car (new)</v>
      </c>
      <c r="X919" s="1" t="str">
        <f>_xlfn.XLOOKUP(F919,Dictonary!$G$2:$G$6,Dictonary!$H$2:$H$6)</f>
        <v>Less 100</v>
      </c>
      <c r="Y919" s="1" t="str">
        <f>_xlfn.XLOOKUP(I919,Dictonary!$J$2:$J$6,Dictonary!$K$2:$K$6)</f>
        <v>male : single</v>
      </c>
      <c r="Z919" s="1" t="str">
        <f>_xlfn.XLOOKUP(Q919,Dictonary!$M$2:$M$5,Dictonary!$N$2:$N$5)</f>
        <v>management/ self-employed/ highly qualified employee/ officer</v>
      </c>
      <c r="AA919" s="1" t="str">
        <f>_xlfn.XLOOKUP(O919,Dictonary!$P$2:$P$4,Dictonary!$Q$2:$Q$4)</f>
        <v>own</v>
      </c>
    </row>
    <row r="920" spans="1:27" x14ac:dyDescent="0.3">
      <c r="A920" s="1" t="s">
        <v>21</v>
      </c>
      <c r="B920">
        <v>24</v>
      </c>
      <c r="C920" s="1" t="s">
        <v>36</v>
      </c>
      <c r="D920" s="1" t="s">
        <v>46</v>
      </c>
      <c r="E920">
        <v>2359</v>
      </c>
      <c r="F920" s="1" t="s">
        <v>64</v>
      </c>
      <c r="G920" s="1" t="s">
        <v>60</v>
      </c>
      <c r="H920">
        <v>1</v>
      </c>
      <c r="I920" s="1" t="s">
        <v>59</v>
      </c>
      <c r="J920" s="1" t="s">
        <v>27</v>
      </c>
      <c r="K920">
        <v>1</v>
      </c>
      <c r="L920" s="1" t="s">
        <v>48</v>
      </c>
      <c r="M920">
        <v>33</v>
      </c>
      <c r="N920" s="1" t="s">
        <v>29</v>
      </c>
      <c r="O920" s="1" t="s">
        <v>30</v>
      </c>
      <c r="P920">
        <v>1</v>
      </c>
      <c r="Q920" s="1" t="s">
        <v>31</v>
      </c>
      <c r="R920">
        <v>1</v>
      </c>
      <c r="S920" s="1" t="s">
        <v>40</v>
      </c>
      <c r="T920" s="1" t="s">
        <v>33</v>
      </c>
      <c r="U920" s="1" t="s">
        <v>41</v>
      </c>
      <c r="V920" s="1" t="str">
        <f>_xlfn.XLOOKUP(A920,Dictonary!$A$2:$A$5,Dictonary!$B$2:$B$5)</f>
        <v>Negative balance</v>
      </c>
      <c r="W920" s="1" t="str">
        <f>_xlfn.XLOOKUP(D920,Dictonary!$D$2:$D$12,Dictonary!$E$2:$E$12)</f>
        <v>furniture/equipment</v>
      </c>
      <c r="X920" s="1" t="str">
        <f>_xlfn.XLOOKUP(F920,Dictonary!$G$2:$G$6,Dictonary!$H$2:$H$6)</f>
        <v>Up to 500</v>
      </c>
      <c r="Y920" s="1" t="str">
        <f>_xlfn.XLOOKUP(I920,Dictonary!$J$2:$J$6,Dictonary!$K$2:$K$6)</f>
        <v>male : divorced/separated</v>
      </c>
      <c r="Z920" s="1" t="str">
        <f>_xlfn.XLOOKUP(Q920,Dictonary!$M$2:$M$5,Dictonary!$N$2:$N$5)</f>
        <v>skilled employee / official</v>
      </c>
      <c r="AA920" s="1" t="str">
        <f>_xlfn.XLOOKUP(O920,Dictonary!$P$2:$P$4,Dictonary!$Q$2:$Q$4)</f>
        <v>own</v>
      </c>
    </row>
    <row r="921" spans="1:27" x14ac:dyDescent="0.3">
      <c r="A921" s="1" t="s">
        <v>21</v>
      </c>
      <c r="B921">
        <v>24</v>
      </c>
      <c r="C921" s="1" t="s">
        <v>36</v>
      </c>
      <c r="D921" s="1" t="s">
        <v>46</v>
      </c>
      <c r="E921">
        <v>3345</v>
      </c>
      <c r="F921" s="1" t="s">
        <v>37</v>
      </c>
      <c r="G921" s="1" t="s">
        <v>25</v>
      </c>
      <c r="H921">
        <v>4</v>
      </c>
      <c r="I921" s="1" t="s">
        <v>26</v>
      </c>
      <c r="J921" s="1" t="s">
        <v>27</v>
      </c>
      <c r="K921">
        <v>2</v>
      </c>
      <c r="L921" s="1" t="s">
        <v>48</v>
      </c>
      <c r="M921">
        <v>39</v>
      </c>
      <c r="N921" s="1" t="s">
        <v>29</v>
      </c>
      <c r="O921" s="1" t="s">
        <v>56</v>
      </c>
      <c r="P921">
        <v>1</v>
      </c>
      <c r="Q921" s="1" t="s">
        <v>57</v>
      </c>
      <c r="R921">
        <v>1</v>
      </c>
      <c r="S921" s="1" t="s">
        <v>32</v>
      </c>
      <c r="T921" s="1" t="s">
        <v>33</v>
      </c>
      <c r="U921" s="1" t="s">
        <v>41</v>
      </c>
      <c r="V921" s="1" t="str">
        <f>_xlfn.XLOOKUP(A921,Dictonary!$A$2:$A$5,Dictonary!$B$2:$B$5)</f>
        <v>Negative balance</v>
      </c>
      <c r="W921" s="1" t="str">
        <f>_xlfn.XLOOKUP(D921,Dictonary!$D$2:$D$12,Dictonary!$E$2:$E$12)</f>
        <v>furniture/equipment</v>
      </c>
      <c r="X921" s="1" t="str">
        <f>_xlfn.XLOOKUP(F921,Dictonary!$G$2:$G$6,Dictonary!$H$2:$H$6)</f>
        <v>Less 100</v>
      </c>
      <c r="Y921" s="1" t="str">
        <f>_xlfn.XLOOKUP(I921,Dictonary!$J$2:$J$6,Dictonary!$K$2:$K$6)</f>
        <v>male : single</v>
      </c>
      <c r="Z921" s="1" t="str">
        <f>_xlfn.XLOOKUP(Q921,Dictonary!$M$2:$M$5,Dictonary!$N$2:$N$5)</f>
        <v>management/ self-employed/ highly qualified employee/ officer</v>
      </c>
      <c r="AA921" s="1" t="str">
        <f>_xlfn.XLOOKUP(O921,Dictonary!$P$2:$P$4,Dictonary!$Q$2:$Q$4)</f>
        <v>rent</v>
      </c>
    </row>
    <row r="922" spans="1:27" x14ac:dyDescent="0.3">
      <c r="A922" s="1" t="s">
        <v>42</v>
      </c>
      <c r="B922">
        <v>18</v>
      </c>
      <c r="C922" s="1" t="s">
        <v>22</v>
      </c>
      <c r="D922" s="1" t="s">
        <v>46</v>
      </c>
      <c r="E922">
        <v>1817</v>
      </c>
      <c r="F922" s="1" t="s">
        <v>37</v>
      </c>
      <c r="G922" s="1" t="s">
        <v>38</v>
      </c>
      <c r="H922">
        <v>4</v>
      </c>
      <c r="I922" s="1" t="s">
        <v>39</v>
      </c>
      <c r="J922" s="1" t="s">
        <v>27</v>
      </c>
      <c r="K922">
        <v>2</v>
      </c>
      <c r="L922" s="1" t="s">
        <v>52</v>
      </c>
      <c r="M922">
        <v>28</v>
      </c>
      <c r="N922" s="1" t="s">
        <v>29</v>
      </c>
      <c r="O922" s="1" t="s">
        <v>30</v>
      </c>
      <c r="P922">
        <v>2</v>
      </c>
      <c r="Q922" s="1" t="s">
        <v>31</v>
      </c>
      <c r="R922">
        <v>1</v>
      </c>
      <c r="S922" s="1" t="s">
        <v>40</v>
      </c>
      <c r="T922" s="1" t="s">
        <v>33</v>
      </c>
      <c r="U922" s="1" t="s">
        <v>34</v>
      </c>
      <c r="V922" s="1" t="str">
        <f>_xlfn.XLOOKUP(A922,Dictonary!$A$2:$A$5,Dictonary!$B$2:$B$5)</f>
        <v>No information</v>
      </c>
      <c r="W922" s="1" t="str">
        <f>_xlfn.XLOOKUP(D922,Dictonary!$D$2:$D$12,Dictonary!$E$2:$E$12)</f>
        <v>furniture/equipment</v>
      </c>
      <c r="X922" s="1" t="str">
        <f>_xlfn.XLOOKUP(F922,Dictonary!$G$2:$G$6,Dictonary!$H$2:$H$6)</f>
        <v>Less 100</v>
      </c>
      <c r="Y922" s="1" t="str">
        <f>_xlfn.XLOOKUP(I922,Dictonary!$J$2:$J$6,Dictonary!$K$2:$K$6)</f>
        <v>female : divorced/separated/married</v>
      </c>
      <c r="Z922" s="1" t="str">
        <f>_xlfn.XLOOKUP(Q922,Dictonary!$M$2:$M$5,Dictonary!$N$2:$N$5)</f>
        <v>skilled employee / official</v>
      </c>
      <c r="AA922" s="1" t="str">
        <f>_xlfn.XLOOKUP(O922,Dictonary!$P$2:$P$4,Dictonary!$Q$2:$Q$4)</f>
        <v>own</v>
      </c>
    </row>
    <row r="923" spans="1:27" x14ac:dyDescent="0.3">
      <c r="A923" s="1" t="s">
        <v>42</v>
      </c>
      <c r="B923">
        <v>48</v>
      </c>
      <c r="C923" s="1" t="s">
        <v>50</v>
      </c>
      <c r="D923" s="1" t="s">
        <v>23</v>
      </c>
      <c r="E923">
        <v>12749</v>
      </c>
      <c r="F923" s="1" t="s">
        <v>53</v>
      </c>
      <c r="G923" s="1" t="s">
        <v>44</v>
      </c>
      <c r="H923">
        <v>4</v>
      </c>
      <c r="I923" s="1" t="s">
        <v>26</v>
      </c>
      <c r="J923" s="1" t="s">
        <v>27</v>
      </c>
      <c r="K923">
        <v>1</v>
      </c>
      <c r="L923" s="1" t="s">
        <v>55</v>
      </c>
      <c r="M923">
        <v>37</v>
      </c>
      <c r="N923" s="1" t="s">
        <v>29</v>
      </c>
      <c r="O923" s="1" t="s">
        <v>30</v>
      </c>
      <c r="P923">
        <v>1</v>
      </c>
      <c r="Q923" s="1" t="s">
        <v>57</v>
      </c>
      <c r="R923">
        <v>1</v>
      </c>
      <c r="S923" s="1" t="s">
        <v>32</v>
      </c>
      <c r="T923" s="1" t="s">
        <v>33</v>
      </c>
      <c r="U923" s="1" t="s">
        <v>34</v>
      </c>
      <c r="V923" s="1" t="str">
        <f>_xlfn.XLOOKUP(A923,Dictonary!$A$2:$A$5,Dictonary!$B$2:$B$5)</f>
        <v>No information</v>
      </c>
      <c r="W923" s="1" t="str">
        <f>_xlfn.XLOOKUP(D923,Dictonary!$D$2:$D$12,Dictonary!$E$2:$E$12)</f>
        <v>radio/television</v>
      </c>
      <c r="X923" s="1" t="str">
        <f>_xlfn.XLOOKUP(F923,Dictonary!$G$2:$G$6,Dictonary!$H$2:$H$6)</f>
        <v>Up to 1000</v>
      </c>
      <c r="Y923" s="1" t="str">
        <f>_xlfn.XLOOKUP(I923,Dictonary!$J$2:$J$6,Dictonary!$K$2:$K$6)</f>
        <v>male : single</v>
      </c>
      <c r="Z923" s="1" t="str">
        <f>_xlfn.XLOOKUP(Q923,Dictonary!$M$2:$M$5,Dictonary!$N$2:$N$5)</f>
        <v>management/ self-employed/ highly qualified employee/ officer</v>
      </c>
      <c r="AA923" s="1" t="str">
        <f>_xlfn.XLOOKUP(O923,Dictonary!$P$2:$P$4,Dictonary!$Q$2:$Q$4)</f>
        <v>own</v>
      </c>
    </row>
    <row r="924" spans="1:27" x14ac:dyDescent="0.3">
      <c r="A924" s="1" t="s">
        <v>21</v>
      </c>
      <c r="B924">
        <v>9</v>
      </c>
      <c r="C924" s="1" t="s">
        <v>36</v>
      </c>
      <c r="D924" s="1" t="s">
        <v>23</v>
      </c>
      <c r="E924">
        <v>1366</v>
      </c>
      <c r="F924" s="1" t="s">
        <v>37</v>
      </c>
      <c r="G924" s="1" t="s">
        <v>62</v>
      </c>
      <c r="H924">
        <v>3</v>
      </c>
      <c r="I924" s="1" t="s">
        <v>39</v>
      </c>
      <c r="J924" s="1" t="s">
        <v>27</v>
      </c>
      <c r="K924">
        <v>4</v>
      </c>
      <c r="L924" s="1" t="s">
        <v>48</v>
      </c>
      <c r="M924">
        <v>22</v>
      </c>
      <c r="N924" s="1" t="s">
        <v>29</v>
      </c>
      <c r="O924" s="1" t="s">
        <v>56</v>
      </c>
      <c r="P924">
        <v>1</v>
      </c>
      <c r="Q924" s="1" t="s">
        <v>31</v>
      </c>
      <c r="R924">
        <v>1</v>
      </c>
      <c r="S924" s="1" t="s">
        <v>40</v>
      </c>
      <c r="T924" s="1" t="s">
        <v>33</v>
      </c>
      <c r="U924" s="1" t="s">
        <v>41</v>
      </c>
      <c r="V924" s="1" t="str">
        <f>_xlfn.XLOOKUP(A924,Dictonary!$A$2:$A$5,Dictonary!$B$2:$B$5)</f>
        <v>Negative balance</v>
      </c>
      <c r="W924" s="1" t="str">
        <f>_xlfn.XLOOKUP(D924,Dictonary!$D$2:$D$12,Dictonary!$E$2:$E$12)</f>
        <v>radio/television</v>
      </c>
      <c r="X924" s="1" t="str">
        <f>_xlfn.XLOOKUP(F924,Dictonary!$G$2:$G$6,Dictonary!$H$2:$H$6)</f>
        <v>Less 100</v>
      </c>
      <c r="Y924" s="1" t="str">
        <f>_xlfn.XLOOKUP(I924,Dictonary!$J$2:$J$6,Dictonary!$K$2:$K$6)</f>
        <v>female : divorced/separated/married</v>
      </c>
      <c r="Z924" s="1" t="str">
        <f>_xlfn.XLOOKUP(Q924,Dictonary!$M$2:$M$5,Dictonary!$N$2:$N$5)</f>
        <v>skilled employee / official</v>
      </c>
      <c r="AA924" s="1" t="str">
        <f>_xlfn.XLOOKUP(O924,Dictonary!$P$2:$P$4,Dictonary!$Q$2:$Q$4)</f>
        <v>rent</v>
      </c>
    </row>
    <row r="925" spans="1:27" x14ac:dyDescent="0.3">
      <c r="A925" s="1" t="s">
        <v>35</v>
      </c>
      <c r="B925">
        <v>12</v>
      </c>
      <c r="C925" s="1" t="s">
        <v>36</v>
      </c>
      <c r="D925" s="1" t="s">
        <v>51</v>
      </c>
      <c r="E925">
        <v>2002</v>
      </c>
      <c r="F925" s="1" t="s">
        <v>37</v>
      </c>
      <c r="G925" s="1" t="s">
        <v>44</v>
      </c>
      <c r="H925">
        <v>3</v>
      </c>
      <c r="I925" s="1" t="s">
        <v>26</v>
      </c>
      <c r="J925" s="1" t="s">
        <v>27</v>
      </c>
      <c r="K925">
        <v>4</v>
      </c>
      <c r="L925" s="1" t="s">
        <v>48</v>
      </c>
      <c r="M925">
        <v>30</v>
      </c>
      <c r="N925" s="1" t="s">
        <v>29</v>
      </c>
      <c r="O925" s="1" t="s">
        <v>56</v>
      </c>
      <c r="P925">
        <v>1</v>
      </c>
      <c r="Q925" s="1" t="s">
        <v>31</v>
      </c>
      <c r="R925">
        <v>2</v>
      </c>
      <c r="S925" s="1" t="s">
        <v>32</v>
      </c>
      <c r="T925" s="1" t="s">
        <v>33</v>
      </c>
      <c r="U925" s="1" t="s">
        <v>34</v>
      </c>
      <c r="V925" s="1" t="str">
        <f>_xlfn.XLOOKUP(A925,Dictonary!$A$2:$A$5,Dictonary!$B$2:$B$5)</f>
        <v>Low balance</v>
      </c>
      <c r="W925" s="1" t="str">
        <f>_xlfn.XLOOKUP(D925,Dictonary!$D$2:$D$12,Dictonary!$E$2:$E$12)</f>
        <v>car (new)</v>
      </c>
      <c r="X925" s="1" t="str">
        <f>_xlfn.XLOOKUP(F925,Dictonary!$G$2:$G$6,Dictonary!$H$2:$H$6)</f>
        <v>Less 100</v>
      </c>
      <c r="Y925" s="1" t="str">
        <f>_xlfn.XLOOKUP(I925,Dictonary!$J$2:$J$6,Dictonary!$K$2:$K$6)</f>
        <v>male : single</v>
      </c>
      <c r="Z925" s="1" t="str">
        <f>_xlfn.XLOOKUP(Q925,Dictonary!$M$2:$M$5,Dictonary!$N$2:$N$5)</f>
        <v>skilled employee / official</v>
      </c>
      <c r="AA925" s="1" t="str">
        <f>_xlfn.XLOOKUP(O925,Dictonary!$P$2:$P$4,Dictonary!$Q$2:$Q$4)</f>
        <v>rent</v>
      </c>
    </row>
    <row r="926" spans="1:27" x14ac:dyDescent="0.3">
      <c r="A926" s="1" t="s">
        <v>21</v>
      </c>
      <c r="B926">
        <v>24</v>
      </c>
      <c r="C926" s="1" t="s">
        <v>69</v>
      </c>
      <c r="D926" s="1" t="s">
        <v>46</v>
      </c>
      <c r="E926">
        <v>6872</v>
      </c>
      <c r="F926" s="1" t="s">
        <v>37</v>
      </c>
      <c r="G926" s="1" t="s">
        <v>62</v>
      </c>
      <c r="H926">
        <v>2</v>
      </c>
      <c r="I926" s="1" t="s">
        <v>59</v>
      </c>
      <c r="J926" s="1" t="s">
        <v>27</v>
      </c>
      <c r="K926">
        <v>1</v>
      </c>
      <c r="L926" s="1" t="s">
        <v>48</v>
      </c>
      <c r="M926">
        <v>55</v>
      </c>
      <c r="N926" s="1" t="s">
        <v>66</v>
      </c>
      <c r="O926" s="1" t="s">
        <v>30</v>
      </c>
      <c r="P926">
        <v>1</v>
      </c>
      <c r="Q926" s="1" t="s">
        <v>31</v>
      </c>
      <c r="R926">
        <v>1</v>
      </c>
      <c r="S926" s="1" t="s">
        <v>32</v>
      </c>
      <c r="T926" s="1" t="s">
        <v>33</v>
      </c>
      <c r="U926" s="1" t="s">
        <v>41</v>
      </c>
      <c r="V926" s="1" t="str">
        <f>_xlfn.XLOOKUP(A926,Dictonary!$A$2:$A$5,Dictonary!$B$2:$B$5)</f>
        <v>Negative balance</v>
      </c>
      <c r="W926" s="1" t="str">
        <f>_xlfn.XLOOKUP(D926,Dictonary!$D$2:$D$12,Dictonary!$E$2:$E$12)</f>
        <v>furniture/equipment</v>
      </c>
      <c r="X926" s="1" t="str">
        <f>_xlfn.XLOOKUP(F926,Dictonary!$G$2:$G$6,Dictonary!$H$2:$H$6)</f>
        <v>Less 100</v>
      </c>
      <c r="Y926" s="1" t="str">
        <f>_xlfn.XLOOKUP(I926,Dictonary!$J$2:$J$6,Dictonary!$K$2:$K$6)</f>
        <v>male : divorced/separated</v>
      </c>
      <c r="Z926" s="1" t="str">
        <f>_xlfn.XLOOKUP(Q926,Dictonary!$M$2:$M$5,Dictonary!$N$2:$N$5)</f>
        <v>skilled employee / official</v>
      </c>
      <c r="AA926" s="1" t="str">
        <f>_xlfn.XLOOKUP(O926,Dictonary!$P$2:$P$4,Dictonary!$Q$2:$Q$4)</f>
        <v>own</v>
      </c>
    </row>
    <row r="927" spans="1:27" x14ac:dyDescent="0.3">
      <c r="A927" s="1" t="s">
        <v>21</v>
      </c>
      <c r="B927">
        <v>12</v>
      </c>
      <c r="C927" s="1" t="s">
        <v>69</v>
      </c>
      <c r="D927" s="1" t="s">
        <v>51</v>
      </c>
      <c r="E927">
        <v>697</v>
      </c>
      <c r="F927" s="1" t="s">
        <v>37</v>
      </c>
      <c r="G927" s="1" t="s">
        <v>62</v>
      </c>
      <c r="H927">
        <v>4</v>
      </c>
      <c r="I927" s="1" t="s">
        <v>26</v>
      </c>
      <c r="J927" s="1" t="s">
        <v>27</v>
      </c>
      <c r="K927">
        <v>2</v>
      </c>
      <c r="L927" s="1" t="s">
        <v>55</v>
      </c>
      <c r="M927">
        <v>46</v>
      </c>
      <c r="N927" s="1" t="s">
        <v>66</v>
      </c>
      <c r="O927" s="1" t="s">
        <v>30</v>
      </c>
      <c r="P927">
        <v>2</v>
      </c>
      <c r="Q927" s="1" t="s">
        <v>31</v>
      </c>
      <c r="R927">
        <v>1</v>
      </c>
      <c r="S927" s="1" t="s">
        <v>32</v>
      </c>
      <c r="T927" s="1" t="s">
        <v>33</v>
      </c>
      <c r="U927" s="1" t="s">
        <v>41</v>
      </c>
      <c r="V927" s="1" t="str">
        <f>_xlfn.XLOOKUP(A927,Dictonary!$A$2:$A$5,Dictonary!$B$2:$B$5)</f>
        <v>Negative balance</v>
      </c>
      <c r="W927" s="1" t="str">
        <f>_xlfn.XLOOKUP(D927,Dictonary!$D$2:$D$12,Dictonary!$E$2:$E$12)</f>
        <v>car (new)</v>
      </c>
      <c r="X927" s="1" t="str">
        <f>_xlfn.XLOOKUP(F927,Dictonary!$G$2:$G$6,Dictonary!$H$2:$H$6)</f>
        <v>Less 100</v>
      </c>
      <c r="Y927" s="1" t="str">
        <f>_xlfn.XLOOKUP(I927,Dictonary!$J$2:$J$6,Dictonary!$K$2:$K$6)</f>
        <v>male : single</v>
      </c>
      <c r="Z927" s="1" t="str">
        <f>_xlfn.XLOOKUP(Q927,Dictonary!$M$2:$M$5,Dictonary!$N$2:$N$5)</f>
        <v>skilled employee / official</v>
      </c>
      <c r="AA927" s="1" t="str">
        <f>_xlfn.XLOOKUP(O927,Dictonary!$P$2:$P$4,Dictonary!$Q$2:$Q$4)</f>
        <v>own</v>
      </c>
    </row>
    <row r="928" spans="1:27" x14ac:dyDescent="0.3">
      <c r="A928" s="1" t="s">
        <v>21</v>
      </c>
      <c r="B928">
        <v>18</v>
      </c>
      <c r="C928" s="1" t="s">
        <v>22</v>
      </c>
      <c r="D928" s="1" t="s">
        <v>46</v>
      </c>
      <c r="E928">
        <v>1049</v>
      </c>
      <c r="F928" s="1" t="s">
        <v>37</v>
      </c>
      <c r="G928" s="1" t="s">
        <v>62</v>
      </c>
      <c r="H928">
        <v>4</v>
      </c>
      <c r="I928" s="1" t="s">
        <v>39</v>
      </c>
      <c r="J928" s="1" t="s">
        <v>27</v>
      </c>
      <c r="K928">
        <v>4</v>
      </c>
      <c r="L928" s="1" t="s">
        <v>48</v>
      </c>
      <c r="M928">
        <v>21</v>
      </c>
      <c r="N928" s="1" t="s">
        <v>29</v>
      </c>
      <c r="O928" s="1" t="s">
        <v>56</v>
      </c>
      <c r="P928">
        <v>1</v>
      </c>
      <c r="Q928" s="1" t="s">
        <v>31</v>
      </c>
      <c r="R928">
        <v>1</v>
      </c>
      <c r="S928" s="1" t="s">
        <v>40</v>
      </c>
      <c r="T928" s="1" t="s">
        <v>33</v>
      </c>
      <c r="U928" s="1" t="s">
        <v>34</v>
      </c>
      <c r="V928" s="1" t="str">
        <f>_xlfn.XLOOKUP(A928,Dictonary!$A$2:$A$5,Dictonary!$B$2:$B$5)</f>
        <v>Negative balance</v>
      </c>
      <c r="W928" s="1" t="str">
        <f>_xlfn.XLOOKUP(D928,Dictonary!$D$2:$D$12,Dictonary!$E$2:$E$12)</f>
        <v>furniture/equipment</v>
      </c>
      <c r="X928" s="1" t="str">
        <f>_xlfn.XLOOKUP(F928,Dictonary!$G$2:$G$6,Dictonary!$H$2:$H$6)</f>
        <v>Less 100</v>
      </c>
      <c r="Y928" s="1" t="str">
        <f>_xlfn.XLOOKUP(I928,Dictonary!$J$2:$J$6,Dictonary!$K$2:$K$6)</f>
        <v>female : divorced/separated/married</v>
      </c>
      <c r="Z928" s="1" t="str">
        <f>_xlfn.XLOOKUP(Q928,Dictonary!$M$2:$M$5,Dictonary!$N$2:$N$5)</f>
        <v>skilled employee / official</v>
      </c>
      <c r="AA928" s="1" t="str">
        <f>_xlfn.XLOOKUP(O928,Dictonary!$P$2:$P$4,Dictonary!$Q$2:$Q$4)</f>
        <v>rent</v>
      </c>
    </row>
    <row r="929" spans="1:27" x14ac:dyDescent="0.3">
      <c r="A929" s="1" t="s">
        <v>21</v>
      </c>
      <c r="B929">
        <v>48</v>
      </c>
      <c r="C929" s="1" t="s">
        <v>36</v>
      </c>
      <c r="D929" s="1" t="s">
        <v>54</v>
      </c>
      <c r="E929">
        <v>10297</v>
      </c>
      <c r="F929" s="1" t="s">
        <v>37</v>
      </c>
      <c r="G929" s="1" t="s">
        <v>44</v>
      </c>
      <c r="H929">
        <v>4</v>
      </c>
      <c r="I929" s="1" t="s">
        <v>26</v>
      </c>
      <c r="J929" s="1" t="s">
        <v>27</v>
      </c>
      <c r="K929">
        <v>4</v>
      </c>
      <c r="L929" s="1" t="s">
        <v>52</v>
      </c>
      <c r="M929">
        <v>39</v>
      </c>
      <c r="N929" s="1" t="s">
        <v>70</v>
      </c>
      <c r="O929" s="1" t="s">
        <v>49</v>
      </c>
      <c r="P929">
        <v>3</v>
      </c>
      <c r="Q929" s="1" t="s">
        <v>31</v>
      </c>
      <c r="R929">
        <v>2</v>
      </c>
      <c r="S929" s="1" t="s">
        <v>32</v>
      </c>
      <c r="T929" s="1" t="s">
        <v>33</v>
      </c>
      <c r="U929" s="1" t="s">
        <v>41</v>
      </c>
      <c r="V929" s="1" t="str">
        <f>_xlfn.XLOOKUP(A929,Dictonary!$A$2:$A$5,Dictonary!$B$2:$B$5)</f>
        <v>Negative balance</v>
      </c>
      <c r="W929" s="1" t="str">
        <f>_xlfn.XLOOKUP(D929,Dictonary!$D$2:$D$12,Dictonary!$E$2:$E$12)</f>
        <v>car (used)</v>
      </c>
      <c r="X929" s="1" t="str">
        <f>_xlfn.XLOOKUP(F929,Dictonary!$G$2:$G$6,Dictonary!$H$2:$H$6)</f>
        <v>Less 100</v>
      </c>
      <c r="Y929" s="1" t="str">
        <f>_xlfn.XLOOKUP(I929,Dictonary!$J$2:$J$6,Dictonary!$K$2:$K$6)</f>
        <v>male : single</v>
      </c>
      <c r="Z929" s="1" t="str">
        <f>_xlfn.XLOOKUP(Q929,Dictonary!$M$2:$M$5,Dictonary!$N$2:$N$5)</f>
        <v>skilled employee / official</v>
      </c>
      <c r="AA929" s="1" t="str">
        <f>_xlfn.XLOOKUP(O929,Dictonary!$P$2:$P$4,Dictonary!$Q$2:$Q$4)</f>
        <v>for free</v>
      </c>
    </row>
    <row r="930" spans="1:27" x14ac:dyDescent="0.3">
      <c r="A930" s="1" t="s">
        <v>42</v>
      </c>
      <c r="B930">
        <v>30</v>
      </c>
      <c r="C930" s="1" t="s">
        <v>36</v>
      </c>
      <c r="D930" s="1" t="s">
        <v>23</v>
      </c>
      <c r="E930">
        <v>1867</v>
      </c>
      <c r="F930" s="1" t="s">
        <v>24</v>
      </c>
      <c r="G930" s="1" t="s">
        <v>25</v>
      </c>
      <c r="H930">
        <v>4</v>
      </c>
      <c r="I930" s="1" t="s">
        <v>26</v>
      </c>
      <c r="J930" s="1" t="s">
        <v>27</v>
      </c>
      <c r="K930">
        <v>4</v>
      </c>
      <c r="L930" s="1" t="s">
        <v>55</v>
      </c>
      <c r="M930">
        <v>58</v>
      </c>
      <c r="N930" s="1" t="s">
        <v>29</v>
      </c>
      <c r="O930" s="1" t="s">
        <v>30</v>
      </c>
      <c r="P930">
        <v>1</v>
      </c>
      <c r="Q930" s="1" t="s">
        <v>31</v>
      </c>
      <c r="R930">
        <v>1</v>
      </c>
      <c r="S930" s="1" t="s">
        <v>32</v>
      </c>
      <c r="T930" s="1" t="s">
        <v>33</v>
      </c>
      <c r="U930" s="1" t="s">
        <v>34</v>
      </c>
      <c r="V930" s="1" t="str">
        <f>_xlfn.XLOOKUP(A930,Dictonary!$A$2:$A$5,Dictonary!$B$2:$B$5)</f>
        <v>No information</v>
      </c>
      <c r="W930" s="1" t="str">
        <f>_xlfn.XLOOKUP(D930,Dictonary!$D$2:$D$12,Dictonary!$E$2:$E$12)</f>
        <v>radio/television</v>
      </c>
      <c r="X930" s="1" t="str">
        <f>_xlfn.XLOOKUP(F930,Dictonary!$G$2:$G$6,Dictonary!$H$2:$H$6)</f>
        <v>No information</v>
      </c>
      <c r="Y930" s="1" t="str">
        <f>_xlfn.XLOOKUP(I930,Dictonary!$J$2:$J$6,Dictonary!$K$2:$K$6)</f>
        <v>male : single</v>
      </c>
      <c r="Z930" s="1" t="str">
        <f>_xlfn.XLOOKUP(Q930,Dictonary!$M$2:$M$5,Dictonary!$N$2:$N$5)</f>
        <v>skilled employee / official</v>
      </c>
      <c r="AA930" s="1" t="str">
        <f>_xlfn.XLOOKUP(O930,Dictonary!$P$2:$P$4,Dictonary!$Q$2:$Q$4)</f>
        <v>own</v>
      </c>
    </row>
    <row r="931" spans="1:27" x14ac:dyDescent="0.3">
      <c r="A931" s="1" t="s">
        <v>21</v>
      </c>
      <c r="B931">
        <v>12</v>
      </c>
      <c r="C931" s="1" t="s">
        <v>50</v>
      </c>
      <c r="D931" s="1" t="s">
        <v>51</v>
      </c>
      <c r="E931">
        <v>1344</v>
      </c>
      <c r="F931" s="1" t="s">
        <v>37</v>
      </c>
      <c r="G931" s="1" t="s">
        <v>38</v>
      </c>
      <c r="H931">
        <v>4</v>
      </c>
      <c r="I931" s="1" t="s">
        <v>26</v>
      </c>
      <c r="J931" s="1" t="s">
        <v>27</v>
      </c>
      <c r="K931">
        <v>2</v>
      </c>
      <c r="L931" s="1" t="s">
        <v>28</v>
      </c>
      <c r="M931">
        <v>43</v>
      </c>
      <c r="N931" s="1" t="s">
        <v>29</v>
      </c>
      <c r="O931" s="1" t="s">
        <v>30</v>
      </c>
      <c r="P931">
        <v>2</v>
      </c>
      <c r="Q931" s="1" t="s">
        <v>45</v>
      </c>
      <c r="R931">
        <v>2</v>
      </c>
      <c r="S931" s="1" t="s">
        <v>40</v>
      </c>
      <c r="T931" s="1" t="s">
        <v>33</v>
      </c>
      <c r="U931" s="1" t="s">
        <v>34</v>
      </c>
      <c r="V931" s="1" t="str">
        <f>_xlfn.XLOOKUP(A931,Dictonary!$A$2:$A$5,Dictonary!$B$2:$B$5)</f>
        <v>Negative balance</v>
      </c>
      <c r="W931" s="1" t="str">
        <f>_xlfn.XLOOKUP(D931,Dictonary!$D$2:$D$12,Dictonary!$E$2:$E$12)</f>
        <v>car (new)</v>
      </c>
      <c r="X931" s="1" t="str">
        <f>_xlfn.XLOOKUP(F931,Dictonary!$G$2:$G$6,Dictonary!$H$2:$H$6)</f>
        <v>Less 100</v>
      </c>
      <c r="Y931" s="1" t="str">
        <f>_xlfn.XLOOKUP(I931,Dictonary!$J$2:$J$6,Dictonary!$K$2:$K$6)</f>
        <v>male : single</v>
      </c>
      <c r="Z931" s="1" t="str">
        <f>_xlfn.XLOOKUP(Q931,Dictonary!$M$2:$M$5,Dictonary!$N$2:$N$5)</f>
        <v>unskilled - resident</v>
      </c>
      <c r="AA931" s="1" t="str">
        <f>_xlfn.XLOOKUP(O931,Dictonary!$P$2:$P$4,Dictonary!$Q$2:$Q$4)</f>
        <v>own</v>
      </c>
    </row>
    <row r="932" spans="1:27" x14ac:dyDescent="0.3">
      <c r="A932" s="1" t="s">
        <v>21</v>
      </c>
      <c r="B932">
        <v>24</v>
      </c>
      <c r="C932" s="1" t="s">
        <v>36</v>
      </c>
      <c r="D932" s="1" t="s">
        <v>46</v>
      </c>
      <c r="E932">
        <v>1747</v>
      </c>
      <c r="F932" s="1" t="s">
        <v>37</v>
      </c>
      <c r="G932" s="1" t="s">
        <v>62</v>
      </c>
      <c r="H932">
        <v>4</v>
      </c>
      <c r="I932" s="1" t="s">
        <v>26</v>
      </c>
      <c r="J932" s="1" t="s">
        <v>71</v>
      </c>
      <c r="K932">
        <v>1</v>
      </c>
      <c r="L932" s="1" t="s">
        <v>48</v>
      </c>
      <c r="M932">
        <v>24</v>
      </c>
      <c r="N932" s="1" t="s">
        <v>29</v>
      </c>
      <c r="O932" s="1" t="s">
        <v>30</v>
      </c>
      <c r="P932">
        <v>1</v>
      </c>
      <c r="Q932" s="1" t="s">
        <v>45</v>
      </c>
      <c r="R932">
        <v>1</v>
      </c>
      <c r="S932" s="1" t="s">
        <v>40</v>
      </c>
      <c r="T932" s="1" t="s">
        <v>67</v>
      </c>
      <c r="U932" s="1" t="s">
        <v>34</v>
      </c>
      <c r="V932" s="1" t="str">
        <f>_xlfn.XLOOKUP(A932,Dictonary!$A$2:$A$5,Dictonary!$B$2:$B$5)</f>
        <v>Negative balance</v>
      </c>
      <c r="W932" s="1" t="str">
        <f>_xlfn.XLOOKUP(D932,Dictonary!$D$2:$D$12,Dictonary!$E$2:$E$12)</f>
        <v>furniture/equipment</v>
      </c>
      <c r="X932" s="1" t="str">
        <f>_xlfn.XLOOKUP(F932,Dictonary!$G$2:$G$6,Dictonary!$H$2:$H$6)</f>
        <v>Less 100</v>
      </c>
      <c r="Y932" s="1" t="str">
        <f>_xlfn.XLOOKUP(I932,Dictonary!$J$2:$J$6,Dictonary!$K$2:$K$6)</f>
        <v>male : single</v>
      </c>
      <c r="Z932" s="1" t="str">
        <f>_xlfn.XLOOKUP(Q932,Dictonary!$M$2:$M$5,Dictonary!$N$2:$N$5)</f>
        <v>unskilled - resident</v>
      </c>
      <c r="AA932" s="1" t="str">
        <f>_xlfn.XLOOKUP(O932,Dictonary!$P$2:$P$4,Dictonary!$Q$2:$Q$4)</f>
        <v>own</v>
      </c>
    </row>
    <row r="933" spans="1:27" x14ac:dyDescent="0.3">
      <c r="A933" s="1" t="s">
        <v>35</v>
      </c>
      <c r="B933">
        <v>9</v>
      </c>
      <c r="C933" s="1" t="s">
        <v>36</v>
      </c>
      <c r="D933" s="1" t="s">
        <v>23</v>
      </c>
      <c r="E933">
        <v>1670</v>
      </c>
      <c r="F933" s="1" t="s">
        <v>37</v>
      </c>
      <c r="G933" s="1" t="s">
        <v>62</v>
      </c>
      <c r="H933">
        <v>4</v>
      </c>
      <c r="I933" s="1" t="s">
        <v>39</v>
      </c>
      <c r="J933" s="1" t="s">
        <v>27</v>
      </c>
      <c r="K933">
        <v>2</v>
      </c>
      <c r="L933" s="1" t="s">
        <v>55</v>
      </c>
      <c r="M933">
        <v>22</v>
      </c>
      <c r="N933" s="1" t="s">
        <v>29</v>
      </c>
      <c r="O933" s="1" t="s">
        <v>30</v>
      </c>
      <c r="P933">
        <v>1</v>
      </c>
      <c r="Q933" s="1" t="s">
        <v>31</v>
      </c>
      <c r="R933">
        <v>1</v>
      </c>
      <c r="S933" s="1" t="s">
        <v>32</v>
      </c>
      <c r="T933" s="1" t="s">
        <v>33</v>
      </c>
      <c r="U933" s="1" t="s">
        <v>41</v>
      </c>
      <c r="V933" s="1" t="str">
        <f>_xlfn.XLOOKUP(A933,Dictonary!$A$2:$A$5,Dictonary!$B$2:$B$5)</f>
        <v>Low balance</v>
      </c>
      <c r="W933" s="1" t="str">
        <f>_xlfn.XLOOKUP(D933,Dictonary!$D$2:$D$12,Dictonary!$E$2:$E$12)</f>
        <v>radio/television</v>
      </c>
      <c r="X933" s="1" t="str">
        <f>_xlfn.XLOOKUP(F933,Dictonary!$G$2:$G$6,Dictonary!$H$2:$H$6)</f>
        <v>Less 100</v>
      </c>
      <c r="Y933" s="1" t="str">
        <f>_xlfn.XLOOKUP(I933,Dictonary!$J$2:$J$6,Dictonary!$K$2:$K$6)</f>
        <v>female : divorced/separated/married</v>
      </c>
      <c r="Z933" s="1" t="str">
        <f>_xlfn.XLOOKUP(Q933,Dictonary!$M$2:$M$5,Dictonary!$N$2:$N$5)</f>
        <v>skilled employee / official</v>
      </c>
      <c r="AA933" s="1" t="str">
        <f>_xlfn.XLOOKUP(O933,Dictonary!$P$2:$P$4,Dictonary!$Q$2:$Q$4)</f>
        <v>own</v>
      </c>
    </row>
    <row r="934" spans="1:27" x14ac:dyDescent="0.3">
      <c r="A934" s="1" t="s">
        <v>42</v>
      </c>
      <c r="B934">
        <v>9</v>
      </c>
      <c r="C934" s="1" t="s">
        <v>22</v>
      </c>
      <c r="D934" s="1" t="s">
        <v>51</v>
      </c>
      <c r="E934">
        <v>1224</v>
      </c>
      <c r="F934" s="1" t="s">
        <v>37</v>
      </c>
      <c r="G934" s="1" t="s">
        <v>38</v>
      </c>
      <c r="H934">
        <v>3</v>
      </c>
      <c r="I934" s="1" t="s">
        <v>26</v>
      </c>
      <c r="J934" s="1" t="s">
        <v>27</v>
      </c>
      <c r="K934">
        <v>1</v>
      </c>
      <c r="L934" s="1" t="s">
        <v>28</v>
      </c>
      <c r="M934">
        <v>30</v>
      </c>
      <c r="N934" s="1" t="s">
        <v>29</v>
      </c>
      <c r="O934" s="1" t="s">
        <v>30</v>
      </c>
      <c r="P934">
        <v>2</v>
      </c>
      <c r="Q934" s="1" t="s">
        <v>31</v>
      </c>
      <c r="R934">
        <v>1</v>
      </c>
      <c r="S934" s="1" t="s">
        <v>40</v>
      </c>
      <c r="T934" s="1" t="s">
        <v>33</v>
      </c>
      <c r="U934" s="1" t="s">
        <v>34</v>
      </c>
      <c r="V934" s="1" t="str">
        <f>_xlfn.XLOOKUP(A934,Dictonary!$A$2:$A$5,Dictonary!$B$2:$B$5)</f>
        <v>No information</v>
      </c>
      <c r="W934" s="1" t="str">
        <f>_xlfn.XLOOKUP(D934,Dictonary!$D$2:$D$12,Dictonary!$E$2:$E$12)</f>
        <v>car (new)</v>
      </c>
      <c r="X934" s="1" t="str">
        <f>_xlfn.XLOOKUP(F934,Dictonary!$G$2:$G$6,Dictonary!$H$2:$H$6)</f>
        <v>Less 100</v>
      </c>
      <c r="Y934" s="1" t="str">
        <f>_xlfn.XLOOKUP(I934,Dictonary!$J$2:$J$6,Dictonary!$K$2:$K$6)</f>
        <v>male : single</v>
      </c>
      <c r="Z934" s="1" t="str">
        <f>_xlfn.XLOOKUP(Q934,Dictonary!$M$2:$M$5,Dictonary!$N$2:$N$5)</f>
        <v>skilled employee / official</v>
      </c>
      <c r="AA934" s="1" t="str">
        <f>_xlfn.XLOOKUP(O934,Dictonary!$P$2:$P$4,Dictonary!$Q$2:$Q$4)</f>
        <v>own</v>
      </c>
    </row>
    <row r="935" spans="1:27" x14ac:dyDescent="0.3">
      <c r="A935" s="1" t="s">
        <v>42</v>
      </c>
      <c r="B935">
        <v>12</v>
      </c>
      <c r="C935" s="1" t="s">
        <v>22</v>
      </c>
      <c r="D935" s="1" t="s">
        <v>23</v>
      </c>
      <c r="E935">
        <v>522</v>
      </c>
      <c r="F935" s="1" t="s">
        <v>53</v>
      </c>
      <c r="G935" s="1" t="s">
        <v>25</v>
      </c>
      <c r="H935">
        <v>4</v>
      </c>
      <c r="I935" s="1" t="s">
        <v>26</v>
      </c>
      <c r="J935" s="1" t="s">
        <v>27</v>
      </c>
      <c r="K935">
        <v>4</v>
      </c>
      <c r="L935" s="1" t="s">
        <v>48</v>
      </c>
      <c r="M935">
        <v>42</v>
      </c>
      <c r="N935" s="1" t="s">
        <v>29</v>
      </c>
      <c r="O935" s="1" t="s">
        <v>30</v>
      </c>
      <c r="P935">
        <v>2</v>
      </c>
      <c r="Q935" s="1" t="s">
        <v>31</v>
      </c>
      <c r="R935">
        <v>2</v>
      </c>
      <c r="S935" s="1" t="s">
        <v>32</v>
      </c>
      <c r="T935" s="1" t="s">
        <v>33</v>
      </c>
      <c r="U935" s="1" t="s">
        <v>34</v>
      </c>
      <c r="V935" s="1" t="str">
        <f>_xlfn.XLOOKUP(A935,Dictonary!$A$2:$A$5,Dictonary!$B$2:$B$5)</f>
        <v>No information</v>
      </c>
      <c r="W935" s="1" t="str">
        <f>_xlfn.XLOOKUP(D935,Dictonary!$D$2:$D$12,Dictonary!$E$2:$E$12)</f>
        <v>radio/television</v>
      </c>
      <c r="X935" s="1" t="str">
        <f>_xlfn.XLOOKUP(F935,Dictonary!$G$2:$G$6,Dictonary!$H$2:$H$6)</f>
        <v>Up to 1000</v>
      </c>
      <c r="Y935" s="1" t="str">
        <f>_xlfn.XLOOKUP(I935,Dictonary!$J$2:$J$6,Dictonary!$K$2:$K$6)</f>
        <v>male : single</v>
      </c>
      <c r="Z935" s="1" t="str">
        <f>_xlfn.XLOOKUP(Q935,Dictonary!$M$2:$M$5,Dictonary!$N$2:$N$5)</f>
        <v>skilled employee / official</v>
      </c>
      <c r="AA935" s="1" t="str">
        <f>_xlfn.XLOOKUP(O935,Dictonary!$P$2:$P$4,Dictonary!$Q$2:$Q$4)</f>
        <v>own</v>
      </c>
    </row>
    <row r="936" spans="1:27" x14ac:dyDescent="0.3">
      <c r="A936" s="1" t="s">
        <v>21</v>
      </c>
      <c r="B936">
        <v>12</v>
      </c>
      <c r="C936" s="1" t="s">
        <v>36</v>
      </c>
      <c r="D936" s="1" t="s">
        <v>23</v>
      </c>
      <c r="E936">
        <v>1498</v>
      </c>
      <c r="F936" s="1" t="s">
        <v>37</v>
      </c>
      <c r="G936" s="1" t="s">
        <v>38</v>
      </c>
      <c r="H936">
        <v>4</v>
      </c>
      <c r="I936" s="1" t="s">
        <v>39</v>
      </c>
      <c r="J936" s="1" t="s">
        <v>27</v>
      </c>
      <c r="K936">
        <v>1</v>
      </c>
      <c r="L936" s="1" t="s">
        <v>55</v>
      </c>
      <c r="M936">
        <v>23</v>
      </c>
      <c r="N936" s="1" t="s">
        <v>66</v>
      </c>
      <c r="O936" s="1" t="s">
        <v>30</v>
      </c>
      <c r="P936">
        <v>1</v>
      </c>
      <c r="Q936" s="1" t="s">
        <v>31</v>
      </c>
      <c r="R936">
        <v>1</v>
      </c>
      <c r="S936" s="1" t="s">
        <v>40</v>
      </c>
      <c r="T936" s="1" t="s">
        <v>33</v>
      </c>
      <c r="U936" s="1" t="s">
        <v>34</v>
      </c>
      <c r="V936" s="1" t="str">
        <f>_xlfn.XLOOKUP(A936,Dictonary!$A$2:$A$5,Dictonary!$B$2:$B$5)</f>
        <v>Negative balance</v>
      </c>
      <c r="W936" s="1" t="str">
        <f>_xlfn.XLOOKUP(D936,Dictonary!$D$2:$D$12,Dictonary!$E$2:$E$12)</f>
        <v>radio/television</v>
      </c>
      <c r="X936" s="1" t="str">
        <f>_xlfn.XLOOKUP(F936,Dictonary!$G$2:$G$6,Dictonary!$H$2:$H$6)</f>
        <v>Less 100</v>
      </c>
      <c r="Y936" s="1" t="str">
        <f>_xlfn.XLOOKUP(I936,Dictonary!$J$2:$J$6,Dictonary!$K$2:$K$6)</f>
        <v>female : divorced/separated/married</v>
      </c>
      <c r="Z936" s="1" t="str">
        <f>_xlfn.XLOOKUP(Q936,Dictonary!$M$2:$M$5,Dictonary!$N$2:$N$5)</f>
        <v>skilled employee / official</v>
      </c>
      <c r="AA936" s="1" t="str">
        <f>_xlfn.XLOOKUP(O936,Dictonary!$P$2:$P$4,Dictonary!$Q$2:$Q$4)</f>
        <v>own</v>
      </c>
    </row>
    <row r="937" spans="1:27" x14ac:dyDescent="0.3">
      <c r="A937" s="1" t="s">
        <v>35</v>
      </c>
      <c r="B937">
        <v>30</v>
      </c>
      <c r="C937" s="1" t="s">
        <v>50</v>
      </c>
      <c r="D937" s="1" t="s">
        <v>23</v>
      </c>
      <c r="E937">
        <v>1919</v>
      </c>
      <c r="F937" s="1" t="s">
        <v>64</v>
      </c>
      <c r="G937" s="1" t="s">
        <v>62</v>
      </c>
      <c r="H937">
        <v>4</v>
      </c>
      <c r="I937" s="1" t="s">
        <v>26</v>
      </c>
      <c r="J937" s="1" t="s">
        <v>27</v>
      </c>
      <c r="K937">
        <v>3</v>
      </c>
      <c r="L937" s="1" t="s">
        <v>52</v>
      </c>
      <c r="M937">
        <v>30</v>
      </c>
      <c r="N937" s="1" t="s">
        <v>70</v>
      </c>
      <c r="O937" s="1" t="s">
        <v>30</v>
      </c>
      <c r="P937">
        <v>2</v>
      </c>
      <c r="Q937" s="1" t="s">
        <v>57</v>
      </c>
      <c r="R937">
        <v>1</v>
      </c>
      <c r="S937" s="1" t="s">
        <v>40</v>
      </c>
      <c r="T937" s="1" t="s">
        <v>33</v>
      </c>
      <c r="U937" s="1" t="s">
        <v>41</v>
      </c>
      <c r="V937" s="1" t="str">
        <f>_xlfn.XLOOKUP(A937,Dictonary!$A$2:$A$5,Dictonary!$B$2:$B$5)</f>
        <v>Low balance</v>
      </c>
      <c r="W937" s="1" t="str">
        <f>_xlfn.XLOOKUP(D937,Dictonary!$D$2:$D$12,Dictonary!$E$2:$E$12)</f>
        <v>radio/television</v>
      </c>
      <c r="X937" s="1" t="str">
        <f>_xlfn.XLOOKUP(F937,Dictonary!$G$2:$G$6,Dictonary!$H$2:$H$6)</f>
        <v>Up to 500</v>
      </c>
      <c r="Y937" s="1" t="str">
        <f>_xlfn.XLOOKUP(I937,Dictonary!$J$2:$J$6,Dictonary!$K$2:$K$6)</f>
        <v>male : single</v>
      </c>
      <c r="Z937" s="1" t="str">
        <f>_xlfn.XLOOKUP(Q937,Dictonary!$M$2:$M$5,Dictonary!$N$2:$N$5)</f>
        <v>management/ self-employed/ highly qualified employee/ officer</v>
      </c>
      <c r="AA937" s="1" t="str">
        <f>_xlfn.XLOOKUP(O937,Dictonary!$P$2:$P$4,Dictonary!$Q$2:$Q$4)</f>
        <v>own</v>
      </c>
    </row>
    <row r="938" spans="1:27" x14ac:dyDescent="0.3">
      <c r="A938" s="1" t="s">
        <v>68</v>
      </c>
      <c r="B938">
        <v>9</v>
      </c>
      <c r="C938" s="1" t="s">
        <v>36</v>
      </c>
      <c r="D938" s="1" t="s">
        <v>23</v>
      </c>
      <c r="E938">
        <v>745</v>
      </c>
      <c r="F938" s="1" t="s">
        <v>37</v>
      </c>
      <c r="G938" s="1" t="s">
        <v>38</v>
      </c>
      <c r="H938">
        <v>3</v>
      </c>
      <c r="I938" s="1" t="s">
        <v>39</v>
      </c>
      <c r="J938" s="1" t="s">
        <v>27</v>
      </c>
      <c r="K938">
        <v>2</v>
      </c>
      <c r="L938" s="1" t="s">
        <v>28</v>
      </c>
      <c r="M938">
        <v>28</v>
      </c>
      <c r="N938" s="1" t="s">
        <v>29</v>
      </c>
      <c r="O938" s="1" t="s">
        <v>30</v>
      </c>
      <c r="P938">
        <v>1</v>
      </c>
      <c r="Q938" s="1" t="s">
        <v>45</v>
      </c>
      <c r="R938">
        <v>1</v>
      </c>
      <c r="S938" s="1" t="s">
        <v>40</v>
      </c>
      <c r="T938" s="1" t="s">
        <v>33</v>
      </c>
      <c r="U938" s="1" t="s">
        <v>41</v>
      </c>
      <c r="V938" s="1" t="str">
        <f>_xlfn.XLOOKUP(A938,Dictonary!$A$2:$A$5,Dictonary!$B$2:$B$5)</f>
        <v>Normal balance</v>
      </c>
      <c r="W938" s="1" t="str">
        <f>_xlfn.XLOOKUP(D938,Dictonary!$D$2:$D$12,Dictonary!$E$2:$E$12)</f>
        <v>radio/television</v>
      </c>
      <c r="X938" s="1" t="str">
        <f>_xlfn.XLOOKUP(F938,Dictonary!$G$2:$G$6,Dictonary!$H$2:$H$6)</f>
        <v>Less 100</v>
      </c>
      <c r="Y938" s="1" t="str">
        <f>_xlfn.XLOOKUP(I938,Dictonary!$J$2:$J$6,Dictonary!$K$2:$K$6)</f>
        <v>female : divorced/separated/married</v>
      </c>
      <c r="Z938" s="1" t="str">
        <f>_xlfn.XLOOKUP(Q938,Dictonary!$M$2:$M$5,Dictonary!$N$2:$N$5)</f>
        <v>unskilled - resident</v>
      </c>
      <c r="AA938" s="1" t="str">
        <f>_xlfn.XLOOKUP(O938,Dictonary!$P$2:$P$4,Dictonary!$Q$2:$Q$4)</f>
        <v>own</v>
      </c>
    </row>
    <row r="939" spans="1:27" x14ac:dyDescent="0.3">
      <c r="A939" s="1" t="s">
        <v>35</v>
      </c>
      <c r="B939">
        <v>6</v>
      </c>
      <c r="C939" s="1" t="s">
        <v>36</v>
      </c>
      <c r="D939" s="1" t="s">
        <v>23</v>
      </c>
      <c r="E939">
        <v>2063</v>
      </c>
      <c r="F939" s="1" t="s">
        <v>37</v>
      </c>
      <c r="G939" s="1" t="s">
        <v>62</v>
      </c>
      <c r="H939">
        <v>4</v>
      </c>
      <c r="I939" s="1" t="s">
        <v>61</v>
      </c>
      <c r="J939" s="1" t="s">
        <v>27</v>
      </c>
      <c r="K939">
        <v>3</v>
      </c>
      <c r="L939" s="1" t="s">
        <v>55</v>
      </c>
      <c r="M939">
        <v>30</v>
      </c>
      <c r="N939" s="1" t="s">
        <v>29</v>
      </c>
      <c r="O939" s="1" t="s">
        <v>56</v>
      </c>
      <c r="P939">
        <v>1</v>
      </c>
      <c r="Q939" s="1" t="s">
        <v>57</v>
      </c>
      <c r="R939">
        <v>1</v>
      </c>
      <c r="S939" s="1" t="s">
        <v>32</v>
      </c>
      <c r="T939" s="1" t="s">
        <v>33</v>
      </c>
      <c r="U939" s="1" t="s">
        <v>34</v>
      </c>
      <c r="V939" s="1" t="str">
        <f>_xlfn.XLOOKUP(A939,Dictonary!$A$2:$A$5,Dictonary!$B$2:$B$5)</f>
        <v>Low balance</v>
      </c>
      <c r="W939" s="1" t="str">
        <f>_xlfn.XLOOKUP(D939,Dictonary!$D$2:$D$12,Dictonary!$E$2:$E$12)</f>
        <v>radio/television</v>
      </c>
      <c r="X939" s="1" t="str">
        <f>_xlfn.XLOOKUP(F939,Dictonary!$G$2:$G$6,Dictonary!$H$2:$H$6)</f>
        <v>Less 100</v>
      </c>
      <c r="Y939" s="1" t="str">
        <f>_xlfn.XLOOKUP(I939,Dictonary!$J$2:$J$6,Dictonary!$K$2:$K$6)</f>
        <v>male : married/widowed</v>
      </c>
      <c r="Z939" s="1" t="str">
        <f>_xlfn.XLOOKUP(Q939,Dictonary!$M$2:$M$5,Dictonary!$N$2:$N$5)</f>
        <v>management/ self-employed/ highly qualified employee/ officer</v>
      </c>
      <c r="AA939" s="1" t="str">
        <f>_xlfn.XLOOKUP(O939,Dictonary!$P$2:$P$4,Dictonary!$Q$2:$Q$4)</f>
        <v>rent</v>
      </c>
    </row>
    <row r="940" spans="1:27" x14ac:dyDescent="0.3">
      <c r="A940" s="1" t="s">
        <v>35</v>
      </c>
      <c r="B940">
        <v>60</v>
      </c>
      <c r="C940" s="1" t="s">
        <v>36</v>
      </c>
      <c r="D940" s="1" t="s">
        <v>43</v>
      </c>
      <c r="E940">
        <v>6288</v>
      </c>
      <c r="F940" s="1" t="s">
        <v>37</v>
      </c>
      <c r="G940" s="1" t="s">
        <v>38</v>
      </c>
      <c r="H940">
        <v>4</v>
      </c>
      <c r="I940" s="1" t="s">
        <v>26</v>
      </c>
      <c r="J940" s="1" t="s">
        <v>27</v>
      </c>
      <c r="K940">
        <v>4</v>
      </c>
      <c r="L940" s="1" t="s">
        <v>52</v>
      </c>
      <c r="M940">
        <v>42</v>
      </c>
      <c r="N940" s="1" t="s">
        <v>29</v>
      </c>
      <c r="O940" s="1" t="s">
        <v>49</v>
      </c>
      <c r="P940">
        <v>1</v>
      </c>
      <c r="Q940" s="1" t="s">
        <v>31</v>
      </c>
      <c r="R940">
        <v>1</v>
      </c>
      <c r="S940" s="1" t="s">
        <v>40</v>
      </c>
      <c r="T940" s="1" t="s">
        <v>33</v>
      </c>
      <c r="U940" s="1" t="s">
        <v>41</v>
      </c>
      <c r="V940" s="1" t="str">
        <f>_xlfn.XLOOKUP(A940,Dictonary!$A$2:$A$5,Dictonary!$B$2:$B$5)</f>
        <v>Low balance</v>
      </c>
      <c r="W940" s="1" t="str">
        <f>_xlfn.XLOOKUP(D940,Dictonary!$D$2:$D$12,Dictonary!$E$2:$E$12)</f>
        <v>education</v>
      </c>
      <c r="X940" s="1" t="str">
        <f>_xlfn.XLOOKUP(F940,Dictonary!$G$2:$G$6,Dictonary!$H$2:$H$6)</f>
        <v>Less 100</v>
      </c>
      <c r="Y940" s="1" t="str">
        <f>_xlfn.XLOOKUP(I940,Dictonary!$J$2:$J$6,Dictonary!$K$2:$K$6)</f>
        <v>male : single</v>
      </c>
      <c r="Z940" s="1" t="str">
        <f>_xlfn.XLOOKUP(Q940,Dictonary!$M$2:$M$5,Dictonary!$N$2:$N$5)</f>
        <v>skilled employee / official</v>
      </c>
      <c r="AA940" s="1" t="str">
        <f>_xlfn.XLOOKUP(O940,Dictonary!$P$2:$P$4,Dictonary!$Q$2:$Q$4)</f>
        <v>for free</v>
      </c>
    </row>
    <row r="941" spans="1:27" x14ac:dyDescent="0.3">
      <c r="A941" s="1" t="s">
        <v>42</v>
      </c>
      <c r="B941">
        <v>24</v>
      </c>
      <c r="C941" s="1" t="s">
        <v>22</v>
      </c>
      <c r="D941" s="1" t="s">
        <v>54</v>
      </c>
      <c r="E941">
        <v>6842</v>
      </c>
      <c r="F941" s="1" t="s">
        <v>24</v>
      </c>
      <c r="G941" s="1" t="s">
        <v>38</v>
      </c>
      <c r="H941">
        <v>2</v>
      </c>
      <c r="I941" s="1" t="s">
        <v>26</v>
      </c>
      <c r="J941" s="1" t="s">
        <v>27</v>
      </c>
      <c r="K941">
        <v>4</v>
      </c>
      <c r="L941" s="1" t="s">
        <v>48</v>
      </c>
      <c r="M941">
        <v>46</v>
      </c>
      <c r="N941" s="1" t="s">
        <v>29</v>
      </c>
      <c r="O941" s="1" t="s">
        <v>30</v>
      </c>
      <c r="P941">
        <v>2</v>
      </c>
      <c r="Q941" s="1" t="s">
        <v>57</v>
      </c>
      <c r="R941">
        <v>2</v>
      </c>
      <c r="S941" s="1" t="s">
        <v>32</v>
      </c>
      <c r="T941" s="1" t="s">
        <v>33</v>
      </c>
      <c r="U941" s="1" t="s">
        <v>34</v>
      </c>
      <c r="V941" s="1" t="str">
        <f>_xlfn.XLOOKUP(A941,Dictonary!$A$2:$A$5,Dictonary!$B$2:$B$5)</f>
        <v>No information</v>
      </c>
      <c r="W941" s="1" t="str">
        <f>_xlfn.XLOOKUP(D941,Dictonary!$D$2:$D$12,Dictonary!$E$2:$E$12)</f>
        <v>car (used)</v>
      </c>
      <c r="X941" s="1" t="str">
        <f>_xlfn.XLOOKUP(F941,Dictonary!$G$2:$G$6,Dictonary!$H$2:$H$6)</f>
        <v>No information</v>
      </c>
      <c r="Y941" s="1" t="str">
        <f>_xlfn.XLOOKUP(I941,Dictonary!$J$2:$J$6,Dictonary!$K$2:$K$6)</f>
        <v>male : single</v>
      </c>
      <c r="Z941" s="1" t="str">
        <f>_xlfn.XLOOKUP(Q941,Dictonary!$M$2:$M$5,Dictonary!$N$2:$N$5)</f>
        <v>management/ self-employed/ highly qualified employee/ officer</v>
      </c>
      <c r="AA941" s="1" t="str">
        <f>_xlfn.XLOOKUP(O941,Dictonary!$P$2:$P$4,Dictonary!$Q$2:$Q$4)</f>
        <v>own</v>
      </c>
    </row>
    <row r="942" spans="1:27" x14ac:dyDescent="0.3">
      <c r="A942" s="1" t="s">
        <v>42</v>
      </c>
      <c r="B942">
        <v>12</v>
      </c>
      <c r="C942" s="1" t="s">
        <v>36</v>
      </c>
      <c r="D942" s="1" t="s">
        <v>51</v>
      </c>
      <c r="E942">
        <v>3527</v>
      </c>
      <c r="F942" s="1" t="s">
        <v>24</v>
      </c>
      <c r="G942" s="1" t="s">
        <v>62</v>
      </c>
      <c r="H942">
        <v>2</v>
      </c>
      <c r="I942" s="1" t="s">
        <v>26</v>
      </c>
      <c r="J942" s="1" t="s">
        <v>27</v>
      </c>
      <c r="K942">
        <v>3</v>
      </c>
      <c r="L942" s="1" t="s">
        <v>48</v>
      </c>
      <c r="M942">
        <v>45</v>
      </c>
      <c r="N942" s="1" t="s">
        <v>29</v>
      </c>
      <c r="O942" s="1" t="s">
        <v>30</v>
      </c>
      <c r="P942">
        <v>1</v>
      </c>
      <c r="Q942" s="1" t="s">
        <v>57</v>
      </c>
      <c r="R942">
        <v>2</v>
      </c>
      <c r="S942" s="1" t="s">
        <v>32</v>
      </c>
      <c r="T942" s="1" t="s">
        <v>33</v>
      </c>
      <c r="U942" s="1" t="s">
        <v>34</v>
      </c>
      <c r="V942" s="1" t="str">
        <f>_xlfn.XLOOKUP(A942,Dictonary!$A$2:$A$5,Dictonary!$B$2:$B$5)</f>
        <v>No information</v>
      </c>
      <c r="W942" s="1" t="str">
        <f>_xlfn.XLOOKUP(D942,Dictonary!$D$2:$D$12,Dictonary!$E$2:$E$12)</f>
        <v>car (new)</v>
      </c>
      <c r="X942" s="1" t="str">
        <f>_xlfn.XLOOKUP(F942,Dictonary!$G$2:$G$6,Dictonary!$H$2:$H$6)</f>
        <v>No information</v>
      </c>
      <c r="Y942" s="1" t="str">
        <f>_xlfn.XLOOKUP(I942,Dictonary!$J$2:$J$6,Dictonary!$K$2:$K$6)</f>
        <v>male : single</v>
      </c>
      <c r="Z942" s="1" t="str">
        <f>_xlfn.XLOOKUP(Q942,Dictonary!$M$2:$M$5,Dictonary!$N$2:$N$5)</f>
        <v>management/ self-employed/ highly qualified employee/ officer</v>
      </c>
      <c r="AA942" s="1" t="str">
        <f>_xlfn.XLOOKUP(O942,Dictonary!$P$2:$P$4,Dictonary!$Q$2:$Q$4)</f>
        <v>own</v>
      </c>
    </row>
    <row r="943" spans="1:27" x14ac:dyDescent="0.3">
      <c r="A943" s="1" t="s">
        <v>42</v>
      </c>
      <c r="B943">
        <v>10</v>
      </c>
      <c r="C943" s="1" t="s">
        <v>36</v>
      </c>
      <c r="D943" s="1" t="s">
        <v>51</v>
      </c>
      <c r="E943">
        <v>1546</v>
      </c>
      <c r="F943" s="1" t="s">
        <v>37</v>
      </c>
      <c r="G943" s="1" t="s">
        <v>38</v>
      </c>
      <c r="H943">
        <v>3</v>
      </c>
      <c r="I943" s="1" t="s">
        <v>26</v>
      </c>
      <c r="J943" s="1" t="s">
        <v>27</v>
      </c>
      <c r="K943">
        <v>2</v>
      </c>
      <c r="L943" s="1" t="s">
        <v>28</v>
      </c>
      <c r="M943">
        <v>31</v>
      </c>
      <c r="N943" s="1" t="s">
        <v>29</v>
      </c>
      <c r="O943" s="1" t="s">
        <v>30</v>
      </c>
      <c r="P943">
        <v>1</v>
      </c>
      <c r="Q943" s="1" t="s">
        <v>45</v>
      </c>
      <c r="R943">
        <v>2</v>
      </c>
      <c r="S943" s="1" t="s">
        <v>40</v>
      </c>
      <c r="T943" s="1" t="s">
        <v>67</v>
      </c>
      <c r="U943" s="1" t="s">
        <v>34</v>
      </c>
      <c r="V943" s="1" t="str">
        <f>_xlfn.XLOOKUP(A943,Dictonary!$A$2:$A$5,Dictonary!$B$2:$B$5)</f>
        <v>No information</v>
      </c>
      <c r="W943" s="1" t="str">
        <f>_xlfn.XLOOKUP(D943,Dictonary!$D$2:$D$12,Dictonary!$E$2:$E$12)</f>
        <v>car (new)</v>
      </c>
      <c r="X943" s="1" t="str">
        <f>_xlfn.XLOOKUP(F943,Dictonary!$G$2:$G$6,Dictonary!$H$2:$H$6)</f>
        <v>Less 100</v>
      </c>
      <c r="Y943" s="1" t="str">
        <f>_xlfn.XLOOKUP(I943,Dictonary!$J$2:$J$6,Dictonary!$K$2:$K$6)</f>
        <v>male : single</v>
      </c>
      <c r="Z943" s="1" t="str">
        <f>_xlfn.XLOOKUP(Q943,Dictonary!$M$2:$M$5,Dictonary!$N$2:$N$5)</f>
        <v>unskilled - resident</v>
      </c>
      <c r="AA943" s="1" t="str">
        <f>_xlfn.XLOOKUP(O943,Dictonary!$P$2:$P$4,Dictonary!$Q$2:$Q$4)</f>
        <v>own</v>
      </c>
    </row>
    <row r="944" spans="1:27" x14ac:dyDescent="0.3">
      <c r="A944" s="1" t="s">
        <v>42</v>
      </c>
      <c r="B944">
        <v>24</v>
      </c>
      <c r="C944" s="1" t="s">
        <v>36</v>
      </c>
      <c r="D944" s="1" t="s">
        <v>46</v>
      </c>
      <c r="E944">
        <v>929</v>
      </c>
      <c r="F944" s="1" t="s">
        <v>24</v>
      </c>
      <c r="G944" s="1" t="s">
        <v>44</v>
      </c>
      <c r="H944">
        <v>4</v>
      </c>
      <c r="I944" s="1" t="s">
        <v>26</v>
      </c>
      <c r="J944" s="1" t="s">
        <v>27</v>
      </c>
      <c r="K944">
        <v>2</v>
      </c>
      <c r="L944" s="1" t="s">
        <v>55</v>
      </c>
      <c r="M944">
        <v>31</v>
      </c>
      <c r="N944" s="1" t="s">
        <v>70</v>
      </c>
      <c r="O944" s="1" t="s">
        <v>30</v>
      </c>
      <c r="P944">
        <v>1</v>
      </c>
      <c r="Q944" s="1" t="s">
        <v>31</v>
      </c>
      <c r="R944">
        <v>1</v>
      </c>
      <c r="S944" s="1" t="s">
        <v>32</v>
      </c>
      <c r="T944" s="1" t="s">
        <v>33</v>
      </c>
      <c r="U944" s="1" t="s">
        <v>34</v>
      </c>
      <c r="V944" s="1" t="str">
        <f>_xlfn.XLOOKUP(A944,Dictonary!$A$2:$A$5,Dictonary!$B$2:$B$5)</f>
        <v>No information</v>
      </c>
      <c r="W944" s="1" t="str">
        <f>_xlfn.XLOOKUP(D944,Dictonary!$D$2:$D$12,Dictonary!$E$2:$E$12)</f>
        <v>furniture/equipment</v>
      </c>
      <c r="X944" s="1" t="str">
        <f>_xlfn.XLOOKUP(F944,Dictonary!$G$2:$G$6,Dictonary!$H$2:$H$6)</f>
        <v>No information</v>
      </c>
      <c r="Y944" s="1" t="str">
        <f>_xlfn.XLOOKUP(I944,Dictonary!$J$2:$J$6,Dictonary!$K$2:$K$6)</f>
        <v>male : single</v>
      </c>
      <c r="Z944" s="1" t="str">
        <f>_xlfn.XLOOKUP(Q944,Dictonary!$M$2:$M$5,Dictonary!$N$2:$N$5)</f>
        <v>skilled employee / official</v>
      </c>
      <c r="AA944" s="1" t="str">
        <f>_xlfn.XLOOKUP(O944,Dictonary!$P$2:$P$4,Dictonary!$Q$2:$Q$4)</f>
        <v>own</v>
      </c>
    </row>
    <row r="945" spans="1:27" x14ac:dyDescent="0.3">
      <c r="A945" s="1" t="s">
        <v>42</v>
      </c>
      <c r="B945">
        <v>4</v>
      </c>
      <c r="C945" s="1" t="s">
        <v>22</v>
      </c>
      <c r="D945" s="1" t="s">
        <v>51</v>
      </c>
      <c r="E945">
        <v>1455</v>
      </c>
      <c r="F945" s="1" t="s">
        <v>37</v>
      </c>
      <c r="G945" s="1" t="s">
        <v>44</v>
      </c>
      <c r="H945">
        <v>2</v>
      </c>
      <c r="I945" s="1" t="s">
        <v>26</v>
      </c>
      <c r="J945" s="1" t="s">
        <v>27</v>
      </c>
      <c r="K945">
        <v>1</v>
      </c>
      <c r="L945" s="1" t="s">
        <v>28</v>
      </c>
      <c r="M945">
        <v>42</v>
      </c>
      <c r="N945" s="1" t="s">
        <v>29</v>
      </c>
      <c r="O945" s="1" t="s">
        <v>30</v>
      </c>
      <c r="P945">
        <v>3</v>
      </c>
      <c r="Q945" s="1" t="s">
        <v>45</v>
      </c>
      <c r="R945">
        <v>2</v>
      </c>
      <c r="S945" s="1" t="s">
        <v>40</v>
      </c>
      <c r="T945" s="1" t="s">
        <v>33</v>
      </c>
      <c r="U945" s="1" t="s">
        <v>34</v>
      </c>
      <c r="V945" s="1" t="str">
        <f>_xlfn.XLOOKUP(A945,Dictonary!$A$2:$A$5,Dictonary!$B$2:$B$5)</f>
        <v>No information</v>
      </c>
      <c r="W945" s="1" t="str">
        <f>_xlfn.XLOOKUP(D945,Dictonary!$D$2:$D$12,Dictonary!$E$2:$E$12)</f>
        <v>car (new)</v>
      </c>
      <c r="X945" s="1" t="str">
        <f>_xlfn.XLOOKUP(F945,Dictonary!$G$2:$G$6,Dictonary!$H$2:$H$6)</f>
        <v>Less 100</v>
      </c>
      <c r="Y945" s="1" t="str">
        <f>_xlfn.XLOOKUP(I945,Dictonary!$J$2:$J$6,Dictonary!$K$2:$K$6)</f>
        <v>male : single</v>
      </c>
      <c r="Z945" s="1" t="str">
        <f>_xlfn.XLOOKUP(Q945,Dictonary!$M$2:$M$5,Dictonary!$N$2:$N$5)</f>
        <v>unskilled - resident</v>
      </c>
      <c r="AA945" s="1" t="str">
        <f>_xlfn.XLOOKUP(O945,Dictonary!$P$2:$P$4,Dictonary!$Q$2:$Q$4)</f>
        <v>own</v>
      </c>
    </row>
    <row r="946" spans="1:27" x14ac:dyDescent="0.3">
      <c r="A946" s="1" t="s">
        <v>21</v>
      </c>
      <c r="B946">
        <v>15</v>
      </c>
      <c r="C946" s="1" t="s">
        <v>36</v>
      </c>
      <c r="D946" s="1" t="s">
        <v>46</v>
      </c>
      <c r="E946">
        <v>1845</v>
      </c>
      <c r="F946" s="1" t="s">
        <v>37</v>
      </c>
      <c r="G946" s="1" t="s">
        <v>62</v>
      </c>
      <c r="H946">
        <v>4</v>
      </c>
      <c r="I946" s="1" t="s">
        <v>39</v>
      </c>
      <c r="J946" s="1" t="s">
        <v>47</v>
      </c>
      <c r="K946">
        <v>1</v>
      </c>
      <c r="L946" s="1" t="s">
        <v>48</v>
      </c>
      <c r="M946">
        <v>46</v>
      </c>
      <c r="N946" s="1" t="s">
        <v>29</v>
      </c>
      <c r="O946" s="1" t="s">
        <v>56</v>
      </c>
      <c r="P946">
        <v>1</v>
      </c>
      <c r="Q946" s="1" t="s">
        <v>31</v>
      </c>
      <c r="R946">
        <v>1</v>
      </c>
      <c r="S946" s="1" t="s">
        <v>40</v>
      </c>
      <c r="T946" s="1" t="s">
        <v>33</v>
      </c>
      <c r="U946" s="1" t="s">
        <v>34</v>
      </c>
      <c r="V946" s="1" t="str">
        <f>_xlfn.XLOOKUP(A946,Dictonary!$A$2:$A$5,Dictonary!$B$2:$B$5)</f>
        <v>Negative balance</v>
      </c>
      <c r="W946" s="1" t="str">
        <f>_xlfn.XLOOKUP(D946,Dictonary!$D$2:$D$12,Dictonary!$E$2:$E$12)</f>
        <v>furniture/equipment</v>
      </c>
      <c r="X946" s="1" t="str">
        <f>_xlfn.XLOOKUP(F946,Dictonary!$G$2:$G$6,Dictonary!$H$2:$H$6)</f>
        <v>Less 100</v>
      </c>
      <c r="Y946" s="1" t="str">
        <f>_xlfn.XLOOKUP(I946,Dictonary!$J$2:$J$6,Dictonary!$K$2:$K$6)</f>
        <v>female : divorced/separated/married</v>
      </c>
      <c r="Z946" s="1" t="str">
        <f>_xlfn.XLOOKUP(Q946,Dictonary!$M$2:$M$5,Dictonary!$N$2:$N$5)</f>
        <v>skilled employee / official</v>
      </c>
      <c r="AA946" s="1" t="str">
        <f>_xlfn.XLOOKUP(O946,Dictonary!$P$2:$P$4,Dictonary!$Q$2:$Q$4)</f>
        <v>rent</v>
      </c>
    </row>
    <row r="947" spans="1:27" x14ac:dyDescent="0.3">
      <c r="A947" s="1" t="s">
        <v>35</v>
      </c>
      <c r="B947">
        <v>48</v>
      </c>
      <c r="C947" s="1" t="s">
        <v>65</v>
      </c>
      <c r="D947" s="1" t="s">
        <v>51</v>
      </c>
      <c r="E947">
        <v>8358</v>
      </c>
      <c r="F947" s="1" t="s">
        <v>53</v>
      </c>
      <c r="G947" s="1" t="s">
        <v>62</v>
      </c>
      <c r="H947">
        <v>1</v>
      </c>
      <c r="I947" s="1" t="s">
        <v>39</v>
      </c>
      <c r="J947" s="1" t="s">
        <v>27</v>
      </c>
      <c r="K947">
        <v>1</v>
      </c>
      <c r="L947" s="1" t="s">
        <v>55</v>
      </c>
      <c r="M947">
        <v>30</v>
      </c>
      <c r="N947" s="1" t="s">
        <v>29</v>
      </c>
      <c r="O947" s="1" t="s">
        <v>30</v>
      </c>
      <c r="P947">
        <v>2</v>
      </c>
      <c r="Q947" s="1" t="s">
        <v>31</v>
      </c>
      <c r="R947">
        <v>1</v>
      </c>
      <c r="S947" s="1" t="s">
        <v>40</v>
      </c>
      <c r="T947" s="1" t="s">
        <v>33</v>
      </c>
      <c r="U947" s="1" t="s">
        <v>34</v>
      </c>
      <c r="V947" s="1" t="str">
        <f>_xlfn.XLOOKUP(A947,Dictonary!$A$2:$A$5,Dictonary!$B$2:$B$5)</f>
        <v>Low balance</v>
      </c>
      <c r="W947" s="1" t="str">
        <f>_xlfn.XLOOKUP(D947,Dictonary!$D$2:$D$12,Dictonary!$E$2:$E$12)</f>
        <v>car (new)</v>
      </c>
      <c r="X947" s="1" t="str">
        <f>_xlfn.XLOOKUP(F947,Dictonary!$G$2:$G$6,Dictonary!$H$2:$H$6)</f>
        <v>Up to 1000</v>
      </c>
      <c r="Y947" s="1" t="str">
        <f>_xlfn.XLOOKUP(I947,Dictonary!$J$2:$J$6,Dictonary!$K$2:$K$6)</f>
        <v>female : divorced/separated/married</v>
      </c>
      <c r="Z947" s="1" t="str">
        <f>_xlfn.XLOOKUP(Q947,Dictonary!$M$2:$M$5,Dictonary!$N$2:$N$5)</f>
        <v>skilled employee / official</v>
      </c>
      <c r="AA947" s="1" t="str">
        <f>_xlfn.XLOOKUP(O947,Dictonary!$P$2:$P$4,Dictonary!$Q$2:$Q$4)</f>
        <v>own</v>
      </c>
    </row>
    <row r="948" spans="1:27" x14ac:dyDescent="0.3">
      <c r="A948" s="1" t="s">
        <v>21</v>
      </c>
      <c r="B948">
        <v>24</v>
      </c>
      <c r="C948" s="1" t="s">
        <v>69</v>
      </c>
      <c r="D948" s="1" t="s">
        <v>46</v>
      </c>
      <c r="E948">
        <v>3349</v>
      </c>
      <c r="F948" s="1" t="s">
        <v>53</v>
      </c>
      <c r="G948" s="1" t="s">
        <v>62</v>
      </c>
      <c r="H948">
        <v>4</v>
      </c>
      <c r="I948" s="1" t="s">
        <v>26</v>
      </c>
      <c r="J948" s="1" t="s">
        <v>27</v>
      </c>
      <c r="K948">
        <v>4</v>
      </c>
      <c r="L948" s="1" t="s">
        <v>52</v>
      </c>
      <c r="M948">
        <v>30</v>
      </c>
      <c r="N948" s="1" t="s">
        <v>29</v>
      </c>
      <c r="O948" s="1" t="s">
        <v>49</v>
      </c>
      <c r="P948">
        <v>1</v>
      </c>
      <c r="Q948" s="1" t="s">
        <v>31</v>
      </c>
      <c r="R948">
        <v>2</v>
      </c>
      <c r="S948" s="1" t="s">
        <v>32</v>
      </c>
      <c r="T948" s="1" t="s">
        <v>33</v>
      </c>
      <c r="U948" s="1" t="s">
        <v>41</v>
      </c>
      <c r="V948" s="1" t="str">
        <f>_xlfn.XLOOKUP(A948,Dictonary!$A$2:$A$5,Dictonary!$B$2:$B$5)</f>
        <v>Negative balance</v>
      </c>
      <c r="W948" s="1" t="str">
        <f>_xlfn.XLOOKUP(D948,Dictonary!$D$2:$D$12,Dictonary!$E$2:$E$12)</f>
        <v>furniture/equipment</v>
      </c>
      <c r="X948" s="1" t="str">
        <f>_xlfn.XLOOKUP(F948,Dictonary!$G$2:$G$6,Dictonary!$H$2:$H$6)</f>
        <v>Up to 1000</v>
      </c>
      <c r="Y948" s="1" t="str">
        <f>_xlfn.XLOOKUP(I948,Dictonary!$J$2:$J$6,Dictonary!$K$2:$K$6)</f>
        <v>male : single</v>
      </c>
      <c r="Z948" s="1" t="str">
        <f>_xlfn.XLOOKUP(Q948,Dictonary!$M$2:$M$5,Dictonary!$N$2:$N$5)</f>
        <v>skilled employee / official</v>
      </c>
      <c r="AA948" s="1" t="str">
        <f>_xlfn.XLOOKUP(O948,Dictonary!$P$2:$P$4,Dictonary!$Q$2:$Q$4)</f>
        <v>for free</v>
      </c>
    </row>
    <row r="949" spans="1:27" x14ac:dyDescent="0.3">
      <c r="A949" s="1" t="s">
        <v>42</v>
      </c>
      <c r="B949">
        <v>12</v>
      </c>
      <c r="C949" s="1" t="s">
        <v>36</v>
      </c>
      <c r="D949" s="1" t="s">
        <v>51</v>
      </c>
      <c r="E949">
        <v>2859</v>
      </c>
      <c r="F949" s="1" t="s">
        <v>24</v>
      </c>
      <c r="G949" s="1" t="s">
        <v>60</v>
      </c>
      <c r="H949">
        <v>4</v>
      </c>
      <c r="I949" s="1" t="s">
        <v>26</v>
      </c>
      <c r="J949" s="1" t="s">
        <v>27</v>
      </c>
      <c r="K949">
        <v>4</v>
      </c>
      <c r="L949" s="1" t="s">
        <v>52</v>
      </c>
      <c r="M949">
        <v>38</v>
      </c>
      <c r="N949" s="1" t="s">
        <v>29</v>
      </c>
      <c r="O949" s="1" t="s">
        <v>30</v>
      </c>
      <c r="P949">
        <v>1</v>
      </c>
      <c r="Q949" s="1" t="s">
        <v>57</v>
      </c>
      <c r="R949">
        <v>1</v>
      </c>
      <c r="S949" s="1" t="s">
        <v>32</v>
      </c>
      <c r="T949" s="1" t="s">
        <v>33</v>
      </c>
      <c r="U949" s="1" t="s">
        <v>34</v>
      </c>
      <c r="V949" s="1" t="str">
        <f>_xlfn.XLOOKUP(A949,Dictonary!$A$2:$A$5,Dictonary!$B$2:$B$5)</f>
        <v>No information</v>
      </c>
      <c r="W949" s="1" t="str">
        <f>_xlfn.XLOOKUP(D949,Dictonary!$D$2:$D$12,Dictonary!$E$2:$E$12)</f>
        <v>car (new)</v>
      </c>
      <c r="X949" s="1" t="str">
        <f>_xlfn.XLOOKUP(F949,Dictonary!$G$2:$G$6,Dictonary!$H$2:$H$6)</f>
        <v>No information</v>
      </c>
      <c r="Y949" s="1" t="str">
        <f>_xlfn.XLOOKUP(I949,Dictonary!$J$2:$J$6,Dictonary!$K$2:$K$6)</f>
        <v>male : single</v>
      </c>
      <c r="Z949" s="1" t="str">
        <f>_xlfn.XLOOKUP(Q949,Dictonary!$M$2:$M$5,Dictonary!$N$2:$N$5)</f>
        <v>management/ self-employed/ highly qualified employee/ officer</v>
      </c>
      <c r="AA949" s="1" t="str">
        <f>_xlfn.XLOOKUP(O949,Dictonary!$P$2:$P$4,Dictonary!$Q$2:$Q$4)</f>
        <v>own</v>
      </c>
    </row>
    <row r="950" spans="1:27" x14ac:dyDescent="0.3">
      <c r="A950" s="1" t="s">
        <v>42</v>
      </c>
      <c r="B950">
        <v>18</v>
      </c>
      <c r="C950" s="1" t="s">
        <v>36</v>
      </c>
      <c r="D950" s="1" t="s">
        <v>46</v>
      </c>
      <c r="E950">
        <v>1533</v>
      </c>
      <c r="F950" s="1" t="s">
        <v>37</v>
      </c>
      <c r="G950" s="1" t="s">
        <v>62</v>
      </c>
      <c r="H950">
        <v>4</v>
      </c>
      <c r="I950" s="1" t="s">
        <v>61</v>
      </c>
      <c r="J950" s="1" t="s">
        <v>71</v>
      </c>
      <c r="K950">
        <v>1</v>
      </c>
      <c r="L950" s="1" t="s">
        <v>48</v>
      </c>
      <c r="M950">
        <v>43</v>
      </c>
      <c r="N950" s="1" t="s">
        <v>29</v>
      </c>
      <c r="O950" s="1" t="s">
        <v>30</v>
      </c>
      <c r="P950">
        <v>1</v>
      </c>
      <c r="Q950" s="1" t="s">
        <v>45</v>
      </c>
      <c r="R950">
        <v>2</v>
      </c>
      <c r="S950" s="1" t="s">
        <v>40</v>
      </c>
      <c r="T950" s="1" t="s">
        <v>33</v>
      </c>
      <c r="U950" s="1" t="s">
        <v>41</v>
      </c>
      <c r="V950" s="1" t="str">
        <f>_xlfn.XLOOKUP(A950,Dictonary!$A$2:$A$5,Dictonary!$B$2:$B$5)</f>
        <v>No information</v>
      </c>
      <c r="W950" s="1" t="str">
        <f>_xlfn.XLOOKUP(D950,Dictonary!$D$2:$D$12,Dictonary!$E$2:$E$12)</f>
        <v>furniture/equipment</v>
      </c>
      <c r="X950" s="1" t="str">
        <f>_xlfn.XLOOKUP(F950,Dictonary!$G$2:$G$6,Dictonary!$H$2:$H$6)</f>
        <v>Less 100</v>
      </c>
      <c r="Y950" s="1" t="str">
        <f>_xlfn.XLOOKUP(I950,Dictonary!$J$2:$J$6,Dictonary!$K$2:$K$6)</f>
        <v>male : married/widowed</v>
      </c>
      <c r="Z950" s="1" t="str">
        <f>_xlfn.XLOOKUP(Q950,Dictonary!$M$2:$M$5,Dictonary!$N$2:$N$5)</f>
        <v>unskilled - resident</v>
      </c>
      <c r="AA950" s="1" t="str">
        <f>_xlfn.XLOOKUP(O950,Dictonary!$P$2:$P$4,Dictonary!$Q$2:$Q$4)</f>
        <v>own</v>
      </c>
    </row>
    <row r="951" spans="1:27" x14ac:dyDescent="0.3">
      <c r="A951" s="1" t="s">
        <v>42</v>
      </c>
      <c r="B951">
        <v>24</v>
      </c>
      <c r="C951" s="1" t="s">
        <v>36</v>
      </c>
      <c r="D951" s="1" t="s">
        <v>23</v>
      </c>
      <c r="E951">
        <v>3621</v>
      </c>
      <c r="F951" s="1" t="s">
        <v>64</v>
      </c>
      <c r="G951" s="1" t="s">
        <v>25</v>
      </c>
      <c r="H951">
        <v>2</v>
      </c>
      <c r="I951" s="1" t="s">
        <v>26</v>
      </c>
      <c r="J951" s="1" t="s">
        <v>27</v>
      </c>
      <c r="K951">
        <v>4</v>
      </c>
      <c r="L951" s="1" t="s">
        <v>55</v>
      </c>
      <c r="M951">
        <v>31</v>
      </c>
      <c r="N951" s="1" t="s">
        <v>29</v>
      </c>
      <c r="O951" s="1" t="s">
        <v>30</v>
      </c>
      <c r="P951">
        <v>2</v>
      </c>
      <c r="Q951" s="1" t="s">
        <v>31</v>
      </c>
      <c r="R951">
        <v>1</v>
      </c>
      <c r="S951" s="1" t="s">
        <v>40</v>
      </c>
      <c r="T951" s="1" t="s">
        <v>33</v>
      </c>
      <c r="U951" s="1" t="s">
        <v>41</v>
      </c>
      <c r="V951" s="1" t="str">
        <f>_xlfn.XLOOKUP(A951,Dictonary!$A$2:$A$5,Dictonary!$B$2:$B$5)</f>
        <v>No information</v>
      </c>
      <c r="W951" s="1" t="str">
        <f>_xlfn.XLOOKUP(D951,Dictonary!$D$2:$D$12,Dictonary!$E$2:$E$12)</f>
        <v>radio/television</v>
      </c>
      <c r="X951" s="1" t="str">
        <f>_xlfn.XLOOKUP(F951,Dictonary!$G$2:$G$6,Dictonary!$H$2:$H$6)</f>
        <v>Up to 500</v>
      </c>
      <c r="Y951" s="1" t="str">
        <f>_xlfn.XLOOKUP(I951,Dictonary!$J$2:$J$6,Dictonary!$K$2:$K$6)</f>
        <v>male : single</v>
      </c>
      <c r="Z951" s="1" t="str">
        <f>_xlfn.XLOOKUP(Q951,Dictonary!$M$2:$M$5,Dictonary!$N$2:$N$5)</f>
        <v>skilled employee / official</v>
      </c>
      <c r="AA951" s="1" t="str">
        <f>_xlfn.XLOOKUP(O951,Dictonary!$P$2:$P$4,Dictonary!$Q$2:$Q$4)</f>
        <v>own</v>
      </c>
    </row>
    <row r="952" spans="1:27" x14ac:dyDescent="0.3">
      <c r="A952" s="1" t="s">
        <v>35</v>
      </c>
      <c r="B952">
        <v>18</v>
      </c>
      <c r="C952" s="1" t="s">
        <v>22</v>
      </c>
      <c r="D952" s="1" t="s">
        <v>63</v>
      </c>
      <c r="E952">
        <v>3590</v>
      </c>
      <c r="F952" s="1" t="s">
        <v>37</v>
      </c>
      <c r="G952" s="1" t="s">
        <v>60</v>
      </c>
      <c r="H952">
        <v>3</v>
      </c>
      <c r="I952" s="1" t="s">
        <v>61</v>
      </c>
      <c r="J952" s="1" t="s">
        <v>27</v>
      </c>
      <c r="K952">
        <v>3</v>
      </c>
      <c r="L952" s="1" t="s">
        <v>55</v>
      </c>
      <c r="M952">
        <v>40</v>
      </c>
      <c r="N952" s="1" t="s">
        <v>29</v>
      </c>
      <c r="O952" s="1" t="s">
        <v>30</v>
      </c>
      <c r="P952">
        <v>3</v>
      </c>
      <c r="Q952" s="1" t="s">
        <v>74</v>
      </c>
      <c r="R952">
        <v>2</v>
      </c>
      <c r="S952" s="1" t="s">
        <v>32</v>
      </c>
      <c r="T952" s="1" t="s">
        <v>33</v>
      </c>
      <c r="U952" s="1" t="s">
        <v>34</v>
      </c>
      <c r="V952" s="1" t="str">
        <f>_xlfn.XLOOKUP(A952,Dictonary!$A$2:$A$5,Dictonary!$B$2:$B$5)</f>
        <v>Low balance</v>
      </c>
      <c r="W952" s="1" t="str">
        <f>_xlfn.XLOOKUP(D952,Dictonary!$D$2:$D$12,Dictonary!$E$2:$E$12)</f>
        <v>business</v>
      </c>
      <c r="X952" s="1" t="str">
        <f>_xlfn.XLOOKUP(F952,Dictonary!$G$2:$G$6,Dictonary!$H$2:$H$6)</f>
        <v>Less 100</v>
      </c>
      <c r="Y952" s="1" t="str">
        <f>_xlfn.XLOOKUP(I952,Dictonary!$J$2:$J$6,Dictonary!$K$2:$K$6)</f>
        <v>male : married/widowed</v>
      </c>
      <c r="Z952" s="1" t="str">
        <f>_xlfn.XLOOKUP(Q952,Dictonary!$M$2:$M$5,Dictonary!$N$2:$N$5)</f>
        <v>unemployed/ unskilled  - non-resident</v>
      </c>
      <c r="AA952" s="1" t="str">
        <f>_xlfn.XLOOKUP(O952,Dictonary!$P$2:$P$4,Dictonary!$Q$2:$Q$4)</f>
        <v>own</v>
      </c>
    </row>
    <row r="953" spans="1:27" x14ac:dyDescent="0.3">
      <c r="A953" s="1" t="s">
        <v>21</v>
      </c>
      <c r="B953">
        <v>36</v>
      </c>
      <c r="C953" s="1" t="s">
        <v>50</v>
      </c>
      <c r="D953" s="1" t="s">
        <v>63</v>
      </c>
      <c r="E953">
        <v>2145</v>
      </c>
      <c r="F953" s="1" t="s">
        <v>37</v>
      </c>
      <c r="G953" s="1" t="s">
        <v>44</v>
      </c>
      <c r="H953">
        <v>2</v>
      </c>
      <c r="I953" s="1" t="s">
        <v>26</v>
      </c>
      <c r="J953" s="1" t="s">
        <v>27</v>
      </c>
      <c r="K953">
        <v>1</v>
      </c>
      <c r="L953" s="1" t="s">
        <v>55</v>
      </c>
      <c r="M953">
        <v>24</v>
      </c>
      <c r="N953" s="1" t="s">
        <v>29</v>
      </c>
      <c r="O953" s="1" t="s">
        <v>30</v>
      </c>
      <c r="P953">
        <v>2</v>
      </c>
      <c r="Q953" s="1" t="s">
        <v>31</v>
      </c>
      <c r="R953">
        <v>1</v>
      </c>
      <c r="S953" s="1" t="s">
        <v>32</v>
      </c>
      <c r="T953" s="1" t="s">
        <v>33</v>
      </c>
      <c r="U953" s="1" t="s">
        <v>41</v>
      </c>
      <c r="V953" s="1" t="str">
        <f>_xlfn.XLOOKUP(A953,Dictonary!$A$2:$A$5,Dictonary!$B$2:$B$5)</f>
        <v>Negative balance</v>
      </c>
      <c r="W953" s="1" t="str">
        <f>_xlfn.XLOOKUP(D953,Dictonary!$D$2:$D$12,Dictonary!$E$2:$E$12)</f>
        <v>business</v>
      </c>
      <c r="X953" s="1" t="str">
        <f>_xlfn.XLOOKUP(F953,Dictonary!$G$2:$G$6,Dictonary!$H$2:$H$6)</f>
        <v>Less 100</v>
      </c>
      <c r="Y953" s="1" t="str">
        <f>_xlfn.XLOOKUP(I953,Dictonary!$J$2:$J$6,Dictonary!$K$2:$K$6)</f>
        <v>male : single</v>
      </c>
      <c r="Z953" s="1" t="str">
        <f>_xlfn.XLOOKUP(Q953,Dictonary!$M$2:$M$5,Dictonary!$N$2:$N$5)</f>
        <v>skilled employee / official</v>
      </c>
      <c r="AA953" s="1" t="str">
        <f>_xlfn.XLOOKUP(O953,Dictonary!$P$2:$P$4,Dictonary!$Q$2:$Q$4)</f>
        <v>own</v>
      </c>
    </row>
    <row r="954" spans="1:27" x14ac:dyDescent="0.3">
      <c r="A954" s="1" t="s">
        <v>35</v>
      </c>
      <c r="B954">
        <v>24</v>
      </c>
      <c r="C954" s="1" t="s">
        <v>36</v>
      </c>
      <c r="D954" s="1" t="s">
        <v>54</v>
      </c>
      <c r="E954">
        <v>4113</v>
      </c>
      <c r="F954" s="1" t="s">
        <v>53</v>
      </c>
      <c r="G954" s="1" t="s">
        <v>62</v>
      </c>
      <c r="H954">
        <v>3</v>
      </c>
      <c r="I954" s="1" t="s">
        <v>39</v>
      </c>
      <c r="J954" s="1" t="s">
        <v>27</v>
      </c>
      <c r="K954">
        <v>4</v>
      </c>
      <c r="L954" s="1" t="s">
        <v>55</v>
      </c>
      <c r="M954">
        <v>28</v>
      </c>
      <c r="N954" s="1" t="s">
        <v>29</v>
      </c>
      <c r="O954" s="1" t="s">
        <v>56</v>
      </c>
      <c r="P954">
        <v>1</v>
      </c>
      <c r="Q954" s="1" t="s">
        <v>31</v>
      </c>
      <c r="R954">
        <v>1</v>
      </c>
      <c r="S954" s="1" t="s">
        <v>40</v>
      </c>
      <c r="T954" s="1" t="s">
        <v>33</v>
      </c>
      <c r="U954" s="1" t="s">
        <v>41</v>
      </c>
      <c r="V954" s="1" t="str">
        <f>_xlfn.XLOOKUP(A954,Dictonary!$A$2:$A$5,Dictonary!$B$2:$B$5)</f>
        <v>Low balance</v>
      </c>
      <c r="W954" s="1" t="str">
        <f>_xlfn.XLOOKUP(D954,Dictonary!$D$2:$D$12,Dictonary!$E$2:$E$12)</f>
        <v>car (used)</v>
      </c>
      <c r="X954" s="1" t="str">
        <f>_xlfn.XLOOKUP(F954,Dictonary!$G$2:$G$6,Dictonary!$H$2:$H$6)</f>
        <v>Up to 1000</v>
      </c>
      <c r="Y954" s="1" t="str">
        <f>_xlfn.XLOOKUP(I954,Dictonary!$J$2:$J$6,Dictonary!$K$2:$K$6)</f>
        <v>female : divorced/separated/married</v>
      </c>
      <c r="Z954" s="1" t="str">
        <f>_xlfn.XLOOKUP(Q954,Dictonary!$M$2:$M$5,Dictonary!$N$2:$N$5)</f>
        <v>skilled employee / official</v>
      </c>
      <c r="AA954" s="1" t="str">
        <f>_xlfn.XLOOKUP(O954,Dictonary!$P$2:$P$4,Dictonary!$Q$2:$Q$4)</f>
        <v>rent</v>
      </c>
    </row>
    <row r="955" spans="1:27" x14ac:dyDescent="0.3">
      <c r="A955" s="1" t="s">
        <v>42</v>
      </c>
      <c r="B955">
        <v>36</v>
      </c>
      <c r="C955" s="1" t="s">
        <v>36</v>
      </c>
      <c r="D955" s="1" t="s">
        <v>46</v>
      </c>
      <c r="E955">
        <v>10974</v>
      </c>
      <c r="F955" s="1" t="s">
        <v>37</v>
      </c>
      <c r="G955" s="1" t="s">
        <v>60</v>
      </c>
      <c r="H955">
        <v>4</v>
      </c>
      <c r="I955" s="1" t="s">
        <v>39</v>
      </c>
      <c r="J955" s="1" t="s">
        <v>27</v>
      </c>
      <c r="K955">
        <v>2</v>
      </c>
      <c r="L955" s="1" t="s">
        <v>55</v>
      </c>
      <c r="M955">
        <v>26</v>
      </c>
      <c r="N955" s="1" t="s">
        <v>29</v>
      </c>
      <c r="O955" s="1" t="s">
        <v>30</v>
      </c>
      <c r="P955">
        <v>2</v>
      </c>
      <c r="Q955" s="1" t="s">
        <v>57</v>
      </c>
      <c r="R955">
        <v>1</v>
      </c>
      <c r="S955" s="1" t="s">
        <v>32</v>
      </c>
      <c r="T955" s="1" t="s">
        <v>33</v>
      </c>
      <c r="U955" s="1" t="s">
        <v>41</v>
      </c>
      <c r="V955" s="1" t="str">
        <f>_xlfn.XLOOKUP(A955,Dictonary!$A$2:$A$5,Dictonary!$B$2:$B$5)</f>
        <v>No information</v>
      </c>
      <c r="W955" s="1" t="str">
        <f>_xlfn.XLOOKUP(D955,Dictonary!$D$2:$D$12,Dictonary!$E$2:$E$12)</f>
        <v>furniture/equipment</v>
      </c>
      <c r="X955" s="1" t="str">
        <f>_xlfn.XLOOKUP(F955,Dictonary!$G$2:$G$6,Dictonary!$H$2:$H$6)</f>
        <v>Less 100</v>
      </c>
      <c r="Y955" s="1" t="str">
        <f>_xlfn.XLOOKUP(I955,Dictonary!$J$2:$J$6,Dictonary!$K$2:$K$6)</f>
        <v>female : divorced/separated/married</v>
      </c>
      <c r="Z955" s="1" t="str">
        <f>_xlfn.XLOOKUP(Q955,Dictonary!$M$2:$M$5,Dictonary!$N$2:$N$5)</f>
        <v>management/ self-employed/ highly qualified employee/ officer</v>
      </c>
      <c r="AA955" s="1" t="str">
        <f>_xlfn.XLOOKUP(O955,Dictonary!$P$2:$P$4,Dictonary!$Q$2:$Q$4)</f>
        <v>own</v>
      </c>
    </row>
    <row r="956" spans="1:27" x14ac:dyDescent="0.3">
      <c r="A956" s="1" t="s">
        <v>21</v>
      </c>
      <c r="B956">
        <v>12</v>
      </c>
      <c r="C956" s="1" t="s">
        <v>36</v>
      </c>
      <c r="D956" s="1" t="s">
        <v>51</v>
      </c>
      <c r="E956">
        <v>1893</v>
      </c>
      <c r="F956" s="1" t="s">
        <v>37</v>
      </c>
      <c r="G956" s="1" t="s">
        <v>38</v>
      </c>
      <c r="H956">
        <v>4</v>
      </c>
      <c r="I956" s="1" t="s">
        <v>39</v>
      </c>
      <c r="J956" s="1" t="s">
        <v>47</v>
      </c>
      <c r="K956">
        <v>4</v>
      </c>
      <c r="L956" s="1" t="s">
        <v>48</v>
      </c>
      <c r="M956">
        <v>29</v>
      </c>
      <c r="N956" s="1" t="s">
        <v>29</v>
      </c>
      <c r="O956" s="1" t="s">
        <v>30</v>
      </c>
      <c r="P956">
        <v>1</v>
      </c>
      <c r="Q956" s="1" t="s">
        <v>31</v>
      </c>
      <c r="R956">
        <v>1</v>
      </c>
      <c r="S956" s="1" t="s">
        <v>32</v>
      </c>
      <c r="T956" s="1" t="s">
        <v>33</v>
      </c>
      <c r="U956" s="1" t="s">
        <v>34</v>
      </c>
      <c r="V956" s="1" t="str">
        <f>_xlfn.XLOOKUP(A956,Dictonary!$A$2:$A$5,Dictonary!$B$2:$B$5)</f>
        <v>Negative balance</v>
      </c>
      <c r="W956" s="1" t="str">
        <f>_xlfn.XLOOKUP(D956,Dictonary!$D$2:$D$12,Dictonary!$E$2:$E$12)</f>
        <v>car (new)</v>
      </c>
      <c r="X956" s="1" t="str">
        <f>_xlfn.XLOOKUP(F956,Dictonary!$G$2:$G$6,Dictonary!$H$2:$H$6)</f>
        <v>Less 100</v>
      </c>
      <c r="Y956" s="1" t="str">
        <f>_xlfn.XLOOKUP(I956,Dictonary!$J$2:$J$6,Dictonary!$K$2:$K$6)</f>
        <v>female : divorced/separated/married</v>
      </c>
      <c r="Z956" s="1" t="str">
        <f>_xlfn.XLOOKUP(Q956,Dictonary!$M$2:$M$5,Dictonary!$N$2:$N$5)</f>
        <v>skilled employee / official</v>
      </c>
      <c r="AA956" s="1" t="str">
        <f>_xlfn.XLOOKUP(O956,Dictonary!$P$2:$P$4,Dictonary!$Q$2:$Q$4)</f>
        <v>own</v>
      </c>
    </row>
    <row r="957" spans="1:27" x14ac:dyDescent="0.3">
      <c r="A957" s="1" t="s">
        <v>21</v>
      </c>
      <c r="B957">
        <v>24</v>
      </c>
      <c r="C957" s="1" t="s">
        <v>22</v>
      </c>
      <c r="D957" s="1" t="s">
        <v>23</v>
      </c>
      <c r="E957">
        <v>1231</v>
      </c>
      <c r="F957" s="1" t="s">
        <v>58</v>
      </c>
      <c r="G957" s="1" t="s">
        <v>25</v>
      </c>
      <c r="H957">
        <v>4</v>
      </c>
      <c r="I957" s="1" t="s">
        <v>39</v>
      </c>
      <c r="J957" s="1" t="s">
        <v>27</v>
      </c>
      <c r="K957">
        <v>4</v>
      </c>
      <c r="L957" s="1" t="s">
        <v>48</v>
      </c>
      <c r="M957">
        <v>57</v>
      </c>
      <c r="N957" s="1" t="s">
        <v>29</v>
      </c>
      <c r="O957" s="1" t="s">
        <v>56</v>
      </c>
      <c r="P957">
        <v>2</v>
      </c>
      <c r="Q957" s="1" t="s">
        <v>57</v>
      </c>
      <c r="R957">
        <v>1</v>
      </c>
      <c r="S957" s="1" t="s">
        <v>32</v>
      </c>
      <c r="T957" s="1" t="s">
        <v>33</v>
      </c>
      <c r="U957" s="1" t="s">
        <v>34</v>
      </c>
      <c r="V957" s="1" t="str">
        <f>_xlfn.XLOOKUP(A957,Dictonary!$A$2:$A$5,Dictonary!$B$2:$B$5)</f>
        <v>Negative balance</v>
      </c>
      <c r="W957" s="1" t="str">
        <f>_xlfn.XLOOKUP(D957,Dictonary!$D$2:$D$12,Dictonary!$E$2:$E$12)</f>
        <v>radio/television</v>
      </c>
      <c r="X957" s="1" t="str">
        <f>_xlfn.XLOOKUP(F957,Dictonary!$G$2:$G$6,Dictonary!$H$2:$H$6)</f>
        <v>More 1000</v>
      </c>
      <c r="Y957" s="1" t="str">
        <f>_xlfn.XLOOKUP(I957,Dictonary!$J$2:$J$6,Dictonary!$K$2:$K$6)</f>
        <v>female : divorced/separated/married</v>
      </c>
      <c r="Z957" s="1" t="str">
        <f>_xlfn.XLOOKUP(Q957,Dictonary!$M$2:$M$5,Dictonary!$N$2:$N$5)</f>
        <v>management/ self-employed/ highly qualified employee/ officer</v>
      </c>
      <c r="AA957" s="1" t="str">
        <f>_xlfn.XLOOKUP(O957,Dictonary!$P$2:$P$4,Dictonary!$Q$2:$Q$4)</f>
        <v>rent</v>
      </c>
    </row>
    <row r="958" spans="1:27" x14ac:dyDescent="0.3">
      <c r="A958" s="1" t="s">
        <v>68</v>
      </c>
      <c r="B958">
        <v>30</v>
      </c>
      <c r="C958" s="1" t="s">
        <v>22</v>
      </c>
      <c r="D958" s="1" t="s">
        <v>23</v>
      </c>
      <c r="E958">
        <v>3656</v>
      </c>
      <c r="F958" s="1" t="s">
        <v>24</v>
      </c>
      <c r="G958" s="1" t="s">
        <v>25</v>
      </c>
      <c r="H958">
        <v>4</v>
      </c>
      <c r="I958" s="1" t="s">
        <v>26</v>
      </c>
      <c r="J958" s="1" t="s">
        <v>27</v>
      </c>
      <c r="K958">
        <v>4</v>
      </c>
      <c r="L958" s="1" t="s">
        <v>48</v>
      </c>
      <c r="M958">
        <v>49</v>
      </c>
      <c r="N958" s="1" t="s">
        <v>70</v>
      </c>
      <c r="O958" s="1" t="s">
        <v>30</v>
      </c>
      <c r="P958">
        <v>2</v>
      </c>
      <c r="Q958" s="1" t="s">
        <v>45</v>
      </c>
      <c r="R958">
        <v>1</v>
      </c>
      <c r="S958" s="1" t="s">
        <v>40</v>
      </c>
      <c r="T958" s="1" t="s">
        <v>33</v>
      </c>
      <c r="U958" s="1" t="s">
        <v>34</v>
      </c>
      <c r="V958" s="1" t="str">
        <f>_xlfn.XLOOKUP(A958,Dictonary!$A$2:$A$5,Dictonary!$B$2:$B$5)</f>
        <v>Normal balance</v>
      </c>
      <c r="W958" s="1" t="str">
        <f>_xlfn.XLOOKUP(D958,Dictonary!$D$2:$D$12,Dictonary!$E$2:$E$12)</f>
        <v>radio/television</v>
      </c>
      <c r="X958" s="1" t="str">
        <f>_xlfn.XLOOKUP(F958,Dictonary!$G$2:$G$6,Dictonary!$H$2:$H$6)</f>
        <v>No information</v>
      </c>
      <c r="Y958" s="1" t="str">
        <f>_xlfn.XLOOKUP(I958,Dictonary!$J$2:$J$6,Dictonary!$K$2:$K$6)</f>
        <v>male : single</v>
      </c>
      <c r="Z958" s="1" t="str">
        <f>_xlfn.XLOOKUP(Q958,Dictonary!$M$2:$M$5,Dictonary!$N$2:$N$5)</f>
        <v>unskilled - resident</v>
      </c>
      <c r="AA958" s="1" t="str">
        <f>_xlfn.XLOOKUP(O958,Dictonary!$P$2:$P$4,Dictonary!$Q$2:$Q$4)</f>
        <v>own</v>
      </c>
    </row>
    <row r="959" spans="1:27" x14ac:dyDescent="0.3">
      <c r="A959" s="1" t="s">
        <v>35</v>
      </c>
      <c r="B959">
        <v>9</v>
      </c>
      <c r="C959" s="1" t="s">
        <v>22</v>
      </c>
      <c r="D959" s="1" t="s">
        <v>23</v>
      </c>
      <c r="E959">
        <v>1154</v>
      </c>
      <c r="F959" s="1" t="s">
        <v>37</v>
      </c>
      <c r="G959" s="1" t="s">
        <v>25</v>
      </c>
      <c r="H959">
        <v>2</v>
      </c>
      <c r="I959" s="1" t="s">
        <v>26</v>
      </c>
      <c r="J959" s="1" t="s">
        <v>27</v>
      </c>
      <c r="K959">
        <v>4</v>
      </c>
      <c r="L959" s="1" t="s">
        <v>28</v>
      </c>
      <c r="M959">
        <v>37</v>
      </c>
      <c r="N959" s="1" t="s">
        <v>29</v>
      </c>
      <c r="O959" s="1" t="s">
        <v>30</v>
      </c>
      <c r="P959">
        <v>3</v>
      </c>
      <c r="Q959" s="1" t="s">
        <v>45</v>
      </c>
      <c r="R959">
        <v>1</v>
      </c>
      <c r="S959" s="1" t="s">
        <v>40</v>
      </c>
      <c r="T959" s="1" t="s">
        <v>33</v>
      </c>
      <c r="U959" s="1" t="s">
        <v>34</v>
      </c>
      <c r="V959" s="1" t="str">
        <f>_xlfn.XLOOKUP(A959,Dictonary!$A$2:$A$5,Dictonary!$B$2:$B$5)</f>
        <v>Low balance</v>
      </c>
      <c r="W959" s="1" t="str">
        <f>_xlfn.XLOOKUP(D959,Dictonary!$D$2:$D$12,Dictonary!$E$2:$E$12)</f>
        <v>radio/television</v>
      </c>
      <c r="X959" s="1" t="str">
        <f>_xlfn.XLOOKUP(F959,Dictonary!$G$2:$G$6,Dictonary!$H$2:$H$6)</f>
        <v>Less 100</v>
      </c>
      <c r="Y959" s="1" t="str">
        <f>_xlfn.XLOOKUP(I959,Dictonary!$J$2:$J$6,Dictonary!$K$2:$K$6)</f>
        <v>male : single</v>
      </c>
      <c r="Z959" s="1" t="str">
        <f>_xlfn.XLOOKUP(Q959,Dictonary!$M$2:$M$5,Dictonary!$N$2:$N$5)</f>
        <v>unskilled - resident</v>
      </c>
      <c r="AA959" s="1" t="str">
        <f>_xlfn.XLOOKUP(O959,Dictonary!$P$2:$P$4,Dictonary!$Q$2:$Q$4)</f>
        <v>own</v>
      </c>
    </row>
    <row r="960" spans="1:27" x14ac:dyDescent="0.3">
      <c r="A960" s="1" t="s">
        <v>21</v>
      </c>
      <c r="B960">
        <v>28</v>
      </c>
      <c r="C960" s="1" t="s">
        <v>36</v>
      </c>
      <c r="D960" s="1" t="s">
        <v>51</v>
      </c>
      <c r="E960">
        <v>4006</v>
      </c>
      <c r="F960" s="1" t="s">
        <v>37</v>
      </c>
      <c r="G960" s="1" t="s">
        <v>38</v>
      </c>
      <c r="H960">
        <v>3</v>
      </c>
      <c r="I960" s="1" t="s">
        <v>26</v>
      </c>
      <c r="J960" s="1" t="s">
        <v>27</v>
      </c>
      <c r="K960">
        <v>2</v>
      </c>
      <c r="L960" s="1" t="s">
        <v>55</v>
      </c>
      <c r="M960">
        <v>45</v>
      </c>
      <c r="N960" s="1" t="s">
        <v>29</v>
      </c>
      <c r="O960" s="1" t="s">
        <v>30</v>
      </c>
      <c r="P960">
        <v>1</v>
      </c>
      <c r="Q960" s="1" t="s">
        <v>45</v>
      </c>
      <c r="R960">
        <v>1</v>
      </c>
      <c r="S960" s="1" t="s">
        <v>40</v>
      </c>
      <c r="T960" s="1" t="s">
        <v>33</v>
      </c>
      <c r="U960" s="1" t="s">
        <v>41</v>
      </c>
      <c r="V960" s="1" t="str">
        <f>_xlfn.XLOOKUP(A960,Dictonary!$A$2:$A$5,Dictonary!$B$2:$B$5)</f>
        <v>Negative balance</v>
      </c>
      <c r="W960" s="1" t="str">
        <f>_xlfn.XLOOKUP(D960,Dictonary!$D$2:$D$12,Dictonary!$E$2:$E$12)</f>
        <v>car (new)</v>
      </c>
      <c r="X960" s="1" t="str">
        <f>_xlfn.XLOOKUP(F960,Dictonary!$G$2:$G$6,Dictonary!$H$2:$H$6)</f>
        <v>Less 100</v>
      </c>
      <c r="Y960" s="1" t="str">
        <f>_xlfn.XLOOKUP(I960,Dictonary!$J$2:$J$6,Dictonary!$K$2:$K$6)</f>
        <v>male : single</v>
      </c>
      <c r="Z960" s="1" t="str">
        <f>_xlfn.XLOOKUP(Q960,Dictonary!$M$2:$M$5,Dictonary!$N$2:$N$5)</f>
        <v>unskilled - resident</v>
      </c>
      <c r="AA960" s="1" t="str">
        <f>_xlfn.XLOOKUP(O960,Dictonary!$P$2:$P$4,Dictonary!$Q$2:$Q$4)</f>
        <v>own</v>
      </c>
    </row>
    <row r="961" spans="1:27" x14ac:dyDescent="0.3">
      <c r="A961" s="1" t="s">
        <v>35</v>
      </c>
      <c r="B961">
        <v>24</v>
      </c>
      <c r="C961" s="1" t="s">
        <v>36</v>
      </c>
      <c r="D961" s="1" t="s">
        <v>46</v>
      </c>
      <c r="E961">
        <v>3069</v>
      </c>
      <c r="F961" s="1" t="s">
        <v>64</v>
      </c>
      <c r="G961" s="1" t="s">
        <v>25</v>
      </c>
      <c r="H961">
        <v>4</v>
      </c>
      <c r="I961" s="1" t="s">
        <v>26</v>
      </c>
      <c r="J961" s="1" t="s">
        <v>27</v>
      </c>
      <c r="K961">
        <v>4</v>
      </c>
      <c r="L961" s="1" t="s">
        <v>52</v>
      </c>
      <c r="M961">
        <v>30</v>
      </c>
      <c r="N961" s="1" t="s">
        <v>29</v>
      </c>
      <c r="O961" s="1" t="s">
        <v>49</v>
      </c>
      <c r="P961">
        <v>1</v>
      </c>
      <c r="Q961" s="1" t="s">
        <v>31</v>
      </c>
      <c r="R961">
        <v>1</v>
      </c>
      <c r="S961" s="1" t="s">
        <v>40</v>
      </c>
      <c r="T961" s="1" t="s">
        <v>33</v>
      </c>
      <c r="U961" s="1" t="s">
        <v>34</v>
      </c>
      <c r="V961" s="1" t="str">
        <f>_xlfn.XLOOKUP(A961,Dictonary!$A$2:$A$5,Dictonary!$B$2:$B$5)</f>
        <v>Low balance</v>
      </c>
      <c r="W961" s="1" t="str">
        <f>_xlfn.XLOOKUP(D961,Dictonary!$D$2:$D$12,Dictonary!$E$2:$E$12)</f>
        <v>furniture/equipment</v>
      </c>
      <c r="X961" s="1" t="str">
        <f>_xlfn.XLOOKUP(F961,Dictonary!$G$2:$G$6,Dictonary!$H$2:$H$6)</f>
        <v>Up to 500</v>
      </c>
      <c r="Y961" s="1" t="str">
        <f>_xlfn.XLOOKUP(I961,Dictonary!$J$2:$J$6,Dictonary!$K$2:$K$6)</f>
        <v>male : single</v>
      </c>
      <c r="Z961" s="1" t="str">
        <f>_xlfn.XLOOKUP(Q961,Dictonary!$M$2:$M$5,Dictonary!$N$2:$N$5)</f>
        <v>skilled employee / official</v>
      </c>
      <c r="AA961" s="1" t="str">
        <f>_xlfn.XLOOKUP(O961,Dictonary!$P$2:$P$4,Dictonary!$Q$2:$Q$4)</f>
        <v>for free</v>
      </c>
    </row>
    <row r="962" spans="1:27" x14ac:dyDescent="0.3">
      <c r="A962" s="1" t="s">
        <v>42</v>
      </c>
      <c r="B962">
        <v>6</v>
      </c>
      <c r="C962" s="1" t="s">
        <v>22</v>
      </c>
      <c r="D962" s="1" t="s">
        <v>23</v>
      </c>
      <c r="E962">
        <v>1740</v>
      </c>
      <c r="F962" s="1" t="s">
        <v>37</v>
      </c>
      <c r="G962" s="1" t="s">
        <v>25</v>
      </c>
      <c r="H962">
        <v>2</v>
      </c>
      <c r="I962" s="1" t="s">
        <v>61</v>
      </c>
      <c r="J962" s="1" t="s">
        <v>27</v>
      </c>
      <c r="K962">
        <v>2</v>
      </c>
      <c r="L962" s="1" t="s">
        <v>28</v>
      </c>
      <c r="M962">
        <v>30</v>
      </c>
      <c r="N962" s="1" t="s">
        <v>29</v>
      </c>
      <c r="O962" s="1" t="s">
        <v>56</v>
      </c>
      <c r="P962">
        <v>2</v>
      </c>
      <c r="Q962" s="1" t="s">
        <v>31</v>
      </c>
      <c r="R962">
        <v>1</v>
      </c>
      <c r="S962" s="1" t="s">
        <v>40</v>
      </c>
      <c r="T962" s="1" t="s">
        <v>33</v>
      </c>
      <c r="U962" s="1" t="s">
        <v>34</v>
      </c>
      <c r="V962" s="1" t="str">
        <f>_xlfn.XLOOKUP(A962,Dictonary!$A$2:$A$5,Dictonary!$B$2:$B$5)</f>
        <v>No information</v>
      </c>
      <c r="W962" s="1" t="str">
        <f>_xlfn.XLOOKUP(D962,Dictonary!$D$2:$D$12,Dictonary!$E$2:$E$12)</f>
        <v>radio/television</v>
      </c>
      <c r="X962" s="1" t="str">
        <f>_xlfn.XLOOKUP(F962,Dictonary!$G$2:$G$6,Dictonary!$H$2:$H$6)</f>
        <v>Less 100</v>
      </c>
      <c r="Y962" s="1" t="str">
        <f>_xlfn.XLOOKUP(I962,Dictonary!$J$2:$J$6,Dictonary!$K$2:$K$6)</f>
        <v>male : married/widowed</v>
      </c>
      <c r="Z962" s="1" t="str">
        <f>_xlfn.XLOOKUP(Q962,Dictonary!$M$2:$M$5,Dictonary!$N$2:$N$5)</f>
        <v>skilled employee / official</v>
      </c>
      <c r="AA962" s="1" t="str">
        <f>_xlfn.XLOOKUP(O962,Dictonary!$P$2:$P$4,Dictonary!$Q$2:$Q$4)</f>
        <v>rent</v>
      </c>
    </row>
    <row r="963" spans="1:27" x14ac:dyDescent="0.3">
      <c r="A963" s="1" t="s">
        <v>35</v>
      </c>
      <c r="B963">
        <v>21</v>
      </c>
      <c r="C963" s="1" t="s">
        <v>50</v>
      </c>
      <c r="D963" s="1" t="s">
        <v>51</v>
      </c>
      <c r="E963">
        <v>2353</v>
      </c>
      <c r="F963" s="1" t="s">
        <v>37</v>
      </c>
      <c r="G963" s="1" t="s">
        <v>38</v>
      </c>
      <c r="H963">
        <v>1</v>
      </c>
      <c r="I963" s="1" t="s">
        <v>59</v>
      </c>
      <c r="J963" s="1" t="s">
        <v>27</v>
      </c>
      <c r="K963">
        <v>4</v>
      </c>
      <c r="L963" s="1" t="s">
        <v>48</v>
      </c>
      <c r="M963">
        <v>47</v>
      </c>
      <c r="N963" s="1" t="s">
        <v>29</v>
      </c>
      <c r="O963" s="1" t="s">
        <v>30</v>
      </c>
      <c r="P963">
        <v>2</v>
      </c>
      <c r="Q963" s="1" t="s">
        <v>31</v>
      </c>
      <c r="R963">
        <v>1</v>
      </c>
      <c r="S963" s="1" t="s">
        <v>40</v>
      </c>
      <c r="T963" s="1" t="s">
        <v>33</v>
      </c>
      <c r="U963" s="1" t="s">
        <v>34</v>
      </c>
      <c r="V963" s="1" t="str">
        <f>_xlfn.XLOOKUP(A963,Dictonary!$A$2:$A$5,Dictonary!$B$2:$B$5)</f>
        <v>Low balance</v>
      </c>
      <c r="W963" s="1" t="str">
        <f>_xlfn.XLOOKUP(D963,Dictonary!$D$2:$D$12,Dictonary!$E$2:$E$12)</f>
        <v>car (new)</v>
      </c>
      <c r="X963" s="1" t="str">
        <f>_xlfn.XLOOKUP(F963,Dictonary!$G$2:$G$6,Dictonary!$H$2:$H$6)</f>
        <v>Less 100</v>
      </c>
      <c r="Y963" s="1" t="str">
        <f>_xlfn.XLOOKUP(I963,Dictonary!$J$2:$J$6,Dictonary!$K$2:$K$6)</f>
        <v>male : divorced/separated</v>
      </c>
      <c r="Z963" s="1" t="str">
        <f>_xlfn.XLOOKUP(Q963,Dictonary!$M$2:$M$5,Dictonary!$N$2:$N$5)</f>
        <v>skilled employee / official</v>
      </c>
      <c r="AA963" s="1" t="str">
        <f>_xlfn.XLOOKUP(O963,Dictonary!$P$2:$P$4,Dictonary!$Q$2:$Q$4)</f>
        <v>own</v>
      </c>
    </row>
    <row r="964" spans="1:27" x14ac:dyDescent="0.3">
      <c r="A964" s="1" t="s">
        <v>42</v>
      </c>
      <c r="B964">
        <v>15</v>
      </c>
      <c r="C964" s="1" t="s">
        <v>36</v>
      </c>
      <c r="D964" s="1" t="s">
        <v>51</v>
      </c>
      <c r="E964">
        <v>3556</v>
      </c>
      <c r="F964" s="1" t="s">
        <v>24</v>
      </c>
      <c r="G964" s="1" t="s">
        <v>38</v>
      </c>
      <c r="H964">
        <v>3</v>
      </c>
      <c r="I964" s="1" t="s">
        <v>26</v>
      </c>
      <c r="J964" s="1" t="s">
        <v>27</v>
      </c>
      <c r="K964">
        <v>2</v>
      </c>
      <c r="L964" s="1" t="s">
        <v>52</v>
      </c>
      <c r="M964">
        <v>29</v>
      </c>
      <c r="N964" s="1" t="s">
        <v>29</v>
      </c>
      <c r="O964" s="1" t="s">
        <v>30</v>
      </c>
      <c r="P964">
        <v>1</v>
      </c>
      <c r="Q964" s="1" t="s">
        <v>31</v>
      </c>
      <c r="R964">
        <v>1</v>
      </c>
      <c r="S964" s="1" t="s">
        <v>40</v>
      </c>
      <c r="T964" s="1" t="s">
        <v>33</v>
      </c>
      <c r="U964" s="1" t="s">
        <v>34</v>
      </c>
      <c r="V964" s="1" t="str">
        <f>_xlfn.XLOOKUP(A964,Dictonary!$A$2:$A$5,Dictonary!$B$2:$B$5)</f>
        <v>No information</v>
      </c>
      <c r="W964" s="1" t="str">
        <f>_xlfn.XLOOKUP(D964,Dictonary!$D$2:$D$12,Dictonary!$E$2:$E$12)</f>
        <v>car (new)</v>
      </c>
      <c r="X964" s="1" t="str">
        <f>_xlfn.XLOOKUP(F964,Dictonary!$G$2:$G$6,Dictonary!$H$2:$H$6)</f>
        <v>No information</v>
      </c>
      <c r="Y964" s="1" t="str">
        <f>_xlfn.XLOOKUP(I964,Dictonary!$J$2:$J$6,Dictonary!$K$2:$K$6)</f>
        <v>male : single</v>
      </c>
      <c r="Z964" s="1" t="str">
        <f>_xlfn.XLOOKUP(Q964,Dictonary!$M$2:$M$5,Dictonary!$N$2:$N$5)</f>
        <v>skilled employee / official</v>
      </c>
      <c r="AA964" s="1" t="str">
        <f>_xlfn.XLOOKUP(O964,Dictonary!$P$2:$P$4,Dictonary!$Q$2:$Q$4)</f>
        <v>own</v>
      </c>
    </row>
    <row r="965" spans="1:27" x14ac:dyDescent="0.3">
      <c r="A965" s="1" t="s">
        <v>42</v>
      </c>
      <c r="B965">
        <v>24</v>
      </c>
      <c r="C965" s="1" t="s">
        <v>36</v>
      </c>
      <c r="D965" s="1" t="s">
        <v>23</v>
      </c>
      <c r="E965">
        <v>2397</v>
      </c>
      <c r="F965" s="1" t="s">
        <v>53</v>
      </c>
      <c r="G965" s="1" t="s">
        <v>25</v>
      </c>
      <c r="H965">
        <v>3</v>
      </c>
      <c r="I965" s="1" t="s">
        <v>26</v>
      </c>
      <c r="J965" s="1" t="s">
        <v>27</v>
      </c>
      <c r="K965">
        <v>2</v>
      </c>
      <c r="L965" s="1" t="s">
        <v>55</v>
      </c>
      <c r="M965">
        <v>35</v>
      </c>
      <c r="N965" s="1" t="s">
        <v>66</v>
      </c>
      <c r="O965" s="1" t="s">
        <v>30</v>
      </c>
      <c r="P965">
        <v>2</v>
      </c>
      <c r="Q965" s="1" t="s">
        <v>31</v>
      </c>
      <c r="R965">
        <v>1</v>
      </c>
      <c r="S965" s="1" t="s">
        <v>32</v>
      </c>
      <c r="T965" s="1" t="s">
        <v>33</v>
      </c>
      <c r="U965" s="1" t="s">
        <v>41</v>
      </c>
      <c r="V965" s="1" t="str">
        <f>_xlfn.XLOOKUP(A965,Dictonary!$A$2:$A$5,Dictonary!$B$2:$B$5)</f>
        <v>No information</v>
      </c>
      <c r="W965" s="1" t="str">
        <f>_xlfn.XLOOKUP(D965,Dictonary!$D$2:$D$12,Dictonary!$E$2:$E$12)</f>
        <v>radio/television</v>
      </c>
      <c r="X965" s="1" t="str">
        <f>_xlfn.XLOOKUP(F965,Dictonary!$G$2:$G$6,Dictonary!$H$2:$H$6)</f>
        <v>Up to 1000</v>
      </c>
      <c r="Y965" s="1" t="str">
        <f>_xlfn.XLOOKUP(I965,Dictonary!$J$2:$J$6,Dictonary!$K$2:$K$6)</f>
        <v>male : single</v>
      </c>
      <c r="Z965" s="1" t="str">
        <f>_xlfn.XLOOKUP(Q965,Dictonary!$M$2:$M$5,Dictonary!$N$2:$N$5)</f>
        <v>skilled employee / official</v>
      </c>
      <c r="AA965" s="1" t="str">
        <f>_xlfn.XLOOKUP(O965,Dictonary!$P$2:$P$4,Dictonary!$Q$2:$Q$4)</f>
        <v>own</v>
      </c>
    </row>
    <row r="966" spans="1:27" x14ac:dyDescent="0.3">
      <c r="A966" s="1" t="s">
        <v>35</v>
      </c>
      <c r="B966">
        <v>6</v>
      </c>
      <c r="C966" s="1" t="s">
        <v>36</v>
      </c>
      <c r="D966" s="1" t="s">
        <v>73</v>
      </c>
      <c r="E966">
        <v>454</v>
      </c>
      <c r="F966" s="1" t="s">
        <v>37</v>
      </c>
      <c r="G966" s="1" t="s">
        <v>62</v>
      </c>
      <c r="H966">
        <v>3</v>
      </c>
      <c r="I966" s="1" t="s">
        <v>61</v>
      </c>
      <c r="J966" s="1" t="s">
        <v>27</v>
      </c>
      <c r="K966">
        <v>1</v>
      </c>
      <c r="L966" s="1" t="s">
        <v>48</v>
      </c>
      <c r="M966">
        <v>22</v>
      </c>
      <c r="N966" s="1" t="s">
        <v>29</v>
      </c>
      <c r="O966" s="1" t="s">
        <v>30</v>
      </c>
      <c r="P966">
        <v>1</v>
      </c>
      <c r="Q966" s="1" t="s">
        <v>45</v>
      </c>
      <c r="R966">
        <v>1</v>
      </c>
      <c r="S966" s="1" t="s">
        <v>40</v>
      </c>
      <c r="T966" s="1" t="s">
        <v>33</v>
      </c>
      <c r="U966" s="1" t="s">
        <v>34</v>
      </c>
      <c r="V966" s="1" t="str">
        <f>_xlfn.XLOOKUP(A966,Dictonary!$A$2:$A$5,Dictonary!$B$2:$B$5)</f>
        <v>Low balance</v>
      </c>
      <c r="W966" s="1" t="str">
        <f>_xlfn.XLOOKUP(D966,Dictonary!$D$2:$D$12,Dictonary!$E$2:$E$12)</f>
        <v>repairs</v>
      </c>
      <c r="X966" s="1" t="str">
        <f>_xlfn.XLOOKUP(F966,Dictonary!$G$2:$G$6,Dictonary!$H$2:$H$6)</f>
        <v>Less 100</v>
      </c>
      <c r="Y966" s="1" t="str">
        <f>_xlfn.XLOOKUP(I966,Dictonary!$J$2:$J$6,Dictonary!$K$2:$K$6)</f>
        <v>male : married/widowed</v>
      </c>
      <c r="Z966" s="1" t="str">
        <f>_xlfn.XLOOKUP(Q966,Dictonary!$M$2:$M$5,Dictonary!$N$2:$N$5)</f>
        <v>unskilled - resident</v>
      </c>
      <c r="AA966" s="1" t="str">
        <f>_xlfn.XLOOKUP(O966,Dictonary!$P$2:$P$4,Dictonary!$Q$2:$Q$4)</f>
        <v>own</v>
      </c>
    </row>
    <row r="967" spans="1:27" x14ac:dyDescent="0.3">
      <c r="A967" s="1" t="s">
        <v>35</v>
      </c>
      <c r="B967">
        <v>30</v>
      </c>
      <c r="C967" s="1" t="s">
        <v>36</v>
      </c>
      <c r="D967" s="1" t="s">
        <v>23</v>
      </c>
      <c r="E967">
        <v>1715</v>
      </c>
      <c r="F967" s="1" t="s">
        <v>24</v>
      </c>
      <c r="G967" s="1" t="s">
        <v>38</v>
      </c>
      <c r="H967">
        <v>4</v>
      </c>
      <c r="I967" s="1" t="s">
        <v>39</v>
      </c>
      <c r="J967" s="1" t="s">
        <v>27</v>
      </c>
      <c r="K967">
        <v>1</v>
      </c>
      <c r="L967" s="1" t="s">
        <v>55</v>
      </c>
      <c r="M967">
        <v>26</v>
      </c>
      <c r="N967" s="1" t="s">
        <v>29</v>
      </c>
      <c r="O967" s="1" t="s">
        <v>30</v>
      </c>
      <c r="P967">
        <v>1</v>
      </c>
      <c r="Q967" s="1" t="s">
        <v>31</v>
      </c>
      <c r="R967">
        <v>1</v>
      </c>
      <c r="S967" s="1" t="s">
        <v>40</v>
      </c>
      <c r="T967" s="1" t="s">
        <v>33</v>
      </c>
      <c r="U967" s="1" t="s">
        <v>34</v>
      </c>
      <c r="V967" s="1" t="str">
        <f>_xlfn.XLOOKUP(A967,Dictonary!$A$2:$A$5,Dictonary!$B$2:$B$5)</f>
        <v>Low balance</v>
      </c>
      <c r="W967" s="1" t="str">
        <f>_xlfn.XLOOKUP(D967,Dictonary!$D$2:$D$12,Dictonary!$E$2:$E$12)</f>
        <v>radio/television</v>
      </c>
      <c r="X967" s="1" t="str">
        <f>_xlfn.XLOOKUP(F967,Dictonary!$G$2:$G$6,Dictonary!$H$2:$H$6)</f>
        <v>No information</v>
      </c>
      <c r="Y967" s="1" t="str">
        <f>_xlfn.XLOOKUP(I967,Dictonary!$J$2:$J$6,Dictonary!$K$2:$K$6)</f>
        <v>female : divorced/separated/married</v>
      </c>
      <c r="Z967" s="1" t="str">
        <f>_xlfn.XLOOKUP(Q967,Dictonary!$M$2:$M$5,Dictonary!$N$2:$N$5)</f>
        <v>skilled employee / official</v>
      </c>
      <c r="AA967" s="1" t="str">
        <f>_xlfn.XLOOKUP(O967,Dictonary!$P$2:$P$4,Dictonary!$Q$2:$Q$4)</f>
        <v>own</v>
      </c>
    </row>
    <row r="968" spans="1:27" x14ac:dyDescent="0.3">
      <c r="A968" s="1" t="s">
        <v>35</v>
      </c>
      <c r="B968">
        <v>27</v>
      </c>
      <c r="C968" s="1" t="s">
        <v>22</v>
      </c>
      <c r="D968" s="1" t="s">
        <v>23</v>
      </c>
      <c r="E968">
        <v>2520</v>
      </c>
      <c r="F968" s="1" t="s">
        <v>53</v>
      </c>
      <c r="G968" s="1" t="s">
        <v>38</v>
      </c>
      <c r="H968">
        <v>4</v>
      </c>
      <c r="I968" s="1" t="s">
        <v>26</v>
      </c>
      <c r="J968" s="1" t="s">
        <v>27</v>
      </c>
      <c r="K968">
        <v>2</v>
      </c>
      <c r="L968" s="1" t="s">
        <v>48</v>
      </c>
      <c r="M968">
        <v>23</v>
      </c>
      <c r="N968" s="1" t="s">
        <v>29</v>
      </c>
      <c r="O968" s="1" t="s">
        <v>30</v>
      </c>
      <c r="P968">
        <v>2</v>
      </c>
      <c r="Q968" s="1" t="s">
        <v>45</v>
      </c>
      <c r="R968">
        <v>1</v>
      </c>
      <c r="S968" s="1" t="s">
        <v>40</v>
      </c>
      <c r="T968" s="1" t="s">
        <v>33</v>
      </c>
      <c r="U968" s="1" t="s">
        <v>41</v>
      </c>
      <c r="V968" s="1" t="str">
        <f>_xlfn.XLOOKUP(A968,Dictonary!$A$2:$A$5,Dictonary!$B$2:$B$5)</f>
        <v>Low balance</v>
      </c>
      <c r="W968" s="1" t="str">
        <f>_xlfn.XLOOKUP(D968,Dictonary!$D$2:$D$12,Dictonary!$E$2:$E$12)</f>
        <v>radio/television</v>
      </c>
      <c r="X968" s="1" t="str">
        <f>_xlfn.XLOOKUP(F968,Dictonary!$G$2:$G$6,Dictonary!$H$2:$H$6)</f>
        <v>Up to 1000</v>
      </c>
      <c r="Y968" s="1" t="str">
        <f>_xlfn.XLOOKUP(I968,Dictonary!$J$2:$J$6,Dictonary!$K$2:$K$6)</f>
        <v>male : single</v>
      </c>
      <c r="Z968" s="1" t="str">
        <f>_xlfn.XLOOKUP(Q968,Dictonary!$M$2:$M$5,Dictonary!$N$2:$N$5)</f>
        <v>unskilled - resident</v>
      </c>
      <c r="AA968" s="1" t="str">
        <f>_xlfn.XLOOKUP(O968,Dictonary!$P$2:$P$4,Dictonary!$Q$2:$Q$4)</f>
        <v>own</v>
      </c>
    </row>
    <row r="969" spans="1:27" x14ac:dyDescent="0.3">
      <c r="A969" s="1" t="s">
        <v>42</v>
      </c>
      <c r="B969">
        <v>15</v>
      </c>
      <c r="C969" s="1" t="s">
        <v>36</v>
      </c>
      <c r="D969" s="1" t="s">
        <v>23</v>
      </c>
      <c r="E969">
        <v>3568</v>
      </c>
      <c r="F969" s="1" t="s">
        <v>37</v>
      </c>
      <c r="G969" s="1" t="s">
        <v>25</v>
      </c>
      <c r="H969">
        <v>4</v>
      </c>
      <c r="I969" s="1" t="s">
        <v>39</v>
      </c>
      <c r="J969" s="1" t="s">
        <v>27</v>
      </c>
      <c r="K969">
        <v>2</v>
      </c>
      <c r="L969" s="1" t="s">
        <v>55</v>
      </c>
      <c r="M969">
        <v>54</v>
      </c>
      <c r="N969" s="1" t="s">
        <v>66</v>
      </c>
      <c r="O969" s="1" t="s">
        <v>56</v>
      </c>
      <c r="P969">
        <v>1</v>
      </c>
      <c r="Q969" s="1" t="s">
        <v>57</v>
      </c>
      <c r="R969">
        <v>1</v>
      </c>
      <c r="S969" s="1" t="s">
        <v>32</v>
      </c>
      <c r="T969" s="1" t="s">
        <v>33</v>
      </c>
      <c r="U969" s="1" t="s">
        <v>34</v>
      </c>
      <c r="V969" s="1" t="str">
        <f>_xlfn.XLOOKUP(A969,Dictonary!$A$2:$A$5,Dictonary!$B$2:$B$5)</f>
        <v>No information</v>
      </c>
      <c r="W969" s="1" t="str">
        <f>_xlfn.XLOOKUP(D969,Dictonary!$D$2:$D$12,Dictonary!$E$2:$E$12)</f>
        <v>radio/television</v>
      </c>
      <c r="X969" s="1" t="str">
        <f>_xlfn.XLOOKUP(F969,Dictonary!$G$2:$G$6,Dictonary!$H$2:$H$6)</f>
        <v>Less 100</v>
      </c>
      <c r="Y969" s="1" t="str">
        <f>_xlfn.XLOOKUP(I969,Dictonary!$J$2:$J$6,Dictonary!$K$2:$K$6)</f>
        <v>female : divorced/separated/married</v>
      </c>
      <c r="Z969" s="1" t="str">
        <f>_xlfn.XLOOKUP(Q969,Dictonary!$M$2:$M$5,Dictonary!$N$2:$N$5)</f>
        <v>management/ self-employed/ highly qualified employee/ officer</v>
      </c>
      <c r="AA969" s="1" t="str">
        <f>_xlfn.XLOOKUP(O969,Dictonary!$P$2:$P$4,Dictonary!$Q$2:$Q$4)</f>
        <v>rent</v>
      </c>
    </row>
    <row r="970" spans="1:27" x14ac:dyDescent="0.3">
      <c r="A970" s="1" t="s">
        <v>42</v>
      </c>
      <c r="B970">
        <v>42</v>
      </c>
      <c r="C970" s="1" t="s">
        <v>36</v>
      </c>
      <c r="D970" s="1" t="s">
        <v>23</v>
      </c>
      <c r="E970">
        <v>7166</v>
      </c>
      <c r="F970" s="1" t="s">
        <v>24</v>
      </c>
      <c r="G970" s="1" t="s">
        <v>44</v>
      </c>
      <c r="H970">
        <v>2</v>
      </c>
      <c r="I970" s="1" t="s">
        <v>61</v>
      </c>
      <c r="J970" s="1" t="s">
        <v>27</v>
      </c>
      <c r="K970">
        <v>4</v>
      </c>
      <c r="L970" s="1" t="s">
        <v>48</v>
      </c>
      <c r="M970">
        <v>29</v>
      </c>
      <c r="N970" s="1" t="s">
        <v>29</v>
      </c>
      <c r="O970" s="1" t="s">
        <v>56</v>
      </c>
      <c r="P970">
        <v>1</v>
      </c>
      <c r="Q970" s="1" t="s">
        <v>31</v>
      </c>
      <c r="R970">
        <v>1</v>
      </c>
      <c r="S970" s="1" t="s">
        <v>32</v>
      </c>
      <c r="T970" s="1" t="s">
        <v>33</v>
      </c>
      <c r="U970" s="1" t="s">
        <v>34</v>
      </c>
      <c r="V970" s="1" t="str">
        <f>_xlfn.XLOOKUP(A970,Dictonary!$A$2:$A$5,Dictonary!$B$2:$B$5)</f>
        <v>No information</v>
      </c>
      <c r="W970" s="1" t="str">
        <f>_xlfn.XLOOKUP(D970,Dictonary!$D$2:$D$12,Dictonary!$E$2:$E$12)</f>
        <v>radio/television</v>
      </c>
      <c r="X970" s="1" t="str">
        <f>_xlfn.XLOOKUP(F970,Dictonary!$G$2:$G$6,Dictonary!$H$2:$H$6)</f>
        <v>No information</v>
      </c>
      <c r="Y970" s="1" t="str">
        <f>_xlfn.XLOOKUP(I970,Dictonary!$J$2:$J$6,Dictonary!$K$2:$K$6)</f>
        <v>male : married/widowed</v>
      </c>
      <c r="Z970" s="1" t="str">
        <f>_xlfn.XLOOKUP(Q970,Dictonary!$M$2:$M$5,Dictonary!$N$2:$N$5)</f>
        <v>skilled employee / official</v>
      </c>
      <c r="AA970" s="1" t="str">
        <f>_xlfn.XLOOKUP(O970,Dictonary!$P$2:$P$4,Dictonary!$Q$2:$Q$4)</f>
        <v>rent</v>
      </c>
    </row>
    <row r="971" spans="1:27" x14ac:dyDescent="0.3">
      <c r="A971" s="1" t="s">
        <v>21</v>
      </c>
      <c r="B971">
        <v>11</v>
      </c>
      <c r="C971" s="1" t="s">
        <v>22</v>
      </c>
      <c r="D971" s="1" t="s">
        <v>51</v>
      </c>
      <c r="E971">
        <v>3939</v>
      </c>
      <c r="F971" s="1" t="s">
        <v>37</v>
      </c>
      <c r="G971" s="1" t="s">
        <v>38</v>
      </c>
      <c r="H971">
        <v>1</v>
      </c>
      <c r="I971" s="1" t="s">
        <v>26</v>
      </c>
      <c r="J971" s="1" t="s">
        <v>27</v>
      </c>
      <c r="K971">
        <v>2</v>
      </c>
      <c r="L971" s="1" t="s">
        <v>28</v>
      </c>
      <c r="M971">
        <v>40</v>
      </c>
      <c r="N971" s="1" t="s">
        <v>29</v>
      </c>
      <c r="O971" s="1" t="s">
        <v>30</v>
      </c>
      <c r="P971">
        <v>2</v>
      </c>
      <c r="Q971" s="1" t="s">
        <v>45</v>
      </c>
      <c r="R971">
        <v>2</v>
      </c>
      <c r="S971" s="1" t="s">
        <v>40</v>
      </c>
      <c r="T971" s="1" t="s">
        <v>33</v>
      </c>
      <c r="U971" s="1" t="s">
        <v>34</v>
      </c>
      <c r="V971" s="1" t="str">
        <f>_xlfn.XLOOKUP(A971,Dictonary!$A$2:$A$5,Dictonary!$B$2:$B$5)</f>
        <v>Negative balance</v>
      </c>
      <c r="W971" s="1" t="str">
        <f>_xlfn.XLOOKUP(D971,Dictonary!$D$2:$D$12,Dictonary!$E$2:$E$12)</f>
        <v>car (new)</v>
      </c>
      <c r="X971" s="1" t="str">
        <f>_xlfn.XLOOKUP(F971,Dictonary!$G$2:$G$6,Dictonary!$H$2:$H$6)</f>
        <v>Less 100</v>
      </c>
      <c r="Y971" s="1" t="str">
        <f>_xlfn.XLOOKUP(I971,Dictonary!$J$2:$J$6,Dictonary!$K$2:$K$6)</f>
        <v>male : single</v>
      </c>
      <c r="Z971" s="1" t="str">
        <f>_xlfn.XLOOKUP(Q971,Dictonary!$M$2:$M$5,Dictonary!$N$2:$N$5)</f>
        <v>unskilled - resident</v>
      </c>
      <c r="AA971" s="1" t="str">
        <f>_xlfn.XLOOKUP(O971,Dictonary!$P$2:$P$4,Dictonary!$Q$2:$Q$4)</f>
        <v>own</v>
      </c>
    </row>
    <row r="972" spans="1:27" x14ac:dyDescent="0.3">
      <c r="A972" s="1" t="s">
        <v>35</v>
      </c>
      <c r="B972">
        <v>15</v>
      </c>
      <c r="C972" s="1" t="s">
        <v>36</v>
      </c>
      <c r="D972" s="1" t="s">
        <v>73</v>
      </c>
      <c r="E972">
        <v>1514</v>
      </c>
      <c r="F972" s="1" t="s">
        <v>64</v>
      </c>
      <c r="G972" s="1" t="s">
        <v>38</v>
      </c>
      <c r="H972">
        <v>4</v>
      </c>
      <c r="I972" s="1" t="s">
        <v>26</v>
      </c>
      <c r="J972" s="1" t="s">
        <v>47</v>
      </c>
      <c r="K972">
        <v>2</v>
      </c>
      <c r="L972" s="1" t="s">
        <v>28</v>
      </c>
      <c r="M972">
        <v>22</v>
      </c>
      <c r="N972" s="1" t="s">
        <v>29</v>
      </c>
      <c r="O972" s="1" t="s">
        <v>30</v>
      </c>
      <c r="P972">
        <v>1</v>
      </c>
      <c r="Q972" s="1" t="s">
        <v>31</v>
      </c>
      <c r="R972">
        <v>1</v>
      </c>
      <c r="S972" s="1" t="s">
        <v>40</v>
      </c>
      <c r="T972" s="1" t="s">
        <v>33</v>
      </c>
      <c r="U972" s="1" t="s">
        <v>34</v>
      </c>
      <c r="V972" s="1" t="str">
        <f>_xlfn.XLOOKUP(A972,Dictonary!$A$2:$A$5,Dictonary!$B$2:$B$5)</f>
        <v>Low balance</v>
      </c>
      <c r="W972" s="1" t="str">
        <f>_xlfn.XLOOKUP(D972,Dictonary!$D$2:$D$12,Dictonary!$E$2:$E$12)</f>
        <v>repairs</v>
      </c>
      <c r="X972" s="1" t="str">
        <f>_xlfn.XLOOKUP(F972,Dictonary!$G$2:$G$6,Dictonary!$H$2:$H$6)</f>
        <v>Up to 500</v>
      </c>
      <c r="Y972" s="1" t="str">
        <f>_xlfn.XLOOKUP(I972,Dictonary!$J$2:$J$6,Dictonary!$K$2:$K$6)</f>
        <v>male : single</v>
      </c>
      <c r="Z972" s="1" t="str">
        <f>_xlfn.XLOOKUP(Q972,Dictonary!$M$2:$M$5,Dictonary!$N$2:$N$5)</f>
        <v>skilled employee / official</v>
      </c>
      <c r="AA972" s="1" t="str">
        <f>_xlfn.XLOOKUP(O972,Dictonary!$P$2:$P$4,Dictonary!$Q$2:$Q$4)</f>
        <v>own</v>
      </c>
    </row>
    <row r="973" spans="1:27" x14ac:dyDescent="0.3">
      <c r="A973" s="1" t="s">
        <v>42</v>
      </c>
      <c r="B973">
        <v>24</v>
      </c>
      <c r="C973" s="1" t="s">
        <v>36</v>
      </c>
      <c r="D973" s="1" t="s">
        <v>51</v>
      </c>
      <c r="E973">
        <v>7393</v>
      </c>
      <c r="F973" s="1" t="s">
        <v>37</v>
      </c>
      <c r="G973" s="1" t="s">
        <v>38</v>
      </c>
      <c r="H973">
        <v>1</v>
      </c>
      <c r="I973" s="1" t="s">
        <v>26</v>
      </c>
      <c r="J973" s="1" t="s">
        <v>27</v>
      </c>
      <c r="K973">
        <v>4</v>
      </c>
      <c r="L973" s="1" t="s">
        <v>48</v>
      </c>
      <c r="M973">
        <v>43</v>
      </c>
      <c r="N973" s="1" t="s">
        <v>29</v>
      </c>
      <c r="O973" s="1" t="s">
        <v>30</v>
      </c>
      <c r="P973">
        <v>1</v>
      </c>
      <c r="Q973" s="1" t="s">
        <v>45</v>
      </c>
      <c r="R973">
        <v>2</v>
      </c>
      <c r="S973" s="1" t="s">
        <v>40</v>
      </c>
      <c r="T973" s="1" t="s">
        <v>33</v>
      </c>
      <c r="U973" s="1" t="s">
        <v>34</v>
      </c>
      <c r="V973" s="1" t="str">
        <f>_xlfn.XLOOKUP(A973,Dictonary!$A$2:$A$5,Dictonary!$B$2:$B$5)</f>
        <v>No information</v>
      </c>
      <c r="W973" s="1" t="str">
        <f>_xlfn.XLOOKUP(D973,Dictonary!$D$2:$D$12,Dictonary!$E$2:$E$12)</f>
        <v>car (new)</v>
      </c>
      <c r="X973" s="1" t="str">
        <f>_xlfn.XLOOKUP(F973,Dictonary!$G$2:$G$6,Dictonary!$H$2:$H$6)</f>
        <v>Less 100</v>
      </c>
      <c r="Y973" s="1" t="str">
        <f>_xlfn.XLOOKUP(I973,Dictonary!$J$2:$J$6,Dictonary!$K$2:$K$6)</f>
        <v>male : single</v>
      </c>
      <c r="Z973" s="1" t="str">
        <f>_xlfn.XLOOKUP(Q973,Dictonary!$M$2:$M$5,Dictonary!$N$2:$N$5)</f>
        <v>unskilled - resident</v>
      </c>
      <c r="AA973" s="1" t="str">
        <f>_xlfn.XLOOKUP(O973,Dictonary!$P$2:$P$4,Dictonary!$Q$2:$Q$4)</f>
        <v>own</v>
      </c>
    </row>
    <row r="974" spans="1:27" x14ac:dyDescent="0.3">
      <c r="A974" s="1" t="s">
        <v>21</v>
      </c>
      <c r="B974">
        <v>24</v>
      </c>
      <c r="C974" s="1" t="s">
        <v>69</v>
      </c>
      <c r="D974" s="1" t="s">
        <v>51</v>
      </c>
      <c r="E974">
        <v>1193</v>
      </c>
      <c r="F974" s="1" t="s">
        <v>37</v>
      </c>
      <c r="G974" s="1" t="s">
        <v>60</v>
      </c>
      <c r="H974">
        <v>1</v>
      </c>
      <c r="I974" s="1" t="s">
        <v>39</v>
      </c>
      <c r="J974" s="1" t="s">
        <v>71</v>
      </c>
      <c r="K974">
        <v>4</v>
      </c>
      <c r="L974" s="1" t="s">
        <v>52</v>
      </c>
      <c r="M974">
        <v>29</v>
      </c>
      <c r="N974" s="1" t="s">
        <v>29</v>
      </c>
      <c r="O974" s="1" t="s">
        <v>56</v>
      </c>
      <c r="P974">
        <v>2</v>
      </c>
      <c r="Q974" s="1" t="s">
        <v>74</v>
      </c>
      <c r="R974">
        <v>1</v>
      </c>
      <c r="S974" s="1" t="s">
        <v>40</v>
      </c>
      <c r="T974" s="1" t="s">
        <v>33</v>
      </c>
      <c r="U974" s="1" t="s">
        <v>41</v>
      </c>
      <c r="V974" s="1" t="str">
        <f>_xlfn.XLOOKUP(A974,Dictonary!$A$2:$A$5,Dictonary!$B$2:$B$5)</f>
        <v>Negative balance</v>
      </c>
      <c r="W974" s="1" t="str">
        <f>_xlfn.XLOOKUP(D974,Dictonary!$D$2:$D$12,Dictonary!$E$2:$E$12)</f>
        <v>car (new)</v>
      </c>
      <c r="X974" s="1" t="str">
        <f>_xlfn.XLOOKUP(F974,Dictonary!$G$2:$G$6,Dictonary!$H$2:$H$6)</f>
        <v>Less 100</v>
      </c>
      <c r="Y974" s="1" t="str">
        <f>_xlfn.XLOOKUP(I974,Dictonary!$J$2:$J$6,Dictonary!$K$2:$K$6)</f>
        <v>female : divorced/separated/married</v>
      </c>
      <c r="Z974" s="1" t="str">
        <f>_xlfn.XLOOKUP(Q974,Dictonary!$M$2:$M$5,Dictonary!$N$2:$N$5)</f>
        <v>unemployed/ unskilled  - non-resident</v>
      </c>
      <c r="AA974" s="1" t="str">
        <f>_xlfn.XLOOKUP(O974,Dictonary!$P$2:$P$4,Dictonary!$Q$2:$Q$4)</f>
        <v>rent</v>
      </c>
    </row>
    <row r="975" spans="1:27" x14ac:dyDescent="0.3">
      <c r="A975" s="1" t="s">
        <v>21</v>
      </c>
      <c r="B975">
        <v>60</v>
      </c>
      <c r="C975" s="1" t="s">
        <v>36</v>
      </c>
      <c r="D975" s="1" t="s">
        <v>63</v>
      </c>
      <c r="E975">
        <v>7297</v>
      </c>
      <c r="F975" s="1" t="s">
        <v>37</v>
      </c>
      <c r="G975" s="1" t="s">
        <v>25</v>
      </c>
      <c r="H975">
        <v>4</v>
      </c>
      <c r="I975" s="1" t="s">
        <v>26</v>
      </c>
      <c r="J975" s="1" t="s">
        <v>71</v>
      </c>
      <c r="K975">
        <v>4</v>
      </c>
      <c r="L975" s="1" t="s">
        <v>52</v>
      </c>
      <c r="M975">
        <v>36</v>
      </c>
      <c r="N975" s="1" t="s">
        <v>29</v>
      </c>
      <c r="O975" s="1" t="s">
        <v>56</v>
      </c>
      <c r="P975">
        <v>1</v>
      </c>
      <c r="Q975" s="1" t="s">
        <v>31</v>
      </c>
      <c r="R975">
        <v>1</v>
      </c>
      <c r="S975" s="1" t="s">
        <v>40</v>
      </c>
      <c r="T975" s="1" t="s">
        <v>33</v>
      </c>
      <c r="U975" s="1" t="s">
        <v>41</v>
      </c>
      <c r="V975" s="1" t="str">
        <f>_xlfn.XLOOKUP(A975,Dictonary!$A$2:$A$5,Dictonary!$B$2:$B$5)</f>
        <v>Negative balance</v>
      </c>
      <c r="W975" s="1" t="str">
        <f>_xlfn.XLOOKUP(D975,Dictonary!$D$2:$D$12,Dictonary!$E$2:$E$12)</f>
        <v>business</v>
      </c>
      <c r="X975" s="1" t="str">
        <f>_xlfn.XLOOKUP(F975,Dictonary!$G$2:$G$6,Dictonary!$H$2:$H$6)</f>
        <v>Less 100</v>
      </c>
      <c r="Y975" s="1" t="str">
        <f>_xlfn.XLOOKUP(I975,Dictonary!$J$2:$J$6,Dictonary!$K$2:$K$6)</f>
        <v>male : single</v>
      </c>
      <c r="Z975" s="1" t="str">
        <f>_xlfn.XLOOKUP(Q975,Dictonary!$M$2:$M$5,Dictonary!$N$2:$N$5)</f>
        <v>skilled employee / official</v>
      </c>
      <c r="AA975" s="1" t="str">
        <f>_xlfn.XLOOKUP(O975,Dictonary!$P$2:$P$4,Dictonary!$Q$2:$Q$4)</f>
        <v>rent</v>
      </c>
    </row>
    <row r="976" spans="1:27" x14ac:dyDescent="0.3">
      <c r="A976" s="1" t="s">
        <v>42</v>
      </c>
      <c r="B976">
        <v>30</v>
      </c>
      <c r="C976" s="1" t="s">
        <v>22</v>
      </c>
      <c r="D976" s="1" t="s">
        <v>23</v>
      </c>
      <c r="E976">
        <v>2831</v>
      </c>
      <c r="F976" s="1" t="s">
        <v>37</v>
      </c>
      <c r="G976" s="1" t="s">
        <v>38</v>
      </c>
      <c r="H976">
        <v>4</v>
      </c>
      <c r="I976" s="1" t="s">
        <v>39</v>
      </c>
      <c r="J976" s="1" t="s">
        <v>27</v>
      </c>
      <c r="K976">
        <v>2</v>
      </c>
      <c r="L976" s="1" t="s">
        <v>55</v>
      </c>
      <c r="M976">
        <v>33</v>
      </c>
      <c r="N976" s="1" t="s">
        <v>29</v>
      </c>
      <c r="O976" s="1" t="s">
        <v>30</v>
      </c>
      <c r="P976">
        <v>1</v>
      </c>
      <c r="Q976" s="1" t="s">
        <v>31</v>
      </c>
      <c r="R976">
        <v>1</v>
      </c>
      <c r="S976" s="1" t="s">
        <v>32</v>
      </c>
      <c r="T976" s="1" t="s">
        <v>33</v>
      </c>
      <c r="U976" s="1" t="s">
        <v>34</v>
      </c>
      <c r="V976" s="1" t="str">
        <f>_xlfn.XLOOKUP(A976,Dictonary!$A$2:$A$5,Dictonary!$B$2:$B$5)</f>
        <v>No information</v>
      </c>
      <c r="W976" s="1" t="str">
        <f>_xlfn.XLOOKUP(D976,Dictonary!$D$2:$D$12,Dictonary!$E$2:$E$12)</f>
        <v>radio/television</v>
      </c>
      <c r="X976" s="1" t="str">
        <f>_xlfn.XLOOKUP(F976,Dictonary!$G$2:$G$6,Dictonary!$H$2:$H$6)</f>
        <v>Less 100</v>
      </c>
      <c r="Y976" s="1" t="str">
        <f>_xlfn.XLOOKUP(I976,Dictonary!$J$2:$J$6,Dictonary!$K$2:$K$6)</f>
        <v>female : divorced/separated/married</v>
      </c>
      <c r="Z976" s="1" t="str">
        <f>_xlfn.XLOOKUP(Q976,Dictonary!$M$2:$M$5,Dictonary!$N$2:$N$5)</f>
        <v>skilled employee / official</v>
      </c>
      <c r="AA976" s="1" t="str">
        <f>_xlfn.XLOOKUP(O976,Dictonary!$P$2:$P$4,Dictonary!$Q$2:$Q$4)</f>
        <v>own</v>
      </c>
    </row>
    <row r="977" spans="1:27" x14ac:dyDescent="0.3">
      <c r="A977" s="1" t="s">
        <v>68</v>
      </c>
      <c r="B977">
        <v>24</v>
      </c>
      <c r="C977" s="1" t="s">
        <v>36</v>
      </c>
      <c r="D977" s="1" t="s">
        <v>23</v>
      </c>
      <c r="E977">
        <v>1258</v>
      </c>
      <c r="F977" s="1" t="s">
        <v>53</v>
      </c>
      <c r="G977" s="1" t="s">
        <v>38</v>
      </c>
      <c r="H977">
        <v>3</v>
      </c>
      <c r="I977" s="1" t="s">
        <v>39</v>
      </c>
      <c r="J977" s="1" t="s">
        <v>27</v>
      </c>
      <c r="K977">
        <v>3</v>
      </c>
      <c r="L977" s="1" t="s">
        <v>55</v>
      </c>
      <c r="M977">
        <v>57</v>
      </c>
      <c r="N977" s="1" t="s">
        <v>29</v>
      </c>
      <c r="O977" s="1" t="s">
        <v>30</v>
      </c>
      <c r="P977">
        <v>1</v>
      </c>
      <c r="Q977" s="1" t="s">
        <v>45</v>
      </c>
      <c r="R977">
        <v>1</v>
      </c>
      <c r="S977" s="1" t="s">
        <v>40</v>
      </c>
      <c r="T977" s="1" t="s">
        <v>33</v>
      </c>
      <c r="U977" s="1" t="s">
        <v>34</v>
      </c>
      <c r="V977" s="1" t="str">
        <f>_xlfn.XLOOKUP(A977,Dictonary!$A$2:$A$5,Dictonary!$B$2:$B$5)</f>
        <v>Normal balance</v>
      </c>
      <c r="W977" s="1" t="str">
        <f>_xlfn.XLOOKUP(D977,Dictonary!$D$2:$D$12,Dictonary!$E$2:$E$12)</f>
        <v>radio/television</v>
      </c>
      <c r="X977" s="1" t="str">
        <f>_xlfn.XLOOKUP(F977,Dictonary!$G$2:$G$6,Dictonary!$H$2:$H$6)</f>
        <v>Up to 1000</v>
      </c>
      <c r="Y977" s="1" t="str">
        <f>_xlfn.XLOOKUP(I977,Dictonary!$J$2:$J$6,Dictonary!$K$2:$K$6)</f>
        <v>female : divorced/separated/married</v>
      </c>
      <c r="Z977" s="1" t="str">
        <f>_xlfn.XLOOKUP(Q977,Dictonary!$M$2:$M$5,Dictonary!$N$2:$N$5)</f>
        <v>unskilled - resident</v>
      </c>
      <c r="AA977" s="1" t="str">
        <f>_xlfn.XLOOKUP(O977,Dictonary!$P$2:$P$4,Dictonary!$Q$2:$Q$4)</f>
        <v>own</v>
      </c>
    </row>
    <row r="978" spans="1:27" x14ac:dyDescent="0.3">
      <c r="A978" s="1" t="s">
        <v>35</v>
      </c>
      <c r="B978">
        <v>6</v>
      </c>
      <c r="C978" s="1" t="s">
        <v>36</v>
      </c>
      <c r="D978" s="1" t="s">
        <v>23</v>
      </c>
      <c r="E978">
        <v>753</v>
      </c>
      <c r="F978" s="1" t="s">
        <v>37</v>
      </c>
      <c r="G978" s="1" t="s">
        <v>38</v>
      </c>
      <c r="H978">
        <v>2</v>
      </c>
      <c r="I978" s="1" t="s">
        <v>39</v>
      </c>
      <c r="J978" s="1" t="s">
        <v>47</v>
      </c>
      <c r="K978">
        <v>3</v>
      </c>
      <c r="L978" s="1" t="s">
        <v>28</v>
      </c>
      <c r="M978">
        <v>64</v>
      </c>
      <c r="N978" s="1" t="s">
        <v>29</v>
      </c>
      <c r="O978" s="1" t="s">
        <v>30</v>
      </c>
      <c r="P978">
        <v>1</v>
      </c>
      <c r="Q978" s="1" t="s">
        <v>31</v>
      </c>
      <c r="R978">
        <v>1</v>
      </c>
      <c r="S978" s="1" t="s">
        <v>40</v>
      </c>
      <c r="T978" s="1" t="s">
        <v>33</v>
      </c>
      <c r="U978" s="1" t="s">
        <v>34</v>
      </c>
      <c r="V978" s="1" t="str">
        <f>_xlfn.XLOOKUP(A978,Dictonary!$A$2:$A$5,Dictonary!$B$2:$B$5)</f>
        <v>Low balance</v>
      </c>
      <c r="W978" s="1" t="str">
        <f>_xlfn.XLOOKUP(D978,Dictonary!$D$2:$D$12,Dictonary!$E$2:$E$12)</f>
        <v>radio/television</v>
      </c>
      <c r="X978" s="1" t="str">
        <f>_xlfn.XLOOKUP(F978,Dictonary!$G$2:$G$6,Dictonary!$H$2:$H$6)</f>
        <v>Less 100</v>
      </c>
      <c r="Y978" s="1" t="str">
        <f>_xlfn.XLOOKUP(I978,Dictonary!$J$2:$J$6,Dictonary!$K$2:$K$6)</f>
        <v>female : divorced/separated/married</v>
      </c>
      <c r="Z978" s="1" t="str">
        <f>_xlfn.XLOOKUP(Q978,Dictonary!$M$2:$M$5,Dictonary!$N$2:$N$5)</f>
        <v>skilled employee / official</v>
      </c>
      <c r="AA978" s="1" t="str">
        <f>_xlfn.XLOOKUP(O978,Dictonary!$P$2:$P$4,Dictonary!$Q$2:$Q$4)</f>
        <v>own</v>
      </c>
    </row>
    <row r="979" spans="1:27" x14ac:dyDescent="0.3">
      <c r="A979" s="1" t="s">
        <v>35</v>
      </c>
      <c r="B979">
        <v>18</v>
      </c>
      <c r="C979" s="1" t="s">
        <v>50</v>
      </c>
      <c r="D979" s="1" t="s">
        <v>63</v>
      </c>
      <c r="E979">
        <v>2427</v>
      </c>
      <c r="F979" s="1" t="s">
        <v>24</v>
      </c>
      <c r="G979" s="1" t="s">
        <v>25</v>
      </c>
      <c r="H979">
        <v>4</v>
      </c>
      <c r="I979" s="1" t="s">
        <v>26</v>
      </c>
      <c r="J979" s="1" t="s">
        <v>27</v>
      </c>
      <c r="K979">
        <v>2</v>
      </c>
      <c r="L979" s="1" t="s">
        <v>48</v>
      </c>
      <c r="M979">
        <v>42</v>
      </c>
      <c r="N979" s="1" t="s">
        <v>29</v>
      </c>
      <c r="O979" s="1" t="s">
        <v>30</v>
      </c>
      <c r="P979">
        <v>2</v>
      </c>
      <c r="Q979" s="1" t="s">
        <v>31</v>
      </c>
      <c r="R979">
        <v>1</v>
      </c>
      <c r="S979" s="1" t="s">
        <v>40</v>
      </c>
      <c r="T979" s="1" t="s">
        <v>33</v>
      </c>
      <c r="U979" s="1" t="s">
        <v>34</v>
      </c>
      <c r="V979" s="1" t="str">
        <f>_xlfn.XLOOKUP(A979,Dictonary!$A$2:$A$5,Dictonary!$B$2:$B$5)</f>
        <v>Low balance</v>
      </c>
      <c r="W979" s="1" t="str">
        <f>_xlfn.XLOOKUP(D979,Dictonary!$D$2:$D$12,Dictonary!$E$2:$E$12)</f>
        <v>business</v>
      </c>
      <c r="X979" s="1" t="str">
        <f>_xlfn.XLOOKUP(F979,Dictonary!$G$2:$G$6,Dictonary!$H$2:$H$6)</f>
        <v>No information</v>
      </c>
      <c r="Y979" s="1" t="str">
        <f>_xlfn.XLOOKUP(I979,Dictonary!$J$2:$J$6,Dictonary!$K$2:$K$6)</f>
        <v>male : single</v>
      </c>
      <c r="Z979" s="1" t="str">
        <f>_xlfn.XLOOKUP(Q979,Dictonary!$M$2:$M$5,Dictonary!$N$2:$N$5)</f>
        <v>skilled employee / official</v>
      </c>
      <c r="AA979" s="1" t="str">
        <f>_xlfn.XLOOKUP(O979,Dictonary!$P$2:$P$4,Dictonary!$Q$2:$Q$4)</f>
        <v>own</v>
      </c>
    </row>
    <row r="980" spans="1:27" x14ac:dyDescent="0.3">
      <c r="A980" s="1" t="s">
        <v>42</v>
      </c>
      <c r="B980">
        <v>24</v>
      </c>
      <c r="C980" s="1" t="s">
        <v>50</v>
      </c>
      <c r="D980" s="1" t="s">
        <v>51</v>
      </c>
      <c r="E980">
        <v>2538</v>
      </c>
      <c r="F980" s="1" t="s">
        <v>37</v>
      </c>
      <c r="G980" s="1" t="s">
        <v>25</v>
      </c>
      <c r="H980">
        <v>4</v>
      </c>
      <c r="I980" s="1" t="s">
        <v>26</v>
      </c>
      <c r="J980" s="1" t="s">
        <v>27</v>
      </c>
      <c r="K980">
        <v>4</v>
      </c>
      <c r="L980" s="1" t="s">
        <v>55</v>
      </c>
      <c r="M980">
        <v>47</v>
      </c>
      <c r="N980" s="1" t="s">
        <v>29</v>
      </c>
      <c r="O980" s="1" t="s">
        <v>30</v>
      </c>
      <c r="P980">
        <v>2</v>
      </c>
      <c r="Q980" s="1" t="s">
        <v>45</v>
      </c>
      <c r="R980">
        <v>2</v>
      </c>
      <c r="S980" s="1" t="s">
        <v>40</v>
      </c>
      <c r="T980" s="1" t="s">
        <v>33</v>
      </c>
      <c r="U980" s="1" t="s">
        <v>41</v>
      </c>
      <c r="V980" s="1" t="str">
        <f>_xlfn.XLOOKUP(A980,Dictonary!$A$2:$A$5,Dictonary!$B$2:$B$5)</f>
        <v>No information</v>
      </c>
      <c r="W980" s="1" t="str">
        <f>_xlfn.XLOOKUP(D980,Dictonary!$D$2:$D$12,Dictonary!$E$2:$E$12)</f>
        <v>car (new)</v>
      </c>
      <c r="X980" s="1" t="str">
        <f>_xlfn.XLOOKUP(F980,Dictonary!$G$2:$G$6,Dictonary!$H$2:$H$6)</f>
        <v>Less 100</v>
      </c>
      <c r="Y980" s="1" t="str">
        <f>_xlfn.XLOOKUP(I980,Dictonary!$J$2:$J$6,Dictonary!$K$2:$K$6)</f>
        <v>male : single</v>
      </c>
      <c r="Z980" s="1" t="str">
        <f>_xlfn.XLOOKUP(Q980,Dictonary!$M$2:$M$5,Dictonary!$N$2:$N$5)</f>
        <v>unskilled - resident</v>
      </c>
      <c r="AA980" s="1" t="str">
        <f>_xlfn.XLOOKUP(O980,Dictonary!$P$2:$P$4,Dictonary!$Q$2:$Q$4)</f>
        <v>own</v>
      </c>
    </row>
    <row r="981" spans="1:27" x14ac:dyDescent="0.3">
      <c r="A981" s="1" t="s">
        <v>35</v>
      </c>
      <c r="B981">
        <v>15</v>
      </c>
      <c r="C981" s="1" t="s">
        <v>69</v>
      </c>
      <c r="D981" s="1" t="s">
        <v>51</v>
      </c>
      <c r="E981">
        <v>1264</v>
      </c>
      <c r="F981" s="1" t="s">
        <v>64</v>
      </c>
      <c r="G981" s="1" t="s">
        <v>38</v>
      </c>
      <c r="H981">
        <v>2</v>
      </c>
      <c r="I981" s="1" t="s">
        <v>61</v>
      </c>
      <c r="J981" s="1" t="s">
        <v>27</v>
      </c>
      <c r="K981">
        <v>2</v>
      </c>
      <c r="L981" s="1" t="s">
        <v>48</v>
      </c>
      <c r="M981">
        <v>25</v>
      </c>
      <c r="N981" s="1" t="s">
        <v>29</v>
      </c>
      <c r="O981" s="1" t="s">
        <v>56</v>
      </c>
      <c r="P981">
        <v>1</v>
      </c>
      <c r="Q981" s="1" t="s">
        <v>31</v>
      </c>
      <c r="R981">
        <v>1</v>
      </c>
      <c r="S981" s="1" t="s">
        <v>40</v>
      </c>
      <c r="T981" s="1" t="s">
        <v>33</v>
      </c>
      <c r="U981" s="1" t="s">
        <v>41</v>
      </c>
      <c r="V981" s="1" t="str">
        <f>_xlfn.XLOOKUP(A981,Dictonary!$A$2:$A$5,Dictonary!$B$2:$B$5)</f>
        <v>Low balance</v>
      </c>
      <c r="W981" s="1" t="str">
        <f>_xlfn.XLOOKUP(D981,Dictonary!$D$2:$D$12,Dictonary!$E$2:$E$12)</f>
        <v>car (new)</v>
      </c>
      <c r="X981" s="1" t="str">
        <f>_xlfn.XLOOKUP(F981,Dictonary!$G$2:$G$6,Dictonary!$H$2:$H$6)</f>
        <v>Up to 500</v>
      </c>
      <c r="Y981" s="1" t="str">
        <f>_xlfn.XLOOKUP(I981,Dictonary!$J$2:$J$6,Dictonary!$K$2:$K$6)</f>
        <v>male : married/widowed</v>
      </c>
      <c r="Z981" s="1" t="str">
        <f>_xlfn.XLOOKUP(Q981,Dictonary!$M$2:$M$5,Dictonary!$N$2:$N$5)</f>
        <v>skilled employee / official</v>
      </c>
      <c r="AA981" s="1" t="str">
        <f>_xlfn.XLOOKUP(O981,Dictonary!$P$2:$P$4,Dictonary!$Q$2:$Q$4)</f>
        <v>rent</v>
      </c>
    </row>
    <row r="982" spans="1:27" x14ac:dyDescent="0.3">
      <c r="A982" s="1" t="s">
        <v>35</v>
      </c>
      <c r="B982">
        <v>30</v>
      </c>
      <c r="C982" s="1" t="s">
        <v>22</v>
      </c>
      <c r="D982" s="1" t="s">
        <v>46</v>
      </c>
      <c r="E982">
        <v>8386</v>
      </c>
      <c r="F982" s="1" t="s">
        <v>37</v>
      </c>
      <c r="G982" s="1" t="s">
        <v>44</v>
      </c>
      <c r="H982">
        <v>2</v>
      </c>
      <c r="I982" s="1" t="s">
        <v>26</v>
      </c>
      <c r="J982" s="1" t="s">
        <v>27</v>
      </c>
      <c r="K982">
        <v>2</v>
      </c>
      <c r="L982" s="1" t="s">
        <v>48</v>
      </c>
      <c r="M982">
        <v>49</v>
      </c>
      <c r="N982" s="1" t="s">
        <v>29</v>
      </c>
      <c r="O982" s="1" t="s">
        <v>30</v>
      </c>
      <c r="P982">
        <v>1</v>
      </c>
      <c r="Q982" s="1" t="s">
        <v>31</v>
      </c>
      <c r="R982">
        <v>1</v>
      </c>
      <c r="S982" s="1" t="s">
        <v>40</v>
      </c>
      <c r="T982" s="1" t="s">
        <v>33</v>
      </c>
      <c r="U982" s="1" t="s">
        <v>41</v>
      </c>
      <c r="V982" s="1" t="str">
        <f>_xlfn.XLOOKUP(A982,Dictonary!$A$2:$A$5,Dictonary!$B$2:$B$5)</f>
        <v>Low balance</v>
      </c>
      <c r="W982" s="1" t="str">
        <f>_xlfn.XLOOKUP(D982,Dictonary!$D$2:$D$12,Dictonary!$E$2:$E$12)</f>
        <v>furniture/equipment</v>
      </c>
      <c r="X982" s="1" t="str">
        <f>_xlfn.XLOOKUP(F982,Dictonary!$G$2:$G$6,Dictonary!$H$2:$H$6)</f>
        <v>Less 100</v>
      </c>
      <c r="Y982" s="1" t="str">
        <f>_xlfn.XLOOKUP(I982,Dictonary!$J$2:$J$6,Dictonary!$K$2:$K$6)</f>
        <v>male : single</v>
      </c>
      <c r="Z982" s="1" t="str">
        <f>_xlfn.XLOOKUP(Q982,Dictonary!$M$2:$M$5,Dictonary!$N$2:$N$5)</f>
        <v>skilled employee / official</v>
      </c>
      <c r="AA982" s="1" t="str">
        <f>_xlfn.XLOOKUP(O982,Dictonary!$P$2:$P$4,Dictonary!$Q$2:$Q$4)</f>
        <v>own</v>
      </c>
    </row>
    <row r="983" spans="1:27" x14ac:dyDescent="0.3">
      <c r="A983" s="1" t="s">
        <v>42</v>
      </c>
      <c r="B983">
        <v>48</v>
      </c>
      <c r="C983" s="1" t="s">
        <v>36</v>
      </c>
      <c r="D983" s="1" t="s">
        <v>63</v>
      </c>
      <c r="E983">
        <v>4844</v>
      </c>
      <c r="F983" s="1" t="s">
        <v>37</v>
      </c>
      <c r="G983" s="1" t="s">
        <v>60</v>
      </c>
      <c r="H983">
        <v>3</v>
      </c>
      <c r="I983" s="1" t="s">
        <v>26</v>
      </c>
      <c r="J983" s="1" t="s">
        <v>27</v>
      </c>
      <c r="K983">
        <v>2</v>
      </c>
      <c r="L983" s="1" t="s">
        <v>55</v>
      </c>
      <c r="M983">
        <v>33</v>
      </c>
      <c r="N983" s="1" t="s">
        <v>66</v>
      </c>
      <c r="O983" s="1" t="s">
        <v>56</v>
      </c>
      <c r="P983">
        <v>1</v>
      </c>
      <c r="Q983" s="1" t="s">
        <v>57</v>
      </c>
      <c r="R983">
        <v>1</v>
      </c>
      <c r="S983" s="1" t="s">
        <v>32</v>
      </c>
      <c r="T983" s="1" t="s">
        <v>33</v>
      </c>
      <c r="U983" s="1" t="s">
        <v>41</v>
      </c>
      <c r="V983" s="1" t="str">
        <f>_xlfn.XLOOKUP(A983,Dictonary!$A$2:$A$5,Dictonary!$B$2:$B$5)</f>
        <v>No information</v>
      </c>
      <c r="W983" s="1" t="str">
        <f>_xlfn.XLOOKUP(D983,Dictonary!$D$2:$D$12,Dictonary!$E$2:$E$12)</f>
        <v>business</v>
      </c>
      <c r="X983" s="1" t="str">
        <f>_xlfn.XLOOKUP(F983,Dictonary!$G$2:$G$6,Dictonary!$H$2:$H$6)</f>
        <v>Less 100</v>
      </c>
      <c r="Y983" s="1" t="str">
        <f>_xlfn.XLOOKUP(I983,Dictonary!$J$2:$J$6,Dictonary!$K$2:$K$6)</f>
        <v>male : single</v>
      </c>
      <c r="Z983" s="1" t="str">
        <f>_xlfn.XLOOKUP(Q983,Dictonary!$M$2:$M$5,Dictonary!$N$2:$N$5)</f>
        <v>management/ self-employed/ highly qualified employee/ officer</v>
      </c>
      <c r="AA983" s="1" t="str">
        <f>_xlfn.XLOOKUP(O983,Dictonary!$P$2:$P$4,Dictonary!$Q$2:$Q$4)</f>
        <v>rent</v>
      </c>
    </row>
    <row r="984" spans="1:27" x14ac:dyDescent="0.3">
      <c r="A984" s="1" t="s">
        <v>68</v>
      </c>
      <c r="B984">
        <v>21</v>
      </c>
      <c r="C984" s="1" t="s">
        <v>36</v>
      </c>
      <c r="D984" s="1" t="s">
        <v>51</v>
      </c>
      <c r="E984">
        <v>2923</v>
      </c>
      <c r="F984" s="1" t="s">
        <v>64</v>
      </c>
      <c r="G984" s="1" t="s">
        <v>38</v>
      </c>
      <c r="H984">
        <v>1</v>
      </c>
      <c r="I984" s="1" t="s">
        <v>39</v>
      </c>
      <c r="J984" s="1" t="s">
        <v>27</v>
      </c>
      <c r="K984">
        <v>1</v>
      </c>
      <c r="L984" s="1" t="s">
        <v>55</v>
      </c>
      <c r="M984">
        <v>28</v>
      </c>
      <c r="N984" s="1" t="s">
        <v>66</v>
      </c>
      <c r="O984" s="1" t="s">
        <v>30</v>
      </c>
      <c r="P984">
        <v>1</v>
      </c>
      <c r="Q984" s="1" t="s">
        <v>57</v>
      </c>
      <c r="R984">
        <v>1</v>
      </c>
      <c r="S984" s="1" t="s">
        <v>32</v>
      </c>
      <c r="T984" s="1" t="s">
        <v>33</v>
      </c>
      <c r="U984" s="1" t="s">
        <v>34</v>
      </c>
      <c r="V984" s="1" t="str">
        <f>_xlfn.XLOOKUP(A984,Dictonary!$A$2:$A$5,Dictonary!$B$2:$B$5)</f>
        <v>Normal balance</v>
      </c>
      <c r="W984" s="1" t="str">
        <f>_xlfn.XLOOKUP(D984,Dictonary!$D$2:$D$12,Dictonary!$E$2:$E$12)</f>
        <v>car (new)</v>
      </c>
      <c r="X984" s="1" t="str">
        <f>_xlfn.XLOOKUP(F984,Dictonary!$G$2:$G$6,Dictonary!$H$2:$H$6)</f>
        <v>Up to 500</v>
      </c>
      <c r="Y984" s="1" t="str">
        <f>_xlfn.XLOOKUP(I984,Dictonary!$J$2:$J$6,Dictonary!$K$2:$K$6)</f>
        <v>female : divorced/separated/married</v>
      </c>
      <c r="Z984" s="1" t="str">
        <f>_xlfn.XLOOKUP(Q984,Dictonary!$M$2:$M$5,Dictonary!$N$2:$N$5)</f>
        <v>management/ self-employed/ highly qualified employee/ officer</v>
      </c>
      <c r="AA984" s="1" t="str">
        <f>_xlfn.XLOOKUP(O984,Dictonary!$P$2:$P$4,Dictonary!$Q$2:$Q$4)</f>
        <v>own</v>
      </c>
    </row>
    <row r="985" spans="1:27" x14ac:dyDescent="0.3">
      <c r="A985" s="1" t="s">
        <v>21</v>
      </c>
      <c r="B985">
        <v>36</v>
      </c>
      <c r="C985" s="1" t="s">
        <v>36</v>
      </c>
      <c r="D985" s="1" t="s">
        <v>54</v>
      </c>
      <c r="E985">
        <v>8229</v>
      </c>
      <c r="F985" s="1" t="s">
        <v>37</v>
      </c>
      <c r="G985" s="1" t="s">
        <v>38</v>
      </c>
      <c r="H985">
        <v>2</v>
      </c>
      <c r="I985" s="1" t="s">
        <v>26</v>
      </c>
      <c r="J985" s="1" t="s">
        <v>27</v>
      </c>
      <c r="K985">
        <v>2</v>
      </c>
      <c r="L985" s="1" t="s">
        <v>48</v>
      </c>
      <c r="M985">
        <v>26</v>
      </c>
      <c r="N985" s="1" t="s">
        <v>29</v>
      </c>
      <c r="O985" s="1" t="s">
        <v>30</v>
      </c>
      <c r="P985">
        <v>1</v>
      </c>
      <c r="Q985" s="1" t="s">
        <v>31</v>
      </c>
      <c r="R985">
        <v>2</v>
      </c>
      <c r="S985" s="1" t="s">
        <v>40</v>
      </c>
      <c r="T985" s="1" t="s">
        <v>33</v>
      </c>
      <c r="U985" s="1" t="s">
        <v>41</v>
      </c>
      <c r="V985" s="1" t="str">
        <f>_xlfn.XLOOKUP(A985,Dictonary!$A$2:$A$5,Dictonary!$B$2:$B$5)</f>
        <v>Negative balance</v>
      </c>
      <c r="W985" s="1" t="str">
        <f>_xlfn.XLOOKUP(D985,Dictonary!$D$2:$D$12,Dictonary!$E$2:$E$12)</f>
        <v>car (used)</v>
      </c>
      <c r="X985" s="1" t="str">
        <f>_xlfn.XLOOKUP(F985,Dictonary!$G$2:$G$6,Dictonary!$H$2:$H$6)</f>
        <v>Less 100</v>
      </c>
      <c r="Y985" s="1" t="str">
        <f>_xlfn.XLOOKUP(I985,Dictonary!$J$2:$J$6,Dictonary!$K$2:$K$6)</f>
        <v>male : single</v>
      </c>
      <c r="Z985" s="1" t="str">
        <f>_xlfn.XLOOKUP(Q985,Dictonary!$M$2:$M$5,Dictonary!$N$2:$N$5)</f>
        <v>skilled employee / official</v>
      </c>
      <c r="AA985" s="1" t="str">
        <f>_xlfn.XLOOKUP(O985,Dictonary!$P$2:$P$4,Dictonary!$Q$2:$Q$4)</f>
        <v>own</v>
      </c>
    </row>
    <row r="986" spans="1:27" x14ac:dyDescent="0.3">
      <c r="A986" s="1" t="s">
        <v>42</v>
      </c>
      <c r="B986">
        <v>24</v>
      </c>
      <c r="C986" s="1" t="s">
        <v>22</v>
      </c>
      <c r="D986" s="1" t="s">
        <v>46</v>
      </c>
      <c r="E986">
        <v>2028</v>
      </c>
      <c r="F986" s="1" t="s">
        <v>37</v>
      </c>
      <c r="G986" s="1" t="s">
        <v>44</v>
      </c>
      <c r="H986">
        <v>2</v>
      </c>
      <c r="I986" s="1" t="s">
        <v>26</v>
      </c>
      <c r="J986" s="1" t="s">
        <v>27</v>
      </c>
      <c r="K986">
        <v>2</v>
      </c>
      <c r="L986" s="1" t="s">
        <v>48</v>
      </c>
      <c r="M986">
        <v>30</v>
      </c>
      <c r="N986" s="1" t="s">
        <v>29</v>
      </c>
      <c r="O986" s="1" t="s">
        <v>30</v>
      </c>
      <c r="P986">
        <v>2</v>
      </c>
      <c r="Q986" s="1" t="s">
        <v>45</v>
      </c>
      <c r="R986">
        <v>1</v>
      </c>
      <c r="S986" s="1" t="s">
        <v>40</v>
      </c>
      <c r="T986" s="1" t="s">
        <v>33</v>
      </c>
      <c r="U986" s="1" t="s">
        <v>34</v>
      </c>
      <c r="V986" s="1" t="str">
        <f>_xlfn.XLOOKUP(A986,Dictonary!$A$2:$A$5,Dictonary!$B$2:$B$5)</f>
        <v>No information</v>
      </c>
      <c r="W986" s="1" t="str">
        <f>_xlfn.XLOOKUP(D986,Dictonary!$D$2:$D$12,Dictonary!$E$2:$E$12)</f>
        <v>furniture/equipment</v>
      </c>
      <c r="X986" s="1" t="str">
        <f>_xlfn.XLOOKUP(F986,Dictonary!$G$2:$G$6,Dictonary!$H$2:$H$6)</f>
        <v>Less 100</v>
      </c>
      <c r="Y986" s="1" t="str">
        <f>_xlfn.XLOOKUP(I986,Dictonary!$J$2:$J$6,Dictonary!$K$2:$K$6)</f>
        <v>male : single</v>
      </c>
      <c r="Z986" s="1" t="str">
        <f>_xlfn.XLOOKUP(Q986,Dictonary!$M$2:$M$5,Dictonary!$N$2:$N$5)</f>
        <v>unskilled - resident</v>
      </c>
      <c r="AA986" s="1" t="str">
        <f>_xlfn.XLOOKUP(O986,Dictonary!$P$2:$P$4,Dictonary!$Q$2:$Q$4)</f>
        <v>own</v>
      </c>
    </row>
    <row r="987" spans="1:27" x14ac:dyDescent="0.3">
      <c r="A987" s="1" t="s">
        <v>21</v>
      </c>
      <c r="B987">
        <v>15</v>
      </c>
      <c r="C987" s="1" t="s">
        <v>22</v>
      </c>
      <c r="D987" s="1" t="s">
        <v>46</v>
      </c>
      <c r="E987">
        <v>1433</v>
      </c>
      <c r="F987" s="1" t="s">
        <v>37</v>
      </c>
      <c r="G987" s="1" t="s">
        <v>38</v>
      </c>
      <c r="H987">
        <v>4</v>
      </c>
      <c r="I987" s="1" t="s">
        <v>39</v>
      </c>
      <c r="J987" s="1" t="s">
        <v>27</v>
      </c>
      <c r="K987">
        <v>3</v>
      </c>
      <c r="L987" s="1" t="s">
        <v>48</v>
      </c>
      <c r="M987">
        <v>25</v>
      </c>
      <c r="N987" s="1" t="s">
        <v>29</v>
      </c>
      <c r="O987" s="1" t="s">
        <v>56</v>
      </c>
      <c r="P987">
        <v>2</v>
      </c>
      <c r="Q987" s="1" t="s">
        <v>31</v>
      </c>
      <c r="R987">
        <v>1</v>
      </c>
      <c r="S987" s="1" t="s">
        <v>40</v>
      </c>
      <c r="T987" s="1" t="s">
        <v>33</v>
      </c>
      <c r="U987" s="1" t="s">
        <v>34</v>
      </c>
      <c r="V987" s="1" t="str">
        <f>_xlfn.XLOOKUP(A987,Dictonary!$A$2:$A$5,Dictonary!$B$2:$B$5)</f>
        <v>Negative balance</v>
      </c>
      <c r="W987" s="1" t="str">
        <f>_xlfn.XLOOKUP(D987,Dictonary!$D$2:$D$12,Dictonary!$E$2:$E$12)</f>
        <v>furniture/equipment</v>
      </c>
      <c r="X987" s="1" t="str">
        <f>_xlfn.XLOOKUP(F987,Dictonary!$G$2:$G$6,Dictonary!$H$2:$H$6)</f>
        <v>Less 100</v>
      </c>
      <c r="Y987" s="1" t="str">
        <f>_xlfn.XLOOKUP(I987,Dictonary!$J$2:$J$6,Dictonary!$K$2:$K$6)</f>
        <v>female : divorced/separated/married</v>
      </c>
      <c r="Z987" s="1" t="str">
        <f>_xlfn.XLOOKUP(Q987,Dictonary!$M$2:$M$5,Dictonary!$N$2:$N$5)</f>
        <v>skilled employee / official</v>
      </c>
      <c r="AA987" s="1" t="str">
        <f>_xlfn.XLOOKUP(O987,Dictonary!$P$2:$P$4,Dictonary!$Q$2:$Q$4)</f>
        <v>rent</v>
      </c>
    </row>
    <row r="988" spans="1:27" x14ac:dyDescent="0.3">
      <c r="A988" s="1" t="s">
        <v>68</v>
      </c>
      <c r="B988">
        <v>42</v>
      </c>
      <c r="C988" s="1" t="s">
        <v>65</v>
      </c>
      <c r="D988" s="1" t="s">
        <v>63</v>
      </c>
      <c r="E988">
        <v>6289</v>
      </c>
      <c r="F988" s="1" t="s">
        <v>37</v>
      </c>
      <c r="G988" s="1" t="s">
        <v>62</v>
      </c>
      <c r="H988">
        <v>2</v>
      </c>
      <c r="I988" s="1" t="s">
        <v>59</v>
      </c>
      <c r="J988" s="1" t="s">
        <v>27</v>
      </c>
      <c r="K988">
        <v>1</v>
      </c>
      <c r="L988" s="1" t="s">
        <v>48</v>
      </c>
      <c r="M988">
        <v>33</v>
      </c>
      <c r="N988" s="1" t="s">
        <v>29</v>
      </c>
      <c r="O988" s="1" t="s">
        <v>30</v>
      </c>
      <c r="P988">
        <v>2</v>
      </c>
      <c r="Q988" s="1" t="s">
        <v>31</v>
      </c>
      <c r="R988">
        <v>1</v>
      </c>
      <c r="S988" s="1" t="s">
        <v>40</v>
      </c>
      <c r="T988" s="1" t="s">
        <v>33</v>
      </c>
      <c r="U988" s="1" t="s">
        <v>34</v>
      </c>
      <c r="V988" s="1" t="str">
        <f>_xlfn.XLOOKUP(A988,Dictonary!$A$2:$A$5,Dictonary!$B$2:$B$5)</f>
        <v>Normal balance</v>
      </c>
      <c r="W988" s="1" t="str">
        <f>_xlfn.XLOOKUP(D988,Dictonary!$D$2:$D$12,Dictonary!$E$2:$E$12)</f>
        <v>business</v>
      </c>
      <c r="X988" s="1" t="str">
        <f>_xlfn.XLOOKUP(F988,Dictonary!$G$2:$G$6,Dictonary!$H$2:$H$6)</f>
        <v>Less 100</v>
      </c>
      <c r="Y988" s="1" t="str">
        <f>_xlfn.XLOOKUP(I988,Dictonary!$J$2:$J$6,Dictonary!$K$2:$K$6)</f>
        <v>male : divorced/separated</v>
      </c>
      <c r="Z988" s="1" t="str">
        <f>_xlfn.XLOOKUP(Q988,Dictonary!$M$2:$M$5,Dictonary!$N$2:$N$5)</f>
        <v>skilled employee / official</v>
      </c>
      <c r="AA988" s="1" t="str">
        <f>_xlfn.XLOOKUP(O988,Dictonary!$P$2:$P$4,Dictonary!$Q$2:$Q$4)</f>
        <v>own</v>
      </c>
    </row>
    <row r="989" spans="1:27" x14ac:dyDescent="0.3">
      <c r="A989" s="1" t="s">
        <v>42</v>
      </c>
      <c r="B989">
        <v>13</v>
      </c>
      <c r="C989" s="1" t="s">
        <v>36</v>
      </c>
      <c r="D989" s="1" t="s">
        <v>23</v>
      </c>
      <c r="E989">
        <v>1409</v>
      </c>
      <c r="F989" s="1" t="s">
        <v>64</v>
      </c>
      <c r="G989" s="1" t="s">
        <v>60</v>
      </c>
      <c r="H989">
        <v>2</v>
      </c>
      <c r="I989" s="1" t="s">
        <v>39</v>
      </c>
      <c r="J989" s="1" t="s">
        <v>27</v>
      </c>
      <c r="K989">
        <v>4</v>
      </c>
      <c r="L989" s="1" t="s">
        <v>28</v>
      </c>
      <c r="M989">
        <v>64</v>
      </c>
      <c r="N989" s="1" t="s">
        <v>29</v>
      </c>
      <c r="O989" s="1" t="s">
        <v>30</v>
      </c>
      <c r="P989">
        <v>1</v>
      </c>
      <c r="Q989" s="1" t="s">
        <v>31</v>
      </c>
      <c r="R989">
        <v>1</v>
      </c>
      <c r="S989" s="1" t="s">
        <v>40</v>
      </c>
      <c r="T989" s="1" t="s">
        <v>33</v>
      </c>
      <c r="U989" s="1" t="s">
        <v>34</v>
      </c>
      <c r="V989" s="1" t="str">
        <f>_xlfn.XLOOKUP(A989,Dictonary!$A$2:$A$5,Dictonary!$B$2:$B$5)</f>
        <v>No information</v>
      </c>
      <c r="W989" s="1" t="str">
        <f>_xlfn.XLOOKUP(D989,Dictonary!$D$2:$D$12,Dictonary!$E$2:$E$12)</f>
        <v>radio/television</v>
      </c>
      <c r="X989" s="1" t="str">
        <f>_xlfn.XLOOKUP(F989,Dictonary!$G$2:$G$6,Dictonary!$H$2:$H$6)</f>
        <v>Up to 500</v>
      </c>
      <c r="Y989" s="1" t="str">
        <f>_xlfn.XLOOKUP(I989,Dictonary!$J$2:$J$6,Dictonary!$K$2:$K$6)</f>
        <v>female : divorced/separated/married</v>
      </c>
      <c r="Z989" s="1" t="str">
        <f>_xlfn.XLOOKUP(Q989,Dictonary!$M$2:$M$5,Dictonary!$N$2:$N$5)</f>
        <v>skilled employee / official</v>
      </c>
      <c r="AA989" s="1" t="str">
        <f>_xlfn.XLOOKUP(O989,Dictonary!$P$2:$P$4,Dictonary!$Q$2:$Q$4)</f>
        <v>own</v>
      </c>
    </row>
    <row r="990" spans="1:27" x14ac:dyDescent="0.3">
      <c r="A990" s="1" t="s">
        <v>21</v>
      </c>
      <c r="B990">
        <v>24</v>
      </c>
      <c r="C990" s="1" t="s">
        <v>36</v>
      </c>
      <c r="D990" s="1" t="s">
        <v>54</v>
      </c>
      <c r="E990">
        <v>6579</v>
      </c>
      <c r="F990" s="1" t="s">
        <v>37</v>
      </c>
      <c r="G990" s="1" t="s">
        <v>60</v>
      </c>
      <c r="H990">
        <v>4</v>
      </c>
      <c r="I990" s="1" t="s">
        <v>26</v>
      </c>
      <c r="J990" s="1" t="s">
        <v>27</v>
      </c>
      <c r="K990">
        <v>2</v>
      </c>
      <c r="L990" s="1" t="s">
        <v>52</v>
      </c>
      <c r="M990">
        <v>29</v>
      </c>
      <c r="N990" s="1" t="s">
        <v>29</v>
      </c>
      <c r="O990" s="1" t="s">
        <v>49</v>
      </c>
      <c r="P990">
        <v>1</v>
      </c>
      <c r="Q990" s="1" t="s">
        <v>57</v>
      </c>
      <c r="R990">
        <v>1</v>
      </c>
      <c r="S990" s="1" t="s">
        <v>32</v>
      </c>
      <c r="T990" s="1" t="s">
        <v>33</v>
      </c>
      <c r="U990" s="1" t="s">
        <v>34</v>
      </c>
      <c r="V990" s="1" t="str">
        <f>_xlfn.XLOOKUP(A990,Dictonary!$A$2:$A$5,Dictonary!$B$2:$B$5)</f>
        <v>Negative balance</v>
      </c>
      <c r="W990" s="1" t="str">
        <f>_xlfn.XLOOKUP(D990,Dictonary!$D$2:$D$12,Dictonary!$E$2:$E$12)</f>
        <v>car (used)</v>
      </c>
      <c r="X990" s="1" t="str">
        <f>_xlfn.XLOOKUP(F990,Dictonary!$G$2:$G$6,Dictonary!$H$2:$H$6)</f>
        <v>Less 100</v>
      </c>
      <c r="Y990" s="1" t="str">
        <f>_xlfn.XLOOKUP(I990,Dictonary!$J$2:$J$6,Dictonary!$K$2:$K$6)</f>
        <v>male : single</v>
      </c>
      <c r="Z990" s="1" t="str">
        <f>_xlfn.XLOOKUP(Q990,Dictonary!$M$2:$M$5,Dictonary!$N$2:$N$5)</f>
        <v>management/ self-employed/ highly qualified employee/ officer</v>
      </c>
      <c r="AA990" s="1" t="str">
        <f>_xlfn.XLOOKUP(O990,Dictonary!$P$2:$P$4,Dictonary!$Q$2:$Q$4)</f>
        <v>for free</v>
      </c>
    </row>
    <row r="991" spans="1:27" x14ac:dyDescent="0.3">
      <c r="A991" s="1" t="s">
        <v>35</v>
      </c>
      <c r="B991">
        <v>24</v>
      </c>
      <c r="C991" s="1" t="s">
        <v>22</v>
      </c>
      <c r="D991" s="1" t="s">
        <v>23</v>
      </c>
      <c r="E991">
        <v>1743</v>
      </c>
      <c r="F991" s="1" t="s">
        <v>37</v>
      </c>
      <c r="G991" s="1" t="s">
        <v>25</v>
      </c>
      <c r="H991">
        <v>4</v>
      </c>
      <c r="I991" s="1" t="s">
        <v>26</v>
      </c>
      <c r="J991" s="1" t="s">
        <v>27</v>
      </c>
      <c r="K991">
        <v>2</v>
      </c>
      <c r="L991" s="1" t="s">
        <v>48</v>
      </c>
      <c r="M991">
        <v>48</v>
      </c>
      <c r="N991" s="1" t="s">
        <v>29</v>
      </c>
      <c r="O991" s="1" t="s">
        <v>30</v>
      </c>
      <c r="P991">
        <v>2</v>
      </c>
      <c r="Q991" s="1" t="s">
        <v>45</v>
      </c>
      <c r="R991">
        <v>1</v>
      </c>
      <c r="S991" s="1" t="s">
        <v>40</v>
      </c>
      <c r="T991" s="1" t="s">
        <v>33</v>
      </c>
      <c r="U991" s="1" t="s">
        <v>34</v>
      </c>
      <c r="V991" s="1" t="str">
        <f>_xlfn.XLOOKUP(A991,Dictonary!$A$2:$A$5,Dictonary!$B$2:$B$5)</f>
        <v>Low balance</v>
      </c>
      <c r="W991" s="1" t="str">
        <f>_xlfn.XLOOKUP(D991,Dictonary!$D$2:$D$12,Dictonary!$E$2:$E$12)</f>
        <v>radio/television</v>
      </c>
      <c r="X991" s="1" t="str">
        <f>_xlfn.XLOOKUP(F991,Dictonary!$G$2:$G$6,Dictonary!$H$2:$H$6)</f>
        <v>Less 100</v>
      </c>
      <c r="Y991" s="1" t="str">
        <f>_xlfn.XLOOKUP(I991,Dictonary!$J$2:$J$6,Dictonary!$K$2:$K$6)</f>
        <v>male : single</v>
      </c>
      <c r="Z991" s="1" t="str">
        <f>_xlfn.XLOOKUP(Q991,Dictonary!$M$2:$M$5,Dictonary!$N$2:$N$5)</f>
        <v>unskilled - resident</v>
      </c>
      <c r="AA991" s="1" t="str">
        <f>_xlfn.XLOOKUP(O991,Dictonary!$P$2:$P$4,Dictonary!$Q$2:$Q$4)</f>
        <v>own</v>
      </c>
    </row>
    <row r="992" spans="1:27" x14ac:dyDescent="0.3">
      <c r="A992" s="1" t="s">
        <v>42</v>
      </c>
      <c r="B992">
        <v>12</v>
      </c>
      <c r="C992" s="1" t="s">
        <v>22</v>
      </c>
      <c r="D992" s="1" t="s">
        <v>43</v>
      </c>
      <c r="E992">
        <v>3565</v>
      </c>
      <c r="F992" s="1" t="s">
        <v>24</v>
      </c>
      <c r="G992" s="1" t="s">
        <v>62</v>
      </c>
      <c r="H992">
        <v>2</v>
      </c>
      <c r="I992" s="1" t="s">
        <v>26</v>
      </c>
      <c r="J992" s="1" t="s">
        <v>27</v>
      </c>
      <c r="K992">
        <v>1</v>
      </c>
      <c r="L992" s="1" t="s">
        <v>48</v>
      </c>
      <c r="M992">
        <v>37</v>
      </c>
      <c r="N992" s="1" t="s">
        <v>29</v>
      </c>
      <c r="O992" s="1" t="s">
        <v>30</v>
      </c>
      <c r="P992">
        <v>2</v>
      </c>
      <c r="Q992" s="1" t="s">
        <v>45</v>
      </c>
      <c r="R992">
        <v>2</v>
      </c>
      <c r="S992" s="1" t="s">
        <v>40</v>
      </c>
      <c r="T992" s="1" t="s">
        <v>33</v>
      </c>
      <c r="U992" s="1" t="s">
        <v>34</v>
      </c>
      <c r="V992" s="1" t="str">
        <f>_xlfn.XLOOKUP(A992,Dictonary!$A$2:$A$5,Dictonary!$B$2:$B$5)</f>
        <v>No information</v>
      </c>
      <c r="W992" s="1" t="str">
        <f>_xlfn.XLOOKUP(D992,Dictonary!$D$2:$D$12,Dictonary!$E$2:$E$12)</f>
        <v>education</v>
      </c>
      <c r="X992" s="1" t="str">
        <f>_xlfn.XLOOKUP(F992,Dictonary!$G$2:$G$6,Dictonary!$H$2:$H$6)</f>
        <v>No information</v>
      </c>
      <c r="Y992" s="1" t="str">
        <f>_xlfn.XLOOKUP(I992,Dictonary!$J$2:$J$6,Dictonary!$K$2:$K$6)</f>
        <v>male : single</v>
      </c>
      <c r="Z992" s="1" t="str">
        <f>_xlfn.XLOOKUP(Q992,Dictonary!$M$2:$M$5,Dictonary!$N$2:$N$5)</f>
        <v>unskilled - resident</v>
      </c>
      <c r="AA992" s="1" t="str">
        <f>_xlfn.XLOOKUP(O992,Dictonary!$P$2:$P$4,Dictonary!$Q$2:$Q$4)</f>
        <v>own</v>
      </c>
    </row>
    <row r="993" spans="1:27" x14ac:dyDescent="0.3">
      <c r="A993" s="1" t="s">
        <v>42</v>
      </c>
      <c r="B993">
        <v>15</v>
      </c>
      <c r="C993" s="1" t="s">
        <v>69</v>
      </c>
      <c r="D993" s="1" t="s">
        <v>23</v>
      </c>
      <c r="E993">
        <v>1569</v>
      </c>
      <c r="F993" s="1" t="s">
        <v>64</v>
      </c>
      <c r="G993" s="1" t="s">
        <v>25</v>
      </c>
      <c r="H993">
        <v>4</v>
      </c>
      <c r="I993" s="1" t="s">
        <v>26</v>
      </c>
      <c r="J993" s="1" t="s">
        <v>27</v>
      </c>
      <c r="K993">
        <v>4</v>
      </c>
      <c r="L993" s="1" t="s">
        <v>55</v>
      </c>
      <c r="M993">
        <v>34</v>
      </c>
      <c r="N993" s="1" t="s">
        <v>66</v>
      </c>
      <c r="O993" s="1" t="s">
        <v>30</v>
      </c>
      <c r="P993">
        <v>1</v>
      </c>
      <c r="Q993" s="1" t="s">
        <v>45</v>
      </c>
      <c r="R993">
        <v>2</v>
      </c>
      <c r="S993" s="1" t="s">
        <v>40</v>
      </c>
      <c r="T993" s="1" t="s">
        <v>33</v>
      </c>
      <c r="U993" s="1" t="s">
        <v>34</v>
      </c>
      <c r="V993" s="1" t="str">
        <f>_xlfn.XLOOKUP(A993,Dictonary!$A$2:$A$5,Dictonary!$B$2:$B$5)</f>
        <v>No information</v>
      </c>
      <c r="W993" s="1" t="str">
        <f>_xlfn.XLOOKUP(D993,Dictonary!$D$2:$D$12,Dictonary!$E$2:$E$12)</f>
        <v>radio/television</v>
      </c>
      <c r="X993" s="1" t="str">
        <f>_xlfn.XLOOKUP(F993,Dictonary!$G$2:$G$6,Dictonary!$H$2:$H$6)</f>
        <v>Up to 500</v>
      </c>
      <c r="Y993" s="1" t="str">
        <f>_xlfn.XLOOKUP(I993,Dictonary!$J$2:$J$6,Dictonary!$K$2:$K$6)</f>
        <v>male : single</v>
      </c>
      <c r="Z993" s="1" t="str">
        <f>_xlfn.XLOOKUP(Q993,Dictonary!$M$2:$M$5,Dictonary!$N$2:$N$5)</f>
        <v>unskilled - resident</v>
      </c>
      <c r="AA993" s="1" t="str">
        <f>_xlfn.XLOOKUP(O993,Dictonary!$P$2:$P$4,Dictonary!$Q$2:$Q$4)</f>
        <v>own</v>
      </c>
    </row>
    <row r="994" spans="1:27" x14ac:dyDescent="0.3">
      <c r="A994" s="1" t="s">
        <v>21</v>
      </c>
      <c r="B994">
        <v>18</v>
      </c>
      <c r="C994" s="1" t="s">
        <v>36</v>
      </c>
      <c r="D994" s="1" t="s">
        <v>23</v>
      </c>
      <c r="E994">
        <v>1936</v>
      </c>
      <c r="F994" s="1" t="s">
        <v>24</v>
      </c>
      <c r="G994" s="1" t="s">
        <v>44</v>
      </c>
      <c r="H994">
        <v>2</v>
      </c>
      <c r="I994" s="1" t="s">
        <v>61</v>
      </c>
      <c r="J994" s="1" t="s">
        <v>27</v>
      </c>
      <c r="K994">
        <v>4</v>
      </c>
      <c r="L994" s="1" t="s">
        <v>55</v>
      </c>
      <c r="M994">
        <v>23</v>
      </c>
      <c r="N994" s="1" t="s">
        <v>29</v>
      </c>
      <c r="O994" s="1" t="s">
        <v>56</v>
      </c>
      <c r="P994">
        <v>2</v>
      </c>
      <c r="Q994" s="1" t="s">
        <v>45</v>
      </c>
      <c r="R994">
        <v>1</v>
      </c>
      <c r="S994" s="1" t="s">
        <v>40</v>
      </c>
      <c r="T994" s="1" t="s">
        <v>33</v>
      </c>
      <c r="U994" s="1" t="s">
        <v>34</v>
      </c>
      <c r="V994" s="1" t="str">
        <f>_xlfn.XLOOKUP(A994,Dictonary!$A$2:$A$5,Dictonary!$B$2:$B$5)</f>
        <v>Negative balance</v>
      </c>
      <c r="W994" s="1" t="str">
        <f>_xlfn.XLOOKUP(D994,Dictonary!$D$2:$D$12,Dictonary!$E$2:$E$12)</f>
        <v>radio/television</v>
      </c>
      <c r="X994" s="1" t="str">
        <f>_xlfn.XLOOKUP(F994,Dictonary!$G$2:$G$6,Dictonary!$H$2:$H$6)</f>
        <v>No information</v>
      </c>
      <c r="Y994" s="1" t="str">
        <f>_xlfn.XLOOKUP(I994,Dictonary!$J$2:$J$6,Dictonary!$K$2:$K$6)</f>
        <v>male : married/widowed</v>
      </c>
      <c r="Z994" s="1" t="str">
        <f>_xlfn.XLOOKUP(Q994,Dictonary!$M$2:$M$5,Dictonary!$N$2:$N$5)</f>
        <v>unskilled - resident</v>
      </c>
      <c r="AA994" s="1" t="str">
        <f>_xlfn.XLOOKUP(O994,Dictonary!$P$2:$P$4,Dictonary!$Q$2:$Q$4)</f>
        <v>rent</v>
      </c>
    </row>
    <row r="995" spans="1:27" x14ac:dyDescent="0.3">
      <c r="A995" s="1" t="s">
        <v>21</v>
      </c>
      <c r="B995">
        <v>36</v>
      </c>
      <c r="C995" s="1" t="s">
        <v>36</v>
      </c>
      <c r="D995" s="1" t="s">
        <v>46</v>
      </c>
      <c r="E995">
        <v>3959</v>
      </c>
      <c r="F995" s="1" t="s">
        <v>37</v>
      </c>
      <c r="G995" s="1" t="s">
        <v>60</v>
      </c>
      <c r="H995">
        <v>4</v>
      </c>
      <c r="I995" s="1" t="s">
        <v>26</v>
      </c>
      <c r="J995" s="1" t="s">
        <v>27</v>
      </c>
      <c r="K995">
        <v>3</v>
      </c>
      <c r="L995" s="1" t="s">
        <v>48</v>
      </c>
      <c r="M995">
        <v>30</v>
      </c>
      <c r="N995" s="1" t="s">
        <v>29</v>
      </c>
      <c r="O995" s="1" t="s">
        <v>30</v>
      </c>
      <c r="P995">
        <v>1</v>
      </c>
      <c r="Q995" s="1" t="s">
        <v>57</v>
      </c>
      <c r="R995">
        <v>1</v>
      </c>
      <c r="S995" s="1" t="s">
        <v>32</v>
      </c>
      <c r="T995" s="1" t="s">
        <v>33</v>
      </c>
      <c r="U995" s="1" t="s">
        <v>34</v>
      </c>
      <c r="V995" s="1" t="str">
        <f>_xlfn.XLOOKUP(A995,Dictonary!$A$2:$A$5,Dictonary!$B$2:$B$5)</f>
        <v>Negative balance</v>
      </c>
      <c r="W995" s="1" t="str">
        <f>_xlfn.XLOOKUP(D995,Dictonary!$D$2:$D$12,Dictonary!$E$2:$E$12)</f>
        <v>furniture/equipment</v>
      </c>
      <c r="X995" s="1" t="str">
        <f>_xlfn.XLOOKUP(F995,Dictonary!$G$2:$G$6,Dictonary!$H$2:$H$6)</f>
        <v>Less 100</v>
      </c>
      <c r="Y995" s="1" t="str">
        <f>_xlfn.XLOOKUP(I995,Dictonary!$J$2:$J$6,Dictonary!$K$2:$K$6)</f>
        <v>male : single</v>
      </c>
      <c r="Z995" s="1" t="str">
        <f>_xlfn.XLOOKUP(Q995,Dictonary!$M$2:$M$5,Dictonary!$N$2:$N$5)</f>
        <v>management/ self-employed/ highly qualified employee/ officer</v>
      </c>
      <c r="AA995" s="1" t="str">
        <f>_xlfn.XLOOKUP(O995,Dictonary!$P$2:$P$4,Dictonary!$Q$2:$Q$4)</f>
        <v>own</v>
      </c>
    </row>
    <row r="996" spans="1:27" x14ac:dyDescent="0.3">
      <c r="A996" s="1" t="s">
        <v>42</v>
      </c>
      <c r="B996">
        <v>12</v>
      </c>
      <c r="C996" s="1" t="s">
        <v>36</v>
      </c>
      <c r="D996" s="1" t="s">
        <v>51</v>
      </c>
      <c r="E996">
        <v>2390</v>
      </c>
      <c r="F996" s="1" t="s">
        <v>24</v>
      </c>
      <c r="G996" s="1" t="s">
        <v>25</v>
      </c>
      <c r="H996">
        <v>4</v>
      </c>
      <c r="I996" s="1" t="s">
        <v>26</v>
      </c>
      <c r="J996" s="1" t="s">
        <v>27</v>
      </c>
      <c r="K996">
        <v>3</v>
      </c>
      <c r="L996" s="1" t="s">
        <v>55</v>
      </c>
      <c r="M996">
        <v>50</v>
      </c>
      <c r="N996" s="1" t="s">
        <v>29</v>
      </c>
      <c r="O996" s="1" t="s">
        <v>30</v>
      </c>
      <c r="P996">
        <v>1</v>
      </c>
      <c r="Q996" s="1" t="s">
        <v>31</v>
      </c>
      <c r="R996">
        <v>1</v>
      </c>
      <c r="S996" s="1" t="s">
        <v>32</v>
      </c>
      <c r="T996" s="1" t="s">
        <v>33</v>
      </c>
      <c r="U996" s="1" t="s">
        <v>34</v>
      </c>
      <c r="V996" s="1" t="str">
        <f>_xlfn.XLOOKUP(A996,Dictonary!$A$2:$A$5,Dictonary!$B$2:$B$5)</f>
        <v>No information</v>
      </c>
      <c r="W996" s="1" t="str">
        <f>_xlfn.XLOOKUP(D996,Dictonary!$D$2:$D$12,Dictonary!$E$2:$E$12)</f>
        <v>car (new)</v>
      </c>
      <c r="X996" s="1" t="str">
        <f>_xlfn.XLOOKUP(F996,Dictonary!$G$2:$G$6,Dictonary!$H$2:$H$6)</f>
        <v>No information</v>
      </c>
      <c r="Y996" s="1" t="str">
        <f>_xlfn.XLOOKUP(I996,Dictonary!$J$2:$J$6,Dictonary!$K$2:$K$6)</f>
        <v>male : single</v>
      </c>
      <c r="Z996" s="1" t="str">
        <f>_xlfn.XLOOKUP(Q996,Dictonary!$M$2:$M$5,Dictonary!$N$2:$N$5)</f>
        <v>skilled employee / official</v>
      </c>
      <c r="AA996" s="1" t="str">
        <f>_xlfn.XLOOKUP(O996,Dictonary!$P$2:$P$4,Dictonary!$Q$2:$Q$4)</f>
        <v>own</v>
      </c>
    </row>
    <row r="997" spans="1:27" x14ac:dyDescent="0.3">
      <c r="A997" s="1" t="s">
        <v>42</v>
      </c>
      <c r="B997">
        <v>12</v>
      </c>
      <c r="C997" s="1" t="s">
        <v>36</v>
      </c>
      <c r="D997" s="1" t="s">
        <v>46</v>
      </c>
      <c r="E997">
        <v>1736</v>
      </c>
      <c r="F997" s="1" t="s">
        <v>37</v>
      </c>
      <c r="G997" s="1" t="s">
        <v>44</v>
      </c>
      <c r="H997">
        <v>3</v>
      </c>
      <c r="I997" s="1" t="s">
        <v>39</v>
      </c>
      <c r="J997" s="1" t="s">
        <v>27</v>
      </c>
      <c r="K997">
        <v>4</v>
      </c>
      <c r="L997" s="1" t="s">
        <v>28</v>
      </c>
      <c r="M997">
        <v>31</v>
      </c>
      <c r="N997" s="1" t="s">
        <v>29</v>
      </c>
      <c r="O997" s="1" t="s">
        <v>30</v>
      </c>
      <c r="P997">
        <v>1</v>
      </c>
      <c r="Q997" s="1" t="s">
        <v>45</v>
      </c>
      <c r="R997">
        <v>1</v>
      </c>
      <c r="S997" s="1" t="s">
        <v>40</v>
      </c>
      <c r="T997" s="1" t="s">
        <v>33</v>
      </c>
      <c r="U997" s="1" t="s">
        <v>34</v>
      </c>
      <c r="V997" s="1" t="str">
        <f>_xlfn.XLOOKUP(A997,Dictonary!$A$2:$A$5,Dictonary!$B$2:$B$5)</f>
        <v>No information</v>
      </c>
      <c r="W997" s="1" t="str">
        <f>_xlfn.XLOOKUP(D997,Dictonary!$D$2:$D$12,Dictonary!$E$2:$E$12)</f>
        <v>furniture/equipment</v>
      </c>
      <c r="X997" s="1" t="str">
        <f>_xlfn.XLOOKUP(F997,Dictonary!$G$2:$G$6,Dictonary!$H$2:$H$6)</f>
        <v>Less 100</v>
      </c>
      <c r="Y997" s="1" t="str">
        <f>_xlfn.XLOOKUP(I997,Dictonary!$J$2:$J$6,Dictonary!$K$2:$K$6)</f>
        <v>female : divorced/separated/married</v>
      </c>
      <c r="Z997" s="1" t="str">
        <f>_xlfn.XLOOKUP(Q997,Dictonary!$M$2:$M$5,Dictonary!$N$2:$N$5)</f>
        <v>unskilled - resident</v>
      </c>
      <c r="AA997" s="1" t="str">
        <f>_xlfn.XLOOKUP(O997,Dictonary!$P$2:$P$4,Dictonary!$Q$2:$Q$4)</f>
        <v>own</v>
      </c>
    </row>
    <row r="998" spans="1:27" x14ac:dyDescent="0.3">
      <c r="A998" s="1" t="s">
        <v>21</v>
      </c>
      <c r="B998">
        <v>30</v>
      </c>
      <c r="C998" s="1" t="s">
        <v>36</v>
      </c>
      <c r="D998" s="1" t="s">
        <v>54</v>
      </c>
      <c r="E998">
        <v>3857</v>
      </c>
      <c r="F998" s="1" t="s">
        <v>37</v>
      </c>
      <c r="G998" s="1" t="s">
        <v>38</v>
      </c>
      <c r="H998">
        <v>4</v>
      </c>
      <c r="I998" s="1" t="s">
        <v>59</v>
      </c>
      <c r="J998" s="1" t="s">
        <v>27</v>
      </c>
      <c r="K998">
        <v>4</v>
      </c>
      <c r="L998" s="1" t="s">
        <v>48</v>
      </c>
      <c r="M998">
        <v>40</v>
      </c>
      <c r="N998" s="1" t="s">
        <v>29</v>
      </c>
      <c r="O998" s="1" t="s">
        <v>30</v>
      </c>
      <c r="P998">
        <v>1</v>
      </c>
      <c r="Q998" s="1" t="s">
        <v>57</v>
      </c>
      <c r="R998">
        <v>1</v>
      </c>
      <c r="S998" s="1" t="s">
        <v>32</v>
      </c>
      <c r="T998" s="1" t="s">
        <v>33</v>
      </c>
      <c r="U998" s="1" t="s">
        <v>34</v>
      </c>
      <c r="V998" s="1" t="str">
        <f>_xlfn.XLOOKUP(A998,Dictonary!$A$2:$A$5,Dictonary!$B$2:$B$5)</f>
        <v>Negative balance</v>
      </c>
      <c r="W998" s="1" t="str">
        <f>_xlfn.XLOOKUP(D998,Dictonary!$D$2:$D$12,Dictonary!$E$2:$E$12)</f>
        <v>car (used)</v>
      </c>
      <c r="X998" s="1" t="str">
        <f>_xlfn.XLOOKUP(F998,Dictonary!$G$2:$G$6,Dictonary!$H$2:$H$6)</f>
        <v>Less 100</v>
      </c>
      <c r="Y998" s="1" t="str">
        <f>_xlfn.XLOOKUP(I998,Dictonary!$J$2:$J$6,Dictonary!$K$2:$K$6)</f>
        <v>male : divorced/separated</v>
      </c>
      <c r="Z998" s="1" t="str">
        <f>_xlfn.XLOOKUP(Q998,Dictonary!$M$2:$M$5,Dictonary!$N$2:$N$5)</f>
        <v>management/ self-employed/ highly qualified employee/ officer</v>
      </c>
      <c r="AA998" s="1" t="str">
        <f>_xlfn.XLOOKUP(O998,Dictonary!$P$2:$P$4,Dictonary!$Q$2:$Q$4)</f>
        <v>own</v>
      </c>
    </row>
    <row r="999" spans="1:27" x14ac:dyDescent="0.3">
      <c r="A999" s="1" t="s">
        <v>42</v>
      </c>
      <c r="B999">
        <v>12</v>
      </c>
      <c r="C999" s="1" t="s">
        <v>36</v>
      </c>
      <c r="D999" s="1" t="s">
        <v>23</v>
      </c>
      <c r="E999">
        <v>804</v>
      </c>
      <c r="F999" s="1" t="s">
        <v>37</v>
      </c>
      <c r="G999" s="1" t="s">
        <v>25</v>
      </c>
      <c r="H999">
        <v>4</v>
      </c>
      <c r="I999" s="1" t="s">
        <v>26</v>
      </c>
      <c r="J999" s="1" t="s">
        <v>27</v>
      </c>
      <c r="K999">
        <v>4</v>
      </c>
      <c r="L999" s="1" t="s">
        <v>55</v>
      </c>
      <c r="M999">
        <v>38</v>
      </c>
      <c r="N999" s="1" t="s">
        <v>29</v>
      </c>
      <c r="O999" s="1" t="s">
        <v>30</v>
      </c>
      <c r="P999">
        <v>1</v>
      </c>
      <c r="Q999" s="1" t="s">
        <v>31</v>
      </c>
      <c r="R999">
        <v>1</v>
      </c>
      <c r="S999" s="1" t="s">
        <v>40</v>
      </c>
      <c r="T999" s="1" t="s">
        <v>33</v>
      </c>
      <c r="U999" s="1" t="s">
        <v>34</v>
      </c>
      <c r="V999" s="1" t="str">
        <f>_xlfn.XLOOKUP(A999,Dictonary!$A$2:$A$5,Dictonary!$B$2:$B$5)</f>
        <v>No information</v>
      </c>
      <c r="W999" s="1" t="str">
        <f>_xlfn.XLOOKUP(D999,Dictonary!$D$2:$D$12,Dictonary!$E$2:$E$12)</f>
        <v>radio/television</v>
      </c>
      <c r="X999" s="1" t="str">
        <f>_xlfn.XLOOKUP(F999,Dictonary!$G$2:$G$6,Dictonary!$H$2:$H$6)</f>
        <v>Less 100</v>
      </c>
      <c r="Y999" s="1" t="str">
        <f>_xlfn.XLOOKUP(I999,Dictonary!$J$2:$J$6,Dictonary!$K$2:$K$6)</f>
        <v>male : single</v>
      </c>
      <c r="Z999" s="1" t="str">
        <f>_xlfn.XLOOKUP(Q999,Dictonary!$M$2:$M$5,Dictonary!$N$2:$N$5)</f>
        <v>skilled employee / official</v>
      </c>
      <c r="AA999" s="1" t="str">
        <f>_xlfn.XLOOKUP(O999,Dictonary!$P$2:$P$4,Dictonary!$Q$2:$Q$4)</f>
        <v>own</v>
      </c>
    </row>
    <row r="1000" spans="1:27" x14ac:dyDescent="0.3">
      <c r="A1000" s="1" t="s">
        <v>21</v>
      </c>
      <c r="B1000">
        <v>45</v>
      </c>
      <c r="C1000" s="1" t="s">
        <v>36</v>
      </c>
      <c r="D1000" s="1" t="s">
        <v>23</v>
      </c>
      <c r="E1000">
        <v>1845</v>
      </c>
      <c r="F1000" s="1" t="s">
        <v>37</v>
      </c>
      <c r="G1000" s="1" t="s">
        <v>38</v>
      </c>
      <c r="H1000">
        <v>4</v>
      </c>
      <c r="I1000" s="1" t="s">
        <v>26</v>
      </c>
      <c r="J1000" s="1" t="s">
        <v>27</v>
      </c>
      <c r="K1000">
        <v>4</v>
      </c>
      <c r="L1000" s="1" t="s">
        <v>52</v>
      </c>
      <c r="M1000">
        <v>23</v>
      </c>
      <c r="N1000" s="1" t="s">
        <v>29</v>
      </c>
      <c r="O1000" s="1" t="s">
        <v>49</v>
      </c>
      <c r="P1000">
        <v>1</v>
      </c>
      <c r="Q1000" s="1" t="s">
        <v>31</v>
      </c>
      <c r="R1000">
        <v>1</v>
      </c>
      <c r="S1000" s="1" t="s">
        <v>32</v>
      </c>
      <c r="T1000" s="1" t="s">
        <v>33</v>
      </c>
      <c r="U1000" s="1" t="s">
        <v>41</v>
      </c>
      <c r="V1000" s="1" t="str">
        <f>_xlfn.XLOOKUP(A1000,Dictonary!$A$2:$A$5,Dictonary!$B$2:$B$5)</f>
        <v>Negative balance</v>
      </c>
      <c r="W1000" s="1" t="str">
        <f>_xlfn.XLOOKUP(D1000,Dictonary!$D$2:$D$12,Dictonary!$E$2:$E$12)</f>
        <v>radio/television</v>
      </c>
      <c r="X1000" s="1" t="str">
        <f>_xlfn.XLOOKUP(F1000,Dictonary!$G$2:$G$6,Dictonary!$H$2:$H$6)</f>
        <v>Less 100</v>
      </c>
      <c r="Y1000" s="1" t="str">
        <f>_xlfn.XLOOKUP(I1000,Dictonary!$J$2:$J$6,Dictonary!$K$2:$K$6)</f>
        <v>male : single</v>
      </c>
      <c r="Z1000" s="1" t="str">
        <f>_xlfn.XLOOKUP(Q1000,Dictonary!$M$2:$M$5,Dictonary!$N$2:$N$5)</f>
        <v>skilled employee / official</v>
      </c>
      <c r="AA1000" s="1" t="str">
        <f>_xlfn.XLOOKUP(O1000,Dictonary!$P$2:$P$4,Dictonary!$Q$2:$Q$4)</f>
        <v>for free</v>
      </c>
    </row>
    <row r="1001" spans="1:27" x14ac:dyDescent="0.3">
      <c r="A1001" s="1" t="s">
        <v>35</v>
      </c>
      <c r="B1001">
        <v>45</v>
      </c>
      <c r="C1001" s="1" t="s">
        <v>22</v>
      </c>
      <c r="D1001" s="1" t="s">
        <v>54</v>
      </c>
      <c r="E1001">
        <v>4576</v>
      </c>
      <c r="F1001" s="1" t="s">
        <v>64</v>
      </c>
      <c r="G1001" s="1" t="s">
        <v>60</v>
      </c>
      <c r="H1001">
        <v>3</v>
      </c>
      <c r="I1001" s="1" t="s">
        <v>26</v>
      </c>
      <c r="J1001" s="1" t="s">
        <v>27</v>
      </c>
      <c r="K1001">
        <v>4</v>
      </c>
      <c r="L1001" s="1" t="s">
        <v>55</v>
      </c>
      <c r="M1001">
        <v>27</v>
      </c>
      <c r="N1001" s="1" t="s">
        <v>29</v>
      </c>
      <c r="O1001" s="1" t="s">
        <v>30</v>
      </c>
      <c r="P1001">
        <v>1</v>
      </c>
      <c r="Q1001" s="1" t="s">
        <v>31</v>
      </c>
      <c r="R1001">
        <v>1</v>
      </c>
      <c r="S1001" s="1" t="s">
        <v>40</v>
      </c>
      <c r="T1001" s="1" t="s">
        <v>33</v>
      </c>
      <c r="U1001" s="1" t="s">
        <v>34</v>
      </c>
      <c r="V1001" s="1" t="str">
        <f>_xlfn.XLOOKUP(A1001,Dictonary!$A$2:$A$5,Dictonary!$B$2:$B$5)</f>
        <v>Low balance</v>
      </c>
      <c r="W1001" s="1" t="str">
        <f>_xlfn.XLOOKUP(D1001,Dictonary!$D$2:$D$12,Dictonary!$E$2:$E$12)</f>
        <v>car (used)</v>
      </c>
      <c r="X1001" s="1" t="str">
        <f>_xlfn.XLOOKUP(F1001,Dictonary!$G$2:$G$6,Dictonary!$H$2:$H$6)</f>
        <v>Up to 500</v>
      </c>
      <c r="Y1001" s="1" t="str">
        <f>_xlfn.XLOOKUP(I1001,Dictonary!$J$2:$J$6,Dictonary!$K$2:$K$6)</f>
        <v>male : single</v>
      </c>
      <c r="Z1001" s="1" t="str">
        <f>_xlfn.XLOOKUP(Q1001,Dictonary!$M$2:$M$5,Dictonary!$N$2:$N$5)</f>
        <v>skilled employee / official</v>
      </c>
      <c r="AA1001" s="1" t="str">
        <f>_xlfn.XLOOKUP(O1001,Dictonary!$P$2:$P$4,Dictonary!$Q$2:$Q$4)</f>
        <v>own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workbookViewId="0">
      <selection activeCell="C12" sqref="C12"/>
    </sheetView>
  </sheetViews>
  <sheetFormatPr defaultRowHeight="14.4" x14ac:dyDescent="0.3"/>
  <cols>
    <col min="1" max="1" width="13.109375" bestFit="1" customWidth="1"/>
    <col min="2" max="2" width="15.109375" bestFit="1" customWidth="1"/>
    <col min="3" max="3" width="2.5546875" customWidth="1"/>
    <col min="4" max="4" width="11.77734375" bestFit="1" customWidth="1"/>
    <col min="5" max="5" width="17.77734375" bestFit="1" customWidth="1"/>
    <col min="6" max="6" width="3" customWidth="1"/>
    <col min="7" max="7" width="11.109375" bestFit="1" customWidth="1"/>
    <col min="8" max="8" width="13.6640625" bestFit="1" customWidth="1"/>
    <col min="9" max="9" width="2.5546875" customWidth="1"/>
    <col min="10" max="10" width="17.44140625" bestFit="1" customWidth="1"/>
    <col min="11" max="11" width="31.6640625" bestFit="1" customWidth="1"/>
    <col min="12" max="12" width="3.44140625" customWidth="1"/>
    <col min="13" max="13" width="15.5546875" bestFit="1" customWidth="1"/>
    <col min="14" max="14" width="54" bestFit="1" customWidth="1"/>
    <col min="15" max="15" width="2.88671875" customWidth="1"/>
    <col min="16" max="16" width="11.6640625" bestFit="1" customWidth="1"/>
  </cols>
  <sheetData>
    <row r="1" spans="1:17" x14ac:dyDescent="0.3">
      <c r="A1" s="5" t="s">
        <v>79</v>
      </c>
      <c r="B1" s="5" t="s">
        <v>0</v>
      </c>
      <c r="D1" s="9" t="s">
        <v>83</v>
      </c>
      <c r="E1" s="5" t="s">
        <v>3</v>
      </c>
      <c r="G1" s="5" t="s">
        <v>97</v>
      </c>
      <c r="H1" s="5" t="s">
        <v>5</v>
      </c>
      <c r="J1" s="5" t="s">
        <v>103</v>
      </c>
      <c r="K1" s="5" t="s">
        <v>8</v>
      </c>
      <c r="M1" s="5" t="s">
        <v>111</v>
      </c>
      <c r="N1" s="5" t="s">
        <v>16</v>
      </c>
      <c r="P1" s="5" t="s">
        <v>118</v>
      </c>
      <c r="Q1" s="5" t="s">
        <v>14</v>
      </c>
    </row>
    <row r="2" spans="1:17" x14ac:dyDescent="0.3">
      <c r="A2" s="6" t="s">
        <v>21</v>
      </c>
      <c r="B2" s="6" t="s">
        <v>80</v>
      </c>
      <c r="D2" s="6" t="s">
        <v>51</v>
      </c>
      <c r="E2" s="8" t="s">
        <v>86</v>
      </c>
      <c r="G2" s="6" t="s">
        <v>37</v>
      </c>
      <c r="H2" s="6" t="s">
        <v>99</v>
      </c>
      <c r="J2" s="6" t="s">
        <v>59</v>
      </c>
      <c r="K2" s="8" t="s">
        <v>105</v>
      </c>
      <c r="M2" s="6" t="s">
        <v>74</v>
      </c>
      <c r="N2" s="7" t="s">
        <v>112</v>
      </c>
      <c r="P2" s="6" t="s">
        <v>56</v>
      </c>
      <c r="Q2" s="6" t="s">
        <v>119</v>
      </c>
    </row>
    <row r="3" spans="1:17" x14ac:dyDescent="0.3">
      <c r="A3" s="6" t="s">
        <v>35</v>
      </c>
      <c r="B3" s="6" t="s">
        <v>77</v>
      </c>
      <c r="D3" s="6" t="s">
        <v>54</v>
      </c>
      <c r="E3" s="8" t="s">
        <v>87</v>
      </c>
      <c r="G3" s="6" t="s">
        <v>64</v>
      </c>
      <c r="H3" s="6" t="s">
        <v>100</v>
      </c>
      <c r="J3" s="6" t="s">
        <v>39</v>
      </c>
      <c r="K3" s="8" t="s">
        <v>106</v>
      </c>
      <c r="M3" s="6" t="s">
        <v>45</v>
      </c>
      <c r="N3" s="8" t="s">
        <v>113</v>
      </c>
      <c r="P3" s="6" t="s">
        <v>30</v>
      </c>
      <c r="Q3" s="6" t="s">
        <v>120</v>
      </c>
    </row>
    <row r="4" spans="1:17" x14ac:dyDescent="0.3">
      <c r="A4" s="6" t="s">
        <v>68</v>
      </c>
      <c r="B4" s="6" t="s">
        <v>81</v>
      </c>
      <c r="D4" s="6" t="s">
        <v>46</v>
      </c>
      <c r="E4" s="8" t="s">
        <v>88</v>
      </c>
      <c r="G4" s="6" t="s">
        <v>53</v>
      </c>
      <c r="H4" s="6" t="s">
        <v>101</v>
      </c>
      <c r="J4" s="6" t="s">
        <v>26</v>
      </c>
      <c r="K4" s="8" t="s">
        <v>107</v>
      </c>
      <c r="M4" s="6" t="s">
        <v>31</v>
      </c>
      <c r="N4" s="8" t="s">
        <v>114</v>
      </c>
      <c r="P4" s="6" t="s">
        <v>49</v>
      </c>
      <c r="Q4" s="6" t="s">
        <v>121</v>
      </c>
    </row>
    <row r="5" spans="1:17" x14ac:dyDescent="0.3">
      <c r="A5" s="6" t="s">
        <v>42</v>
      </c>
      <c r="B5" s="6" t="s">
        <v>78</v>
      </c>
      <c r="D5" s="6" t="s">
        <v>23</v>
      </c>
      <c r="E5" s="8" t="s">
        <v>89</v>
      </c>
      <c r="G5" s="6" t="s">
        <v>58</v>
      </c>
      <c r="H5" s="6" t="s">
        <v>102</v>
      </c>
      <c r="J5" s="6" t="s">
        <v>61</v>
      </c>
      <c r="K5" s="8" t="s">
        <v>108</v>
      </c>
      <c r="M5" s="6" t="s">
        <v>57</v>
      </c>
      <c r="N5" s="8" t="s">
        <v>115</v>
      </c>
    </row>
    <row r="6" spans="1:17" x14ac:dyDescent="0.3">
      <c r="D6" s="6" t="s">
        <v>72</v>
      </c>
      <c r="E6" s="8" t="s">
        <v>90</v>
      </c>
      <c r="G6" s="6" t="s">
        <v>24</v>
      </c>
      <c r="H6" s="6" t="s">
        <v>78</v>
      </c>
      <c r="J6" s="6" t="s">
        <v>104</v>
      </c>
      <c r="K6" s="8" t="s">
        <v>109</v>
      </c>
    </row>
    <row r="7" spans="1:17" x14ac:dyDescent="0.3">
      <c r="D7" s="6" t="s">
        <v>73</v>
      </c>
      <c r="E7" s="8" t="s">
        <v>91</v>
      </c>
    </row>
    <row r="8" spans="1:17" x14ac:dyDescent="0.3">
      <c r="D8" s="6" t="s">
        <v>43</v>
      </c>
      <c r="E8" s="8" t="s">
        <v>92</v>
      </c>
    </row>
    <row r="9" spans="1:17" x14ac:dyDescent="0.3">
      <c r="D9" s="6" t="s">
        <v>85</v>
      </c>
      <c r="E9" s="8" t="s">
        <v>96</v>
      </c>
    </row>
    <row r="10" spans="1:17" x14ac:dyDescent="0.3">
      <c r="D10" s="6" t="s">
        <v>76</v>
      </c>
      <c r="E10" s="8" t="s">
        <v>93</v>
      </c>
    </row>
    <row r="11" spans="1:17" x14ac:dyDescent="0.3">
      <c r="D11" s="6" t="s">
        <v>63</v>
      </c>
      <c r="E11" s="8" t="s">
        <v>94</v>
      </c>
    </row>
    <row r="12" spans="1:17" x14ac:dyDescent="0.3">
      <c r="D12" s="6" t="s">
        <v>75</v>
      </c>
      <c r="E12" s="8" t="s">
        <v>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4FB1-C5BA-4F2E-B356-8C497924E33B}">
  <dimension ref="A1:O1001"/>
  <sheetViews>
    <sheetView workbookViewId="0">
      <selection activeCell="G1" sqref="A1:XFD1048576"/>
    </sheetView>
  </sheetViews>
  <sheetFormatPr defaultRowHeight="14.4" x14ac:dyDescent="0.3"/>
  <cols>
    <col min="1" max="1" width="11.21875" customWidth="1"/>
    <col min="2" max="2" width="15.109375" bestFit="1" customWidth="1"/>
    <col min="3" max="3" width="17.77734375" bestFit="1" customWidth="1"/>
    <col min="4" max="4" width="14.5546875" bestFit="1" customWidth="1"/>
    <col min="5" max="5" width="20.21875" bestFit="1" customWidth="1"/>
    <col min="6" max="6" width="24.77734375" bestFit="1" customWidth="1"/>
    <col min="7" max="7" width="23.44140625" customWidth="1"/>
    <col min="8" max="8" width="15" bestFit="1" customWidth="1"/>
    <col min="9" max="9" width="10.5546875" bestFit="1" customWidth="1"/>
    <col min="10" max="10" width="10.109375" bestFit="1" customWidth="1"/>
    <col min="11" max="11" width="6.44140625" bestFit="1" customWidth="1"/>
    <col min="14" max="14" width="14.6640625" bestFit="1" customWidth="1"/>
    <col min="15" max="15" width="11.109375" bestFit="1" customWidth="1"/>
  </cols>
  <sheetData>
    <row r="1" spans="1:15" x14ac:dyDescent="0.3">
      <c r="A1" t="s">
        <v>20</v>
      </c>
      <c r="B1" t="s">
        <v>82</v>
      </c>
      <c r="C1" t="s">
        <v>84</v>
      </c>
      <c r="D1" t="s">
        <v>98</v>
      </c>
      <c r="E1" t="s">
        <v>110</v>
      </c>
      <c r="F1" t="s">
        <v>128</v>
      </c>
      <c r="G1" t="s">
        <v>116</v>
      </c>
      <c r="H1" t="s">
        <v>117</v>
      </c>
      <c r="I1" t="s">
        <v>1</v>
      </c>
      <c r="J1" t="s">
        <v>4</v>
      </c>
      <c r="K1" t="s">
        <v>12</v>
      </c>
      <c r="L1" t="s">
        <v>129</v>
      </c>
      <c r="M1" t="s">
        <v>134</v>
      </c>
      <c r="N1" t="s">
        <v>135</v>
      </c>
      <c r="O1" t="s">
        <v>145</v>
      </c>
    </row>
    <row r="2" spans="1:15" x14ac:dyDescent="0.3">
      <c r="A2" t="s">
        <v>41</v>
      </c>
      <c r="B2" t="s">
        <v>77</v>
      </c>
      <c r="C2" t="s">
        <v>89</v>
      </c>
      <c r="D2" t="s">
        <v>99</v>
      </c>
      <c r="E2" t="s">
        <v>124</v>
      </c>
      <c r="F2" t="s">
        <v>125</v>
      </c>
      <c r="G2" t="s">
        <v>114</v>
      </c>
      <c r="H2" t="s">
        <v>120</v>
      </c>
      <c r="I2">
        <v>48</v>
      </c>
      <c r="J2" s="11">
        <v>5951</v>
      </c>
      <c r="K2">
        <v>22</v>
      </c>
      <c r="L2" t="str" cm="1">
        <f t="array" ref="L2">_xlfn.IFS(J2&gt;5000,"Hight",J2&gt;2000,"Medium",TRUE,"Low")</f>
        <v>Hight</v>
      </c>
      <c r="M2" t="str" cm="1">
        <f t="array" ref="M2">_xlfn.IFS(I2&lt;12,"Low-Term",I2&gt;=36,"Long-Term",TRUE,"Medium-Term")</f>
        <v>Long-Term</v>
      </c>
      <c r="N2" t="str" cm="1">
        <f t="array" ref="N2">_xlfn.IFS(A2="Bad", "Review Required", AND(A2="Good",J2&gt;7000),"VIP Client", AND(A2="Good", J2&lt;=7000),"Standart Client")</f>
        <v>Review Required</v>
      </c>
      <c r="O2" s="11">
        <v>5951</v>
      </c>
    </row>
    <row r="3" spans="1:15" x14ac:dyDescent="0.3">
      <c r="A3" t="s">
        <v>41</v>
      </c>
      <c r="B3" t="s">
        <v>80</v>
      </c>
      <c r="C3" t="s">
        <v>86</v>
      </c>
      <c r="D3" t="s">
        <v>99</v>
      </c>
      <c r="E3" t="s">
        <v>122</v>
      </c>
      <c r="F3" t="s">
        <v>123</v>
      </c>
      <c r="G3" t="s">
        <v>114</v>
      </c>
      <c r="H3" t="s">
        <v>121</v>
      </c>
      <c r="I3">
        <v>24</v>
      </c>
      <c r="J3" s="11">
        <v>4870</v>
      </c>
      <c r="K3">
        <v>53</v>
      </c>
      <c r="L3" t="str" cm="1">
        <f t="array" ref="L3">_xlfn.IFS(J3&gt;5000,"Hight",J3&gt;2000,"Medium",TRUE,"Low")</f>
        <v>Medium</v>
      </c>
      <c r="M3" t="str" cm="1">
        <f t="array" ref="M3">_xlfn.IFS(I3&lt;12,"Low-Term",I3&gt;=36,"Long-Term",TRUE,"Medium-Term")</f>
        <v>Medium-Term</v>
      </c>
      <c r="N3" t="str" cm="1">
        <f t="array" ref="N3">_xlfn.IFS(A3="Bad", "Review Required", AND(A3="Good",J3&gt;7000),"VIP Client", AND(A3="Good", J3&lt;=7000),"Standart Client")</f>
        <v>Review Required</v>
      </c>
      <c r="O3" s="11">
        <v>4870</v>
      </c>
    </row>
    <row r="4" spans="1:15" x14ac:dyDescent="0.3">
      <c r="A4" t="s">
        <v>41</v>
      </c>
      <c r="B4" t="s">
        <v>77</v>
      </c>
      <c r="C4" t="s">
        <v>86</v>
      </c>
      <c r="D4" t="s">
        <v>99</v>
      </c>
      <c r="E4" t="s">
        <v>122</v>
      </c>
      <c r="F4" t="s">
        <v>127</v>
      </c>
      <c r="G4" t="s">
        <v>115</v>
      </c>
      <c r="H4" t="s">
        <v>120</v>
      </c>
      <c r="I4">
        <v>30</v>
      </c>
      <c r="J4" s="11">
        <v>5234</v>
      </c>
      <c r="K4">
        <v>28</v>
      </c>
      <c r="L4" t="str" cm="1">
        <f t="array" ref="L4">_xlfn.IFS(J4&gt;5000,"Hight",J4&gt;2000,"Medium",TRUE,"Low")</f>
        <v>Hight</v>
      </c>
      <c r="M4" t="str" cm="1">
        <f t="array" ref="M4">_xlfn.IFS(I4&lt;12,"Low-Term",I4&gt;=36,"Long-Term",TRUE,"Medium-Term")</f>
        <v>Medium-Term</v>
      </c>
      <c r="N4" t="str" cm="1">
        <f t="array" ref="N4">_xlfn.IFS(A4="Bad", "Review Required", AND(A4="Good",J4&gt;7000),"VIP Client", AND(A4="Good", J4&lt;=7000),"Standart Client")</f>
        <v>Review Required</v>
      </c>
      <c r="O4" s="11">
        <v>5234</v>
      </c>
    </row>
    <row r="5" spans="1:15" x14ac:dyDescent="0.3">
      <c r="A5" t="s">
        <v>41</v>
      </c>
      <c r="B5" t="s">
        <v>77</v>
      </c>
      <c r="C5" t="s">
        <v>86</v>
      </c>
      <c r="D5" t="s">
        <v>99</v>
      </c>
      <c r="E5" t="s">
        <v>124</v>
      </c>
      <c r="F5" t="s">
        <v>125</v>
      </c>
      <c r="G5" t="s">
        <v>114</v>
      </c>
      <c r="H5" t="s">
        <v>119</v>
      </c>
      <c r="I5">
        <v>12</v>
      </c>
      <c r="J5" s="11">
        <v>1295</v>
      </c>
      <c r="K5">
        <v>25</v>
      </c>
      <c r="L5" t="str" cm="1">
        <f t="array" ref="L5">_xlfn.IFS(J5&gt;5000,"Hight",J5&gt;2000,"Medium",TRUE,"Low")</f>
        <v>Low</v>
      </c>
      <c r="M5" t="str" cm="1">
        <f t="array" ref="M5">_xlfn.IFS(I5&lt;12,"Low-Term",I5&gt;=36,"Long-Term",TRUE,"Medium-Term")</f>
        <v>Medium-Term</v>
      </c>
      <c r="N5" t="str" cm="1">
        <f t="array" ref="N5">_xlfn.IFS(A5="Bad", "Review Required", AND(A5="Good",J5&gt;7000),"VIP Client", AND(A5="Good", J5&lt;=7000),"Standart Client")</f>
        <v>Review Required</v>
      </c>
      <c r="O5" s="11">
        <v>1295</v>
      </c>
    </row>
    <row r="6" spans="1:15" x14ac:dyDescent="0.3">
      <c r="A6" t="s">
        <v>41</v>
      </c>
      <c r="B6" t="s">
        <v>80</v>
      </c>
      <c r="C6" t="s">
        <v>94</v>
      </c>
      <c r="D6" t="s">
        <v>99</v>
      </c>
      <c r="E6" t="s">
        <v>124</v>
      </c>
      <c r="F6" t="s">
        <v>125</v>
      </c>
      <c r="G6" t="s">
        <v>114</v>
      </c>
      <c r="H6" t="s">
        <v>119</v>
      </c>
      <c r="I6">
        <v>48</v>
      </c>
      <c r="J6" s="11">
        <v>4308</v>
      </c>
      <c r="K6">
        <v>24</v>
      </c>
      <c r="L6" t="str" cm="1">
        <f t="array" ref="L6">_xlfn.IFS(J6&gt;5000,"Hight",J6&gt;2000,"Medium",TRUE,"Low")</f>
        <v>Medium</v>
      </c>
      <c r="M6" t="str" cm="1">
        <f t="array" ref="M6">_xlfn.IFS(I6&lt;12,"Low-Term",I6&gt;=36,"Long-Term",TRUE,"Medium-Term")</f>
        <v>Long-Term</v>
      </c>
      <c r="N6" t="str" cm="1">
        <f t="array" ref="N6">_xlfn.IFS(A6="Bad", "Review Required", AND(A6="Good",J6&gt;7000),"VIP Client", AND(A6="Good", J6&lt;=7000),"Standart Client")</f>
        <v>Review Required</v>
      </c>
      <c r="O6" s="11">
        <v>4308</v>
      </c>
    </row>
    <row r="7" spans="1:15" x14ac:dyDescent="0.3">
      <c r="A7" t="s">
        <v>41</v>
      </c>
      <c r="B7" t="s">
        <v>80</v>
      </c>
      <c r="C7" t="s">
        <v>86</v>
      </c>
      <c r="D7" t="s">
        <v>99</v>
      </c>
      <c r="E7" t="s">
        <v>122</v>
      </c>
      <c r="F7" t="s">
        <v>123</v>
      </c>
      <c r="G7" t="s">
        <v>113</v>
      </c>
      <c r="H7" t="s">
        <v>120</v>
      </c>
      <c r="I7">
        <v>24</v>
      </c>
      <c r="J7" s="11">
        <v>1199</v>
      </c>
      <c r="K7">
        <v>60</v>
      </c>
      <c r="L7" t="str" cm="1">
        <f t="array" ref="L7">_xlfn.IFS(J7&gt;5000,"Hight",J7&gt;2000,"Medium",TRUE,"Low")</f>
        <v>Low</v>
      </c>
      <c r="M7" t="str" cm="1">
        <f t="array" ref="M7">_xlfn.IFS(I7&lt;12,"Low-Term",I7&gt;=36,"Long-Term",TRUE,"Medium-Term")</f>
        <v>Medium-Term</v>
      </c>
      <c r="N7" t="str" cm="1">
        <f t="array" ref="N7">_xlfn.IFS(A7="Bad", "Review Required", AND(A7="Good",J7&gt;7000),"VIP Client", AND(A7="Good", J7&lt;=7000),"Standart Client")</f>
        <v>Review Required</v>
      </c>
      <c r="O7" s="11">
        <v>1199</v>
      </c>
    </row>
    <row r="8" spans="1:15" x14ac:dyDescent="0.3">
      <c r="A8" t="s">
        <v>41</v>
      </c>
      <c r="B8" t="s">
        <v>80</v>
      </c>
      <c r="C8" t="s">
        <v>89</v>
      </c>
      <c r="D8" t="s">
        <v>100</v>
      </c>
      <c r="E8" t="s">
        <v>124</v>
      </c>
      <c r="F8" t="s">
        <v>125</v>
      </c>
      <c r="G8" t="s">
        <v>113</v>
      </c>
      <c r="H8" t="s">
        <v>120</v>
      </c>
      <c r="I8">
        <v>24</v>
      </c>
      <c r="J8" s="11">
        <v>1282</v>
      </c>
      <c r="K8">
        <v>32</v>
      </c>
      <c r="L8" t="str" cm="1">
        <f t="array" ref="L8">_xlfn.IFS(J8&gt;5000,"Hight",J8&gt;2000,"Medium",TRUE,"Low")</f>
        <v>Low</v>
      </c>
      <c r="M8" t="str" cm="1">
        <f t="array" ref="M8">_xlfn.IFS(I8&lt;12,"Low-Term",I8&gt;=36,"Long-Term",TRUE,"Medium-Term")</f>
        <v>Medium-Term</v>
      </c>
      <c r="N8" t="str" cm="1">
        <f t="array" ref="N8">_xlfn.IFS(A8="Bad", "Review Required", AND(A8="Good",J8&gt;7000),"VIP Client", AND(A8="Good", J8&lt;=7000),"Standart Client")</f>
        <v>Review Required</v>
      </c>
      <c r="O8" s="11">
        <v>1282</v>
      </c>
    </row>
    <row r="9" spans="1:15" x14ac:dyDescent="0.3">
      <c r="A9" t="s">
        <v>41</v>
      </c>
      <c r="B9" t="s">
        <v>77</v>
      </c>
      <c r="C9" t="s">
        <v>87</v>
      </c>
      <c r="D9" t="s">
        <v>99</v>
      </c>
      <c r="E9" t="s">
        <v>124</v>
      </c>
      <c r="F9" t="s">
        <v>125</v>
      </c>
      <c r="G9" t="s">
        <v>115</v>
      </c>
      <c r="H9" t="s">
        <v>121</v>
      </c>
      <c r="I9">
        <v>24</v>
      </c>
      <c r="J9" s="11">
        <v>12579</v>
      </c>
      <c r="K9">
        <v>44</v>
      </c>
      <c r="L9" t="str" cm="1">
        <f t="array" ref="L9">_xlfn.IFS(J9&gt;5000,"Hight",J9&gt;2000,"Medium",TRUE,"Low")</f>
        <v>Hight</v>
      </c>
      <c r="M9" t="str" cm="1">
        <f t="array" ref="M9">_xlfn.IFS(I9&lt;12,"Low-Term",I9&gt;=36,"Long-Term",TRUE,"Medium-Term")</f>
        <v>Medium-Term</v>
      </c>
      <c r="N9" t="str" cm="1">
        <f t="array" ref="N9">_xlfn.IFS(A9="Bad", "Review Required", AND(A9="Good",J9&gt;7000),"VIP Client", AND(A9="Good", J9&lt;=7000),"Standart Client")</f>
        <v>Review Required</v>
      </c>
      <c r="O9" s="11">
        <v>12579</v>
      </c>
    </row>
    <row r="10" spans="1:15" x14ac:dyDescent="0.3">
      <c r="A10" t="s">
        <v>41</v>
      </c>
      <c r="B10" t="s">
        <v>80</v>
      </c>
      <c r="C10" t="s">
        <v>94</v>
      </c>
      <c r="D10" t="s">
        <v>99</v>
      </c>
      <c r="E10" t="s">
        <v>122</v>
      </c>
      <c r="F10" t="s">
        <v>123</v>
      </c>
      <c r="G10" t="s">
        <v>114</v>
      </c>
      <c r="H10" t="s">
        <v>120</v>
      </c>
      <c r="I10">
        <v>60</v>
      </c>
      <c r="J10" s="11">
        <v>6836</v>
      </c>
      <c r="K10">
        <v>63</v>
      </c>
      <c r="L10" t="str" cm="1">
        <f t="array" ref="L10">_xlfn.IFS(J10&gt;5000,"Hight",J10&gt;2000,"Medium",TRUE,"Low")</f>
        <v>Hight</v>
      </c>
      <c r="M10" t="str" cm="1">
        <f t="array" ref="M10">_xlfn.IFS(I10&lt;12,"Low-Term",I10&gt;=36,"Long-Term",TRUE,"Medium-Term")</f>
        <v>Long-Term</v>
      </c>
      <c r="N10" t="str" cm="1">
        <f t="array" ref="N10">_xlfn.IFS(A10="Bad", "Review Required", AND(A10="Good",J10&gt;7000),"VIP Client", AND(A10="Good", J10&lt;=7000),"Standart Client")</f>
        <v>Review Required</v>
      </c>
      <c r="O10" s="11">
        <v>6836</v>
      </c>
    </row>
    <row r="11" spans="1:15" x14ac:dyDescent="0.3">
      <c r="A11" t="s">
        <v>41</v>
      </c>
      <c r="B11" t="s">
        <v>77</v>
      </c>
      <c r="C11" t="s">
        <v>89</v>
      </c>
      <c r="D11" t="s">
        <v>99</v>
      </c>
      <c r="E11" t="s">
        <v>122</v>
      </c>
      <c r="F11" t="s">
        <v>123</v>
      </c>
      <c r="G11" t="s">
        <v>113</v>
      </c>
      <c r="H11" t="s">
        <v>120</v>
      </c>
      <c r="I11">
        <v>45</v>
      </c>
      <c r="J11" s="11">
        <v>4746</v>
      </c>
      <c r="K11">
        <v>25</v>
      </c>
      <c r="L11" t="str" cm="1">
        <f t="array" ref="L11">_xlfn.IFS(J11&gt;5000,"Hight",J11&gt;2000,"Medium",TRUE,"Low")</f>
        <v>Medium</v>
      </c>
      <c r="M11" t="str" cm="1">
        <f t="array" ref="M11">_xlfn.IFS(I11&lt;12,"Low-Term",I11&gt;=36,"Long-Term",TRUE,"Medium-Term")</f>
        <v>Long-Term</v>
      </c>
      <c r="N11" t="str" cm="1">
        <f t="array" ref="N11">_xlfn.IFS(A11="Bad", "Review Required", AND(A11="Good",J11&gt;7000),"VIP Client", AND(A11="Good", J11&lt;=7000),"Standart Client")</f>
        <v>Review Required</v>
      </c>
      <c r="O11" s="11">
        <v>4746</v>
      </c>
    </row>
    <row r="12" spans="1:15" x14ac:dyDescent="0.3">
      <c r="A12" t="s">
        <v>41</v>
      </c>
      <c r="B12" t="s">
        <v>81</v>
      </c>
      <c r="C12" t="s">
        <v>89</v>
      </c>
      <c r="D12" t="s">
        <v>99</v>
      </c>
      <c r="E12" t="s">
        <v>122</v>
      </c>
      <c r="F12" t="s">
        <v>123</v>
      </c>
      <c r="G12" t="s">
        <v>114</v>
      </c>
      <c r="H12" t="s">
        <v>120</v>
      </c>
      <c r="I12">
        <v>18</v>
      </c>
      <c r="J12" s="11">
        <v>2100</v>
      </c>
      <c r="K12">
        <v>37</v>
      </c>
      <c r="L12" t="str" cm="1">
        <f t="array" ref="L12">_xlfn.IFS(J12&gt;5000,"Hight",J12&gt;2000,"Medium",TRUE,"Low")</f>
        <v>Medium</v>
      </c>
      <c r="M12" t="str" cm="1">
        <f t="array" ref="M12">_xlfn.IFS(I12&lt;12,"Low-Term",I12&gt;=36,"Long-Term",TRUE,"Medium-Term")</f>
        <v>Medium-Term</v>
      </c>
      <c r="N12" t="str" cm="1">
        <f t="array" ref="N12">_xlfn.IFS(A12="Bad", "Review Required", AND(A12="Good",J12&gt;7000),"VIP Client", AND(A12="Good", J12&lt;=7000),"Standart Client")</f>
        <v>Review Required</v>
      </c>
      <c r="O12" s="11">
        <v>2100</v>
      </c>
    </row>
    <row r="13" spans="1:15" x14ac:dyDescent="0.3">
      <c r="A13" t="s">
        <v>41</v>
      </c>
      <c r="B13" t="s">
        <v>80</v>
      </c>
      <c r="C13" t="s">
        <v>87</v>
      </c>
      <c r="D13" t="s">
        <v>99</v>
      </c>
      <c r="E13" t="s">
        <v>124</v>
      </c>
      <c r="F13" t="s">
        <v>125</v>
      </c>
      <c r="G13" t="s">
        <v>113</v>
      </c>
      <c r="H13" t="s">
        <v>121</v>
      </c>
      <c r="I13">
        <v>48</v>
      </c>
      <c r="J13" s="11">
        <v>6143</v>
      </c>
      <c r="K13">
        <v>58</v>
      </c>
      <c r="L13" t="str" cm="1">
        <f t="array" ref="L13">_xlfn.IFS(J13&gt;5000,"Hight",J13&gt;2000,"Medium",TRUE,"Low")</f>
        <v>Hight</v>
      </c>
      <c r="M13" t="str" cm="1">
        <f t="array" ref="M13">_xlfn.IFS(I13&lt;12,"Low-Term",I13&gt;=36,"Long-Term",TRUE,"Medium-Term")</f>
        <v>Long-Term</v>
      </c>
      <c r="N13" t="str" cm="1">
        <f t="array" ref="N13">_xlfn.IFS(A13="Bad", "Review Required", AND(A13="Good",J13&gt;7000),"VIP Client", AND(A13="Good", J13&lt;=7000),"Standart Client")</f>
        <v>Review Required</v>
      </c>
      <c r="O13" s="11">
        <v>6143</v>
      </c>
    </row>
    <row r="14" spans="1:15" x14ac:dyDescent="0.3">
      <c r="A14" t="s">
        <v>41</v>
      </c>
      <c r="B14" t="s">
        <v>77</v>
      </c>
      <c r="C14" t="s">
        <v>86</v>
      </c>
      <c r="D14" t="s">
        <v>99</v>
      </c>
      <c r="E14" t="s">
        <v>122</v>
      </c>
      <c r="F14" t="s">
        <v>123</v>
      </c>
      <c r="G14" t="s">
        <v>114</v>
      </c>
      <c r="H14" t="s">
        <v>121</v>
      </c>
      <c r="I14">
        <v>36</v>
      </c>
      <c r="J14" s="11">
        <v>2225</v>
      </c>
      <c r="K14">
        <v>57</v>
      </c>
      <c r="L14" t="str" cm="1">
        <f t="array" ref="L14">_xlfn.IFS(J14&gt;5000,"Hight",J14&gt;2000,"Medium",TRUE,"Low")</f>
        <v>Medium</v>
      </c>
      <c r="M14" t="str" cm="1">
        <f t="array" ref="M14">_xlfn.IFS(I14&lt;12,"Low-Term",I14&gt;=36,"Long-Term",TRUE,"Medium-Term")</f>
        <v>Long-Term</v>
      </c>
      <c r="N14" t="str" cm="1">
        <f t="array" ref="N14">_xlfn.IFS(A14="Bad", "Review Required", AND(A14="Good",J14&gt;7000),"VIP Client", AND(A14="Good", J14&lt;=7000),"Standart Client")</f>
        <v>Review Required</v>
      </c>
      <c r="O14" s="11">
        <v>2225</v>
      </c>
    </row>
    <row r="15" spans="1:15" x14ac:dyDescent="0.3">
      <c r="A15" t="s">
        <v>41</v>
      </c>
      <c r="B15" t="s">
        <v>77</v>
      </c>
      <c r="C15" t="s">
        <v>89</v>
      </c>
      <c r="D15" t="s">
        <v>78</v>
      </c>
      <c r="E15" t="s">
        <v>122</v>
      </c>
      <c r="F15" t="s">
        <v>123</v>
      </c>
      <c r="G15" t="s">
        <v>115</v>
      </c>
      <c r="H15" t="s">
        <v>120</v>
      </c>
      <c r="I15">
        <v>12</v>
      </c>
      <c r="J15" s="11">
        <v>6468</v>
      </c>
      <c r="K15">
        <v>52</v>
      </c>
      <c r="L15" t="str" cm="1">
        <f t="array" ref="L15">_xlfn.IFS(J15&gt;5000,"Hight",J15&gt;2000,"Medium",TRUE,"Low")</f>
        <v>Hight</v>
      </c>
      <c r="M15" t="str" cm="1">
        <f t="array" ref="M15">_xlfn.IFS(I15&lt;12,"Low-Term",I15&gt;=36,"Long-Term",TRUE,"Medium-Term")</f>
        <v>Medium-Term</v>
      </c>
      <c r="N15" t="str" cm="1">
        <f t="array" ref="N15">_xlfn.IFS(A15="Bad", "Review Required", AND(A15="Good",J15&gt;7000),"VIP Client", AND(A15="Good", J15&lt;=7000),"Standart Client")</f>
        <v>Review Required</v>
      </c>
      <c r="O15" s="11">
        <v>6468</v>
      </c>
    </row>
    <row r="16" spans="1:15" x14ac:dyDescent="0.3">
      <c r="A16" t="s">
        <v>41</v>
      </c>
      <c r="B16" t="s">
        <v>80</v>
      </c>
      <c r="C16" t="s">
        <v>88</v>
      </c>
      <c r="D16" t="s">
        <v>99</v>
      </c>
      <c r="E16" t="s">
        <v>124</v>
      </c>
      <c r="F16" t="s">
        <v>125</v>
      </c>
      <c r="G16" t="s">
        <v>113</v>
      </c>
      <c r="H16" t="s">
        <v>119</v>
      </c>
      <c r="I16">
        <v>36</v>
      </c>
      <c r="J16" s="11">
        <v>6229</v>
      </c>
      <c r="K16">
        <v>23</v>
      </c>
      <c r="L16" t="str" cm="1">
        <f t="array" ref="L16">_xlfn.IFS(J16&gt;5000,"Hight",J16&gt;2000,"Medium",TRUE,"Low")</f>
        <v>Hight</v>
      </c>
      <c r="M16" t="str" cm="1">
        <f t="array" ref="M16">_xlfn.IFS(I16&lt;12,"Low-Term",I16&gt;=36,"Long-Term",TRUE,"Medium-Term")</f>
        <v>Long-Term</v>
      </c>
      <c r="N16" t="str" cm="1">
        <f t="array" ref="N16">_xlfn.IFS(A16="Bad", "Review Required", AND(A16="Good",J16&gt;7000),"VIP Client", AND(A16="Good", J16&lt;=7000),"Standart Client")</f>
        <v>Review Required</v>
      </c>
      <c r="O16" s="11">
        <v>6229</v>
      </c>
    </row>
    <row r="17" spans="1:15" x14ac:dyDescent="0.3">
      <c r="A17" t="s">
        <v>41</v>
      </c>
      <c r="B17" t="s">
        <v>77</v>
      </c>
      <c r="C17" t="s">
        <v>94</v>
      </c>
      <c r="D17" t="s">
        <v>99</v>
      </c>
      <c r="E17" t="s">
        <v>122</v>
      </c>
      <c r="F17" t="s">
        <v>123</v>
      </c>
      <c r="G17" t="s">
        <v>115</v>
      </c>
      <c r="H17" t="s">
        <v>121</v>
      </c>
      <c r="I17">
        <v>36</v>
      </c>
      <c r="J17" s="11">
        <v>1953</v>
      </c>
      <c r="K17">
        <v>61</v>
      </c>
      <c r="L17" t="str" cm="1">
        <f t="array" ref="L17">_xlfn.IFS(J17&gt;5000,"Hight",J17&gt;2000,"Medium",TRUE,"Low")</f>
        <v>Low</v>
      </c>
      <c r="M17" t="str" cm="1">
        <f t="array" ref="M17">_xlfn.IFS(I17&lt;12,"Low-Term",I17&gt;=36,"Long-Term",TRUE,"Medium-Term")</f>
        <v>Long-Term</v>
      </c>
      <c r="N17" t="str" cm="1">
        <f t="array" ref="N17">_xlfn.IFS(A17="Bad", "Review Required", AND(A17="Good",J17&gt;7000),"VIP Client", AND(A17="Good", J17&lt;=7000),"Standart Client")</f>
        <v>Review Required</v>
      </c>
      <c r="O17" s="11">
        <v>1953</v>
      </c>
    </row>
    <row r="18" spans="1:15" x14ac:dyDescent="0.3">
      <c r="A18" t="s">
        <v>41</v>
      </c>
      <c r="B18" t="s">
        <v>77</v>
      </c>
      <c r="C18" t="s">
        <v>94</v>
      </c>
      <c r="D18" t="s">
        <v>99</v>
      </c>
      <c r="E18" t="s">
        <v>122</v>
      </c>
      <c r="F18" t="s">
        <v>123</v>
      </c>
      <c r="G18" t="s">
        <v>114</v>
      </c>
      <c r="H18" t="s">
        <v>120</v>
      </c>
      <c r="I18">
        <v>48</v>
      </c>
      <c r="J18" s="11">
        <v>14421</v>
      </c>
      <c r="K18">
        <v>25</v>
      </c>
      <c r="L18" t="str" cm="1">
        <f t="array" ref="L18">_xlfn.IFS(J18&gt;5000,"Hight",J18&gt;2000,"Medium",TRUE,"Low")</f>
        <v>Hight</v>
      </c>
      <c r="M18" t="str" cm="1">
        <f t="array" ref="M18">_xlfn.IFS(I18&lt;12,"Low-Term",I18&gt;=36,"Long-Term",TRUE,"Medium-Term")</f>
        <v>Long-Term</v>
      </c>
      <c r="N18" t="str" cm="1">
        <f t="array" ref="N18">_xlfn.IFS(A18="Bad", "Review Required", AND(A18="Good",J18&gt;7000),"VIP Client", AND(A18="Good", J18&lt;=7000),"Standart Client")</f>
        <v>Review Required</v>
      </c>
      <c r="O18" s="11">
        <v>14421</v>
      </c>
    </row>
    <row r="19" spans="1:15" x14ac:dyDescent="0.3">
      <c r="A19" t="s">
        <v>41</v>
      </c>
      <c r="B19" t="s">
        <v>78</v>
      </c>
      <c r="C19" t="s">
        <v>92</v>
      </c>
      <c r="D19" t="s">
        <v>99</v>
      </c>
      <c r="E19" t="s">
        <v>122</v>
      </c>
      <c r="F19" t="s">
        <v>123</v>
      </c>
      <c r="G19" t="s">
        <v>114</v>
      </c>
      <c r="H19" t="s">
        <v>121</v>
      </c>
      <c r="I19">
        <v>36</v>
      </c>
      <c r="J19" s="11">
        <v>1819</v>
      </c>
      <c r="K19">
        <v>37</v>
      </c>
      <c r="L19" t="str" cm="1">
        <f t="array" ref="L19">_xlfn.IFS(J19&gt;5000,"Hight",J19&gt;2000,"Medium",TRUE,"Low")</f>
        <v>Low</v>
      </c>
      <c r="M19" t="str" cm="1">
        <f t="array" ref="M19">_xlfn.IFS(I19&lt;12,"Low-Term",I19&gt;=36,"Long-Term",TRUE,"Medium-Term")</f>
        <v>Long-Term</v>
      </c>
      <c r="N19" t="str" cm="1">
        <f t="array" ref="N19">_xlfn.IFS(A19="Bad", "Review Required", AND(A19="Good",J19&gt;7000),"VIP Client", AND(A19="Good", J19&lt;=7000),"Standart Client")</f>
        <v>Review Required</v>
      </c>
      <c r="O19" s="11">
        <v>1819</v>
      </c>
    </row>
    <row r="20" spans="1:15" x14ac:dyDescent="0.3">
      <c r="A20" t="s">
        <v>41</v>
      </c>
      <c r="B20" t="s">
        <v>80</v>
      </c>
      <c r="C20" t="s">
        <v>92</v>
      </c>
      <c r="D20" t="s">
        <v>78</v>
      </c>
      <c r="E20" t="s">
        <v>122</v>
      </c>
      <c r="F20" t="s">
        <v>123</v>
      </c>
      <c r="G20" t="s">
        <v>115</v>
      </c>
      <c r="H20" t="s">
        <v>120</v>
      </c>
      <c r="I20">
        <v>36</v>
      </c>
      <c r="J20" s="11">
        <v>1977</v>
      </c>
      <c r="K20">
        <v>40</v>
      </c>
      <c r="L20" t="str" cm="1">
        <f t="array" ref="L20">_xlfn.IFS(J20&gt;5000,"Hight",J20&gt;2000,"Medium",TRUE,"Low")</f>
        <v>Low</v>
      </c>
      <c r="M20" t="str" cm="1">
        <f t="array" ref="M20">_xlfn.IFS(I20&lt;12,"Low-Term",I20&gt;=36,"Long-Term",TRUE,"Medium-Term")</f>
        <v>Long-Term</v>
      </c>
      <c r="N20" t="str" cm="1">
        <f t="array" ref="N20">_xlfn.IFS(A20="Bad", "Review Required", AND(A20="Good",J20&gt;7000),"VIP Client", AND(A20="Good", J20&lt;=7000),"Standart Client")</f>
        <v>Review Required</v>
      </c>
      <c r="O20" s="11">
        <v>1977</v>
      </c>
    </row>
    <row r="21" spans="1:15" x14ac:dyDescent="0.3">
      <c r="A21" t="s">
        <v>41</v>
      </c>
      <c r="B21" t="s">
        <v>80</v>
      </c>
      <c r="C21" t="s">
        <v>89</v>
      </c>
      <c r="D21" t="s">
        <v>99</v>
      </c>
      <c r="E21" t="s">
        <v>122</v>
      </c>
      <c r="F21" t="s">
        <v>123</v>
      </c>
      <c r="G21" t="s">
        <v>114</v>
      </c>
      <c r="H21" t="s">
        <v>120</v>
      </c>
      <c r="I21">
        <v>42</v>
      </c>
      <c r="J21" s="11">
        <v>3965</v>
      </c>
      <c r="K21">
        <v>34</v>
      </c>
      <c r="L21" t="str" cm="1">
        <f t="array" ref="L21">_xlfn.IFS(J21&gt;5000,"Hight",J21&gt;2000,"Medium",TRUE,"Low")</f>
        <v>Medium</v>
      </c>
      <c r="M21" t="str" cm="1">
        <f t="array" ref="M21">_xlfn.IFS(I21&lt;12,"Low-Term",I21&gt;=36,"Long-Term",TRUE,"Medium-Term")</f>
        <v>Long-Term</v>
      </c>
      <c r="N21" t="str" cm="1">
        <f t="array" ref="N21">_xlfn.IFS(A21="Bad", "Review Required", AND(A21="Good",J21&gt;7000),"VIP Client", AND(A21="Good", J21&lt;=7000),"Standart Client")</f>
        <v>Review Required</v>
      </c>
      <c r="O21" s="11">
        <v>3965</v>
      </c>
    </row>
    <row r="22" spans="1:15" x14ac:dyDescent="0.3">
      <c r="A22" t="s">
        <v>41</v>
      </c>
      <c r="B22" t="s">
        <v>78</v>
      </c>
      <c r="C22" t="s">
        <v>89</v>
      </c>
      <c r="D22" t="s">
        <v>78</v>
      </c>
      <c r="E22" t="s">
        <v>124</v>
      </c>
      <c r="F22" t="s">
        <v>125</v>
      </c>
      <c r="G22" t="s">
        <v>114</v>
      </c>
      <c r="H22" t="s">
        <v>120</v>
      </c>
      <c r="I22">
        <v>24</v>
      </c>
      <c r="J22" s="11">
        <v>5943</v>
      </c>
      <c r="K22">
        <v>44</v>
      </c>
      <c r="L22" t="str" cm="1">
        <f t="array" ref="L22">_xlfn.IFS(J22&gt;5000,"Hight",J22&gt;2000,"Medium",TRUE,"Low")</f>
        <v>Hight</v>
      </c>
      <c r="M22" t="str" cm="1">
        <f t="array" ref="M22">_xlfn.IFS(I22&lt;12,"Low-Term",I22&gt;=36,"Long-Term",TRUE,"Medium-Term")</f>
        <v>Medium-Term</v>
      </c>
      <c r="N22" t="str" cm="1">
        <f t="array" ref="N22">_xlfn.IFS(A22="Bad", "Review Required", AND(A22="Good",J22&gt;7000),"VIP Client", AND(A22="Good", J22&lt;=7000),"Standart Client")</f>
        <v>Review Required</v>
      </c>
      <c r="O22" s="11">
        <v>5943</v>
      </c>
    </row>
    <row r="23" spans="1:15" x14ac:dyDescent="0.3">
      <c r="A23" t="s">
        <v>41</v>
      </c>
      <c r="B23" t="s">
        <v>77</v>
      </c>
      <c r="C23" t="s">
        <v>92</v>
      </c>
      <c r="D23" t="s">
        <v>100</v>
      </c>
      <c r="E23" t="s">
        <v>122</v>
      </c>
      <c r="F23" t="s">
        <v>123</v>
      </c>
      <c r="G23" t="s">
        <v>114</v>
      </c>
      <c r="H23" t="s">
        <v>121</v>
      </c>
      <c r="I23">
        <v>36</v>
      </c>
      <c r="J23" s="11">
        <v>12612</v>
      </c>
      <c r="K23">
        <v>47</v>
      </c>
      <c r="L23" t="str" cm="1">
        <f t="array" ref="L23">_xlfn.IFS(J23&gt;5000,"Hight",J23&gt;2000,"Medium",TRUE,"Low")</f>
        <v>Hight</v>
      </c>
      <c r="M23" t="str" cm="1">
        <f t="array" ref="M23">_xlfn.IFS(I23&lt;12,"Low-Term",I23&gt;=36,"Long-Term",TRUE,"Medium-Term")</f>
        <v>Long-Term</v>
      </c>
      <c r="N23" t="str" cm="1">
        <f t="array" ref="N23">_xlfn.IFS(A23="Bad", "Review Required", AND(A23="Good",J23&gt;7000),"VIP Client", AND(A23="Good", J23&lt;=7000),"Standart Client")</f>
        <v>Review Required</v>
      </c>
      <c r="O23" s="11">
        <v>12612</v>
      </c>
    </row>
    <row r="24" spans="1:15" x14ac:dyDescent="0.3">
      <c r="A24" t="s">
        <v>41</v>
      </c>
      <c r="B24" t="s">
        <v>80</v>
      </c>
      <c r="C24" t="s">
        <v>91</v>
      </c>
      <c r="D24" t="s">
        <v>99</v>
      </c>
      <c r="E24" t="s">
        <v>122</v>
      </c>
      <c r="F24" t="s">
        <v>123</v>
      </c>
      <c r="G24" t="s">
        <v>114</v>
      </c>
      <c r="H24" t="s">
        <v>120</v>
      </c>
      <c r="I24">
        <v>12</v>
      </c>
      <c r="J24" s="11">
        <v>1108</v>
      </c>
      <c r="K24">
        <v>28</v>
      </c>
      <c r="L24" t="str" cm="1">
        <f t="array" ref="L24">_xlfn.IFS(J24&gt;5000,"Hight",J24&gt;2000,"Medium",TRUE,"Low")</f>
        <v>Low</v>
      </c>
      <c r="M24" t="str" cm="1">
        <f t="array" ref="M24">_xlfn.IFS(I24&lt;12,"Low-Term",I24&gt;=36,"Long-Term",TRUE,"Medium-Term")</f>
        <v>Medium-Term</v>
      </c>
      <c r="N24" t="str" cm="1">
        <f t="array" ref="N24">_xlfn.IFS(A24="Bad", "Review Required", AND(A24="Good",J24&gt;7000),"VIP Client", AND(A24="Good", J24&lt;=7000),"Standart Client")</f>
        <v>Review Required</v>
      </c>
      <c r="O24" s="11">
        <v>1108</v>
      </c>
    </row>
    <row r="25" spans="1:15" x14ac:dyDescent="0.3">
      <c r="A25" t="s">
        <v>41</v>
      </c>
      <c r="B25" t="s">
        <v>78</v>
      </c>
      <c r="C25" t="s">
        <v>89</v>
      </c>
      <c r="D25" t="s">
        <v>78</v>
      </c>
      <c r="E25" t="s">
        <v>124</v>
      </c>
      <c r="F25" t="s">
        <v>125</v>
      </c>
      <c r="G25" t="s">
        <v>113</v>
      </c>
      <c r="H25" t="s">
        <v>120</v>
      </c>
      <c r="I25">
        <v>12</v>
      </c>
      <c r="J25" s="11">
        <v>797</v>
      </c>
      <c r="K25">
        <v>33</v>
      </c>
      <c r="L25" t="str" cm="1">
        <f t="array" ref="L25">_xlfn.IFS(J25&gt;5000,"Hight",J25&gt;2000,"Medium",TRUE,"Low")</f>
        <v>Low</v>
      </c>
      <c r="M25" t="str" cm="1">
        <f t="array" ref="M25">_xlfn.IFS(I25&lt;12,"Low-Term",I25&gt;=36,"Long-Term",TRUE,"Medium-Term")</f>
        <v>Medium-Term</v>
      </c>
      <c r="N25" t="str" cm="1">
        <f t="array" ref="N25">_xlfn.IFS(A25="Bad", "Review Required", AND(A25="Good",J25&gt;7000),"VIP Client", AND(A25="Good", J25&lt;=7000),"Standart Client")</f>
        <v>Review Required</v>
      </c>
      <c r="O25" s="11">
        <v>797</v>
      </c>
    </row>
    <row r="26" spans="1:15" x14ac:dyDescent="0.3">
      <c r="A26" t="s">
        <v>41</v>
      </c>
      <c r="B26" t="s">
        <v>77</v>
      </c>
      <c r="C26" t="s">
        <v>94</v>
      </c>
      <c r="D26" t="s">
        <v>99</v>
      </c>
      <c r="E26" t="s">
        <v>122</v>
      </c>
      <c r="F26" t="s">
        <v>123</v>
      </c>
      <c r="G26" t="s">
        <v>114</v>
      </c>
      <c r="H26" t="s">
        <v>119</v>
      </c>
      <c r="I26">
        <v>54</v>
      </c>
      <c r="J26" s="11">
        <v>15945</v>
      </c>
      <c r="K26">
        <v>58</v>
      </c>
      <c r="L26" t="str" cm="1">
        <f t="array" ref="L26">_xlfn.IFS(J26&gt;5000,"Hight",J26&gt;2000,"Medium",TRUE,"Low")</f>
        <v>Hight</v>
      </c>
      <c r="M26" t="str" cm="1">
        <f t="array" ref="M26">_xlfn.IFS(I26&lt;12,"Low-Term",I26&gt;=36,"Long-Term",TRUE,"Medium-Term")</f>
        <v>Long-Term</v>
      </c>
      <c r="N26" t="str" cm="1">
        <f t="array" ref="N26">_xlfn.IFS(A26="Bad", "Review Required", AND(A26="Good",J26&gt;7000),"VIP Client", AND(A26="Good", J26&lt;=7000),"Standart Client")</f>
        <v>Review Required</v>
      </c>
      <c r="O26" s="11">
        <v>15945</v>
      </c>
    </row>
    <row r="27" spans="1:15" x14ac:dyDescent="0.3">
      <c r="A27" t="s">
        <v>41</v>
      </c>
      <c r="B27" t="s">
        <v>77</v>
      </c>
      <c r="C27" t="s">
        <v>95</v>
      </c>
      <c r="D27" t="s">
        <v>99</v>
      </c>
      <c r="E27" t="s">
        <v>122</v>
      </c>
      <c r="F27" t="s">
        <v>123</v>
      </c>
      <c r="G27" t="s">
        <v>115</v>
      </c>
      <c r="H27" t="s">
        <v>120</v>
      </c>
      <c r="I27">
        <v>24</v>
      </c>
      <c r="J27" s="11">
        <v>11938</v>
      </c>
      <c r="K27">
        <v>39</v>
      </c>
      <c r="L27" t="str" cm="1">
        <f t="array" ref="L27">_xlfn.IFS(J27&gt;5000,"Hight",J27&gt;2000,"Medium",TRUE,"Low")</f>
        <v>Hight</v>
      </c>
      <c r="M27" t="str" cm="1">
        <f t="array" ref="M27">_xlfn.IFS(I27&lt;12,"Low-Term",I27&gt;=36,"Long-Term",TRUE,"Medium-Term")</f>
        <v>Medium-Term</v>
      </c>
      <c r="N27" t="str" cm="1">
        <f t="array" ref="N27">_xlfn.IFS(A27="Bad", "Review Required", AND(A27="Good",J27&gt;7000),"VIP Client", AND(A27="Good", J27&lt;=7000),"Standart Client")</f>
        <v>Review Required</v>
      </c>
      <c r="O27" s="11">
        <v>11938</v>
      </c>
    </row>
    <row r="28" spans="1:15" x14ac:dyDescent="0.3">
      <c r="A28" t="s">
        <v>41</v>
      </c>
      <c r="B28" t="s">
        <v>78</v>
      </c>
      <c r="C28" t="s">
        <v>86</v>
      </c>
      <c r="D28" t="s">
        <v>99</v>
      </c>
      <c r="E28" t="s">
        <v>122</v>
      </c>
      <c r="F28" t="s">
        <v>123</v>
      </c>
      <c r="G28" t="s">
        <v>115</v>
      </c>
      <c r="H28" t="s">
        <v>120</v>
      </c>
      <c r="I28">
        <v>18</v>
      </c>
      <c r="J28" s="11">
        <v>6458</v>
      </c>
      <c r="K28">
        <v>39</v>
      </c>
      <c r="L28" t="str" cm="1">
        <f t="array" ref="L28">_xlfn.IFS(J28&gt;5000,"Hight",J28&gt;2000,"Medium",TRUE,"Low")</f>
        <v>Hight</v>
      </c>
      <c r="M28" t="str" cm="1">
        <f t="array" ref="M28">_xlfn.IFS(I28&lt;12,"Low-Term",I28&gt;=36,"Long-Term",TRUE,"Medium-Term")</f>
        <v>Medium-Term</v>
      </c>
      <c r="N28" t="str" cm="1">
        <f t="array" ref="N28">_xlfn.IFS(A28="Bad", "Review Required", AND(A28="Good",J28&gt;7000),"VIP Client", AND(A28="Good", J28&lt;=7000),"Standart Client")</f>
        <v>Review Required</v>
      </c>
      <c r="O28" s="11">
        <v>6458</v>
      </c>
    </row>
    <row r="29" spans="1:15" x14ac:dyDescent="0.3">
      <c r="A29" t="s">
        <v>41</v>
      </c>
      <c r="B29" t="s">
        <v>78</v>
      </c>
      <c r="C29" t="s">
        <v>86</v>
      </c>
      <c r="D29" t="s">
        <v>99</v>
      </c>
      <c r="E29" t="s">
        <v>124</v>
      </c>
      <c r="F29" t="s">
        <v>125</v>
      </c>
      <c r="G29" t="s">
        <v>114</v>
      </c>
      <c r="H29" t="s">
        <v>120</v>
      </c>
      <c r="I29">
        <v>36</v>
      </c>
      <c r="J29" s="11">
        <v>7855</v>
      </c>
      <c r="K29">
        <v>25</v>
      </c>
      <c r="L29" t="str" cm="1">
        <f t="array" ref="L29">_xlfn.IFS(J29&gt;5000,"Hight",J29&gt;2000,"Medium",TRUE,"Low")</f>
        <v>Hight</v>
      </c>
      <c r="M29" t="str" cm="1">
        <f t="array" ref="M29">_xlfn.IFS(I29&lt;12,"Low-Term",I29&gt;=36,"Long-Term",TRUE,"Medium-Term")</f>
        <v>Long-Term</v>
      </c>
      <c r="N29" t="str" cm="1">
        <f t="array" ref="N29">_xlfn.IFS(A29="Bad", "Review Required", AND(A29="Good",J29&gt;7000),"VIP Client", AND(A29="Good", J29&lt;=7000),"Standart Client")</f>
        <v>Review Required</v>
      </c>
      <c r="O29" s="11">
        <v>7855</v>
      </c>
    </row>
    <row r="30" spans="1:15" x14ac:dyDescent="0.3">
      <c r="A30" t="s">
        <v>41</v>
      </c>
      <c r="B30" t="s">
        <v>80</v>
      </c>
      <c r="C30" t="s">
        <v>89</v>
      </c>
      <c r="D30" t="s">
        <v>78</v>
      </c>
      <c r="E30" t="s">
        <v>124</v>
      </c>
      <c r="F30" t="s">
        <v>125</v>
      </c>
      <c r="G30" t="s">
        <v>115</v>
      </c>
      <c r="H30" t="s">
        <v>120</v>
      </c>
      <c r="I30">
        <v>42</v>
      </c>
      <c r="J30" s="11">
        <v>7174</v>
      </c>
      <c r="K30">
        <v>30</v>
      </c>
      <c r="L30" t="str" cm="1">
        <f t="array" ref="L30">_xlfn.IFS(J30&gt;5000,"Hight",J30&gt;2000,"Medium",TRUE,"Low")</f>
        <v>Hight</v>
      </c>
      <c r="M30" t="str" cm="1">
        <f t="array" ref="M30">_xlfn.IFS(I30&lt;12,"Low-Term",I30&gt;=36,"Long-Term",TRUE,"Medium-Term")</f>
        <v>Long-Term</v>
      </c>
      <c r="N30" t="str" cm="1">
        <f t="array" ref="N30">_xlfn.IFS(A30="Bad", "Review Required", AND(A30="Good",J30&gt;7000),"VIP Client", AND(A30="Good", J30&lt;=7000),"Standart Client")</f>
        <v>Review Required</v>
      </c>
      <c r="O30" s="11">
        <v>7174</v>
      </c>
    </row>
    <row r="31" spans="1:15" x14ac:dyDescent="0.3">
      <c r="A31" t="s">
        <v>41</v>
      </c>
      <c r="B31" t="s">
        <v>80</v>
      </c>
      <c r="C31" t="s">
        <v>88</v>
      </c>
      <c r="D31" t="s">
        <v>101</v>
      </c>
      <c r="E31" t="s">
        <v>124</v>
      </c>
      <c r="F31" t="s">
        <v>125</v>
      </c>
      <c r="G31" t="s">
        <v>114</v>
      </c>
      <c r="H31" t="s">
        <v>120</v>
      </c>
      <c r="I31">
        <v>33</v>
      </c>
      <c r="J31" s="11">
        <v>4281</v>
      </c>
      <c r="K31">
        <v>23</v>
      </c>
      <c r="L31" t="str" cm="1">
        <f t="array" ref="L31">_xlfn.IFS(J31&gt;5000,"Hight",J31&gt;2000,"Medium",TRUE,"Low")</f>
        <v>Medium</v>
      </c>
      <c r="M31" t="str" cm="1">
        <f t="array" ref="M31">_xlfn.IFS(I31&lt;12,"Low-Term",I31&gt;=36,"Long-Term",TRUE,"Medium-Term")</f>
        <v>Medium-Term</v>
      </c>
      <c r="N31" t="str" cm="1">
        <f t="array" ref="N31">_xlfn.IFS(A31="Bad", "Review Required", AND(A31="Good",J31&gt;7000),"VIP Client", AND(A31="Good", J31&lt;=7000),"Standart Client")</f>
        <v>Review Required</v>
      </c>
      <c r="O31" s="11">
        <v>4281</v>
      </c>
    </row>
    <row r="32" spans="1:15" x14ac:dyDescent="0.3">
      <c r="A32" t="s">
        <v>41</v>
      </c>
      <c r="B32" t="s">
        <v>80</v>
      </c>
      <c r="C32" t="s">
        <v>89</v>
      </c>
      <c r="D32" t="s">
        <v>99</v>
      </c>
      <c r="E32" t="s">
        <v>124</v>
      </c>
      <c r="F32" t="s">
        <v>125</v>
      </c>
      <c r="G32" t="s">
        <v>114</v>
      </c>
      <c r="H32" t="s">
        <v>120</v>
      </c>
      <c r="I32">
        <v>21</v>
      </c>
      <c r="J32" s="11">
        <v>1835</v>
      </c>
      <c r="K32">
        <v>25</v>
      </c>
      <c r="L32" t="str" cm="1">
        <f t="array" ref="L32">_xlfn.IFS(J32&gt;5000,"Hight",J32&gt;2000,"Medium",TRUE,"Low")</f>
        <v>Low</v>
      </c>
      <c r="M32" t="str" cm="1">
        <f t="array" ref="M32">_xlfn.IFS(I32&lt;12,"Low-Term",I32&gt;=36,"Long-Term",TRUE,"Medium-Term")</f>
        <v>Medium-Term</v>
      </c>
      <c r="N32" t="str" cm="1">
        <f t="array" ref="N32">_xlfn.IFS(A32="Bad", "Review Required", AND(A32="Good",J32&gt;7000),"VIP Client", AND(A32="Good", J32&lt;=7000),"Standart Client")</f>
        <v>Review Required</v>
      </c>
      <c r="O32" s="11">
        <v>1835</v>
      </c>
    </row>
    <row r="33" spans="1:15" x14ac:dyDescent="0.3">
      <c r="A33" t="s">
        <v>41</v>
      </c>
      <c r="B33" t="s">
        <v>77</v>
      </c>
      <c r="C33" t="s">
        <v>88</v>
      </c>
      <c r="D33" t="s">
        <v>78</v>
      </c>
      <c r="E33" t="s">
        <v>124</v>
      </c>
      <c r="F33" t="s">
        <v>125</v>
      </c>
      <c r="G33" t="s">
        <v>114</v>
      </c>
      <c r="H33" t="s">
        <v>119</v>
      </c>
      <c r="I33">
        <v>18</v>
      </c>
      <c r="J33" s="11">
        <v>1924</v>
      </c>
      <c r="K33">
        <v>27</v>
      </c>
      <c r="L33" t="str" cm="1">
        <f t="array" ref="L33">_xlfn.IFS(J33&gt;5000,"Hight",J33&gt;2000,"Medium",TRUE,"Low")</f>
        <v>Low</v>
      </c>
      <c r="M33" t="str" cm="1">
        <f t="array" ref="M33">_xlfn.IFS(I33&lt;12,"Low-Term",I33&gt;=36,"Long-Term",TRUE,"Medium-Term")</f>
        <v>Medium-Term</v>
      </c>
      <c r="N33" t="str" cm="1">
        <f t="array" ref="N33">_xlfn.IFS(A33="Bad", "Review Required", AND(A33="Good",J33&gt;7000),"VIP Client", AND(A33="Good", J33&lt;=7000),"Standart Client")</f>
        <v>Review Required</v>
      </c>
      <c r="O33" s="11">
        <v>1924</v>
      </c>
    </row>
    <row r="34" spans="1:15" x14ac:dyDescent="0.3">
      <c r="A34" t="s">
        <v>41</v>
      </c>
      <c r="B34" t="s">
        <v>77</v>
      </c>
      <c r="C34" t="s">
        <v>91</v>
      </c>
      <c r="D34" t="s">
        <v>99</v>
      </c>
      <c r="E34" t="s">
        <v>122</v>
      </c>
      <c r="F34" t="s">
        <v>123</v>
      </c>
      <c r="G34" t="s">
        <v>114</v>
      </c>
      <c r="H34" t="s">
        <v>120</v>
      </c>
      <c r="I34">
        <v>12</v>
      </c>
      <c r="J34" s="11">
        <v>639</v>
      </c>
      <c r="K34">
        <v>30</v>
      </c>
      <c r="L34" t="str" cm="1">
        <f t="array" ref="L34">_xlfn.IFS(J34&gt;5000,"Hight",J34&gt;2000,"Medium",TRUE,"Low")</f>
        <v>Low</v>
      </c>
      <c r="M34" t="str" cm="1">
        <f t="array" ref="M34">_xlfn.IFS(I34&lt;12,"Low-Term",I34&gt;=36,"Long-Term",TRUE,"Medium-Term")</f>
        <v>Medium-Term</v>
      </c>
      <c r="N34" t="str" cm="1">
        <f t="array" ref="N34">_xlfn.IFS(A34="Bad", "Review Required", AND(A34="Good",J34&gt;7000),"VIP Client", AND(A34="Good", J34&lt;=7000),"Standart Client")</f>
        <v>Review Required</v>
      </c>
      <c r="O34" s="11">
        <v>639</v>
      </c>
    </row>
    <row r="35" spans="1:15" x14ac:dyDescent="0.3">
      <c r="A35" t="s">
        <v>41</v>
      </c>
      <c r="B35" t="s">
        <v>80</v>
      </c>
      <c r="C35" t="s">
        <v>86</v>
      </c>
      <c r="D35" t="s">
        <v>99</v>
      </c>
      <c r="E35" t="s">
        <v>124</v>
      </c>
      <c r="F35" t="s">
        <v>125</v>
      </c>
      <c r="G35" t="s">
        <v>114</v>
      </c>
      <c r="H35" t="s">
        <v>120</v>
      </c>
      <c r="I35">
        <v>12</v>
      </c>
      <c r="J35" s="11">
        <v>3499</v>
      </c>
      <c r="K35">
        <v>29</v>
      </c>
      <c r="L35" t="str" cm="1">
        <f t="array" ref="L35">_xlfn.IFS(J35&gt;5000,"Hight",J35&gt;2000,"Medium",TRUE,"Low")</f>
        <v>Medium</v>
      </c>
      <c r="M35" t="str" cm="1">
        <f t="array" ref="M35">_xlfn.IFS(I35&lt;12,"Low-Term",I35&gt;=36,"Long-Term",TRUE,"Medium-Term")</f>
        <v>Medium-Term</v>
      </c>
      <c r="N35" t="str" cm="1">
        <f t="array" ref="N35">_xlfn.IFS(A35="Bad", "Review Required", AND(A35="Good",J35&gt;7000),"VIP Client", AND(A35="Good", J35&lt;=7000),"Standart Client")</f>
        <v>Review Required</v>
      </c>
      <c r="O35" s="11">
        <v>3499</v>
      </c>
    </row>
    <row r="36" spans="1:15" x14ac:dyDescent="0.3">
      <c r="A36" t="s">
        <v>41</v>
      </c>
      <c r="B36" t="s">
        <v>80</v>
      </c>
      <c r="C36" t="s">
        <v>92</v>
      </c>
      <c r="D36" t="s">
        <v>99</v>
      </c>
      <c r="E36" t="s">
        <v>122</v>
      </c>
      <c r="F36" t="s">
        <v>123</v>
      </c>
      <c r="G36" t="s">
        <v>114</v>
      </c>
      <c r="H36" t="s">
        <v>120</v>
      </c>
      <c r="I36">
        <v>36</v>
      </c>
      <c r="J36" s="11">
        <v>6887</v>
      </c>
      <c r="K36">
        <v>29</v>
      </c>
      <c r="L36" t="str" cm="1">
        <f t="array" ref="L36">_xlfn.IFS(J36&gt;5000,"Hight",J36&gt;2000,"Medium",TRUE,"Low")</f>
        <v>Hight</v>
      </c>
      <c r="M36" t="str" cm="1">
        <f t="array" ref="M36">_xlfn.IFS(I36&lt;12,"Low-Term",I36&gt;=36,"Long-Term",TRUE,"Medium-Term")</f>
        <v>Long-Term</v>
      </c>
      <c r="N36" t="str" cm="1">
        <f t="array" ref="N36">_xlfn.IFS(A36="Bad", "Review Required", AND(A36="Good",J36&gt;7000),"VIP Client", AND(A36="Good", J36&lt;=7000),"Standart Client")</f>
        <v>Review Required</v>
      </c>
      <c r="O36" s="11">
        <v>6887</v>
      </c>
    </row>
    <row r="37" spans="1:15" x14ac:dyDescent="0.3">
      <c r="A37" t="s">
        <v>41</v>
      </c>
      <c r="B37" t="s">
        <v>77</v>
      </c>
      <c r="C37" t="s">
        <v>89</v>
      </c>
      <c r="D37" t="s">
        <v>101</v>
      </c>
      <c r="E37" t="s">
        <v>122</v>
      </c>
      <c r="F37" t="s">
        <v>123</v>
      </c>
      <c r="G37" t="s">
        <v>113</v>
      </c>
      <c r="H37" t="s">
        <v>120</v>
      </c>
      <c r="I37">
        <v>12</v>
      </c>
      <c r="J37" s="11">
        <v>766</v>
      </c>
      <c r="K37">
        <v>66</v>
      </c>
      <c r="L37" t="str" cm="1">
        <f t="array" ref="L37">_xlfn.IFS(J37&gt;5000,"Hight",J37&gt;2000,"Medium",TRUE,"Low")</f>
        <v>Low</v>
      </c>
      <c r="M37" t="str" cm="1">
        <f t="array" ref="M37">_xlfn.IFS(I37&lt;12,"Low-Term",I37&gt;=36,"Long-Term",TRUE,"Medium-Term")</f>
        <v>Medium-Term</v>
      </c>
      <c r="N37" t="str" cm="1">
        <f t="array" ref="N37">_xlfn.IFS(A37="Bad", "Review Required", AND(A37="Good",J37&gt;7000),"VIP Client", AND(A37="Good", J37&lt;=7000),"Standart Client")</f>
        <v>Review Required</v>
      </c>
      <c r="O37" s="11">
        <v>766</v>
      </c>
    </row>
    <row r="38" spans="1:15" x14ac:dyDescent="0.3">
      <c r="A38" t="s">
        <v>41</v>
      </c>
      <c r="B38" t="s">
        <v>80</v>
      </c>
      <c r="C38" t="s">
        <v>88</v>
      </c>
      <c r="D38" t="s">
        <v>99</v>
      </c>
      <c r="E38" t="s">
        <v>122</v>
      </c>
      <c r="F38" t="s">
        <v>123</v>
      </c>
      <c r="G38" t="s">
        <v>114</v>
      </c>
      <c r="H38" t="s">
        <v>120</v>
      </c>
      <c r="I38">
        <v>18</v>
      </c>
      <c r="J38" s="11">
        <v>2462</v>
      </c>
      <c r="K38">
        <v>22</v>
      </c>
      <c r="L38" t="str" cm="1">
        <f t="array" ref="L38">_xlfn.IFS(J38&gt;5000,"Hight",J38&gt;2000,"Medium",TRUE,"Low")</f>
        <v>Medium</v>
      </c>
      <c r="M38" t="str" cm="1">
        <f t="array" ref="M38">_xlfn.IFS(I38&lt;12,"Low-Term",I38&gt;=36,"Long-Term",TRUE,"Medium-Term")</f>
        <v>Medium-Term</v>
      </c>
      <c r="N38" t="str" cm="1">
        <f t="array" ref="N38">_xlfn.IFS(A38="Bad", "Review Required", AND(A38="Good",J38&gt;7000),"VIP Client", AND(A38="Good", J38&lt;=7000),"Standart Client")</f>
        <v>Review Required</v>
      </c>
      <c r="O38" s="11">
        <v>2462</v>
      </c>
    </row>
    <row r="39" spans="1:15" x14ac:dyDescent="0.3">
      <c r="A39" t="s">
        <v>41</v>
      </c>
      <c r="B39" t="s">
        <v>80</v>
      </c>
      <c r="C39" t="s">
        <v>88</v>
      </c>
      <c r="D39" t="s">
        <v>99</v>
      </c>
      <c r="E39" t="s">
        <v>124</v>
      </c>
      <c r="F39" t="s">
        <v>125</v>
      </c>
      <c r="G39" t="s">
        <v>114</v>
      </c>
      <c r="H39" t="s">
        <v>119</v>
      </c>
      <c r="I39">
        <v>12</v>
      </c>
      <c r="J39" s="11">
        <v>1282</v>
      </c>
      <c r="K39">
        <v>20</v>
      </c>
      <c r="L39" t="str" cm="1">
        <f t="array" ref="L39">_xlfn.IFS(J39&gt;5000,"Hight",J39&gt;2000,"Medium",TRUE,"Low")</f>
        <v>Low</v>
      </c>
      <c r="M39" t="str" cm="1">
        <f t="array" ref="M39">_xlfn.IFS(I39&lt;12,"Low-Term",I39&gt;=36,"Long-Term",TRUE,"Medium-Term")</f>
        <v>Medium-Term</v>
      </c>
      <c r="N39" t="str" cm="1">
        <f t="array" ref="N39">_xlfn.IFS(A39="Bad", "Review Required", AND(A39="Good",J39&gt;7000),"VIP Client", AND(A39="Good", J39&lt;=7000),"Standart Client")</f>
        <v>Review Required</v>
      </c>
      <c r="O39" s="11">
        <v>1282</v>
      </c>
    </row>
    <row r="40" spans="1:15" x14ac:dyDescent="0.3">
      <c r="A40" t="s">
        <v>41</v>
      </c>
      <c r="B40" t="s">
        <v>80</v>
      </c>
      <c r="C40" t="s">
        <v>88</v>
      </c>
      <c r="D40" t="s">
        <v>99</v>
      </c>
      <c r="E40" t="s">
        <v>124</v>
      </c>
      <c r="F40" t="s">
        <v>125</v>
      </c>
      <c r="G40" t="s">
        <v>114</v>
      </c>
      <c r="H40" t="s">
        <v>120</v>
      </c>
      <c r="I40">
        <v>18</v>
      </c>
      <c r="J40" s="11">
        <v>1131</v>
      </c>
      <c r="K40">
        <v>33</v>
      </c>
      <c r="L40" t="str" cm="1">
        <f t="array" ref="L40">_xlfn.IFS(J40&gt;5000,"Hight",J40&gt;2000,"Medium",TRUE,"Low")</f>
        <v>Low</v>
      </c>
      <c r="M40" t="str" cm="1">
        <f t="array" ref="M40">_xlfn.IFS(I40&lt;12,"Low-Term",I40&gt;=36,"Long-Term",TRUE,"Medium-Term")</f>
        <v>Medium-Term</v>
      </c>
      <c r="N40" t="str" cm="1">
        <f t="array" ref="N40">_xlfn.IFS(A40="Bad", "Review Required", AND(A40="Good",J40&gt;7000),"VIP Client", AND(A40="Good", J40&lt;=7000),"Standart Client")</f>
        <v>Review Required</v>
      </c>
      <c r="O40" s="11">
        <v>1131</v>
      </c>
    </row>
    <row r="41" spans="1:15" x14ac:dyDescent="0.3">
      <c r="A41" t="s">
        <v>41</v>
      </c>
      <c r="B41" t="s">
        <v>77</v>
      </c>
      <c r="C41" t="s">
        <v>94</v>
      </c>
      <c r="D41" t="s">
        <v>99</v>
      </c>
      <c r="E41" t="s">
        <v>122</v>
      </c>
      <c r="F41" t="s">
        <v>126</v>
      </c>
      <c r="G41" t="s">
        <v>114</v>
      </c>
      <c r="H41" t="s">
        <v>120</v>
      </c>
      <c r="I41">
        <v>24</v>
      </c>
      <c r="J41" s="11">
        <v>1935</v>
      </c>
      <c r="K41">
        <v>31</v>
      </c>
      <c r="L41" t="str" cm="1">
        <f t="array" ref="L41">_xlfn.IFS(J41&gt;5000,"Hight",J41&gt;2000,"Medium",TRUE,"Low")</f>
        <v>Low</v>
      </c>
      <c r="M41" t="str" cm="1">
        <f t="array" ref="M41">_xlfn.IFS(I41&lt;12,"Low-Term",I41&gt;=36,"Long-Term",TRUE,"Medium-Term")</f>
        <v>Medium-Term</v>
      </c>
      <c r="N41" t="str" cm="1">
        <f t="array" ref="N41">_xlfn.IFS(A41="Bad", "Review Required", AND(A41="Good",J41&gt;7000),"VIP Client", AND(A41="Good", J41&lt;=7000),"Standart Client")</f>
        <v>Review Required</v>
      </c>
      <c r="O41" s="11">
        <v>1935</v>
      </c>
    </row>
    <row r="42" spans="1:15" x14ac:dyDescent="0.3">
      <c r="A42" t="s">
        <v>41</v>
      </c>
      <c r="B42" t="s">
        <v>80</v>
      </c>
      <c r="C42" t="s">
        <v>86</v>
      </c>
      <c r="D42" t="s">
        <v>99</v>
      </c>
      <c r="E42" t="s">
        <v>122</v>
      </c>
      <c r="F42" t="s">
        <v>123</v>
      </c>
      <c r="G42" t="s">
        <v>114</v>
      </c>
      <c r="H42" t="s">
        <v>119</v>
      </c>
      <c r="I42">
        <v>15</v>
      </c>
      <c r="J42" s="11">
        <v>950</v>
      </c>
      <c r="K42">
        <v>33</v>
      </c>
      <c r="L42" t="str" cm="1">
        <f t="array" ref="L42">_xlfn.IFS(J42&gt;5000,"Hight",J42&gt;2000,"Medium",TRUE,"Low")</f>
        <v>Low</v>
      </c>
      <c r="M42" t="str" cm="1">
        <f t="array" ref="M42">_xlfn.IFS(I42&lt;12,"Low-Term",I42&gt;=36,"Long-Term",TRUE,"Medium-Term")</f>
        <v>Medium-Term</v>
      </c>
      <c r="N42" t="str" cm="1">
        <f t="array" ref="N42">_xlfn.IFS(A42="Bad", "Review Required", AND(A42="Good",J42&gt;7000),"VIP Client", AND(A42="Good", J42&lt;=7000),"Standart Client")</f>
        <v>Review Required</v>
      </c>
      <c r="O42" s="11">
        <v>950</v>
      </c>
    </row>
    <row r="43" spans="1:15" x14ac:dyDescent="0.3">
      <c r="A43" t="s">
        <v>41</v>
      </c>
      <c r="B43" t="s">
        <v>77</v>
      </c>
      <c r="C43" t="s">
        <v>88</v>
      </c>
      <c r="D43" t="s">
        <v>99</v>
      </c>
      <c r="E43" t="s">
        <v>124</v>
      </c>
      <c r="F43" t="s">
        <v>125</v>
      </c>
      <c r="G43" t="s">
        <v>115</v>
      </c>
      <c r="H43" t="s">
        <v>120</v>
      </c>
      <c r="I43">
        <v>24</v>
      </c>
      <c r="J43" s="11">
        <v>2064</v>
      </c>
      <c r="K43">
        <v>34</v>
      </c>
      <c r="L43" t="str" cm="1">
        <f t="array" ref="L43">_xlfn.IFS(J43&gt;5000,"Hight",J43&gt;2000,"Medium",TRUE,"Low")</f>
        <v>Medium</v>
      </c>
      <c r="M43" t="str" cm="1">
        <f t="array" ref="M43">_xlfn.IFS(I43&lt;12,"Low-Term",I43&gt;=36,"Long-Term",TRUE,"Medium-Term")</f>
        <v>Medium-Term</v>
      </c>
      <c r="N43" t="str" cm="1">
        <f t="array" ref="N43">_xlfn.IFS(A43="Bad", "Review Required", AND(A43="Good",J43&gt;7000),"VIP Client", AND(A43="Good", J43&lt;=7000),"Standart Client")</f>
        <v>Review Required</v>
      </c>
      <c r="O43" s="11">
        <v>2064</v>
      </c>
    </row>
    <row r="44" spans="1:15" x14ac:dyDescent="0.3">
      <c r="A44" t="s">
        <v>41</v>
      </c>
      <c r="B44" t="s">
        <v>80</v>
      </c>
      <c r="C44" t="s">
        <v>92</v>
      </c>
      <c r="D44" t="s">
        <v>99</v>
      </c>
      <c r="E44" t="s">
        <v>122</v>
      </c>
      <c r="F44" t="s">
        <v>123</v>
      </c>
      <c r="G44" t="s">
        <v>114</v>
      </c>
      <c r="H44" t="s">
        <v>120</v>
      </c>
      <c r="I44">
        <v>21</v>
      </c>
      <c r="J44" s="11">
        <v>3414</v>
      </c>
      <c r="K44">
        <v>26</v>
      </c>
      <c r="L44" t="str" cm="1">
        <f t="array" ref="L44">_xlfn.IFS(J44&gt;5000,"Hight",J44&gt;2000,"Medium",TRUE,"Low")</f>
        <v>Medium</v>
      </c>
      <c r="M44" t="str" cm="1">
        <f t="array" ref="M44">_xlfn.IFS(I44&lt;12,"Low-Term",I44&gt;=36,"Long-Term",TRUE,"Medium-Term")</f>
        <v>Medium-Term</v>
      </c>
      <c r="N44" t="str" cm="1">
        <f t="array" ref="N44">_xlfn.IFS(A44="Bad", "Review Required", AND(A44="Good",J44&gt;7000),"VIP Client", AND(A44="Good", J44&lt;=7000),"Standart Client")</f>
        <v>Review Required</v>
      </c>
      <c r="O44" s="11">
        <v>3414</v>
      </c>
    </row>
    <row r="45" spans="1:15" x14ac:dyDescent="0.3">
      <c r="A45" t="s">
        <v>41</v>
      </c>
      <c r="B45" t="s">
        <v>78</v>
      </c>
      <c r="C45" t="s">
        <v>87</v>
      </c>
      <c r="D45" t="s">
        <v>78</v>
      </c>
      <c r="E45" t="s">
        <v>124</v>
      </c>
      <c r="F45" t="s">
        <v>125</v>
      </c>
      <c r="G45" t="s">
        <v>115</v>
      </c>
      <c r="H45" t="s">
        <v>120</v>
      </c>
      <c r="I45">
        <v>30</v>
      </c>
      <c r="J45" s="11">
        <v>7485</v>
      </c>
      <c r="K45">
        <v>53</v>
      </c>
      <c r="L45" t="str" cm="1">
        <f t="array" ref="L45">_xlfn.IFS(J45&gt;5000,"Hight",J45&gt;2000,"Medium",TRUE,"Low")</f>
        <v>Hight</v>
      </c>
      <c r="M45" t="str" cm="1">
        <f t="array" ref="M45">_xlfn.IFS(I45&lt;12,"Low-Term",I45&gt;=36,"Long-Term",TRUE,"Medium-Term")</f>
        <v>Medium-Term</v>
      </c>
      <c r="N45" t="str" cm="1">
        <f t="array" ref="N45">_xlfn.IFS(A45="Bad", "Review Required", AND(A45="Good",J45&gt;7000),"VIP Client", AND(A45="Good", J45&lt;=7000),"Standart Client")</f>
        <v>Review Required</v>
      </c>
      <c r="O45" s="11">
        <v>7485</v>
      </c>
    </row>
    <row r="46" spans="1:15" x14ac:dyDescent="0.3">
      <c r="A46" t="s">
        <v>41</v>
      </c>
      <c r="B46" t="s">
        <v>78</v>
      </c>
      <c r="C46" t="s">
        <v>94</v>
      </c>
      <c r="D46" t="s">
        <v>99</v>
      </c>
      <c r="E46" t="s">
        <v>122</v>
      </c>
      <c r="F46" t="s">
        <v>126</v>
      </c>
      <c r="G46" t="s">
        <v>114</v>
      </c>
      <c r="H46" t="s">
        <v>120</v>
      </c>
      <c r="I46">
        <v>36</v>
      </c>
      <c r="J46" s="11">
        <v>9572</v>
      </c>
      <c r="K46">
        <v>28</v>
      </c>
      <c r="L46" t="str" cm="1">
        <f t="array" ref="L46">_xlfn.IFS(J46&gt;5000,"Hight",J46&gt;2000,"Medium",TRUE,"Low")</f>
        <v>Hight</v>
      </c>
      <c r="M46" t="str" cm="1">
        <f t="array" ref="M46">_xlfn.IFS(I46&lt;12,"Low-Term",I46&gt;=36,"Long-Term",TRUE,"Medium-Term")</f>
        <v>Long-Term</v>
      </c>
      <c r="N46" t="str" cm="1">
        <f t="array" ref="N46">_xlfn.IFS(A46="Bad", "Review Required", AND(A46="Good",J46&gt;7000),"VIP Client", AND(A46="Good", J46&lt;=7000),"Standart Client")</f>
        <v>Review Required</v>
      </c>
      <c r="O46" s="11">
        <v>9572</v>
      </c>
    </row>
    <row r="47" spans="1:15" x14ac:dyDescent="0.3">
      <c r="A47" t="s">
        <v>41</v>
      </c>
      <c r="B47" t="s">
        <v>77</v>
      </c>
      <c r="C47" t="s">
        <v>94</v>
      </c>
      <c r="D47" t="s">
        <v>99</v>
      </c>
      <c r="E47" t="s">
        <v>122</v>
      </c>
      <c r="F47" t="s">
        <v>126</v>
      </c>
      <c r="G47" t="s">
        <v>115</v>
      </c>
      <c r="H47" t="s">
        <v>120</v>
      </c>
      <c r="I47">
        <v>36</v>
      </c>
      <c r="J47" s="11">
        <v>4455</v>
      </c>
      <c r="K47">
        <v>30</v>
      </c>
      <c r="L47" t="str" cm="1">
        <f t="array" ref="L47">_xlfn.IFS(J47&gt;5000,"Hight",J47&gt;2000,"Medium",TRUE,"Low")</f>
        <v>Medium</v>
      </c>
      <c r="M47" t="str" cm="1">
        <f t="array" ref="M47">_xlfn.IFS(I47&lt;12,"Low-Term",I47&gt;=36,"Long-Term",TRUE,"Medium-Term")</f>
        <v>Long-Term</v>
      </c>
      <c r="N47" t="str" cm="1">
        <f t="array" ref="N47">_xlfn.IFS(A47="Bad", "Review Required", AND(A47="Good",J47&gt;7000),"VIP Client", AND(A47="Good", J47&lt;=7000),"Standart Client")</f>
        <v>Review Required</v>
      </c>
      <c r="O47" s="11">
        <v>4455</v>
      </c>
    </row>
    <row r="48" spans="1:15" x14ac:dyDescent="0.3">
      <c r="A48" t="s">
        <v>41</v>
      </c>
      <c r="B48" t="s">
        <v>80</v>
      </c>
      <c r="C48" t="s">
        <v>86</v>
      </c>
      <c r="D48" t="s">
        <v>78</v>
      </c>
      <c r="E48" t="s">
        <v>122</v>
      </c>
      <c r="F48" t="s">
        <v>123</v>
      </c>
      <c r="G48" t="s">
        <v>113</v>
      </c>
      <c r="H48" t="s">
        <v>120</v>
      </c>
      <c r="I48">
        <v>21</v>
      </c>
      <c r="J48" s="11">
        <v>1647</v>
      </c>
      <c r="K48">
        <v>40</v>
      </c>
      <c r="L48" t="str" cm="1">
        <f t="array" ref="L48">_xlfn.IFS(J48&gt;5000,"Hight",J48&gt;2000,"Medium",TRUE,"Low")</f>
        <v>Low</v>
      </c>
      <c r="M48" t="str" cm="1">
        <f t="array" ref="M48">_xlfn.IFS(I48&lt;12,"Low-Term",I48&gt;=36,"Long-Term",TRUE,"Medium-Term")</f>
        <v>Medium-Term</v>
      </c>
      <c r="N48" t="str" cm="1">
        <f t="array" ref="N48">_xlfn.IFS(A48="Bad", "Review Required", AND(A48="Good",J48&gt;7000),"VIP Client", AND(A48="Good", J48&lt;=7000),"Standart Client")</f>
        <v>Review Required</v>
      </c>
      <c r="O48" s="11">
        <v>1647</v>
      </c>
    </row>
    <row r="49" spans="1:15" x14ac:dyDescent="0.3">
      <c r="A49" t="s">
        <v>41</v>
      </c>
      <c r="B49" t="s">
        <v>77</v>
      </c>
      <c r="C49" t="s">
        <v>86</v>
      </c>
      <c r="D49" t="s">
        <v>99</v>
      </c>
      <c r="E49" t="s">
        <v>122</v>
      </c>
      <c r="F49" t="s">
        <v>123</v>
      </c>
      <c r="G49" t="s">
        <v>114</v>
      </c>
      <c r="H49" t="s">
        <v>120</v>
      </c>
      <c r="I49">
        <v>18</v>
      </c>
      <c r="J49" s="11">
        <v>884</v>
      </c>
      <c r="K49">
        <v>36</v>
      </c>
      <c r="L49" t="str" cm="1">
        <f t="array" ref="L49">_xlfn.IFS(J49&gt;5000,"Hight",J49&gt;2000,"Medium",TRUE,"Low")</f>
        <v>Low</v>
      </c>
      <c r="M49" t="str" cm="1">
        <f t="array" ref="M49">_xlfn.IFS(I49&lt;12,"Low-Term",I49&gt;=36,"Long-Term",TRUE,"Medium-Term")</f>
        <v>Medium-Term</v>
      </c>
      <c r="N49" t="str" cm="1">
        <f t="array" ref="N49">_xlfn.IFS(A49="Bad", "Review Required", AND(A49="Good",J49&gt;7000),"VIP Client", AND(A49="Good", J49&lt;=7000),"Standart Client")</f>
        <v>Review Required</v>
      </c>
      <c r="O49" s="11">
        <v>884</v>
      </c>
    </row>
    <row r="50" spans="1:15" x14ac:dyDescent="0.3">
      <c r="A50" t="s">
        <v>41</v>
      </c>
      <c r="B50" t="s">
        <v>77</v>
      </c>
      <c r="C50" t="s">
        <v>87</v>
      </c>
      <c r="D50" t="s">
        <v>99</v>
      </c>
      <c r="E50" t="s">
        <v>124</v>
      </c>
      <c r="F50" t="s">
        <v>125</v>
      </c>
      <c r="G50" t="s">
        <v>115</v>
      </c>
      <c r="H50" t="s">
        <v>121</v>
      </c>
      <c r="I50">
        <v>9</v>
      </c>
      <c r="J50" s="11">
        <v>5129</v>
      </c>
      <c r="K50">
        <v>74</v>
      </c>
      <c r="L50" t="str" cm="1">
        <f t="array" ref="L50">_xlfn.IFS(J50&gt;5000,"Hight",J50&gt;2000,"Medium",TRUE,"Low")</f>
        <v>Hight</v>
      </c>
      <c r="M50" t="str" cm="1">
        <f t="array" ref="M50">_xlfn.IFS(I50&lt;12,"Low-Term",I50&gt;=36,"Long-Term",TRUE,"Medium-Term")</f>
        <v>Low-Term</v>
      </c>
      <c r="N50" t="str" cm="1">
        <f t="array" ref="N50">_xlfn.IFS(A50="Bad", "Review Required", AND(A50="Good",J50&gt;7000),"VIP Client", AND(A50="Good", J50&lt;=7000),"Standart Client")</f>
        <v>Review Required</v>
      </c>
      <c r="O50" s="11">
        <v>5129</v>
      </c>
    </row>
    <row r="51" spans="1:15" x14ac:dyDescent="0.3">
      <c r="A51" t="s">
        <v>41</v>
      </c>
      <c r="B51" t="s">
        <v>80</v>
      </c>
      <c r="C51" t="s">
        <v>89</v>
      </c>
      <c r="D51" t="s">
        <v>100</v>
      </c>
      <c r="E51" t="s">
        <v>122</v>
      </c>
      <c r="F51" t="s">
        <v>127</v>
      </c>
      <c r="G51" t="s">
        <v>114</v>
      </c>
      <c r="H51" t="s">
        <v>120</v>
      </c>
      <c r="I51">
        <v>12</v>
      </c>
      <c r="J51" s="11">
        <v>674</v>
      </c>
      <c r="K51">
        <v>20</v>
      </c>
      <c r="L51" t="str" cm="1">
        <f t="array" ref="L51">_xlfn.IFS(J51&gt;5000,"Hight",J51&gt;2000,"Medium",TRUE,"Low")</f>
        <v>Low</v>
      </c>
      <c r="M51" t="str" cm="1">
        <f t="array" ref="M51">_xlfn.IFS(I51&lt;12,"Low-Term",I51&gt;=36,"Long-Term",TRUE,"Medium-Term")</f>
        <v>Medium-Term</v>
      </c>
      <c r="N51" t="str" cm="1">
        <f t="array" ref="N51">_xlfn.IFS(A51="Bad", "Review Required", AND(A51="Good",J51&gt;7000),"VIP Client", AND(A51="Good", J51&lt;=7000),"Standart Client")</f>
        <v>Review Required</v>
      </c>
      <c r="O51" s="11">
        <v>674</v>
      </c>
    </row>
    <row r="52" spans="1:15" x14ac:dyDescent="0.3">
      <c r="A52" t="s">
        <v>41</v>
      </c>
      <c r="B52" t="s">
        <v>78</v>
      </c>
      <c r="C52" t="s">
        <v>94</v>
      </c>
      <c r="D52" t="s">
        <v>102</v>
      </c>
      <c r="E52" t="s">
        <v>122</v>
      </c>
      <c r="F52" t="s">
        <v>123</v>
      </c>
      <c r="G52" t="s">
        <v>115</v>
      </c>
      <c r="H52" t="s">
        <v>120</v>
      </c>
      <c r="I52">
        <v>24</v>
      </c>
      <c r="J52" s="11">
        <v>4591</v>
      </c>
      <c r="K52">
        <v>54</v>
      </c>
      <c r="L52" t="str" cm="1">
        <f t="array" ref="L52">_xlfn.IFS(J52&gt;5000,"Hight",J52&gt;2000,"Medium",TRUE,"Low")</f>
        <v>Medium</v>
      </c>
      <c r="M52" t="str" cm="1">
        <f t="array" ref="M52">_xlfn.IFS(I52&lt;12,"Low-Term",I52&gt;=36,"Long-Term",TRUE,"Medium-Term")</f>
        <v>Medium-Term</v>
      </c>
      <c r="N52" t="str" cm="1">
        <f t="array" ref="N52">_xlfn.IFS(A52="Bad", "Review Required", AND(A52="Good",J52&gt;7000),"VIP Client", AND(A52="Good", J52&lt;=7000),"Standart Client")</f>
        <v>Review Required</v>
      </c>
      <c r="O52" s="11">
        <v>4591</v>
      </c>
    </row>
    <row r="53" spans="1:15" x14ac:dyDescent="0.3">
      <c r="A53" t="s">
        <v>41</v>
      </c>
      <c r="B53" t="s">
        <v>77</v>
      </c>
      <c r="C53" t="s">
        <v>94</v>
      </c>
      <c r="D53" t="s">
        <v>100</v>
      </c>
      <c r="E53" t="s">
        <v>122</v>
      </c>
      <c r="F53" t="s">
        <v>123</v>
      </c>
      <c r="G53" t="s">
        <v>113</v>
      </c>
      <c r="H53" t="s">
        <v>121</v>
      </c>
      <c r="I53">
        <v>48</v>
      </c>
      <c r="J53" s="11">
        <v>3844</v>
      </c>
      <c r="K53">
        <v>34</v>
      </c>
      <c r="L53" t="str" cm="1">
        <f t="array" ref="L53">_xlfn.IFS(J53&gt;5000,"Hight",J53&gt;2000,"Medium",TRUE,"Low")</f>
        <v>Medium</v>
      </c>
      <c r="M53" t="str" cm="1">
        <f t="array" ref="M53">_xlfn.IFS(I53&lt;12,"Low-Term",I53&gt;=36,"Long-Term",TRUE,"Medium-Term")</f>
        <v>Long-Term</v>
      </c>
      <c r="N53" t="str" cm="1">
        <f t="array" ref="N53">_xlfn.IFS(A53="Bad", "Review Required", AND(A53="Good",J53&gt;7000),"VIP Client", AND(A53="Good", J53&lt;=7000),"Standart Client")</f>
        <v>Review Required</v>
      </c>
      <c r="O53" s="11">
        <v>3844</v>
      </c>
    </row>
    <row r="54" spans="1:15" x14ac:dyDescent="0.3">
      <c r="A54" t="s">
        <v>41</v>
      </c>
      <c r="B54" t="s">
        <v>77</v>
      </c>
      <c r="C54" t="s">
        <v>94</v>
      </c>
      <c r="D54" t="s">
        <v>99</v>
      </c>
      <c r="E54" t="s">
        <v>122</v>
      </c>
      <c r="F54" t="s">
        <v>123</v>
      </c>
      <c r="G54" t="s">
        <v>114</v>
      </c>
      <c r="H54" t="s">
        <v>120</v>
      </c>
      <c r="I54">
        <v>27</v>
      </c>
      <c r="J54" s="11">
        <v>3915</v>
      </c>
      <c r="K54">
        <v>36</v>
      </c>
      <c r="L54" t="str" cm="1">
        <f t="array" ref="L54">_xlfn.IFS(J54&gt;5000,"Hight",J54&gt;2000,"Medium",TRUE,"Low")</f>
        <v>Medium</v>
      </c>
      <c r="M54" t="str" cm="1">
        <f t="array" ref="M54">_xlfn.IFS(I54&lt;12,"Low-Term",I54&gt;=36,"Long-Term",TRUE,"Medium-Term")</f>
        <v>Medium-Term</v>
      </c>
      <c r="N54" t="str" cm="1">
        <f t="array" ref="N54">_xlfn.IFS(A54="Bad", "Review Required", AND(A54="Good",J54&gt;7000),"VIP Client", AND(A54="Good", J54&lt;=7000),"Standart Client")</f>
        <v>Review Required</v>
      </c>
      <c r="O54" s="11">
        <v>3915</v>
      </c>
    </row>
    <row r="55" spans="1:15" x14ac:dyDescent="0.3">
      <c r="A55" t="s">
        <v>41</v>
      </c>
      <c r="B55" t="s">
        <v>77</v>
      </c>
      <c r="C55" t="s">
        <v>89</v>
      </c>
      <c r="D55" t="s">
        <v>100</v>
      </c>
      <c r="E55" t="s">
        <v>122</v>
      </c>
      <c r="F55" t="s">
        <v>123</v>
      </c>
      <c r="G55" t="s">
        <v>114</v>
      </c>
      <c r="H55" t="s">
        <v>119</v>
      </c>
      <c r="I55">
        <v>45</v>
      </c>
      <c r="J55" s="11">
        <v>3031</v>
      </c>
      <c r="K55">
        <v>21</v>
      </c>
      <c r="L55" t="str" cm="1">
        <f t="array" ref="L55">_xlfn.IFS(J55&gt;5000,"Hight",J55&gt;2000,"Medium",TRUE,"Low")</f>
        <v>Medium</v>
      </c>
      <c r="M55" t="str" cm="1">
        <f t="array" ref="M55">_xlfn.IFS(I55&lt;12,"Low-Term",I55&gt;=36,"Long-Term",TRUE,"Medium-Term")</f>
        <v>Long-Term</v>
      </c>
      <c r="N55" t="str" cm="1">
        <f t="array" ref="N55">_xlfn.IFS(A55="Bad", "Review Required", AND(A55="Good",J55&gt;7000),"VIP Client", AND(A55="Good", J55&lt;=7000),"Standart Client")</f>
        <v>Review Required</v>
      </c>
      <c r="O55" s="11">
        <v>3031</v>
      </c>
    </row>
    <row r="56" spans="1:15" x14ac:dyDescent="0.3">
      <c r="A56" t="s">
        <v>41</v>
      </c>
      <c r="B56" t="s">
        <v>77</v>
      </c>
      <c r="C56" t="s">
        <v>92</v>
      </c>
      <c r="D56" t="s">
        <v>99</v>
      </c>
      <c r="E56" t="s">
        <v>124</v>
      </c>
      <c r="F56" t="s">
        <v>125</v>
      </c>
      <c r="G56" t="s">
        <v>115</v>
      </c>
      <c r="H56" t="s">
        <v>120</v>
      </c>
      <c r="I56">
        <v>9</v>
      </c>
      <c r="J56" s="11">
        <v>1501</v>
      </c>
      <c r="K56">
        <v>34</v>
      </c>
      <c r="L56" t="str" cm="1">
        <f t="array" ref="L56">_xlfn.IFS(J56&gt;5000,"Hight",J56&gt;2000,"Medium",TRUE,"Low")</f>
        <v>Low</v>
      </c>
      <c r="M56" t="str" cm="1">
        <f t="array" ref="M56">_xlfn.IFS(I56&lt;12,"Low-Term",I56&gt;=36,"Long-Term",TRUE,"Medium-Term")</f>
        <v>Low-Term</v>
      </c>
      <c r="N56" t="str" cm="1">
        <f t="array" ref="N56">_xlfn.IFS(A56="Bad", "Review Required", AND(A56="Good",J56&gt;7000),"VIP Client", AND(A56="Good", J56&lt;=7000),"Standart Client")</f>
        <v>Review Required</v>
      </c>
      <c r="O56" s="11">
        <v>1501</v>
      </c>
    </row>
    <row r="57" spans="1:15" x14ac:dyDescent="0.3">
      <c r="A57" t="s">
        <v>41</v>
      </c>
      <c r="B57" t="s">
        <v>77</v>
      </c>
      <c r="C57" t="s">
        <v>88</v>
      </c>
      <c r="D57" t="s">
        <v>100</v>
      </c>
      <c r="E57" t="s">
        <v>124</v>
      </c>
      <c r="F57" t="s">
        <v>125</v>
      </c>
      <c r="G57" t="s">
        <v>114</v>
      </c>
      <c r="H57" t="s">
        <v>119</v>
      </c>
      <c r="I57">
        <v>12</v>
      </c>
      <c r="J57" s="11">
        <v>951</v>
      </c>
      <c r="K57">
        <v>27</v>
      </c>
      <c r="L57" t="str" cm="1">
        <f t="array" ref="L57">_xlfn.IFS(J57&gt;5000,"Hight",J57&gt;2000,"Medium",TRUE,"Low")</f>
        <v>Low</v>
      </c>
      <c r="M57" t="str" cm="1">
        <f t="array" ref="M57">_xlfn.IFS(I57&lt;12,"Low-Term",I57&gt;=36,"Long-Term",TRUE,"Medium-Term")</f>
        <v>Medium-Term</v>
      </c>
      <c r="N57" t="str" cm="1">
        <f t="array" ref="N57">_xlfn.IFS(A57="Bad", "Review Required", AND(A57="Good",J57&gt;7000),"VIP Client", AND(A57="Good", J57&lt;=7000),"Standart Client")</f>
        <v>Review Required</v>
      </c>
      <c r="O57" s="11">
        <v>951</v>
      </c>
    </row>
    <row r="58" spans="1:15" x14ac:dyDescent="0.3">
      <c r="A58" t="s">
        <v>41</v>
      </c>
      <c r="B58" t="s">
        <v>77</v>
      </c>
      <c r="C58" t="s">
        <v>88</v>
      </c>
      <c r="D58" t="s">
        <v>99</v>
      </c>
      <c r="E58" t="s">
        <v>122</v>
      </c>
      <c r="F58" t="s">
        <v>126</v>
      </c>
      <c r="G58" t="s">
        <v>115</v>
      </c>
      <c r="H58" t="s">
        <v>120</v>
      </c>
      <c r="I58">
        <v>18</v>
      </c>
      <c r="J58" s="11">
        <v>4297</v>
      </c>
      <c r="K58">
        <v>40</v>
      </c>
      <c r="L58" t="str" cm="1">
        <f t="array" ref="L58">_xlfn.IFS(J58&gt;5000,"Hight",J58&gt;2000,"Medium",TRUE,"Low")</f>
        <v>Medium</v>
      </c>
      <c r="M58" t="str" cm="1">
        <f t="array" ref="M58">_xlfn.IFS(I58&lt;12,"Low-Term",I58&gt;=36,"Long-Term",TRUE,"Medium-Term")</f>
        <v>Medium-Term</v>
      </c>
      <c r="N58" t="str" cm="1">
        <f t="array" ref="N58">_xlfn.IFS(A58="Bad", "Review Required", AND(A58="Good",J58&gt;7000),"VIP Client", AND(A58="Good", J58&lt;=7000),"Standart Client")</f>
        <v>Review Required</v>
      </c>
      <c r="O58" s="11">
        <v>4297</v>
      </c>
    </row>
    <row r="59" spans="1:15" x14ac:dyDescent="0.3">
      <c r="A59" t="s">
        <v>41</v>
      </c>
      <c r="B59" t="s">
        <v>80</v>
      </c>
      <c r="C59" t="s">
        <v>93</v>
      </c>
      <c r="D59" t="s">
        <v>99</v>
      </c>
      <c r="E59" t="s">
        <v>122</v>
      </c>
      <c r="F59" t="s">
        <v>127</v>
      </c>
      <c r="G59" t="s">
        <v>114</v>
      </c>
      <c r="H59" t="s">
        <v>119</v>
      </c>
      <c r="I59">
        <v>12</v>
      </c>
      <c r="J59" s="11">
        <v>902</v>
      </c>
      <c r="K59">
        <v>21</v>
      </c>
      <c r="L59" t="str" cm="1">
        <f t="array" ref="L59">_xlfn.IFS(J59&gt;5000,"Hight",J59&gt;2000,"Medium",TRUE,"Low")</f>
        <v>Low</v>
      </c>
      <c r="M59" t="str" cm="1">
        <f t="array" ref="M59">_xlfn.IFS(I59&lt;12,"Low-Term",I59&gt;=36,"Long-Term",TRUE,"Medium-Term")</f>
        <v>Medium-Term</v>
      </c>
      <c r="N59" t="str" cm="1">
        <f t="array" ref="N59">_xlfn.IFS(A59="Bad", "Review Required", AND(A59="Good",J59&gt;7000),"VIP Client", AND(A59="Good", J59&lt;=7000),"Standart Client")</f>
        <v>Review Required</v>
      </c>
      <c r="O59" s="11">
        <v>902</v>
      </c>
    </row>
    <row r="60" spans="1:15" x14ac:dyDescent="0.3">
      <c r="A60" t="s">
        <v>41</v>
      </c>
      <c r="B60" t="s">
        <v>80</v>
      </c>
      <c r="C60" t="s">
        <v>94</v>
      </c>
      <c r="D60" t="s">
        <v>99</v>
      </c>
      <c r="E60" t="s">
        <v>122</v>
      </c>
      <c r="F60" t="s">
        <v>123</v>
      </c>
      <c r="G60" t="s">
        <v>114</v>
      </c>
      <c r="H60" t="s">
        <v>120</v>
      </c>
      <c r="I60">
        <v>27</v>
      </c>
      <c r="J60" s="11">
        <v>5293</v>
      </c>
      <c r="K60">
        <v>50</v>
      </c>
      <c r="L60" t="str" cm="1">
        <f t="array" ref="L60">_xlfn.IFS(J60&gt;5000,"Hight",J60&gt;2000,"Medium",TRUE,"Low")</f>
        <v>Hight</v>
      </c>
      <c r="M60" t="str" cm="1">
        <f t="array" ref="M60">_xlfn.IFS(I60&lt;12,"Low-Term",I60&gt;=36,"Long-Term",TRUE,"Medium-Term")</f>
        <v>Medium-Term</v>
      </c>
      <c r="N60" t="str" cm="1">
        <f t="array" ref="N60">_xlfn.IFS(A60="Bad", "Review Required", AND(A60="Good",J60&gt;7000),"VIP Client", AND(A60="Good", J60&lt;=7000),"Standart Client")</f>
        <v>Review Required</v>
      </c>
      <c r="O60" s="11">
        <v>5293</v>
      </c>
    </row>
    <row r="61" spans="1:15" x14ac:dyDescent="0.3">
      <c r="A61" t="s">
        <v>41</v>
      </c>
      <c r="B61" t="s">
        <v>81</v>
      </c>
      <c r="C61" t="s">
        <v>94</v>
      </c>
      <c r="D61" t="s">
        <v>99</v>
      </c>
      <c r="E61" t="s">
        <v>122</v>
      </c>
      <c r="F61" t="s">
        <v>123</v>
      </c>
      <c r="G61" t="s">
        <v>115</v>
      </c>
      <c r="H61" t="s">
        <v>120</v>
      </c>
      <c r="I61">
        <v>30</v>
      </c>
      <c r="J61" s="11">
        <v>1908</v>
      </c>
      <c r="K61">
        <v>66</v>
      </c>
      <c r="L61" t="str" cm="1">
        <f t="array" ref="L61">_xlfn.IFS(J61&gt;5000,"Hight",J61&gt;2000,"Medium",TRUE,"Low")</f>
        <v>Low</v>
      </c>
      <c r="M61" t="str" cm="1">
        <f t="array" ref="M61">_xlfn.IFS(I61&lt;12,"Low-Term",I61&gt;=36,"Long-Term",TRUE,"Medium-Term")</f>
        <v>Medium-Term</v>
      </c>
      <c r="N61" t="str" cm="1">
        <f t="array" ref="N61">_xlfn.IFS(A61="Bad", "Review Required", AND(A61="Good",J61&gt;7000),"VIP Client", AND(A61="Good", J61&lt;=7000),"Standart Client")</f>
        <v>Review Required</v>
      </c>
      <c r="O61" s="11">
        <v>1908</v>
      </c>
    </row>
    <row r="62" spans="1:15" x14ac:dyDescent="0.3">
      <c r="A62" t="s">
        <v>41</v>
      </c>
      <c r="B62" t="s">
        <v>77</v>
      </c>
      <c r="C62" t="s">
        <v>89</v>
      </c>
      <c r="D62" t="s">
        <v>102</v>
      </c>
      <c r="E62" t="s">
        <v>122</v>
      </c>
      <c r="F62" t="s">
        <v>123</v>
      </c>
      <c r="G62" t="s">
        <v>114</v>
      </c>
      <c r="H62" t="s">
        <v>120</v>
      </c>
      <c r="I62">
        <v>48</v>
      </c>
      <c r="J62" s="11">
        <v>10961</v>
      </c>
      <c r="K62">
        <v>27</v>
      </c>
      <c r="L62" t="str" cm="1">
        <f t="array" ref="L62">_xlfn.IFS(J62&gt;5000,"Hight",J62&gt;2000,"Medium",TRUE,"Low")</f>
        <v>Hight</v>
      </c>
      <c r="M62" t="str" cm="1">
        <f t="array" ref="M62">_xlfn.IFS(I62&lt;12,"Low-Term",I62&gt;=36,"Long-Term",TRUE,"Medium-Term")</f>
        <v>Long-Term</v>
      </c>
      <c r="N62" t="str" cm="1">
        <f t="array" ref="N62">_xlfn.IFS(A62="Bad", "Review Required", AND(A62="Good",J62&gt;7000),"VIP Client", AND(A62="Good", J62&lt;=7000),"Standart Client")</f>
        <v>Review Required</v>
      </c>
      <c r="O62" s="11">
        <v>10961</v>
      </c>
    </row>
    <row r="63" spans="1:15" x14ac:dyDescent="0.3">
      <c r="A63" t="s">
        <v>41</v>
      </c>
      <c r="B63" t="s">
        <v>80</v>
      </c>
      <c r="C63" t="s">
        <v>88</v>
      </c>
      <c r="D63" t="s">
        <v>99</v>
      </c>
      <c r="E63" t="s">
        <v>122</v>
      </c>
      <c r="F63" t="s">
        <v>123</v>
      </c>
      <c r="G63" t="s">
        <v>115</v>
      </c>
      <c r="H63" t="s">
        <v>121</v>
      </c>
      <c r="I63">
        <v>12</v>
      </c>
      <c r="J63" s="11">
        <v>7865</v>
      </c>
      <c r="K63">
        <v>53</v>
      </c>
      <c r="L63" t="str" cm="1">
        <f t="array" ref="L63">_xlfn.IFS(J63&gt;5000,"Hight",J63&gt;2000,"Medium",TRUE,"Low")</f>
        <v>Hight</v>
      </c>
      <c r="M63" t="str" cm="1">
        <f t="array" ref="M63">_xlfn.IFS(I63&lt;12,"Low-Term",I63&gt;=36,"Long-Term",TRUE,"Medium-Term")</f>
        <v>Medium-Term</v>
      </c>
      <c r="N63" t="str" cm="1">
        <f t="array" ref="N63">_xlfn.IFS(A63="Bad", "Review Required", AND(A63="Good",J63&gt;7000),"VIP Client", AND(A63="Good", J63&lt;=7000),"Standart Client")</f>
        <v>Review Required</v>
      </c>
      <c r="O63" s="11">
        <v>7865</v>
      </c>
    </row>
    <row r="64" spans="1:15" x14ac:dyDescent="0.3">
      <c r="A64" t="s">
        <v>41</v>
      </c>
      <c r="B64" t="s">
        <v>78</v>
      </c>
      <c r="C64" t="s">
        <v>89</v>
      </c>
      <c r="D64" t="s">
        <v>99</v>
      </c>
      <c r="E64" t="s">
        <v>122</v>
      </c>
      <c r="F64" t="s">
        <v>123</v>
      </c>
      <c r="G64" t="s">
        <v>114</v>
      </c>
      <c r="H64" t="s">
        <v>120</v>
      </c>
      <c r="I64">
        <v>9</v>
      </c>
      <c r="J64" s="11">
        <v>1478</v>
      </c>
      <c r="K64">
        <v>22</v>
      </c>
      <c r="L64" t="str" cm="1">
        <f t="array" ref="L64">_xlfn.IFS(J64&gt;5000,"Hight",J64&gt;2000,"Medium",TRUE,"Low")</f>
        <v>Low</v>
      </c>
      <c r="M64" t="str" cm="1">
        <f t="array" ref="M64">_xlfn.IFS(I64&lt;12,"Low-Term",I64&gt;=36,"Long-Term",TRUE,"Medium-Term")</f>
        <v>Low-Term</v>
      </c>
      <c r="N64" t="str" cm="1">
        <f t="array" ref="N64">_xlfn.IFS(A64="Bad", "Review Required", AND(A64="Good",J64&gt;7000),"VIP Client", AND(A64="Good", J64&lt;=7000),"Standart Client")</f>
        <v>Review Required</v>
      </c>
      <c r="O64" s="11">
        <v>1478</v>
      </c>
    </row>
    <row r="65" spans="1:15" x14ac:dyDescent="0.3">
      <c r="A65" t="s">
        <v>41</v>
      </c>
      <c r="B65" t="s">
        <v>81</v>
      </c>
      <c r="C65" t="s">
        <v>89</v>
      </c>
      <c r="D65" t="s">
        <v>99</v>
      </c>
      <c r="E65" t="s">
        <v>122</v>
      </c>
      <c r="F65" t="s">
        <v>123</v>
      </c>
      <c r="G65" t="s">
        <v>114</v>
      </c>
      <c r="H65" t="s">
        <v>120</v>
      </c>
      <c r="I65">
        <v>36</v>
      </c>
      <c r="J65" s="11">
        <v>4210</v>
      </c>
      <c r="K65">
        <v>26</v>
      </c>
      <c r="L65" t="str" cm="1">
        <f t="array" ref="L65">_xlfn.IFS(J65&gt;5000,"Hight",J65&gt;2000,"Medium",TRUE,"Low")</f>
        <v>Medium</v>
      </c>
      <c r="M65" t="str" cm="1">
        <f t="array" ref="M65">_xlfn.IFS(I65&lt;12,"Low-Term",I65&gt;=36,"Long-Term",TRUE,"Medium-Term")</f>
        <v>Long-Term</v>
      </c>
      <c r="N65" t="str" cm="1">
        <f t="array" ref="N65">_xlfn.IFS(A65="Bad", "Review Required", AND(A65="Good",J65&gt;7000),"VIP Client", AND(A65="Good", J65&lt;=7000),"Standart Client")</f>
        <v>Review Required</v>
      </c>
      <c r="O65" s="11">
        <v>4210</v>
      </c>
    </row>
    <row r="66" spans="1:15" x14ac:dyDescent="0.3">
      <c r="A66" t="s">
        <v>41</v>
      </c>
      <c r="B66" t="s">
        <v>80</v>
      </c>
      <c r="C66" t="s">
        <v>89</v>
      </c>
      <c r="D66" t="s">
        <v>99</v>
      </c>
      <c r="E66" t="s">
        <v>122</v>
      </c>
      <c r="F66" t="s">
        <v>123</v>
      </c>
      <c r="G66" t="s">
        <v>115</v>
      </c>
      <c r="H66" t="s">
        <v>120</v>
      </c>
      <c r="I66">
        <v>24</v>
      </c>
      <c r="J66" s="11">
        <v>1823</v>
      </c>
      <c r="K66">
        <v>30</v>
      </c>
      <c r="L66" t="str" cm="1">
        <f t="array" ref="L66">_xlfn.IFS(J66&gt;5000,"Hight",J66&gt;2000,"Medium",TRUE,"Low")</f>
        <v>Low</v>
      </c>
      <c r="M66" t="str" cm="1">
        <f t="array" ref="M66">_xlfn.IFS(I66&lt;12,"Low-Term",I66&gt;=36,"Long-Term",TRUE,"Medium-Term")</f>
        <v>Medium-Term</v>
      </c>
      <c r="N66" t="str" cm="1">
        <f t="array" ref="N66">_xlfn.IFS(A66="Bad", "Review Required", AND(A66="Good",J66&gt;7000),"VIP Client", AND(A66="Good", J66&lt;=7000),"Standart Client")</f>
        <v>Review Required</v>
      </c>
      <c r="O66" s="11">
        <v>1823</v>
      </c>
    </row>
    <row r="67" spans="1:15" x14ac:dyDescent="0.3">
      <c r="A67" t="s">
        <v>41</v>
      </c>
      <c r="B67" t="s">
        <v>77</v>
      </c>
      <c r="C67" t="s">
        <v>86</v>
      </c>
      <c r="D67" t="s">
        <v>78</v>
      </c>
      <c r="E67" t="s">
        <v>122</v>
      </c>
      <c r="F67" t="s">
        <v>123</v>
      </c>
      <c r="G67" t="s">
        <v>112</v>
      </c>
      <c r="H67" t="s">
        <v>120</v>
      </c>
      <c r="I67">
        <v>6</v>
      </c>
      <c r="J67" s="11">
        <v>14555</v>
      </c>
      <c r="K67">
        <v>23</v>
      </c>
      <c r="L67" t="str" cm="1">
        <f t="array" ref="L67">_xlfn.IFS(J67&gt;5000,"Hight",J67&gt;2000,"Medium",TRUE,"Low")</f>
        <v>Hight</v>
      </c>
      <c r="M67" t="str" cm="1">
        <f t="array" ref="M67">_xlfn.IFS(I67&lt;12,"Low-Term",I67&gt;=36,"Long-Term",TRUE,"Medium-Term")</f>
        <v>Low-Term</v>
      </c>
      <c r="N67" t="str" cm="1">
        <f t="array" ref="N67">_xlfn.IFS(A67="Bad", "Review Required", AND(A67="Good",J67&gt;7000),"VIP Client", AND(A67="Good", J67&lt;=7000),"Standart Client")</f>
        <v>Review Required</v>
      </c>
      <c r="O67" s="11">
        <v>14555</v>
      </c>
    </row>
    <row r="68" spans="1:15" x14ac:dyDescent="0.3">
      <c r="A68" t="s">
        <v>41</v>
      </c>
      <c r="B68" t="s">
        <v>77</v>
      </c>
      <c r="C68" t="s">
        <v>94</v>
      </c>
      <c r="D68" t="s">
        <v>100</v>
      </c>
      <c r="E68" t="s">
        <v>122</v>
      </c>
      <c r="F68" t="s">
        <v>126</v>
      </c>
      <c r="G68" t="s">
        <v>113</v>
      </c>
      <c r="H68" t="s">
        <v>119</v>
      </c>
      <c r="I68">
        <v>21</v>
      </c>
      <c r="J68" s="11">
        <v>2767</v>
      </c>
      <c r="K68">
        <v>61</v>
      </c>
      <c r="L68" t="str" cm="1">
        <f t="array" ref="L68">_xlfn.IFS(J68&gt;5000,"Hight",J68&gt;2000,"Medium",TRUE,"Low")</f>
        <v>Medium</v>
      </c>
      <c r="M68" t="str" cm="1">
        <f t="array" ref="M68">_xlfn.IFS(I68&lt;12,"Low-Term",I68&gt;=36,"Long-Term",TRUE,"Medium-Term")</f>
        <v>Medium-Term</v>
      </c>
      <c r="N68" t="str" cm="1">
        <f t="array" ref="N68">_xlfn.IFS(A68="Bad", "Review Required", AND(A68="Good",J68&gt;7000),"VIP Client", AND(A68="Good", J68&lt;=7000),"Standart Client")</f>
        <v>Review Required</v>
      </c>
      <c r="O68" s="11">
        <v>2767</v>
      </c>
    </row>
    <row r="69" spans="1:15" x14ac:dyDescent="0.3">
      <c r="A69" t="s">
        <v>41</v>
      </c>
      <c r="B69" t="s">
        <v>80</v>
      </c>
      <c r="C69" t="s">
        <v>86</v>
      </c>
      <c r="D69" t="s">
        <v>78</v>
      </c>
      <c r="E69" t="s">
        <v>124</v>
      </c>
      <c r="F69" t="s">
        <v>125</v>
      </c>
      <c r="G69" t="s">
        <v>114</v>
      </c>
      <c r="H69" t="s">
        <v>120</v>
      </c>
      <c r="I69">
        <v>24</v>
      </c>
      <c r="J69" s="11">
        <v>915</v>
      </c>
      <c r="K69">
        <v>29</v>
      </c>
      <c r="L69" t="str" cm="1">
        <f t="array" ref="L69">_xlfn.IFS(J69&gt;5000,"Hight",J69&gt;2000,"Medium",TRUE,"Low")</f>
        <v>Low</v>
      </c>
      <c r="M69" t="str" cm="1">
        <f t="array" ref="M69">_xlfn.IFS(I69&lt;12,"Low-Term",I69&gt;=36,"Long-Term",TRUE,"Medium-Term")</f>
        <v>Medium-Term</v>
      </c>
      <c r="N69" t="str" cm="1">
        <f t="array" ref="N69">_xlfn.IFS(A69="Bad", "Review Required", AND(A69="Good",J69&gt;7000),"VIP Client", AND(A69="Good", J69&lt;=7000),"Standart Client")</f>
        <v>Review Required</v>
      </c>
      <c r="O69" s="11">
        <v>915</v>
      </c>
    </row>
    <row r="70" spans="1:15" x14ac:dyDescent="0.3">
      <c r="A70" t="s">
        <v>41</v>
      </c>
      <c r="B70" t="s">
        <v>80</v>
      </c>
      <c r="C70" t="s">
        <v>87</v>
      </c>
      <c r="D70" t="s">
        <v>99</v>
      </c>
      <c r="E70" t="s">
        <v>122</v>
      </c>
      <c r="F70" t="s">
        <v>123</v>
      </c>
      <c r="G70" t="s">
        <v>114</v>
      </c>
      <c r="H70" t="s">
        <v>121</v>
      </c>
      <c r="I70">
        <v>48</v>
      </c>
      <c r="J70" s="11">
        <v>4605</v>
      </c>
      <c r="K70">
        <v>24</v>
      </c>
      <c r="L70" t="str" cm="1">
        <f t="array" ref="L70">_xlfn.IFS(J70&gt;5000,"Hight",J70&gt;2000,"Medium",TRUE,"Low")</f>
        <v>Medium</v>
      </c>
      <c r="M70" t="str" cm="1">
        <f t="array" ref="M70">_xlfn.IFS(I70&lt;12,"Low-Term",I70&gt;=36,"Long-Term",TRUE,"Medium-Term")</f>
        <v>Long-Term</v>
      </c>
      <c r="N70" t="str" cm="1">
        <f t="array" ref="N70">_xlfn.IFS(A70="Bad", "Review Required", AND(A70="Good",J70&gt;7000),"VIP Client", AND(A70="Good", J70&lt;=7000),"Standart Client")</f>
        <v>Review Required</v>
      </c>
      <c r="O70" s="11">
        <v>4605</v>
      </c>
    </row>
    <row r="71" spans="1:15" x14ac:dyDescent="0.3">
      <c r="A71" t="s">
        <v>41</v>
      </c>
      <c r="B71" t="s">
        <v>78</v>
      </c>
      <c r="C71" t="s">
        <v>89</v>
      </c>
      <c r="D71" t="s">
        <v>99</v>
      </c>
      <c r="E71" t="s">
        <v>124</v>
      </c>
      <c r="F71" t="s">
        <v>125</v>
      </c>
      <c r="G71" t="s">
        <v>114</v>
      </c>
      <c r="H71" t="s">
        <v>119</v>
      </c>
      <c r="I71">
        <v>18</v>
      </c>
      <c r="J71" s="11">
        <v>433</v>
      </c>
      <c r="K71">
        <v>22</v>
      </c>
      <c r="L71" t="str" cm="1">
        <f t="array" ref="L71">_xlfn.IFS(J71&gt;5000,"Hight",J71&gt;2000,"Medium",TRUE,"Low")</f>
        <v>Low</v>
      </c>
      <c r="M71" t="str" cm="1">
        <f t="array" ref="M71">_xlfn.IFS(I71&lt;12,"Low-Term",I71&gt;=36,"Long-Term",TRUE,"Medium-Term")</f>
        <v>Medium-Term</v>
      </c>
      <c r="N71" t="str" cm="1">
        <f t="array" ref="N71">_xlfn.IFS(A71="Bad", "Review Required", AND(A71="Good",J71&gt;7000),"VIP Client", AND(A71="Good", J71&lt;=7000),"Standart Client")</f>
        <v>Review Required</v>
      </c>
      <c r="O71" s="11">
        <v>433</v>
      </c>
    </row>
    <row r="72" spans="1:15" x14ac:dyDescent="0.3">
      <c r="A72" t="s">
        <v>41</v>
      </c>
      <c r="B72" t="s">
        <v>77</v>
      </c>
      <c r="C72" t="s">
        <v>86</v>
      </c>
      <c r="D72" t="s">
        <v>99</v>
      </c>
      <c r="E72" t="s">
        <v>124</v>
      </c>
      <c r="F72" t="s">
        <v>125</v>
      </c>
      <c r="G72" t="s">
        <v>114</v>
      </c>
      <c r="H72" t="s">
        <v>120</v>
      </c>
      <c r="I72">
        <v>30</v>
      </c>
      <c r="J72" s="11">
        <v>2150</v>
      </c>
      <c r="K72">
        <v>24</v>
      </c>
      <c r="L72" t="str" cm="1">
        <f t="array" ref="L72">_xlfn.IFS(J72&gt;5000,"Hight",J72&gt;2000,"Medium",TRUE,"Low")</f>
        <v>Medium</v>
      </c>
      <c r="M72" t="str" cm="1">
        <f t="array" ref="M72">_xlfn.IFS(I72&lt;12,"Low-Term",I72&gt;=36,"Long-Term",TRUE,"Medium-Term")</f>
        <v>Medium-Term</v>
      </c>
      <c r="N72" t="str" cm="1">
        <f t="array" ref="N72">_xlfn.IFS(A72="Bad", "Review Required", AND(A72="Good",J72&gt;7000),"VIP Client", AND(A72="Good", J72&lt;=7000),"Standart Client")</f>
        <v>Review Required</v>
      </c>
      <c r="O72" s="11">
        <v>2150</v>
      </c>
    </row>
    <row r="73" spans="1:15" x14ac:dyDescent="0.3">
      <c r="A73" t="s">
        <v>41</v>
      </c>
      <c r="B73" t="s">
        <v>80</v>
      </c>
      <c r="C73" t="s">
        <v>89</v>
      </c>
      <c r="D73" t="s">
        <v>99</v>
      </c>
      <c r="E73" t="s">
        <v>122</v>
      </c>
      <c r="F73" t="s">
        <v>126</v>
      </c>
      <c r="G73" t="s">
        <v>114</v>
      </c>
      <c r="H73" t="s">
        <v>121</v>
      </c>
      <c r="I73">
        <v>12</v>
      </c>
      <c r="J73" s="11">
        <v>2149</v>
      </c>
      <c r="K73">
        <v>29</v>
      </c>
      <c r="L73" t="str" cm="1">
        <f t="array" ref="L73">_xlfn.IFS(J73&gt;5000,"Hight",J73&gt;2000,"Medium",TRUE,"Low")</f>
        <v>Medium</v>
      </c>
      <c r="M73" t="str" cm="1">
        <f t="array" ref="M73">_xlfn.IFS(I73&lt;12,"Low-Term",I73&gt;=36,"Long-Term",TRUE,"Medium-Term")</f>
        <v>Medium-Term</v>
      </c>
      <c r="N73" t="str" cm="1">
        <f t="array" ref="N73">_xlfn.IFS(A73="Bad", "Review Required", AND(A73="Good",J73&gt;7000),"VIP Client", AND(A73="Good", J73&lt;=7000),"Standart Client")</f>
        <v>Review Required</v>
      </c>
      <c r="O73" s="11">
        <v>2149</v>
      </c>
    </row>
    <row r="74" spans="1:15" x14ac:dyDescent="0.3">
      <c r="A74" t="s">
        <v>41</v>
      </c>
      <c r="B74" t="s">
        <v>77</v>
      </c>
      <c r="C74" t="s">
        <v>89</v>
      </c>
      <c r="D74" t="s">
        <v>99</v>
      </c>
      <c r="E74" t="s">
        <v>122</v>
      </c>
      <c r="F74" t="s">
        <v>123</v>
      </c>
      <c r="G74" t="s">
        <v>114</v>
      </c>
      <c r="H74" t="s">
        <v>120</v>
      </c>
      <c r="I74">
        <v>15</v>
      </c>
      <c r="J74" s="11">
        <v>802</v>
      </c>
      <c r="K74">
        <v>37</v>
      </c>
      <c r="L74" t="str" cm="1">
        <f t="array" ref="L74">_xlfn.IFS(J74&gt;5000,"Hight",J74&gt;2000,"Medium",TRUE,"Low")</f>
        <v>Low</v>
      </c>
      <c r="M74" t="str" cm="1">
        <f t="array" ref="M74">_xlfn.IFS(I74&lt;12,"Low-Term",I74&gt;=36,"Long-Term",TRUE,"Medium-Term")</f>
        <v>Medium-Term</v>
      </c>
      <c r="N74" t="str" cm="1">
        <f t="array" ref="N74">_xlfn.IFS(A74="Bad", "Review Required", AND(A74="Good",J74&gt;7000),"VIP Client", AND(A74="Good", J74&lt;=7000),"Standart Client")</f>
        <v>Review Required</v>
      </c>
      <c r="O74" s="11">
        <v>802</v>
      </c>
    </row>
    <row r="75" spans="1:15" x14ac:dyDescent="0.3">
      <c r="A75" t="s">
        <v>41</v>
      </c>
      <c r="B75" t="s">
        <v>80</v>
      </c>
      <c r="C75" t="s">
        <v>86</v>
      </c>
      <c r="D75" t="s">
        <v>99</v>
      </c>
      <c r="E75" t="s">
        <v>122</v>
      </c>
      <c r="F75" t="s">
        <v>126</v>
      </c>
      <c r="G75" t="s">
        <v>115</v>
      </c>
      <c r="H75" t="s">
        <v>120</v>
      </c>
      <c r="I75">
        <v>14</v>
      </c>
      <c r="J75" s="11">
        <v>8978</v>
      </c>
      <c r="K75">
        <v>45</v>
      </c>
      <c r="L75" t="str" cm="1">
        <f t="array" ref="L75">_xlfn.IFS(J75&gt;5000,"Hight",J75&gt;2000,"Medium",TRUE,"Low")</f>
        <v>Hight</v>
      </c>
      <c r="M75" t="str" cm="1">
        <f t="array" ref="M75">_xlfn.IFS(I75&lt;12,"Low-Term",I75&gt;=36,"Long-Term",TRUE,"Medium-Term")</f>
        <v>Medium-Term</v>
      </c>
      <c r="N75" t="str" cm="1">
        <f t="array" ref="N75">_xlfn.IFS(A75="Bad", "Review Required", AND(A75="Good",J75&gt;7000),"VIP Client", AND(A75="Good", J75&lt;=7000),"Standart Client")</f>
        <v>Review Required</v>
      </c>
      <c r="O75" s="11">
        <v>8978</v>
      </c>
    </row>
    <row r="76" spans="1:15" x14ac:dyDescent="0.3">
      <c r="A76" t="s">
        <v>41</v>
      </c>
      <c r="B76" t="s">
        <v>77</v>
      </c>
      <c r="C76" t="s">
        <v>89</v>
      </c>
      <c r="D76" t="s">
        <v>99</v>
      </c>
      <c r="E76" t="s">
        <v>122</v>
      </c>
      <c r="F76" t="s">
        <v>123</v>
      </c>
      <c r="G76" t="s">
        <v>114</v>
      </c>
      <c r="H76" t="s">
        <v>120</v>
      </c>
      <c r="I76">
        <v>48</v>
      </c>
      <c r="J76" s="11">
        <v>3060</v>
      </c>
      <c r="K76">
        <v>28</v>
      </c>
      <c r="L76" t="str" cm="1">
        <f t="array" ref="L76">_xlfn.IFS(J76&gt;5000,"Hight",J76&gt;2000,"Medium",TRUE,"Low")</f>
        <v>Medium</v>
      </c>
      <c r="M76" t="str" cm="1">
        <f t="array" ref="M76">_xlfn.IFS(I76&lt;12,"Low-Term",I76&gt;=36,"Long-Term",TRUE,"Medium-Term")</f>
        <v>Long-Term</v>
      </c>
      <c r="N76" t="str" cm="1">
        <f t="array" ref="N76">_xlfn.IFS(A76="Bad", "Review Required", AND(A76="Good",J76&gt;7000),"VIP Client", AND(A76="Good", J76&lt;=7000),"Standart Client")</f>
        <v>Review Required</v>
      </c>
      <c r="O76" s="11">
        <v>3060</v>
      </c>
    </row>
    <row r="77" spans="1:15" x14ac:dyDescent="0.3">
      <c r="A77" t="s">
        <v>41</v>
      </c>
      <c r="B77" t="s">
        <v>80</v>
      </c>
      <c r="C77" t="s">
        <v>91</v>
      </c>
      <c r="D77" t="s">
        <v>99</v>
      </c>
      <c r="E77" t="s">
        <v>122</v>
      </c>
      <c r="F77" t="s">
        <v>126</v>
      </c>
      <c r="G77" t="s">
        <v>113</v>
      </c>
      <c r="H77" t="s">
        <v>120</v>
      </c>
      <c r="I77">
        <v>30</v>
      </c>
      <c r="J77" s="11">
        <v>11998</v>
      </c>
      <c r="K77">
        <v>34</v>
      </c>
      <c r="L77" t="str" cm="1">
        <f t="array" ref="L77">_xlfn.IFS(J77&gt;5000,"Hight",J77&gt;2000,"Medium",TRUE,"Low")</f>
        <v>Hight</v>
      </c>
      <c r="M77" t="str" cm="1">
        <f t="array" ref="M77">_xlfn.IFS(I77&lt;12,"Low-Term",I77&gt;=36,"Long-Term",TRUE,"Medium-Term")</f>
        <v>Medium-Term</v>
      </c>
      <c r="N77" t="str" cm="1">
        <f t="array" ref="N77">_xlfn.IFS(A77="Bad", "Review Required", AND(A77="Good",J77&gt;7000),"VIP Client", AND(A77="Good", J77&lt;=7000),"Standart Client")</f>
        <v>Review Required</v>
      </c>
      <c r="O77" s="11">
        <v>11998</v>
      </c>
    </row>
    <row r="78" spans="1:15" x14ac:dyDescent="0.3">
      <c r="A78" t="s">
        <v>41</v>
      </c>
      <c r="B78" t="s">
        <v>78</v>
      </c>
      <c r="C78" t="s">
        <v>88</v>
      </c>
      <c r="D78" t="s">
        <v>99</v>
      </c>
      <c r="E78" t="s">
        <v>124</v>
      </c>
      <c r="F78" t="s">
        <v>125</v>
      </c>
      <c r="G78" t="s">
        <v>114</v>
      </c>
      <c r="H78" t="s">
        <v>120</v>
      </c>
      <c r="I78">
        <v>6</v>
      </c>
      <c r="J78" s="11">
        <v>4611</v>
      </c>
      <c r="K78">
        <v>32</v>
      </c>
      <c r="L78" t="str" cm="1">
        <f t="array" ref="L78">_xlfn.IFS(J78&gt;5000,"Hight",J78&gt;2000,"Medium",TRUE,"Low")</f>
        <v>Medium</v>
      </c>
      <c r="M78" t="str" cm="1">
        <f t="array" ref="M78">_xlfn.IFS(I78&lt;12,"Low-Term",I78&gt;=36,"Long-Term",TRUE,"Medium-Term")</f>
        <v>Low-Term</v>
      </c>
      <c r="N78" t="str" cm="1">
        <f t="array" ref="N78">_xlfn.IFS(A78="Bad", "Review Required", AND(A78="Good",J78&gt;7000),"VIP Client", AND(A78="Good", J78&lt;=7000),"Standart Client")</f>
        <v>Review Required</v>
      </c>
      <c r="O78" s="11">
        <v>4611</v>
      </c>
    </row>
    <row r="79" spans="1:15" x14ac:dyDescent="0.3">
      <c r="A79" t="s">
        <v>41</v>
      </c>
      <c r="B79" t="s">
        <v>80</v>
      </c>
      <c r="C79" t="s">
        <v>89</v>
      </c>
      <c r="D79" t="s">
        <v>99</v>
      </c>
      <c r="E79" t="s">
        <v>122</v>
      </c>
      <c r="F79" t="s">
        <v>127</v>
      </c>
      <c r="G79" t="s">
        <v>114</v>
      </c>
      <c r="H79" t="s">
        <v>120</v>
      </c>
      <c r="I79">
        <v>24</v>
      </c>
      <c r="J79" s="11">
        <v>1024</v>
      </c>
      <c r="K79">
        <v>48</v>
      </c>
      <c r="L79" t="str" cm="1">
        <f t="array" ref="L79">_xlfn.IFS(J79&gt;5000,"Hight",J79&gt;2000,"Medium",TRUE,"Low")</f>
        <v>Low</v>
      </c>
      <c r="M79" t="str" cm="1">
        <f t="array" ref="M79">_xlfn.IFS(I79&lt;12,"Low-Term",I79&gt;=36,"Long-Term",TRUE,"Medium-Term")</f>
        <v>Medium-Term</v>
      </c>
      <c r="N79" t="str" cm="1">
        <f t="array" ref="N79">_xlfn.IFS(A79="Bad", "Review Required", AND(A79="Good",J79&gt;7000),"VIP Client", AND(A79="Good", J79&lt;=7000),"Standart Client")</f>
        <v>Review Required</v>
      </c>
      <c r="O79" s="11">
        <v>1024</v>
      </c>
    </row>
    <row r="80" spans="1:15" x14ac:dyDescent="0.3">
      <c r="A80" t="s">
        <v>41</v>
      </c>
      <c r="B80" t="s">
        <v>77</v>
      </c>
      <c r="C80" t="s">
        <v>87</v>
      </c>
      <c r="D80" t="s">
        <v>99</v>
      </c>
      <c r="E80" t="s">
        <v>122</v>
      </c>
      <c r="F80" t="s">
        <v>127</v>
      </c>
      <c r="G80" t="s">
        <v>115</v>
      </c>
      <c r="H80" t="s">
        <v>119</v>
      </c>
      <c r="I80">
        <v>36</v>
      </c>
      <c r="J80" s="11">
        <v>9398</v>
      </c>
      <c r="K80">
        <v>28</v>
      </c>
      <c r="L80" t="str" cm="1">
        <f t="array" ref="L80">_xlfn.IFS(J80&gt;5000,"Hight",J80&gt;2000,"Medium",TRUE,"Low")</f>
        <v>Hight</v>
      </c>
      <c r="M80" t="str" cm="1">
        <f t="array" ref="M80">_xlfn.IFS(I80&lt;12,"Low-Term",I80&gt;=36,"Long-Term",TRUE,"Medium-Term")</f>
        <v>Long-Term</v>
      </c>
      <c r="N80" t="str" cm="1">
        <f t="array" ref="N80">_xlfn.IFS(A80="Bad", "Review Required", AND(A80="Good",J80&gt;7000),"VIP Client", AND(A80="Good", J80&lt;=7000),"Standart Client")</f>
        <v>Review Required</v>
      </c>
      <c r="O80" s="11">
        <v>9398</v>
      </c>
    </row>
    <row r="81" spans="1:15" x14ac:dyDescent="0.3">
      <c r="A81" t="s">
        <v>41</v>
      </c>
      <c r="B81" t="s">
        <v>77</v>
      </c>
      <c r="C81" t="s">
        <v>88</v>
      </c>
      <c r="D81" t="s">
        <v>99</v>
      </c>
      <c r="E81" t="s">
        <v>124</v>
      </c>
      <c r="F81" t="s">
        <v>125</v>
      </c>
      <c r="G81" t="s">
        <v>114</v>
      </c>
      <c r="H81" t="s">
        <v>120</v>
      </c>
      <c r="I81">
        <v>48</v>
      </c>
      <c r="J81" s="11">
        <v>9960</v>
      </c>
      <c r="K81">
        <v>26</v>
      </c>
      <c r="L81" t="str" cm="1">
        <f t="array" ref="L81">_xlfn.IFS(J81&gt;5000,"Hight",J81&gt;2000,"Medium",TRUE,"Low")</f>
        <v>Hight</v>
      </c>
      <c r="M81" t="str" cm="1">
        <f t="array" ref="M81">_xlfn.IFS(I81&lt;12,"Low-Term",I81&gt;=36,"Long-Term",TRUE,"Medium-Term")</f>
        <v>Long-Term</v>
      </c>
      <c r="N81" t="str" cm="1">
        <f t="array" ref="N81">_xlfn.IFS(A81="Bad", "Review Required", AND(A81="Good",J81&gt;7000),"VIP Client", AND(A81="Good", J81&lt;=7000),"Standart Client")</f>
        <v>Review Required</v>
      </c>
      <c r="O81" s="11">
        <v>9960</v>
      </c>
    </row>
    <row r="82" spans="1:15" x14ac:dyDescent="0.3">
      <c r="A82" t="s">
        <v>41</v>
      </c>
      <c r="B82" t="s">
        <v>77</v>
      </c>
      <c r="C82" t="s">
        <v>89</v>
      </c>
      <c r="D82" t="s">
        <v>99</v>
      </c>
      <c r="E82" t="s">
        <v>124</v>
      </c>
      <c r="F82" t="s">
        <v>125</v>
      </c>
      <c r="G82" t="s">
        <v>114</v>
      </c>
      <c r="H82" t="s">
        <v>120</v>
      </c>
      <c r="I82">
        <v>36</v>
      </c>
      <c r="J82" s="11">
        <v>3804</v>
      </c>
      <c r="K82">
        <v>42</v>
      </c>
      <c r="L82" t="str" cm="1">
        <f t="array" ref="L82">_xlfn.IFS(J82&gt;5000,"Hight",J82&gt;2000,"Medium",TRUE,"Low")</f>
        <v>Medium</v>
      </c>
      <c r="M82" t="str" cm="1">
        <f t="array" ref="M82">_xlfn.IFS(I82&lt;12,"Low-Term",I82&gt;=36,"Long-Term",TRUE,"Medium-Term")</f>
        <v>Long-Term</v>
      </c>
      <c r="N82" t="str" cm="1">
        <f t="array" ref="N82">_xlfn.IFS(A82="Bad", "Review Required", AND(A82="Good",J82&gt;7000),"VIP Client", AND(A82="Good", J82&lt;=7000),"Standart Client")</f>
        <v>Review Required</v>
      </c>
      <c r="O82" s="11">
        <v>3804</v>
      </c>
    </row>
    <row r="83" spans="1:15" x14ac:dyDescent="0.3">
      <c r="A83" t="s">
        <v>41</v>
      </c>
      <c r="B83" t="s">
        <v>81</v>
      </c>
      <c r="C83" t="s">
        <v>86</v>
      </c>
      <c r="D83" t="s">
        <v>78</v>
      </c>
      <c r="E83" t="s">
        <v>122</v>
      </c>
      <c r="F83" t="s">
        <v>123</v>
      </c>
      <c r="G83" t="s">
        <v>113</v>
      </c>
      <c r="H83" t="s">
        <v>120</v>
      </c>
      <c r="I83">
        <v>24</v>
      </c>
      <c r="J83" s="11">
        <v>1344</v>
      </c>
      <c r="K83">
        <v>37</v>
      </c>
      <c r="L83" t="str" cm="1">
        <f t="array" ref="L83">_xlfn.IFS(J83&gt;5000,"Hight",J83&gt;2000,"Medium",TRUE,"Low")</f>
        <v>Low</v>
      </c>
      <c r="M83" t="str" cm="1">
        <f t="array" ref="M83">_xlfn.IFS(I83&lt;12,"Low-Term",I83&gt;=36,"Long-Term",TRUE,"Medium-Term")</f>
        <v>Medium-Term</v>
      </c>
      <c r="N83" t="str" cm="1">
        <f t="array" ref="N83">_xlfn.IFS(A83="Bad", "Review Required", AND(A83="Good",J83&gt;7000),"VIP Client", AND(A83="Good", J83&lt;=7000),"Standart Client")</f>
        <v>Review Required</v>
      </c>
      <c r="O83" s="11">
        <v>1344</v>
      </c>
    </row>
    <row r="84" spans="1:15" x14ac:dyDescent="0.3">
      <c r="A84" t="s">
        <v>41</v>
      </c>
      <c r="B84" t="s">
        <v>78</v>
      </c>
      <c r="C84" t="s">
        <v>86</v>
      </c>
      <c r="D84" t="s">
        <v>101</v>
      </c>
      <c r="E84" t="s">
        <v>122</v>
      </c>
      <c r="F84" t="s">
        <v>123</v>
      </c>
      <c r="G84" t="s">
        <v>114</v>
      </c>
      <c r="H84" t="s">
        <v>121</v>
      </c>
      <c r="I84">
        <v>48</v>
      </c>
      <c r="J84" s="11">
        <v>10127</v>
      </c>
      <c r="K84">
        <v>44</v>
      </c>
      <c r="L84" t="str" cm="1">
        <f t="array" ref="L84">_xlfn.IFS(J84&gt;5000,"Hight",J84&gt;2000,"Medium",TRUE,"Low")</f>
        <v>Hight</v>
      </c>
      <c r="M84" t="str" cm="1">
        <f t="array" ref="M84">_xlfn.IFS(I84&lt;12,"Low-Term",I84&gt;=36,"Long-Term",TRUE,"Medium-Term")</f>
        <v>Long-Term</v>
      </c>
      <c r="N84" t="str" cm="1">
        <f t="array" ref="N84">_xlfn.IFS(A84="Bad", "Review Required", AND(A84="Good",J84&gt;7000),"VIP Client", AND(A84="Good", J84&lt;=7000),"Standart Client")</f>
        <v>Review Required</v>
      </c>
      <c r="O84" s="11">
        <v>10127</v>
      </c>
    </row>
    <row r="85" spans="1:15" x14ac:dyDescent="0.3">
      <c r="A85" t="s">
        <v>41</v>
      </c>
      <c r="B85" t="s">
        <v>80</v>
      </c>
      <c r="C85" t="s">
        <v>89</v>
      </c>
      <c r="D85" t="s">
        <v>100</v>
      </c>
      <c r="E85" t="s">
        <v>122</v>
      </c>
      <c r="F85" t="s">
        <v>127</v>
      </c>
      <c r="G85" t="s">
        <v>113</v>
      </c>
      <c r="H85" t="s">
        <v>120</v>
      </c>
      <c r="I85">
        <v>12</v>
      </c>
      <c r="J85" s="11">
        <v>727</v>
      </c>
      <c r="K85">
        <v>33</v>
      </c>
      <c r="L85" t="str" cm="1">
        <f t="array" ref="L85">_xlfn.IFS(J85&gt;5000,"Hight",J85&gt;2000,"Medium",TRUE,"Low")</f>
        <v>Low</v>
      </c>
      <c r="M85" t="str" cm="1">
        <f t="array" ref="M85">_xlfn.IFS(I85&lt;12,"Low-Term",I85&gt;=36,"Long-Term",TRUE,"Medium-Term")</f>
        <v>Medium-Term</v>
      </c>
      <c r="N85" t="str" cm="1">
        <f t="array" ref="N85">_xlfn.IFS(A85="Bad", "Review Required", AND(A85="Good",J85&gt;7000),"VIP Client", AND(A85="Good", J85&lt;=7000),"Standart Client")</f>
        <v>Review Required</v>
      </c>
      <c r="O85" s="11">
        <v>727</v>
      </c>
    </row>
    <row r="86" spans="1:15" x14ac:dyDescent="0.3">
      <c r="A86" t="s">
        <v>41</v>
      </c>
      <c r="B86" t="s">
        <v>77</v>
      </c>
      <c r="C86" t="s">
        <v>88</v>
      </c>
      <c r="D86" t="s">
        <v>99</v>
      </c>
      <c r="E86" t="s">
        <v>124</v>
      </c>
      <c r="F86" t="s">
        <v>125</v>
      </c>
      <c r="G86" t="s">
        <v>114</v>
      </c>
      <c r="H86" t="s">
        <v>120</v>
      </c>
      <c r="I86">
        <v>8</v>
      </c>
      <c r="J86" s="11">
        <v>1237</v>
      </c>
      <c r="K86">
        <v>24</v>
      </c>
      <c r="L86" t="str" cm="1">
        <f t="array" ref="L86">_xlfn.IFS(J86&gt;5000,"Hight",J86&gt;2000,"Medium",TRUE,"Low")</f>
        <v>Low</v>
      </c>
      <c r="M86" t="str" cm="1">
        <f t="array" ref="M86">_xlfn.IFS(I86&lt;12,"Low-Term",I86&gt;=36,"Long-Term",TRUE,"Medium-Term")</f>
        <v>Low-Term</v>
      </c>
      <c r="N86" t="str" cm="1">
        <f t="array" ref="N86">_xlfn.IFS(A86="Bad", "Review Required", AND(A86="Good",J86&gt;7000),"VIP Client", AND(A86="Good", J86&lt;=7000),"Standart Client")</f>
        <v>Review Required</v>
      </c>
      <c r="O86" s="11">
        <v>1237</v>
      </c>
    </row>
    <row r="87" spans="1:15" x14ac:dyDescent="0.3">
      <c r="A87" t="s">
        <v>41</v>
      </c>
      <c r="B87" t="s">
        <v>77</v>
      </c>
      <c r="C87" t="s">
        <v>86</v>
      </c>
      <c r="D87" t="s">
        <v>99</v>
      </c>
      <c r="E87" t="s">
        <v>122</v>
      </c>
      <c r="F87" t="s">
        <v>127</v>
      </c>
      <c r="G87" t="s">
        <v>113</v>
      </c>
      <c r="H87" t="s">
        <v>120</v>
      </c>
      <c r="I87">
        <v>12</v>
      </c>
      <c r="J87" s="11">
        <v>685</v>
      </c>
      <c r="K87">
        <v>25</v>
      </c>
      <c r="L87" t="str" cm="1">
        <f t="array" ref="L87">_xlfn.IFS(J87&gt;5000,"Hight",J87&gt;2000,"Medium",TRUE,"Low")</f>
        <v>Low</v>
      </c>
      <c r="M87" t="str" cm="1">
        <f t="array" ref="M87">_xlfn.IFS(I87&lt;12,"Low-Term",I87&gt;=36,"Long-Term",TRUE,"Medium-Term")</f>
        <v>Medium-Term</v>
      </c>
      <c r="N87" t="str" cm="1">
        <f t="array" ref="N87">_xlfn.IFS(A87="Bad", "Review Required", AND(A87="Good",J87&gt;7000),"VIP Client", AND(A87="Good", J87&lt;=7000),"Standart Client")</f>
        <v>Review Required</v>
      </c>
      <c r="O87" s="11">
        <v>685</v>
      </c>
    </row>
    <row r="88" spans="1:15" x14ac:dyDescent="0.3">
      <c r="A88" t="s">
        <v>41</v>
      </c>
      <c r="B88" t="s">
        <v>80</v>
      </c>
      <c r="C88" t="s">
        <v>88</v>
      </c>
      <c r="D88" t="s">
        <v>99</v>
      </c>
      <c r="E88" t="s">
        <v>122</v>
      </c>
      <c r="F88" t="s">
        <v>123</v>
      </c>
      <c r="G88" t="s">
        <v>114</v>
      </c>
      <c r="H88" t="s">
        <v>120</v>
      </c>
      <c r="I88">
        <v>36</v>
      </c>
      <c r="J88" s="11">
        <v>2746</v>
      </c>
      <c r="K88">
        <v>31</v>
      </c>
      <c r="L88" t="str" cm="1">
        <f t="array" ref="L88">_xlfn.IFS(J88&gt;5000,"Hight",J88&gt;2000,"Medium",TRUE,"Low")</f>
        <v>Medium</v>
      </c>
      <c r="M88" t="str" cm="1">
        <f t="array" ref="M88">_xlfn.IFS(I88&lt;12,"Low-Term",I88&gt;=36,"Long-Term",TRUE,"Medium-Term")</f>
        <v>Long-Term</v>
      </c>
      <c r="N88" t="str" cm="1">
        <f t="array" ref="N88">_xlfn.IFS(A88="Bad", "Review Required", AND(A88="Good",J88&gt;7000),"VIP Client", AND(A88="Good", J88&lt;=7000),"Standart Client")</f>
        <v>Review Required</v>
      </c>
      <c r="O88" s="11">
        <v>2746</v>
      </c>
    </row>
    <row r="89" spans="1:15" x14ac:dyDescent="0.3">
      <c r="A89" t="s">
        <v>41</v>
      </c>
      <c r="B89" t="s">
        <v>77</v>
      </c>
      <c r="C89" t="s">
        <v>86</v>
      </c>
      <c r="D89" t="s">
        <v>99</v>
      </c>
      <c r="E89" t="s">
        <v>122</v>
      </c>
      <c r="F89" t="s">
        <v>127</v>
      </c>
      <c r="G89" t="s">
        <v>115</v>
      </c>
      <c r="H89" t="s">
        <v>120</v>
      </c>
      <c r="I89">
        <v>30</v>
      </c>
      <c r="J89" s="11">
        <v>4249</v>
      </c>
      <c r="K89">
        <v>28</v>
      </c>
      <c r="L89" t="str" cm="1">
        <f t="array" ref="L89">_xlfn.IFS(J89&gt;5000,"Hight",J89&gt;2000,"Medium",TRUE,"Low")</f>
        <v>Medium</v>
      </c>
      <c r="M89" t="str" cm="1">
        <f t="array" ref="M89">_xlfn.IFS(I89&lt;12,"Low-Term",I89&gt;=36,"Long-Term",TRUE,"Medium-Term")</f>
        <v>Medium-Term</v>
      </c>
      <c r="N89" t="str" cm="1">
        <f t="array" ref="N89">_xlfn.IFS(A89="Bad", "Review Required", AND(A89="Good",J89&gt;7000),"VIP Client", AND(A89="Good", J89&lt;=7000),"Standart Client")</f>
        <v>Review Required</v>
      </c>
      <c r="O89" s="11">
        <v>4249</v>
      </c>
    </row>
    <row r="90" spans="1:15" x14ac:dyDescent="0.3">
      <c r="A90" t="s">
        <v>41</v>
      </c>
      <c r="B90" t="s">
        <v>80</v>
      </c>
      <c r="C90" t="s">
        <v>89</v>
      </c>
      <c r="D90" t="s">
        <v>99</v>
      </c>
      <c r="E90" t="s">
        <v>122</v>
      </c>
      <c r="F90" t="s">
        <v>126</v>
      </c>
      <c r="G90" t="s">
        <v>114</v>
      </c>
      <c r="H90" t="s">
        <v>120</v>
      </c>
      <c r="I90">
        <v>24</v>
      </c>
      <c r="J90" s="11">
        <v>1938</v>
      </c>
      <c r="K90">
        <v>32</v>
      </c>
      <c r="L90" t="str" cm="1">
        <f t="array" ref="L90">_xlfn.IFS(J90&gt;5000,"Hight",J90&gt;2000,"Medium",TRUE,"Low")</f>
        <v>Low</v>
      </c>
      <c r="M90" t="str" cm="1">
        <f t="array" ref="M90">_xlfn.IFS(I90&lt;12,"Low-Term",I90&gt;=36,"Long-Term",TRUE,"Medium-Term")</f>
        <v>Medium-Term</v>
      </c>
      <c r="N90" t="str" cm="1">
        <f t="array" ref="N90">_xlfn.IFS(A90="Bad", "Review Required", AND(A90="Good",J90&gt;7000),"VIP Client", AND(A90="Good", J90&lt;=7000),"Standart Client")</f>
        <v>Review Required</v>
      </c>
      <c r="O90" s="11">
        <v>1938</v>
      </c>
    </row>
    <row r="91" spans="1:15" x14ac:dyDescent="0.3">
      <c r="A91" t="s">
        <v>41</v>
      </c>
      <c r="B91" t="s">
        <v>78</v>
      </c>
      <c r="C91" t="s">
        <v>92</v>
      </c>
      <c r="D91" t="s">
        <v>100</v>
      </c>
      <c r="E91" t="s">
        <v>124</v>
      </c>
      <c r="F91" t="s">
        <v>125</v>
      </c>
      <c r="G91" t="s">
        <v>114</v>
      </c>
      <c r="H91" t="s">
        <v>120</v>
      </c>
      <c r="I91">
        <v>18</v>
      </c>
      <c r="J91" s="11">
        <v>1864</v>
      </c>
      <c r="K91">
        <v>30</v>
      </c>
      <c r="L91" t="str" cm="1">
        <f t="array" ref="L91">_xlfn.IFS(J91&gt;5000,"Hight",J91&gt;2000,"Medium",TRUE,"Low")</f>
        <v>Low</v>
      </c>
      <c r="M91" t="str" cm="1">
        <f t="array" ref="M91">_xlfn.IFS(I91&lt;12,"Low-Term",I91&gt;=36,"Long-Term",TRUE,"Medium-Term")</f>
        <v>Medium-Term</v>
      </c>
      <c r="N91" t="str" cm="1">
        <f t="array" ref="N91">_xlfn.IFS(A91="Bad", "Review Required", AND(A91="Good",J91&gt;7000),"VIP Client", AND(A91="Good", J91&lt;=7000),"Standart Client")</f>
        <v>Review Required</v>
      </c>
      <c r="O91" s="11">
        <v>1864</v>
      </c>
    </row>
    <row r="92" spans="1:15" x14ac:dyDescent="0.3">
      <c r="A92" t="s">
        <v>41</v>
      </c>
      <c r="B92" t="s">
        <v>77</v>
      </c>
      <c r="C92" t="s">
        <v>86</v>
      </c>
      <c r="D92" t="s">
        <v>100</v>
      </c>
      <c r="E92" t="s">
        <v>124</v>
      </c>
      <c r="F92" t="s">
        <v>125</v>
      </c>
      <c r="G92" t="s">
        <v>115</v>
      </c>
      <c r="H92" t="s">
        <v>120</v>
      </c>
      <c r="I92">
        <v>60</v>
      </c>
      <c r="J92" s="11">
        <v>7408</v>
      </c>
      <c r="K92">
        <v>24</v>
      </c>
      <c r="L92" t="str" cm="1">
        <f t="array" ref="L92">_xlfn.IFS(J92&gt;5000,"Hight",J92&gt;2000,"Medium",TRUE,"Low")</f>
        <v>Hight</v>
      </c>
      <c r="M92" t="str" cm="1">
        <f t="array" ref="M92">_xlfn.IFS(I92&lt;12,"Low-Term",I92&gt;=36,"Long-Term",TRUE,"Medium-Term")</f>
        <v>Long-Term</v>
      </c>
      <c r="N92" t="str" cm="1">
        <f t="array" ref="N92">_xlfn.IFS(A92="Bad", "Review Required", AND(A92="Good",J92&gt;7000),"VIP Client", AND(A92="Good", J92&lt;=7000),"Standart Client")</f>
        <v>Review Required</v>
      </c>
      <c r="O92" s="11">
        <v>7408</v>
      </c>
    </row>
    <row r="93" spans="1:15" x14ac:dyDescent="0.3">
      <c r="A93" t="s">
        <v>41</v>
      </c>
      <c r="B93" t="s">
        <v>78</v>
      </c>
      <c r="C93" t="s">
        <v>87</v>
      </c>
      <c r="D93" t="s">
        <v>100</v>
      </c>
      <c r="E93" t="s">
        <v>124</v>
      </c>
      <c r="F93" t="s">
        <v>125</v>
      </c>
      <c r="G93" t="s">
        <v>113</v>
      </c>
      <c r="H93" t="s">
        <v>119</v>
      </c>
      <c r="I93">
        <v>48</v>
      </c>
      <c r="J93" s="11">
        <v>11590</v>
      </c>
      <c r="K93">
        <v>24</v>
      </c>
      <c r="L93" t="str" cm="1">
        <f t="array" ref="L93">_xlfn.IFS(J93&gt;5000,"Hight",J93&gt;2000,"Medium",TRUE,"Low")</f>
        <v>Hight</v>
      </c>
      <c r="M93" t="str" cm="1">
        <f t="array" ref="M93">_xlfn.IFS(I93&lt;12,"Low-Term",I93&gt;=36,"Long-Term",TRUE,"Medium-Term")</f>
        <v>Long-Term</v>
      </c>
      <c r="N93" t="str" cm="1">
        <f t="array" ref="N93">_xlfn.IFS(A93="Bad", "Review Required", AND(A93="Good",J93&gt;7000),"VIP Client", AND(A93="Good", J93&lt;=7000),"Standart Client")</f>
        <v>Review Required</v>
      </c>
      <c r="O93" s="11">
        <v>11590</v>
      </c>
    </row>
    <row r="94" spans="1:15" x14ac:dyDescent="0.3">
      <c r="A94" t="s">
        <v>41</v>
      </c>
      <c r="B94" t="s">
        <v>80</v>
      </c>
      <c r="C94" t="s">
        <v>88</v>
      </c>
      <c r="D94" t="s">
        <v>99</v>
      </c>
      <c r="E94" t="s">
        <v>122</v>
      </c>
      <c r="F94" t="s">
        <v>123</v>
      </c>
      <c r="G94" t="s">
        <v>114</v>
      </c>
      <c r="H94" t="s">
        <v>119</v>
      </c>
      <c r="I94">
        <v>24</v>
      </c>
      <c r="J94" s="11">
        <v>4110</v>
      </c>
      <c r="K94">
        <v>23</v>
      </c>
      <c r="L94" t="str" cm="1">
        <f t="array" ref="L94">_xlfn.IFS(J94&gt;5000,"Hight",J94&gt;2000,"Medium",TRUE,"Low")</f>
        <v>Medium</v>
      </c>
      <c r="M94" t="str" cm="1">
        <f t="array" ref="M94">_xlfn.IFS(I94&lt;12,"Low-Term",I94&gt;=36,"Long-Term",TRUE,"Medium-Term")</f>
        <v>Medium-Term</v>
      </c>
      <c r="N94" t="str" cm="1">
        <f t="array" ref="N94">_xlfn.IFS(A94="Bad", "Review Required", AND(A94="Good",J94&gt;7000),"VIP Client", AND(A94="Good", J94&lt;=7000),"Standart Client")</f>
        <v>Review Required</v>
      </c>
      <c r="O94" s="11">
        <v>4110</v>
      </c>
    </row>
    <row r="95" spans="1:15" x14ac:dyDescent="0.3">
      <c r="A95" t="s">
        <v>41</v>
      </c>
      <c r="B95" t="s">
        <v>80</v>
      </c>
      <c r="C95" t="s">
        <v>88</v>
      </c>
      <c r="D95" t="s">
        <v>99</v>
      </c>
      <c r="E95" t="s">
        <v>122</v>
      </c>
      <c r="F95" t="s">
        <v>126</v>
      </c>
      <c r="G95" t="s">
        <v>115</v>
      </c>
      <c r="H95" t="s">
        <v>119</v>
      </c>
      <c r="I95">
        <v>6</v>
      </c>
      <c r="J95" s="11">
        <v>3384</v>
      </c>
      <c r="K95">
        <v>44</v>
      </c>
      <c r="L95" t="str" cm="1">
        <f t="array" ref="L95">_xlfn.IFS(J95&gt;5000,"Hight",J95&gt;2000,"Medium",TRUE,"Low")</f>
        <v>Medium</v>
      </c>
      <c r="M95" t="str" cm="1">
        <f t="array" ref="M95">_xlfn.IFS(I95&lt;12,"Low-Term",I95&gt;=36,"Long-Term",TRUE,"Medium-Term")</f>
        <v>Low-Term</v>
      </c>
      <c r="N95" t="str" cm="1">
        <f t="array" ref="N95">_xlfn.IFS(A95="Bad", "Review Required", AND(A95="Good",J95&gt;7000),"VIP Client", AND(A95="Good", J95&lt;=7000),"Standart Client")</f>
        <v>Review Required</v>
      </c>
      <c r="O95" s="11">
        <v>3384</v>
      </c>
    </row>
    <row r="96" spans="1:15" x14ac:dyDescent="0.3">
      <c r="A96" t="s">
        <v>41</v>
      </c>
      <c r="B96" t="s">
        <v>80</v>
      </c>
      <c r="C96" t="s">
        <v>90</v>
      </c>
      <c r="D96" t="s">
        <v>78</v>
      </c>
      <c r="E96" t="s">
        <v>124</v>
      </c>
      <c r="F96" t="s">
        <v>125</v>
      </c>
      <c r="G96" t="s">
        <v>114</v>
      </c>
      <c r="H96" t="s">
        <v>119</v>
      </c>
      <c r="I96">
        <v>15</v>
      </c>
      <c r="J96" s="11">
        <v>1275</v>
      </c>
      <c r="K96">
        <v>24</v>
      </c>
      <c r="L96" t="str" cm="1">
        <f t="array" ref="L96">_xlfn.IFS(J96&gt;5000,"Hight",J96&gt;2000,"Medium",TRUE,"Low")</f>
        <v>Low</v>
      </c>
      <c r="M96" t="str" cm="1">
        <f t="array" ref="M96">_xlfn.IFS(I96&lt;12,"Low-Term",I96&gt;=36,"Long-Term",TRUE,"Medium-Term")</f>
        <v>Medium-Term</v>
      </c>
      <c r="N96" t="str" cm="1">
        <f t="array" ref="N96">_xlfn.IFS(A96="Bad", "Review Required", AND(A96="Good",J96&gt;7000),"VIP Client", AND(A96="Good", J96&lt;=7000),"Standart Client")</f>
        <v>Review Required</v>
      </c>
      <c r="O96" s="11">
        <v>1275</v>
      </c>
    </row>
    <row r="97" spans="1:15" x14ac:dyDescent="0.3">
      <c r="A97" t="s">
        <v>41</v>
      </c>
      <c r="B97" t="s">
        <v>77</v>
      </c>
      <c r="C97" t="s">
        <v>92</v>
      </c>
      <c r="D97" t="s">
        <v>102</v>
      </c>
      <c r="E97" t="s">
        <v>122</v>
      </c>
      <c r="F97" t="s">
        <v>123</v>
      </c>
      <c r="G97" t="s">
        <v>114</v>
      </c>
      <c r="H97" t="s">
        <v>121</v>
      </c>
      <c r="I97">
        <v>9</v>
      </c>
      <c r="J97" s="11">
        <v>1136</v>
      </c>
      <c r="K97">
        <v>32</v>
      </c>
      <c r="L97" t="str" cm="1">
        <f t="array" ref="L97">_xlfn.IFS(J97&gt;5000,"Hight",J97&gt;2000,"Medium",TRUE,"Low")</f>
        <v>Low</v>
      </c>
      <c r="M97" t="str" cm="1">
        <f t="array" ref="M97">_xlfn.IFS(I97&lt;12,"Low-Term",I97&gt;=36,"Long-Term",TRUE,"Medium-Term")</f>
        <v>Low-Term</v>
      </c>
      <c r="N97" t="str" cm="1">
        <f t="array" ref="N97">_xlfn.IFS(A97="Bad", "Review Required", AND(A97="Good",J97&gt;7000),"VIP Client", AND(A97="Good", J97&lt;=7000),"Standart Client")</f>
        <v>Review Required</v>
      </c>
      <c r="O97" s="11">
        <v>1136</v>
      </c>
    </row>
    <row r="98" spans="1:15" x14ac:dyDescent="0.3">
      <c r="A98" t="s">
        <v>41</v>
      </c>
      <c r="B98" t="s">
        <v>77</v>
      </c>
      <c r="C98" t="s">
        <v>88</v>
      </c>
      <c r="D98" t="s">
        <v>99</v>
      </c>
      <c r="E98" t="s">
        <v>124</v>
      </c>
      <c r="F98" t="s">
        <v>125</v>
      </c>
      <c r="G98" t="s">
        <v>114</v>
      </c>
      <c r="H98" t="s">
        <v>120</v>
      </c>
      <c r="I98">
        <v>9</v>
      </c>
      <c r="J98" s="11">
        <v>959</v>
      </c>
      <c r="K98">
        <v>29</v>
      </c>
      <c r="L98" t="str" cm="1">
        <f t="array" ref="L98">_xlfn.IFS(J98&gt;5000,"Hight",J98&gt;2000,"Medium",TRUE,"Low")</f>
        <v>Low</v>
      </c>
      <c r="M98" t="str" cm="1">
        <f t="array" ref="M98">_xlfn.IFS(I98&lt;12,"Low-Term",I98&gt;=36,"Long-Term",TRUE,"Medium-Term")</f>
        <v>Low-Term</v>
      </c>
      <c r="N98" t="str" cm="1">
        <f t="array" ref="N98">_xlfn.IFS(A98="Bad", "Review Required", AND(A98="Good",J98&gt;7000),"VIP Client", AND(A98="Good", J98&lt;=7000),"Standart Client")</f>
        <v>Review Required</v>
      </c>
      <c r="O98" s="11">
        <v>959</v>
      </c>
    </row>
    <row r="99" spans="1:15" x14ac:dyDescent="0.3">
      <c r="A99" t="s">
        <v>41</v>
      </c>
      <c r="B99" t="s">
        <v>80</v>
      </c>
      <c r="C99" t="s">
        <v>89</v>
      </c>
      <c r="D99" t="s">
        <v>99</v>
      </c>
      <c r="E99" t="s">
        <v>122</v>
      </c>
      <c r="F99" t="s">
        <v>123</v>
      </c>
      <c r="G99" t="s">
        <v>114</v>
      </c>
      <c r="H99" t="s">
        <v>119</v>
      </c>
      <c r="I99">
        <v>12</v>
      </c>
      <c r="J99" s="11">
        <v>6199</v>
      </c>
      <c r="K99">
        <v>28</v>
      </c>
      <c r="L99" t="str" cm="1">
        <f t="array" ref="L99">_xlfn.IFS(J99&gt;5000,"Hight",J99&gt;2000,"Medium",TRUE,"Low")</f>
        <v>Hight</v>
      </c>
      <c r="M99" t="str" cm="1">
        <f t="array" ref="M99">_xlfn.IFS(I99&lt;12,"Low-Term",I99&gt;=36,"Long-Term",TRUE,"Medium-Term")</f>
        <v>Medium-Term</v>
      </c>
      <c r="N99" t="str" cm="1">
        <f t="array" ref="N99">_xlfn.IFS(A99="Bad", "Review Required", AND(A99="Good",J99&gt;7000),"VIP Client", AND(A99="Good", J99&lt;=7000),"Standart Client")</f>
        <v>Review Required</v>
      </c>
      <c r="O99" s="11">
        <v>6199</v>
      </c>
    </row>
    <row r="100" spans="1:15" x14ac:dyDescent="0.3">
      <c r="A100" t="s">
        <v>41</v>
      </c>
      <c r="B100" t="s">
        <v>77</v>
      </c>
      <c r="C100" t="s">
        <v>86</v>
      </c>
      <c r="D100" t="s">
        <v>99</v>
      </c>
      <c r="E100" t="s">
        <v>122</v>
      </c>
      <c r="F100" t="s">
        <v>123</v>
      </c>
      <c r="G100" t="s">
        <v>113</v>
      </c>
      <c r="H100" t="s">
        <v>120</v>
      </c>
      <c r="I100">
        <v>24</v>
      </c>
      <c r="J100" s="11">
        <v>1246</v>
      </c>
      <c r="K100">
        <v>23</v>
      </c>
      <c r="L100" t="str" cm="1">
        <f t="array" ref="L100">_xlfn.IFS(J100&gt;5000,"Hight",J100&gt;2000,"Medium",TRUE,"Low")</f>
        <v>Low</v>
      </c>
      <c r="M100" t="str" cm="1">
        <f t="array" ref="M100">_xlfn.IFS(I100&lt;12,"Low-Term",I100&gt;=36,"Long-Term",TRUE,"Medium-Term")</f>
        <v>Medium-Term</v>
      </c>
      <c r="N100" t="str" cm="1">
        <f t="array" ref="N100">_xlfn.IFS(A100="Bad", "Review Required", AND(A100="Good",J100&gt;7000),"VIP Client", AND(A100="Good", J100&lt;=7000),"Standart Client")</f>
        <v>Review Required</v>
      </c>
      <c r="O100" s="11">
        <v>1246</v>
      </c>
    </row>
    <row r="101" spans="1:15" x14ac:dyDescent="0.3">
      <c r="A101" t="s">
        <v>41</v>
      </c>
      <c r="B101" t="s">
        <v>78</v>
      </c>
      <c r="C101" t="s">
        <v>89</v>
      </c>
      <c r="D101" t="s">
        <v>99</v>
      </c>
      <c r="E101" t="s">
        <v>122</v>
      </c>
      <c r="F101" t="s">
        <v>123</v>
      </c>
      <c r="G101" t="s">
        <v>115</v>
      </c>
      <c r="H101" t="s">
        <v>120</v>
      </c>
      <c r="I101">
        <v>36</v>
      </c>
      <c r="J101" s="11">
        <v>4463</v>
      </c>
      <c r="K101">
        <v>26</v>
      </c>
      <c r="L101" t="str" cm="1">
        <f t="array" ref="L101">_xlfn.IFS(J101&gt;5000,"Hight",J101&gt;2000,"Medium",TRUE,"Low")</f>
        <v>Medium</v>
      </c>
      <c r="M101" t="str" cm="1">
        <f t="array" ref="M101">_xlfn.IFS(I101&lt;12,"Low-Term",I101&gt;=36,"Long-Term",TRUE,"Medium-Term")</f>
        <v>Long-Term</v>
      </c>
      <c r="N101" t="str" cm="1">
        <f t="array" ref="N101">_xlfn.IFS(A101="Bad", "Review Required", AND(A101="Good",J101&gt;7000),"VIP Client", AND(A101="Good", J101&lt;=7000),"Standart Client")</f>
        <v>Review Required</v>
      </c>
      <c r="O101" s="11">
        <v>4463</v>
      </c>
    </row>
    <row r="102" spans="1:15" x14ac:dyDescent="0.3">
      <c r="A102" t="s">
        <v>41</v>
      </c>
      <c r="B102" t="s">
        <v>80</v>
      </c>
      <c r="C102" t="s">
        <v>88</v>
      </c>
      <c r="D102" t="s">
        <v>99</v>
      </c>
      <c r="E102" t="s">
        <v>124</v>
      </c>
      <c r="F102" t="s">
        <v>125</v>
      </c>
      <c r="G102" t="s">
        <v>114</v>
      </c>
      <c r="H102" t="s">
        <v>119</v>
      </c>
      <c r="I102">
        <v>30</v>
      </c>
      <c r="J102" s="11">
        <v>2406</v>
      </c>
      <c r="K102">
        <v>23</v>
      </c>
      <c r="L102" t="str" cm="1">
        <f t="array" ref="L102">_xlfn.IFS(J102&gt;5000,"Hight",J102&gt;2000,"Medium",TRUE,"Low")</f>
        <v>Medium</v>
      </c>
      <c r="M102" t="str" cm="1">
        <f t="array" ref="M102">_xlfn.IFS(I102&lt;12,"Low-Term",I102&gt;=36,"Long-Term",TRUE,"Medium-Term")</f>
        <v>Medium-Term</v>
      </c>
      <c r="N102" t="str" cm="1">
        <f t="array" ref="N102">_xlfn.IFS(A102="Bad", "Review Required", AND(A102="Good",J102&gt;7000),"VIP Client", AND(A102="Good", J102&lt;=7000),"Standart Client")</f>
        <v>Review Required</v>
      </c>
      <c r="O102" s="11">
        <v>2406</v>
      </c>
    </row>
    <row r="103" spans="1:15" x14ac:dyDescent="0.3">
      <c r="A103" t="s">
        <v>41</v>
      </c>
      <c r="B103" t="s">
        <v>80</v>
      </c>
      <c r="C103" t="s">
        <v>88</v>
      </c>
      <c r="D103" t="s">
        <v>99</v>
      </c>
      <c r="E103" t="s">
        <v>122</v>
      </c>
      <c r="F103" t="s">
        <v>123</v>
      </c>
      <c r="G103" t="s">
        <v>112</v>
      </c>
      <c r="H103" t="s">
        <v>120</v>
      </c>
      <c r="I103">
        <v>18</v>
      </c>
      <c r="J103" s="11">
        <v>2473</v>
      </c>
      <c r="K103">
        <v>25</v>
      </c>
      <c r="L103" t="str" cm="1">
        <f t="array" ref="L103">_xlfn.IFS(J103&gt;5000,"Hight",J103&gt;2000,"Medium",TRUE,"Low")</f>
        <v>Medium</v>
      </c>
      <c r="M103" t="str" cm="1">
        <f t="array" ref="M103">_xlfn.IFS(I103&lt;12,"Low-Term",I103&gt;=36,"Long-Term",TRUE,"Medium-Term")</f>
        <v>Medium-Term</v>
      </c>
      <c r="N103" t="str" cm="1">
        <f t="array" ref="N103">_xlfn.IFS(A103="Bad", "Review Required", AND(A103="Good",J103&gt;7000),"VIP Client", AND(A103="Good", J103&lt;=7000),"Standart Client")</f>
        <v>Review Required</v>
      </c>
      <c r="O103" s="11">
        <v>2473</v>
      </c>
    </row>
    <row r="104" spans="1:15" x14ac:dyDescent="0.3">
      <c r="A104" t="s">
        <v>41</v>
      </c>
      <c r="B104" t="s">
        <v>80</v>
      </c>
      <c r="C104" t="s">
        <v>88</v>
      </c>
      <c r="D104" t="s">
        <v>99</v>
      </c>
      <c r="E104" t="s">
        <v>122</v>
      </c>
      <c r="F104" t="s">
        <v>123</v>
      </c>
      <c r="G104" t="s">
        <v>114</v>
      </c>
      <c r="H104" t="s">
        <v>120</v>
      </c>
      <c r="I104">
        <v>36</v>
      </c>
      <c r="J104" s="11">
        <v>3446</v>
      </c>
      <c r="K104">
        <v>42</v>
      </c>
      <c r="L104" t="str" cm="1">
        <f t="array" ref="L104">_xlfn.IFS(J104&gt;5000,"Hight",J104&gt;2000,"Medium",TRUE,"Low")</f>
        <v>Medium</v>
      </c>
      <c r="M104" t="str" cm="1">
        <f t="array" ref="M104">_xlfn.IFS(I104&lt;12,"Low-Term",I104&gt;=36,"Long-Term",TRUE,"Medium-Term")</f>
        <v>Long-Term</v>
      </c>
      <c r="N104" t="str" cm="1">
        <f t="array" ref="N104">_xlfn.IFS(A104="Bad", "Review Required", AND(A104="Good",J104&gt;7000),"VIP Client", AND(A104="Good", J104&lt;=7000),"Standart Client")</f>
        <v>Review Required</v>
      </c>
      <c r="O104" s="11">
        <v>3446</v>
      </c>
    </row>
    <row r="105" spans="1:15" x14ac:dyDescent="0.3">
      <c r="A105" t="s">
        <v>41</v>
      </c>
      <c r="B105" t="s">
        <v>77</v>
      </c>
      <c r="C105" t="s">
        <v>95</v>
      </c>
      <c r="D105" t="s">
        <v>100</v>
      </c>
      <c r="E105" t="s">
        <v>124</v>
      </c>
      <c r="F105" t="s">
        <v>125</v>
      </c>
      <c r="G105" t="s">
        <v>115</v>
      </c>
      <c r="H105" t="s">
        <v>121</v>
      </c>
      <c r="I105">
        <v>60</v>
      </c>
      <c r="J105" s="11">
        <v>14782</v>
      </c>
      <c r="K105">
        <v>60</v>
      </c>
      <c r="L105" t="str" cm="1">
        <f t="array" ref="L105">_xlfn.IFS(J105&gt;5000,"Hight",J105&gt;2000,"Medium",TRUE,"Low")</f>
        <v>Hight</v>
      </c>
      <c r="M105" t="str" cm="1">
        <f t="array" ref="M105">_xlfn.IFS(I105&lt;12,"Low-Term",I105&gt;=36,"Long-Term",TRUE,"Medium-Term")</f>
        <v>Long-Term</v>
      </c>
      <c r="N105" t="str" cm="1">
        <f t="array" ref="N105">_xlfn.IFS(A105="Bad", "Review Required", AND(A105="Good",J105&gt;7000),"VIP Client", AND(A105="Good", J105&lt;=7000),"Standart Client")</f>
        <v>Review Required</v>
      </c>
      <c r="O105" s="11">
        <v>14782</v>
      </c>
    </row>
    <row r="106" spans="1:15" x14ac:dyDescent="0.3">
      <c r="A106" t="s">
        <v>41</v>
      </c>
      <c r="B106" t="s">
        <v>80</v>
      </c>
      <c r="C106" t="s">
        <v>94</v>
      </c>
      <c r="D106" t="s">
        <v>99</v>
      </c>
      <c r="E106" t="s">
        <v>124</v>
      </c>
      <c r="F106" t="s">
        <v>125</v>
      </c>
      <c r="G106" t="s">
        <v>114</v>
      </c>
      <c r="H106" t="s">
        <v>119</v>
      </c>
      <c r="I106">
        <v>48</v>
      </c>
      <c r="J106" s="11">
        <v>7685</v>
      </c>
      <c r="K106">
        <v>37</v>
      </c>
      <c r="L106" t="str" cm="1">
        <f t="array" ref="L106">_xlfn.IFS(J106&gt;5000,"Hight",J106&gt;2000,"Medium",TRUE,"Low")</f>
        <v>Hight</v>
      </c>
      <c r="M106" t="str" cm="1">
        <f t="array" ref="M106">_xlfn.IFS(I106&lt;12,"Low-Term",I106&gt;=36,"Long-Term",TRUE,"Medium-Term")</f>
        <v>Long-Term</v>
      </c>
      <c r="N106" t="str" cm="1">
        <f t="array" ref="N106">_xlfn.IFS(A106="Bad", "Review Required", AND(A106="Good",J106&gt;7000),"VIP Client", AND(A106="Good", J106&lt;=7000),"Standart Client")</f>
        <v>Review Required</v>
      </c>
      <c r="O106" s="11">
        <v>7685</v>
      </c>
    </row>
    <row r="107" spans="1:15" x14ac:dyDescent="0.3">
      <c r="A107" t="s">
        <v>41</v>
      </c>
      <c r="B107" t="s">
        <v>77</v>
      </c>
      <c r="C107" t="s">
        <v>86</v>
      </c>
      <c r="D107" t="s">
        <v>99</v>
      </c>
      <c r="E107" t="s">
        <v>122</v>
      </c>
      <c r="F107" t="s">
        <v>123</v>
      </c>
      <c r="G107" t="s">
        <v>115</v>
      </c>
      <c r="H107" t="s">
        <v>121</v>
      </c>
      <c r="I107">
        <v>36</v>
      </c>
      <c r="J107" s="11">
        <v>14318</v>
      </c>
      <c r="K107">
        <v>57</v>
      </c>
      <c r="L107" t="str" cm="1">
        <f t="array" ref="L107">_xlfn.IFS(J107&gt;5000,"Hight",J107&gt;2000,"Medium",TRUE,"Low")</f>
        <v>Hight</v>
      </c>
      <c r="M107" t="str" cm="1">
        <f t="array" ref="M107">_xlfn.IFS(I107&lt;12,"Low-Term",I107&gt;=36,"Long-Term",TRUE,"Medium-Term")</f>
        <v>Long-Term</v>
      </c>
      <c r="N107" t="str" cm="1">
        <f t="array" ref="N107">_xlfn.IFS(A107="Bad", "Review Required", AND(A107="Good",J107&gt;7000),"VIP Client", AND(A107="Good", J107&lt;=7000),"Standart Client")</f>
        <v>Review Required</v>
      </c>
      <c r="O107" s="11">
        <v>14318</v>
      </c>
    </row>
    <row r="108" spans="1:15" x14ac:dyDescent="0.3">
      <c r="A108" t="s">
        <v>41</v>
      </c>
      <c r="B108" t="s">
        <v>77</v>
      </c>
      <c r="C108" t="s">
        <v>87</v>
      </c>
      <c r="D108" t="s">
        <v>99</v>
      </c>
      <c r="E108" t="s">
        <v>124</v>
      </c>
      <c r="F108" t="s">
        <v>125</v>
      </c>
      <c r="G108" t="s">
        <v>115</v>
      </c>
      <c r="H108" t="s">
        <v>121</v>
      </c>
      <c r="I108">
        <v>18</v>
      </c>
      <c r="J108" s="11">
        <v>12976</v>
      </c>
      <c r="K108">
        <v>38</v>
      </c>
      <c r="L108" t="str" cm="1">
        <f t="array" ref="L108">_xlfn.IFS(J108&gt;5000,"Hight",J108&gt;2000,"Medium",TRUE,"Low")</f>
        <v>Hight</v>
      </c>
      <c r="M108" t="str" cm="1">
        <f t="array" ref="M108">_xlfn.IFS(I108&lt;12,"Low-Term",I108&gt;=36,"Long-Term",TRUE,"Medium-Term")</f>
        <v>Medium-Term</v>
      </c>
      <c r="N108" t="str" cm="1">
        <f t="array" ref="N108">_xlfn.IFS(A108="Bad", "Review Required", AND(A108="Good",J108&gt;7000),"VIP Client", AND(A108="Good", J108&lt;=7000),"Standart Client")</f>
        <v>Review Required</v>
      </c>
      <c r="O108" s="11">
        <v>12976</v>
      </c>
    </row>
    <row r="109" spans="1:15" x14ac:dyDescent="0.3">
      <c r="A109" t="s">
        <v>41</v>
      </c>
      <c r="B109" t="s">
        <v>77</v>
      </c>
      <c r="C109" t="s">
        <v>86</v>
      </c>
      <c r="D109" t="s">
        <v>99</v>
      </c>
      <c r="E109" t="s">
        <v>122</v>
      </c>
      <c r="F109" t="s">
        <v>126</v>
      </c>
      <c r="G109" t="s">
        <v>114</v>
      </c>
      <c r="H109" t="s">
        <v>119</v>
      </c>
      <c r="I109">
        <v>12</v>
      </c>
      <c r="J109" s="11">
        <v>1223</v>
      </c>
      <c r="K109">
        <v>46</v>
      </c>
      <c r="L109" t="str" cm="1">
        <f t="array" ref="L109">_xlfn.IFS(J109&gt;5000,"Hight",J109&gt;2000,"Medium",TRUE,"Low")</f>
        <v>Low</v>
      </c>
      <c r="M109" t="str" cm="1">
        <f t="array" ref="M109">_xlfn.IFS(I109&lt;12,"Low-Term",I109&gt;=36,"Long-Term",TRUE,"Medium-Term")</f>
        <v>Medium-Term</v>
      </c>
      <c r="N109" t="str" cm="1">
        <f t="array" ref="N109">_xlfn.IFS(A109="Bad", "Review Required", AND(A109="Good",J109&gt;7000),"VIP Client", AND(A109="Good", J109&lt;=7000),"Standart Client")</f>
        <v>Review Required</v>
      </c>
      <c r="O109" s="11">
        <v>1223</v>
      </c>
    </row>
    <row r="110" spans="1:15" x14ac:dyDescent="0.3">
      <c r="A110" t="s">
        <v>41</v>
      </c>
      <c r="B110" t="s">
        <v>78</v>
      </c>
      <c r="C110" t="s">
        <v>94</v>
      </c>
      <c r="D110" t="s">
        <v>99</v>
      </c>
      <c r="E110" t="s">
        <v>122</v>
      </c>
      <c r="F110" t="s">
        <v>123</v>
      </c>
      <c r="G110" t="s">
        <v>114</v>
      </c>
      <c r="H110" t="s">
        <v>120</v>
      </c>
      <c r="I110">
        <v>24</v>
      </c>
      <c r="J110" s="11">
        <v>8648</v>
      </c>
      <c r="K110">
        <v>27</v>
      </c>
      <c r="L110" t="str" cm="1">
        <f t="array" ref="L110">_xlfn.IFS(J110&gt;5000,"Hight",J110&gt;2000,"Medium",TRUE,"Low")</f>
        <v>Hight</v>
      </c>
      <c r="M110" t="str" cm="1">
        <f t="array" ref="M110">_xlfn.IFS(I110&lt;12,"Low-Term",I110&gt;=36,"Long-Term",TRUE,"Medium-Term")</f>
        <v>Medium-Term</v>
      </c>
      <c r="N110" t="str" cm="1">
        <f t="array" ref="N110">_xlfn.IFS(A110="Bad", "Review Required", AND(A110="Good",J110&gt;7000),"VIP Client", AND(A110="Good", J110&lt;=7000),"Standart Client")</f>
        <v>Review Required</v>
      </c>
      <c r="O110" s="11">
        <v>8648</v>
      </c>
    </row>
    <row r="111" spans="1:15" x14ac:dyDescent="0.3">
      <c r="A111" t="s">
        <v>41</v>
      </c>
      <c r="B111" t="s">
        <v>77</v>
      </c>
      <c r="C111" t="s">
        <v>89</v>
      </c>
      <c r="D111" t="s">
        <v>99</v>
      </c>
      <c r="E111" t="s">
        <v>122</v>
      </c>
      <c r="F111" t="s">
        <v>127</v>
      </c>
      <c r="G111" t="s">
        <v>114</v>
      </c>
      <c r="H111" t="s">
        <v>120</v>
      </c>
      <c r="I111">
        <v>24</v>
      </c>
      <c r="J111" s="11">
        <v>2039</v>
      </c>
      <c r="K111">
        <v>22</v>
      </c>
      <c r="L111" t="str" cm="1">
        <f t="array" ref="L111">_xlfn.IFS(J111&gt;5000,"Hight",J111&gt;2000,"Medium",TRUE,"Low")</f>
        <v>Medium</v>
      </c>
      <c r="M111" t="str" cm="1">
        <f t="array" ref="M111">_xlfn.IFS(I111&lt;12,"Low-Term",I111&gt;=36,"Long-Term",TRUE,"Medium-Term")</f>
        <v>Medium-Term</v>
      </c>
      <c r="N111" t="str" cm="1">
        <f t="array" ref="N111">_xlfn.IFS(A111="Bad", "Review Required", AND(A111="Good",J111&gt;7000),"VIP Client", AND(A111="Good", J111&lt;=7000),"Standart Client")</f>
        <v>Review Required</v>
      </c>
      <c r="O111" s="11">
        <v>2039</v>
      </c>
    </row>
    <row r="112" spans="1:15" x14ac:dyDescent="0.3">
      <c r="A112" t="s">
        <v>41</v>
      </c>
      <c r="B112" t="s">
        <v>81</v>
      </c>
      <c r="C112" t="s">
        <v>86</v>
      </c>
      <c r="D112" t="s">
        <v>101</v>
      </c>
      <c r="E112" t="s">
        <v>122</v>
      </c>
      <c r="F112" t="s">
        <v>127</v>
      </c>
      <c r="G112" t="s">
        <v>114</v>
      </c>
      <c r="H112" t="s">
        <v>120</v>
      </c>
      <c r="I112">
        <v>12</v>
      </c>
      <c r="J112" s="11">
        <v>939</v>
      </c>
      <c r="K112">
        <v>28</v>
      </c>
      <c r="L112" t="str" cm="1">
        <f t="array" ref="L112">_xlfn.IFS(J112&gt;5000,"Hight",J112&gt;2000,"Medium",TRUE,"Low")</f>
        <v>Low</v>
      </c>
      <c r="M112" t="str" cm="1">
        <f t="array" ref="M112">_xlfn.IFS(I112&lt;12,"Low-Term",I112&gt;=36,"Long-Term",TRUE,"Medium-Term")</f>
        <v>Medium-Term</v>
      </c>
      <c r="N112" t="str" cm="1">
        <f t="array" ref="N112">_xlfn.IFS(A112="Bad", "Review Required", AND(A112="Good",J112&gt;7000),"VIP Client", AND(A112="Good", J112&lt;=7000),"Standart Client")</f>
        <v>Review Required</v>
      </c>
      <c r="O112" s="11">
        <v>939</v>
      </c>
    </row>
    <row r="113" spans="1:15" x14ac:dyDescent="0.3">
      <c r="A113" t="s">
        <v>41</v>
      </c>
      <c r="B113" t="s">
        <v>78</v>
      </c>
      <c r="C113" t="s">
        <v>94</v>
      </c>
      <c r="D113" t="s">
        <v>99</v>
      </c>
      <c r="E113" t="s">
        <v>122</v>
      </c>
      <c r="F113" t="s">
        <v>123</v>
      </c>
      <c r="G113" t="s">
        <v>115</v>
      </c>
      <c r="H113" t="s">
        <v>120</v>
      </c>
      <c r="I113">
        <v>12</v>
      </c>
      <c r="J113" s="11">
        <v>2292</v>
      </c>
      <c r="K113">
        <v>42</v>
      </c>
      <c r="L113" t="str" cm="1">
        <f t="array" ref="L113">_xlfn.IFS(J113&gt;5000,"Hight",J113&gt;2000,"Medium",TRUE,"Low")</f>
        <v>Medium</v>
      </c>
      <c r="M113" t="str" cm="1">
        <f t="array" ref="M113">_xlfn.IFS(I113&lt;12,"Low-Term",I113&gt;=36,"Long-Term",TRUE,"Medium-Term")</f>
        <v>Medium-Term</v>
      </c>
      <c r="N113" t="str" cm="1">
        <f t="array" ref="N113">_xlfn.IFS(A113="Bad", "Review Required", AND(A113="Good",J113&gt;7000),"VIP Client", AND(A113="Good", J113&lt;=7000),"Standart Client")</f>
        <v>Review Required</v>
      </c>
      <c r="O113" s="11">
        <v>2292</v>
      </c>
    </row>
    <row r="114" spans="1:15" x14ac:dyDescent="0.3">
      <c r="A114" t="s">
        <v>41</v>
      </c>
      <c r="B114" t="s">
        <v>80</v>
      </c>
      <c r="C114" t="s">
        <v>86</v>
      </c>
      <c r="D114" t="s">
        <v>78</v>
      </c>
      <c r="E114" t="s">
        <v>124</v>
      </c>
      <c r="F114" t="s">
        <v>125</v>
      </c>
      <c r="G114" t="s">
        <v>114</v>
      </c>
      <c r="H114" t="s">
        <v>120</v>
      </c>
      <c r="I114">
        <v>24</v>
      </c>
      <c r="J114" s="11">
        <v>1381</v>
      </c>
      <c r="K114">
        <v>35</v>
      </c>
      <c r="L114" t="str" cm="1">
        <f t="array" ref="L114">_xlfn.IFS(J114&gt;5000,"Hight",J114&gt;2000,"Medium",TRUE,"Low")</f>
        <v>Low</v>
      </c>
      <c r="M114" t="str" cm="1">
        <f t="array" ref="M114">_xlfn.IFS(I114&lt;12,"Low-Term",I114&gt;=36,"Long-Term",TRUE,"Medium-Term")</f>
        <v>Medium-Term</v>
      </c>
      <c r="N114" t="str" cm="1">
        <f t="array" ref="N114">_xlfn.IFS(A114="Bad", "Review Required", AND(A114="Good",J114&gt;7000),"VIP Client", AND(A114="Good", J114&lt;=7000),"Standart Client")</f>
        <v>Review Required</v>
      </c>
      <c r="O114" s="11">
        <v>1381</v>
      </c>
    </row>
    <row r="115" spans="1:15" x14ac:dyDescent="0.3">
      <c r="A115" t="s">
        <v>41</v>
      </c>
      <c r="B115" t="s">
        <v>80</v>
      </c>
      <c r="C115" t="s">
        <v>86</v>
      </c>
      <c r="D115" t="s">
        <v>99</v>
      </c>
      <c r="E115" t="s">
        <v>122</v>
      </c>
      <c r="F115" t="s">
        <v>123</v>
      </c>
      <c r="G115" t="s">
        <v>113</v>
      </c>
      <c r="H115" t="s">
        <v>120</v>
      </c>
      <c r="I115">
        <v>12</v>
      </c>
      <c r="J115" s="11">
        <v>2579</v>
      </c>
      <c r="K115">
        <v>33</v>
      </c>
      <c r="L115" t="str" cm="1">
        <f t="array" ref="L115">_xlfn.IFS(J115&gt;5000,"Hight",J115&gt;2000,"Medium",TRUE,"Low")</f>
        <v>Medium</v>
      </c>
      <c r="M115" t="str" cm="1">
        <f t="array" ref="M115">_xlfn.IFS(I115&lt;12,"Low-Term",I115&gt;=36,"Long-Term",TRUE,"Medium-Term")</f>
        <v>Medium-Term</v>
      </c>
      <c r="N115" t="str" cm="1">
        <f t="array" ref="N115">_xlfn.IFS(A115="Bad", "Review Required", AND(A115="Good",J115&gt;7000),"VIP Client", AND(A115="Good", J115&lt;=7000),"Standart Client")</f>
        <v>Review Required</v>
      </c>
      <c r="O115" s="11">
        <v>2579</v>
      </c>
    </row>
    <row r="116" spans="1:15" x14ac:dyDescent="0.3">
      <c r="A116" t="s">
        <v>41</v>
      </c>
      <c r="B116" t="s">
        <v>77</v>
      </c>
      <c r="C116" t="s">
        <v>86</v>
      </c>
      <c r="D116" t="s">
        <v>78</v>
      </c>
      <c r="E116" t="s">
        <v>124</v>
      </c>
      <c r="F116" t="s">
        <v>125</v>
      </c>
      <c r="G116" t="s">
        <v>114</v>
      </c>
      <c r="H116" t="s">
        <v>120</v>
      </c>
      <c r="I116">
        <v>18</v>
      </c>
      <c r="J116" s="11">
        <v>1042</v>
      </c>
      <c r="K116">
        <v>33</v>
      </c>
      <c r="L116" t="str" cm="1">
        <f t="array" ref="L116">_xlfn.IFS(J116&gt;5000,"Hight",J116&gt;2000,"Medium",TRUE,"Low")</f>
        <v>Low</v>
      </c>
      <c r="M116" t="str" cm="1">
        <f t="array" ref="M116">_xlfn.IFS(I116&lt;12,"Low-Term",I116&gt;=36,"Long-Term",TRUE,"Medium-Term")</f>
        <v>Medium-Term</v>
      </c>
      <c r="N116" t="str" cm="1">
        <f t="array" ref="N116">_xlfn.IFS(A116="Bad", "Review Required", AND(A116="Good",J116&gt;7000),"VIP Client", AND(A116="Good", J116&lt;=7000),"Standart Client")</f>
        <v>Review Required</v>
      </c>
      <c r="O116" s="11">
        <v>1042</v>
      </c>
    </row>
    <row r="117" spans="1:15" x14ac:dyDescent="0.3">
      <c r="A117" t="s">
        <v>41</v>
      </c>
      <c r="B117" t="s">
        <v>77</v>
      </c>
      <c r="C117" t="s">
        <v>88</v>
      </c>
      <c r="D117" t="s">
        <v>78</v>
      </c>
      <c r="E117" t="s">
        <v>124</v>
      </c>
      <c r="F117" t="s">
        <v>125</v>
      </c>
      <c r="G117" t="s">
        <v>114</v>
      </c>
      <c r="H117" t="s">
        <v>120</v>
      </c>
      <c r="I117">
        <v>12</v>
      </c>
      <c r="J117" s="11">
        <v>2762</v>
      </c>
      <c r="K117">
        <v>25</v>
      </c>
      <c r="L117" t="str" cm="1">
        <f t="array" ref="L117">_xlfn.IFS(J117&gt;5000,"Hight",J117&gt;2000,"Medium",TRUE,"Low")</f>
        <v>Medium</v>
      </c>
      <c r="M117" t="str" cm="1">
        <f t="array" ref="M117">_xlfn.IFS(I117&lt;12,"Low-Term",I117&gt;=36,"Long-Term",TRUE,"Medium-Term")</f>
        <v>Medium-Term</v>
      </c>
      <c r="N117" t="str" cm="1">
        <f t="array" ref="N117">_xlfn.IFS(A117="Bad", "Review Required", AND(A117="Good",J117&gt;7000),"VIP Client", AND(A117="Good", J117&lt;=7000),"Standart Client")</f>
        <v>Review Required</v>
      </c>
      <c r="O117" s="11">
        <v>2762</v>
      </c>
    </row>
    <row r="118" spans="1:15" x14ac:dyDescent="0.3">
      <c r="A118" t="s">
        <v>41</v>
      </c>
      <c r="B118" t="s">
        <v>80</v>
      </c>
      <c r="C118" t="s">
        <v>91</v>
      </c>
      <c r="D118" t="s">
        <v>99</v>
      </c>
      <c r="E118" t="s">
        <v>124</v>
      </c>
      <c r="F118" t="s">
        <v>125</v>
      </c>
      <c r="G118" t="s">
        <v>112</v>
      </c>
      <c r="H118" t="s">
        <v>121</v>
      </c>
      <c r="I118">
        <v>18</v>
      </c>
      <c r="J118" s="11">
        <v>1190</v>
      </c>
      <c r="K118">
        <v>55</v>
      </c>
      <c r="L118" t="str" cm="1">
        <f t="array" ref="L118">_xlfn.IFS(J118&gt;5000,"Hight",J118&gt;2000,"Medium",TRUE,"Low")</f>
        <v>Low</v>
      </c>
      <c r="M118" t="str" cm="1">
        <f t="array" ref="M118">_xlfn.IFS(I118&lt;12,"Low-Term",I118&gt;=36,"Long-Term",TRUE,"Medium-Term")</f>
        <v>Medium-Term</v>
      </c>
      <c r="N118" t="str" cm="1">
        <f t="array" ref="N118">_xlfn.IFS(A118="Bad", "Review Required", AND(A118="Good",J118&gt;7000),"VIP Client", AND(A118="Good", J118&lt;=7000),"Standart Client")</f>
        <v>Review Required</v>
      </c>
      <c r="O118" s="11">
        <v>1190</v>
      </c>
    </row>
    <row r="119" spans="1:15" x14ac:dyDescent="0.3">
      <c r="A119" t="s">
        <v>41</v>
      </c>
      <c r="B119" t="s">
        <v>77</v>
      </c>
      <c r="C119" t="s">
        <v>95</v>
      </c>
      <c r="D119" t="s">
        <v>99</v>
      </c>
      <c r="E119" t="s">
        <v>122</v>
      </c>
      <c r="F119" t="s">
        <v>123</v>
      </c>
      <c r="G119" t="s">
        <v>115</v>
      </c>
      <c r="H119" t="s">
        <v>120</v>
      </c>
      <c r="I119">
        <v>24</v>
      </c>
      <c r="J119" s="11">
        <v>11328</v>
      </c>
      <c r="K119">
        <v>29</v>
      </c>
      <c r="L119" t="str" cm="1">
        <f t="array" ref="L119">_xlfn.IFS(J119&gt;5000,"Hight",J119&gt;2000,"Medium",TRUE,"Low")</f>
        <v>Hight</v>
      </c>
      <c r="M119" t="str" cm="1">
        <f t="array" ref="M119">_xlfn.IFS(I119&lt;12,"Low-Term",I119&gt;=36,"Long-Term",TRUE,"Medium-Term")</f>
        <v>Medium-Term</v>
      </c>
      <c r="N119" t="str" cm="1">
        <f t="array" ref="N119">_xlfn.IFS(A119="Bad", "Review Required", AND(A119="Good",J119&gt;7000),"VIP Client", AND(A119="Good", J119&lt;=7000),"Standart Client")</f>
        <v>Review Required</v>
      </c>
      <c r="O119" s="11">
        <v>11328</v>
      </c>
    </row>
    <row r="120" spans="1:15" x14ac:dyDescent="0.3">
      <c r="A120" t="s">
        <v>41</v>
      </c>
      <c r="B120" t="s">
        <v>77</v>
      </c>
      <c r="C120" t="s">
        <v>89</v>
      </c>
      <c r="D120" t="s">
        <v>78</v>
      </c>
      <c r="E120" t="s">
        <v>122</v>
      </c>
      <c r="F120" t="s">
        <v>127</v>
      </c>
      <c r="G120" t="s">
        <v>114</v>
      </c>
      <c r="H120" t="s">
        <v>120</v>
      </c>
      <c r="I120">
        <v>12</v>
      </c>
      <c r="J120" s="11">
        <v>1484</v>
      </c>
      <c r="K120">
        <v>25</v>
      </c>
      <c r="L120" t="str" cm="1">
        <f t="array" ref="L120">_xlfn.IFS(J120&gt;5000,"Hight",J120&gt;2000,"Medium",TRUE,"Low")</f>
        <v>Low</v>
      </c>
      <c r="M120" t="str" cm="1">
        <f t="array" ref="M120">_xlfn.IFS(I120&lt;12,"Low-Term",I120&gt;=36,"Long-Term",TRUE,"Medium-Term")</f>
        <v>Medium-Term</v>
      </c>
      <c r="N120" t="str" cm="1">
        <f t="array" ref="N120">_xlfn.IFS(A120="Bad", "Review Required", AND(A120="Good",J120&gt;7000),"VIP Client", AND(A120="Good", J120&lt;=7000),"Standart Client")</f>
        <v>Review Required</v>
      </c>
      <c r="O120" s="11">
        <v>1484</v>
      </c>
    </row>
    <row r="121" spans="1:15" x14ac:dyDescent="0.3">
      <c r="A121" t="s">
        <v>41</v>
      </c>
      <c r="B121" t="s">
        <v>81</v>
      </c>
      <c r="C121" t="s">
        <v>94</v>
      </c>
      <c r="D121" t="s">
        <v>99</v>
      </c>
      <c r="E121" t="s">
        <v>124</v>
      </c>
      <c r="F121" t="s">
        <v>125</v>
      </c>
      <c r="G121" t="s">
        <v>112</v>
      </c>
      <c r="H121" t="s">
        <v>120</v>
      </c>
      <c r="I121">
        <v>12</v>
      </c>
      <c r="J121" s="11">
        <v>609</v>
      </c>
      <c r="K121">
        <v>26</v>
      </c>
      <c r="L121" t="str" cm="1">
        <f t="array" ref="L121">_xlfn.IFS(J121&gt;5000,"Hight",J121&gt;2000,"Medium",TRUE,"Low")</f>
        <v>Low</v>
      </c>
      <c r="M121" t="str" cm="1">
        <f t="array" ref="M121">_xlfn.IFS(I121&lt;12,"Low-Term",I121&gt;=36,"Long-Term",TRUE,"Medium-Term")</f>
        <v>Medium-Term</v>
      </c>
      <c r="N121" t="str" cm="1">
        <f t="array" ref="N121">_xlfn.IFS(A121="Bad", "Review Required", AND(A121="Good",J121&gt;7000),"VIP Client", AND(A121="Good", J121&lt;=7000),"Standart Client")</f>
        <v>Review Required</v>
      </c>
      <c r="O121" s="11">
        <v>609</v>
      </c>
    </row>
    <row r="122" spans="1:15" x14ac:dyDescent="0.3">
      <c r="A122" t="s">
        <v>41</v>
      </c>
      <c r="B122" t="s">
        <v>78</v>
      </c>
      <c r="C122" t="s">
        <v>92</v>
      </c>
      <c r="D122" t="s">
        <v>99</v>
      </c>
      <c r="E122" t="s">
        <v>122</v>
      </c>
      <c r="F122" t="s">
        <v>123</v>
      </c>
      <c r="G122" t="s">
        <v>113</v>
      </c>
      <c r="H122" t="s">
        <v>120</v>
      </c>
      <c r="I122">
        <v>12</v>
      </c>
      <c r="J122" s="11">
        <v>719</v>
      </c>
      <c r="K122">
        <v>41</v>
      </c>
      <c r="L122" t="str" cm="1">
        <f t="array" ref="L122">_xlfn.IFS(J122&gt;5000,"Hight",J122&gt;2000,"Medium",TRUE,"Low")</f>
        <v>Low</v>
      </c>
      <c r="M122" t="str" cm="1">
        <f t="array" ref="M122">_xlfn.IFS(I122&lt;12,"Low-Term",I122&gt;=36,"Long-Term",TRUE,"Medium-Term")</f>
        <v>Medium-Term</v>
      </c>
      <c r="N122" t="str" cm="1">
        <f t="array" ref="N122">_xlfn.IFS(A122="Bad", "Review Required", AND(A122="Good",J122&gt;7000),"VIP Client", AND(A122="Good", J122&lt;=7000),"Standart Client")</f>
        <v>Review Required</v>
      </c>
      <c r="O122" s="11">
        <v>719</v>
      </c>
    </row>
    <row r="123" spans="1:15" x14ac:dyDescent="0.3">
      <c r="A123" t="s">
        <v>41</v>
      </c>
      <c r="B123" t="s">
        <v>77</v>
      </c>
      <c r="C123" t="s">
        <v>88</v>
      </c>
      <c r="D123" t="s">
        <v>99</v>
      </c>
      <c r="E123" t="s">
        <v>124</v>
      </c>
      <c r="F123" t="s">
        <v>125</v>
      </c>
      <c r="G123" t="s">
        <v>115</v>
      </c>
      <c r="H123" t="s">
        <v>120</v>
      </c>
      <c r="I123">
        <v>48</v>
      </c>
      <c r="J123" s="11">
        <v>5096</v>
      </c>
      <c r="K123">
        <v>30</v>
      </c>
      <c r="L123" t="str" cm="1">
        <f t="array" ref="L123">_xlfn.IFS(J123&gt;5000,"Hight",J123&gt;2000,"Medium",TRUE,"Low")</f>
        <v>Hight</v>
      </c>
      <c r="M123" t="str" cm="1">
        <f t="array" ref="M123">_xlfn.IFS(I123&lt;12,"Low-Term",I123&gt;=36,"Long-Term",TRUE,"Medium-Term")</f>
        <v>Long-Term</v>
      </c>
      <c r="N123" t="str" cm="1">
        <f t="array" ref="N123">_xlfn.IFS(A123="Bad", "Review Required", AND(A123="Good",J123&gt;7000),"VIP Client", AND(A123="Good", J123&lt;=7000),"Standart Client")</f>
        <v>Review Required</v>
      </c>
      <c r="O123" s="11">
        <v>5096</v>
      </c>
    </row>
    <row r="124" spans="1:15" x14ac:dyDescent="0.3">
      <c r="A124" t="s">
        <v>41</v>
      </c>
      <c r="B124" t="s">
        <v>80</v>
      </c>
      <c r="C124" t="s">
        <v>86</v>
      </c>
      <c r="D124" t="s">
        <v>99</v>
      </c>
      <c r="E124" t="s">
        <v>124</v>
      </c>
      <c r="F124" t="s">
        <v>125</v>
      </c>
      <c r="G124" t="s">
        <v>114</v>
      </c>
      <c r="H124" t="s">
        <v>120</v>
      </c>
      <c r="I124">
        <v>36</v>
      </c>
      <c r="J124" s="11">
        <v>1842</v>
      </c>
      <c r="K124">
        <v>34</v>
      </c>
      <c r="L124" t="str" cm="1">
        <f t="array" ref="L124">_xlfn.IFS(J124&gt;5000,"Hight",J124&gt;2000,"Medium",TRUE,"Low")</f>
        <v>Low</v>
      </c>
      <c r="M124" t="str" cm="1">
        <f t="array" ref="M124">_xlfn.IFS(I124&lt;12,"Low-Term",I124&gt;=36,"Long-Term",TRUE,"Medium-Term")</f>
        <v>Long-Term</v>
      </c>
      <c r="N124" t="str" cm="1">
        <f t="array" ref="N124">_xlfn.IFS(A124="Bad", "Review Required", AND(A124="Good",J124&gt;7000),"VIP Client", AND(A124="Good", J124&lt;=7000),"Standart Client")</f>
        <v>Review Required</v>
      </c>
      <c r="O124" s="11">
        <v>1842</v>
      </c>
    </row>
    <row r="125" spans="1:15" x14ac:dyDescent="0.3">
      <c r="A125" t="s">
        <v>41</v>
      </c>
      <c r="B125" t="s">
        <v>77</v>
      </c>
      <c r="C125" t="s">
        <v>91</v>
      </c>
      <c r="D125" t="s">
        <v>102</v>
      </c>
      <c r="E125" t="s">
        <v>122</v>
      </c>
      <c r="F125" t="s">
        <v>127</v>
      </c>
      <c r="G125" t="s">
        <v>114</v>
      </c>
      <c r="H125" t="s">
        <v>120</v>
      </c>
      <c r="I125">
        <v>15</v>
      </c>
      <c r="J125" s="11">
        <v>1512</v>
      </c>
      <c r="K125">
        <v>61</v>
      </c>
      <c r="L125" t="str" cm="1">
        <f t="array" ref="L125">_xlfn.IFS(J125&gt;5000,"Hight",J125&gt;2000,"Medium",TRUE,"Low")</f>
        <v>Low</v>
      </c>
      <c r="M125" t="str" cm="1">
        <f t="array" ref="M125">_xlfn.IFS(I125&lt;12,"Low-Term",I125&gt;=36,"Long-Term",TRUE,"Medium-Term")</f>
        <v>Medium-Term</v>
      </c>
      <c r="N125" t="str" cm="1">
        <f t="array" ref="N125">_xlfn.IFS(A125="Bad", "Review Required", AND(A125="Good",J125&gt;7000),"VIP Client", AND(A125="Good", J125&lt;=7000),"Standart Client")</f>
        <v>Review Required</v>
      </c>
      <c r="O125" s="11">
        <v>1512</v>
      </c>
    </row>
    <row r="126" spans="1:15" x14ac:dyDescent="0.3">
      <c r="A126" t="s">
        <v>41</v>
      </c>
      <c r="B126" t="s">
        <v>80</v>
      </c>
      <c r="C126" t="s">
        <v>86</v>
      </c>
      <c r="D126" t="s">
        <v>99</v>
      </c>
      <c r="E126" t="s">
        <v>122</v>
      </c>
      <c r="F126" t="s">
        <v>123</v>
      </c>
      <c r="G126" t="s">
        <v>114</v>
      </c>
      <c r="H126" t="s">
        <v>120</v>
      </c>
      <c r="I126">
        <v>24</v>
      </c>
      <c r="J126" s="11">
        <v>4817</v>
      </c>
      <c r="K126">
        <v>31</v>
      </c>
      <c r="L126" t="str" cm="1">
        <f t="array" ref="L126">_xlfn.IFS(J126&gt;5000,"Hight",J126&gt;2000,"Medium",TRUE,"Low")</f>
        <v>Medium</v>
      </c>
      <c r="M126" t="str" cm="1">
        <f t="array" ref="M126">_xlfn.IFS(I126&lt;12,"Low-Term",I126&gt;=36,"Long-Term",TRUE,"Medium-Term")</f>
        <v>Medium-Term</v>
      </c>
      <c r="N126" t="str" cm="1">
        <f t="array" ref="N126">_xlfn.IFS(A126="Bad", "Review Required", AND(A126="Good",J126&gt;7000),"VIP Client", AND(A126="Good", J126&lt;=7000),"Standart Client")</f>
        <v>Review Required</v>
      </c>
      <c r="O126" s="11">
        <v>4817</v>
      </c>
    </row>
    <row r="127" spans="1:15" x14ac:dyDescent="0.3">
      <c r="A127" t="s">
        <v>41</v>
      </c>
      <c r="B127" t="s">
        <v>80</v>
      </c>
      <c r="C127" t="s">
        <v>87</v>
      </c>
      <c r="D127" t="s">
        <v>99</v>
      </c>
      <c r="E127" t="s">
        <v>122</v>
      </c>
      <c r="F127" t="s">
        <v>123</v>
      </c>
      <c r="G127" t="s">
        <v>114</v>
      </c>
      <c r="H127" t="s">
        <v>121</v>
      </c>
      <c r="I127">
        <v>12</v>
      </c>
      <c r="J127" s="11">
        <v>3386</v>
      </c>
      <c r="K127">
        <v>35</v>
      </c>
      <c r="L127" t="str" cm="1">
        <f t="array" ref="L127">_xlfn.IFS(J127&gt;5000,"Hight",J127&gt;2000,"Medium",TRUE,"Low")</f>
        <v>Medium</v>
      </c>
      <c r="M127" t="str" cm="1">
        <f t="array" ref="M127">_xlfn.IFS(I127&lt;12,"Low-Term",I127&gt;=36,"Long-Term",TRUE,"Medium-Term")</f>
        <v>Medium-Term</v>
      </c>
      <c r="N127" t="str" cm="1">
        <f t="array" ref="N127">_xlfn.IFS(A127="Bad", "Review Required", AND(A127="Good",J127&gt;7000),"VIP Client", AND(A127="Good", J127&lt;=7000),"Standart Client")</f>
        <v>Review Required</v>
      </c>
      <c r="O127" s="11">
        <v>3386</v>
      </c>
    </row>
    <row r="128" spans="1:15" x14ac:dyDescent="0.3">
      <c r="A128" t="s">
        <v>41</v>
      </c>
      <c r="B128" t="s">
        <v>80</v>
      </c>
      <c r="C128" t="s">
        <v>89</v>
      </c>
      <c r="D128" t="s">
        <v>99</v>
      </c>
      <c r="E128" t="s">
        <v>124</v>
      </c>
      <c r="F128" t="s">
        <v>125</v>
      </c>
      <c r="G128" t="s">
        <v>113</v>
      </c>
      <c r="H128" t="s">
        <v>119</v>
      </c>
      <c r="I128">
        <v>24</v>
      </c>
      <c r="J128" s="11">
        <v>1659</v>
      </c>
      <c r="K128">
        <v>29</v>
      </c>
      <c r="L128" t="str" cm="1">
        <f t="array" ref="L128">_xlfn.IFS(J128&gt;5000,"Hight",J128&gt;2000,"Medium",TRUE,"Low")</f>
        <v>Low</v>
      </c>
      <c r="M128" t="str" cm="1">
        <f t="array" ref="M128">_xlfn.IFS(I128&lt;12,"Low-Term",I128&gt;=36,"Long-Term",TRUE,"Medium-Term")</f>
        <v>Medium-Term</v>
      </c>
      <c r="N128" t="str" cm="1">
        <f t="array" ref="N128">_xlfn.IFS(A128="Bad", "Review Required", AND(A128="Good",J128&gt;7000),"VIP Client", AND(A128="Good", J128&lt;=7000),"Standart Client")</f>
        <v>Review Required</v>
      </c>
      <c r="O128" s="11">
        <v>1659</v>
      </c>
    </row>
    <row r="129" spans="1:15" x14ac:dyDescent="0.3">
      <c r="A129" t="s">
        <v>41</v>
      </c>
      <c r="B129" t="s">
        <v>77</v>
      </c>
      <c r="C129" t="s">
        <v>89</v>
      </c>
      <c r="D129" t="s">
        <v>100</v>
      </c>
      <c r="E129" t="s">
        <v>122</v>
      </c>
      <c r="F129" t="s">
        <v>127</v>
      </c>
      <c r="G129" t="s">
        <v>114</v>
      </c>
      <c r="H129" t="s">
        <v>119</v>
      </c>
      <c r="I129">
        <v>24</v>
      </c>
      <c r="J129" s="11">
        <v>3092</v>
      </c>
      <c r="K129">
        <v>22</v>
      </c>
      <c r="L129" t="str" cm="1">
        <f t="array" ref="L129">_xlfn.IFS(J129&gt;5000,"Hight",J129&gt;2000,"Medium",TRUE,"Low")</f>
        <v>Medium</v>
      </c>
      <c r="M129" t="str" cm="1">
        <f t="array" ref="M129">_xlfn.IFS(I129&lt;12,"Low-Term",I129&gt;=36,"Long-Term",TRUE,"Medium-Term")</f>
        <v>Medium-Term</v>
      </c>
      <c r="N129" t="str" cm="1">
        <f t="array" ref="N129">_xlfn.IFS(A129="Bad", "Review Required", AND(A129="Good",J129&gt;7000),"VIP Client", AND(A129="Good", J129&lt;=7000),"Standart Client")</f>
        <v>Review Required</v>
      </c>
      <c r="O129" s="11">
        <v>3092</v>
      </c>
    </row>
    <row r="130" spans="1:15" x14ac:dyDescent="0.3">
      <c r="A130" t="s">
        <v>41</v>
      </c>
      <c r="B130" t="s">
        <v>80</v>
      </c>
      <c r="C130" t="s">
        <v>92</v>
      </c>
      <c r="D130" t="s">
        <v>99</v>
      </c>
      <c r="E130" t="s">
        <v>124</v>
      </c>
      <c r="F130" t="s">
        <v>125</v>
      </c>
      <c r="G130" t="s">
        <v>114</v>
      </c>
      <c r="H130" t="s">
        <v>120</v>
      </c>
      <c r="I130">
        <v>6</v>
      </c>
      <c r="J130" s="11">
        <v>448</v>
      </c>
      <c r="K130">
        <v>23</v>
      </c>
      <c r="L130" t="str" cm="1">
        <f t="array" ref="L130">_xlfn.IFS(J130&gt;5000,"Hight",J130&gt;2000,"Medium",TRUE,"Low")</f>
        <v>Low</v>
      </c>
      <c r="M130" t="str" cm="1">
        <f t="array" ref="M130">_xlfn.IFS(I130&lt;12,"Low-Term",I130&gt;=36,"Long-Term",TRUE,"Medium-Term")</f>
        <v>Low-Term</v>
      </c>
      <c r="N130" t="str" cm="1">
        <f t="array" ref="N130">_xlfn.IFS(A130="Bad", "Review Required", AND(A130="Good",J130&gt;7000),"VIP Client", AND(A130="Good", J130&lt;=7000),"Standart Client")</f>
        <v>Review Required</v>
      </c>
      <c r="O130" s="11">
        <v>448</v>
      </c>
    </row>
    <row r="131" spans="1:15" x14ac:dyDescent="0.3">
      <c r="A131" t="s">
        <v>41</v>
      </c>
      <c r="B131" t="s">
        <v>80</v>
      </c>
      <c r="C131" t="s">
        <v>86</v>
      </c>
      <c r="D131" t="s">
        <v>99</v>
      </c>
      <c r="E131" t="s">
        <v>122</v>
      </c>
      <c r="F131" t="s">
        <v>123</v>
      </c>
      <c r="G131" t="s">
        <v>113</v>
      </c>
      <c r="H131" t="s">
        <v>120</v>
      </c>
      <c r="I131">
        <v>9</v>
      </c>
      <c r="J131" s="11">
        <v>654</v>
      </c>
      <c r="K131">
        <v>28</v>
      </c>
      <c r="L131" t="str" cm="1">
        <f t="array" ref="L131">_xlfn.IFS(J131&gt;5000,"Hight",J131&gt;2000,"Medium",TRUE,"Low")</f>
        <v>Low</v>
      </c>
      <c r="M131" t="str" cm="1">
        <f t="array" ref="M131">_xlfn.IFS(I131&lt;12,"Low-Term",I131&gt;=36,"Long-Term",TRUE,"Medium-Term")</f>
        <v>Low-Term</v>
      </c>
      <c r="N131" t="str" cm="1">
        <f t="array" ref="N131">_xlfn.IFS(A131="Bad", "Review Required", AND(A131="Good",J131&gt;7000),"VIP Client", AND(A131="Good", J131&lt;=7000),"Standart Client")</f>
        <v>Review Required</v>
      </c>
      <c r="O131" s="11">
        <v>654</v>
      </c>
    </row>
    <row r="132" spans="1:15" x14ac:dyDescent="0.3">
      <c r="A132" t="s">
        <v>41</v>
      </c>
      <c r="B132" t="s">
        <v>77</v>
      </c>
      <c r="C132" t="s">
        <v>89</v>
      </c>
      <c r="D132" t="s">
        <v>99</v>
      </c>
      <c r="E132" t="s">
        <v>122</v>
      </c>
      <c r="F132" t="s">
        <v>127</v>
      </c>
      <c r="G132" t="s">
        <v>114</v>
      </c>
      <c r="H132" t="s">
        <v>120</v>
      </c>
      <c r="I132">
        <v>18</v>
      </c>
      <c r="J132" s="11">
        <v>1245</v>
      </c>
      <c r="K132">
        <v>33</v>
      </c>
      <c r="L132" t="str" cm="1">
        <f t="array" ref="L132">_xlfn.IFS(J132&gt;5000,"Hight",J132&gt;2000,"Medium",TRUE,"Low")</f>
        <v>Low</v>
      </c>
      <c r="M132" t="str" cm="1">
        <f t="array" ref="M132">_xlfn.IFS(I132&lt;12,"Low-Term",I132&gt;=36,"Long-Term",TRUE,"Medium-Term")</f>
        <v>Medium-Term</v>
      </c>
      <c r="N132" t="str" cm="1">
        <f t="array" ref="N132">_xlfn.IFS(A132="Bad", "Review Required", AND(A132="Good",J132&gt;7000),"VIP Client", AND(A132="Good", J132&lt;=7000),"Standart Client")</f>
        <v>Review Required</v>
      </c>
      <c r="O132" s="11">
        <v>1245</v>
      </c>
    </row>
    <row r="133" spans="1:15" x14ac:dyDescent="0.3">
      <c r="A133" t="s">
        <v>41</v>
      </c>
      <c r="B133" t="s">
        <v>80</v>
      </c>
      <c r="C133" t="s">
        <v>88</v>
      </c>
      <c r="D133" t="s">
        <v>99</v>
      </c>
      <c r="E133" t="s">
        <v>124</v>
      </c>
      <c r="F133" t="s">
        <v>125</v>
      </c>
      <c r="G133" t="s">
        <v>114</v>
      </c>
      <c r="H133" t="s">
        <v>119</v>
      </c>
      <c r="I133">
        <v>18</v>
      </c>
      <c r="J133" s="11">
        <v>3114</v>
      </c>
      <c r="K133">
        <v>26</v>
      </c>
      <c r="L133" t="str" cm="1">
        <f t="array" ref="L133">_xlfn.IFS(J133&gt;5000,"Hight",J133&gt;2000,"Medium",TRUE,"Low")</f>
        <v>Medium</v>
      </c>
      <c r="M133" t="str" cm="1">
        <f t="array" ref="M133">_xlfn.IFS(I133&lt;12,"Low-Term",I133&gt;=36,"Long-Term",TRUE,"Medium-Term")</f>
        <v>Medium-Term</v>
      </c>
      <c r="N133" t="str" cm="1">
        <f t="array" ref="N133">_xlfn.IFS(A133="Bad", "Review Required", AND(A133="Good",J133&gt;7000),"VIP Client", AND(A133="Good", J133&lt;=7000),"Standart Client")</f>
        <v>Review Required</v>
      </c>
      <c r="O133" s="11">
        <v>3114</v>
      </c>
    </row>
    <row r="134" spans="1:15" x14ac:dyDescent="0.3">
      <c r="A134" t="s">
        <v>41</v>
      </c>
      <c r="B134" t="s">
        <v>77</v>
      </c>
      <c r="C134" t="s">
        <v>86</v>
      </c>
      <c r="D134" t="s">
        <v>99</v>
      </c>
      <c r="E134" t="s">
        <v>122</v>
      </c>
      <c r="F134" t="s">
        <v>123</v>
      </c>
      <c r="G134" t="s">
        <v>115</v>
      </c>
      <c r="H134" t="s">
        <v>120</v>
      </c>
      <c r="I134">
        <v>6</v>
      </c>
      <c r="J134" s="11">
        <v>1209</v>
      </c>
      <c r="K134">
        <v>47</v>
      </c>
      <c r="L134" t="str" cm="1">
        <f t="array" ref="L134">_xlfn.IFS(J134&gt;5000,"Hight",J134&gt;2000,"Medium",TRUE,"Low")</f>
        <v>Low</v>
      </c>
      <c r="M134" t="str" cm="1">
        <f t="array" ref="M134">_xlfn.IFS(I134&lt;12,"Low-Term",I134&gt;=36,"Long-Term",TRUE,"Medium-Term")</f>
        <v>Low-Term</v>
      </c>
      <c r="N134" t="str" cm="1">
        <f t="array" ref="N134">_xlfn.IFS(A134="Bad", "Review Required", AND(A134="Good",J134&gt;7000),"VIP Client", AND(A134="Good", J134&lt;=7000),"Standart Client")</f>
        <v>Review Required</v>
      </c>
      <c r="O134" s="11">
        <v>1209</v>
      </c>
    </row>
    <row r="135" spans="1:15" x14ac:dyDescent="0.3">
      <c r="A135" t="s">
        <v>41</v>
      </c>
      <c r="B135" t="s">
        <v>77</v>
      </c>
      <c r="C135" t="s">
        <v>94</v>
      </c>
      <c r="D135" t="s">
        <v>99</v>
      </c>
      <c r="E135" t="s">
        <v>124</v>
      </c>
      <c r="F135" t="s">
        <v>125</v>
      </c>
      <c r="G135" t="s">
        <v>115</v>
      </c>
      <c r="H135" t="s">
        <v>121</v>
      </c>
      <c r="I135">
        <v>27</v>
      </c>
      <c r="J135" s="11">
        <v>8318</v>
      </c>
      <c r="K135">
        <v>42</v>
      </c>
      <c r="L135" t="str" cm="1">
        <f t="array" ref="L135">_xlfn.IFS(J135&gt;5000,"Hight",J135&gt;2000,"Medium",TRUE,"Low")</f>
        <v>Hight</v>
      </c>
      <c r="M135" t="str" cm="1">
        <f t="array" ref="M135">_xlfn.IFS(I135&lt;12,"Low-Term",I135&gt;=36,"Long-Term",TRUE,"Medium-Term")</f>
        <v>Medium-Term</v>
      </c>
      <c r="N135" t="str" cm="1">
        <f t="array" ref="N135">_xlfn.IFS(A135="Bad", "Review Required", AND(A135="Good",J135&gt;7000),"VIP Client", AND(A135="Good", J135&lt;=7000),"Standart Client")</f>
        <v>Review Required</v>
      </c>
      <c r="O135" s="11">
        <v>8318</v>
      </c>
    </row>
    <row r="136" spans="1:15" x14ac:dyDescent="0.3">
      <c r="A136" t="s">
        <v>41</v>
      </c>
      <c r="B136" t="s">
        <v>80</v>
      </c>
      <c r="C136" t="s">
        <v>88</v>
      </c>
      <c r="D136" t="s">
        <v>78</v>
      </c>
      <c r="E136" t="s">
        <v>122</v>
      </c>
      <c r="F136" t="s">
        <v>127</v>
      </c>
      <c r="G136" t="s">
        <v>114</v>
      </c>
      <c r="H136" t="s">
        <v>120</v>
      </c>
      <c r="I136">
        <v>24</v>
      </c>
      <c r="J136" s="11">
        <v>2996</v>
      </c>
      <c r="K136">
        <v>20</v>
      </c>
      <c r="L136" t="str" cm="1">
        <f t="array" ref="L136">_xlfn.IFS(J136&gt;5000,"Hight",J136&gt;2000,"Medium",TRUE,"Low")</f>
        <v>Medium</v>
      </c>
      <c r="M136" t="str" cm="1">
        <f t="array" ref="M136">_xlfn.IFS(I136&lt;12,"Low-Term",I136&gt;=36,"Long-Term",TRUE,"Medium-Term")</f>
        <v>Medium-Term</v>
      </c>
      <c r="N136" t="str" cm="1">
        <f t="array" ref="N136">_xlfn.IFS(A136="Bad", "Review Required", AND(A136="Good",J136&gt;7000),"VIP Client", AND(A136="Good", J136&lt;=7000),"Standart Client")</f>
        <v>Review Required</v>
      </c>
      <c r="O136" s="11">
        <v>2996</v>
      </c>
    </row>
    <row r="137" spans="1:15" x14ac:dyDescent="0.3">
      <c r="A137" t="s">
        <v>41</v>
      </c>
      <c r="B137" t="s">
        <v>77</v>
      </c>
      <c r="C137" t="s">
        <v>88</v>
      </c>
      <c r="D137" t="s">
        <v>100</v>
      </c>
      <c r="E137" t="s">
        <v>122</v>
      </c>
      <c r="F137" t="s">
        <v>123</v>
      </c>
      <c r="G137" t="s">
        <v>115</v>
      </c>
      <c r="H137" t="s">
        <v>119</v>
      </c>
      <c r="I137">
        <v>36</v>
      </c>
      <c r="J137" s="11">
        <v>9034</v>
      </c>
      <c r="K137">
        <v>29</v>
      </c>
      <c r="L137" t="str" cm="1">
        <f t="array" ref="L137">_xlfn.IFS(J137&gt;5000,"Hight",J137&gt;2000,"Medium",TRUE,"Low")</f>
        <v>Hight</v>
      </c>
      <c r="M137" t="str" cm="1">
        <f t="array" ref="M137">_xlfn.IFS(I137&lt;12,"Low-Term",I137&gt;=36,"Long-Term",TRUE,"Medium-Term")</f>
        <v>Long-Term</v>
      </c>
      <c r="N137" t="str" cm="1">
        <f t="array" ref="N137">_xlfn.IFS(A137="Bad", "Review Required", AND(A137="Good",J137&gt;7000),"VIP Client", AND(A137="Good", J137&lt;=7000),"Standart Client")</f>
        <v>Review Required</v>
      </c>
      <c r="O137" s="11">
        <v>9034</v>
      </c>
    </row>
    <row r="138" spans="1:15" x14ac:dyDescent="0.3">
      <c r="A138" t="s">
        <v>41</v>
      </c>
      <c r="B138" t="s">
        <v>80</v>
      </c>
      <c r="C138" t="s">
        <v>86</v>
      </c>
      <c r="D138" t="s">
        <v>99</v>
      </c>
      <c r="E138" t="s">
        <v>124</v>
      </c>
      <c r="F138" t="s">
        <v>125</v>
      </c>
      <c r="G138" t="s">
        <v>114</v>
      </c>
      <c r="H138" t="s">
        <v>120</v>
      </c>
      <c r="I138">
        <v>24</v>
      </c>
      <c r="J138" s="11">
        <v>3123</v>
      </c>
      <c r="K138">
        <v>27</v>
      </c>
      <c r="L138" t="str" cm="1">
        <f t="array" ref="L138">_xlfn.IFS(J138&gt;5000,"Hight",J138&gt;2000,"Medium",TRUE,"Low")</f>
        <v>Medium</v>
      </c>
      <c r="M138" t="str" cm="1">
        <f t="array" ref="M138">_xlfn.IFS(I138&lt;12,"Low-Term",I138&gt;=36,"Long-Term",TRUE,"Medium-Term")</f>
        <v>Medium-Term</v>
      </c>
      <c r="N138" t="str" cm="1">
        <f t="array" ref="N138">_xlfn.IFS(A138="Bad", "Review Required", AND(A138="Good",J138&gt;7000),"VIP Client", AND(A138="Good", J138&lt;=7000),"Standart Client")</f>
        <v>Review Required</v>
      </c>
      <c r="O138" s="11">
        <v>3123</v>
      </c>
    </row>
    <row r="139" spans="1:15" x14ac:dyDescent="0.3">
      <c r="A139" t="s">
        <v>41</v>
      </c>
      <c r="B139" t="s">
        <v>77</v>
      </c>
      <c r="C139" t="s">
        <v>89</v>
      </c>
      <c r="D139" t="s">
        <v>100</v>
      </c>
      <c r="E139" t="s">
        <v>122</v>
      </c>
      <c r="F139" t="s">
        <v>123</v>
      </c>
      <c r="G139" t="s">
        <v>114</v>
      </c>
      <c r="H139" t="s">
        <v>120</v>
      </c>
      <c r="I139">
        <v>24</v>
      </c>
      <c r="J139" s="11">
        <v>1216</v>
      </c>
      <c r="K139">
        <v>38</v>
      </c>
      <c r="L139" t="str" cm="1">
        <f t="array" ref="L139">_xlfn.IFS(J139&gt;5000,"Hight",J139&gt;2000,"Medium",TRUE,"Low")</f>
        <v>Low</v>
      </c>
      <c r="M139" t="str" cm="1">
        <f t="array" ref="M139">_xlfn.IFS(I139&lt;12,"Low-Term",I139&gt;=36,"Long-Term",TRUE,"Medium-Term")</f>
        <v>Medium-Term</v>
      </c>
      <c r="N139" t="str" cm="1">
        <f t="array" ref="N139">_xlfn.IFS(A139="Bad", "Review Required", AND(A139="Good",J139&gt;7000),"VIP Client", AND(A139="Good", J139&lt;=7000),"Standart Client")</f>
        <v>Review Required</v>
      </c>
      <c r="O139" s="11">
        <v>1216</v>
      </c>
    </row>
    <row r="140" spans="1:15" x14ac:dyDescent="0.3">
      <c r="A140" t="s">
        <v>41</v>
      </c>
      <c r="B140" t="s">
        <v>80</v>
      </c>
      <c r="C140" t="s">
        <v>86</v>
      </c>
      <c r="D140" t="s">
        <v>99</v>
      </c>
      <c r="E140" t="s">
        <v>124</v>
      </c>
      <c r="F140" t="s">
        <v>125</v>
      </c>
      <c r="G140" t="s">
        <v>114</v>
      </c>
      <c r="H140" t="s">
        <v>119</v>
      </c>
      <c r="I140">
        <v>24</v>
      </c>
      <c r="J140" s="11">
        <v>1207</v>
      </c>
      <c r="K140">
        <v>24</v>
      </c>
      <c r="L140" t="str" cm="1">
        <f t="array" ref="L140">_xlfn.IFS(J140&gt;5000,"Hight",J140&gt;2000,"Medium",TRUE,"Low")</f>
        <v>Low</v>
      </c>
      <c r="M140" t="str" cm="1">
        <f t="array" ref="M140">_xlfn.IFS(I140&lt;12,"Low-Term",I140&gt;=36,"Long-Term",TRUE,"Medium-Term")</f>
        <v>Medium-Term</v>
      </c>
      <c r="N140" t="str" cm="1">
        <f t="array" ref="N140">_xlfn.IFS(A140="Bad", "Review Required", AND(A140="Good",J140&gt;7000),"VIP Client", AND(A140="Good", J140&lt;=7000),"Standart Client")</f>
        <v>Review Required</v>
      </c>
      <c r="O140" s="11">
        <v>1207</v>
      </c>
    </row>
    <row r="141" spans="1:15" x14ac:dyDescent="0.3">
      <c r="A141" t="s">
        <v>41</v>
      </c>
      <c r="B141" t="s">
        <v>78</v>
      </c>
      <c r="C141" t="s">
        <v>86</v>
      </c>
      <c r="D141" t="s">
        <v>78</v>
      </c>
      <c r="E141" t="s">
        <v>122</v>
      </c>
      <c r="F141" t="s">
        <v>123</v>
      </c>
      <c r="G141" t="s">
        <v>113</v>
      </c>
      <c r="H141" t="s">
        <v>120</v>
      </c>
      <c r="I141">
        <v>10</v>
      </c>
      <c r="J141" s="11">
        <v>1309</v>
      </c>
      <c r="K141">
        <v>27</v>
      </c>
      <c r="L141" t="str" cm="1">
        <f t="array" ref="L141">_xlfn.IFS(J141&gt;5000,"Hight",J141&gt;2000,"Medium",TRUE,"Low")</f>
        <v>Low</v>
      </c>
      <c r="M141" t="str" cm="1">
        <f t="array" ref="M141">_xlfn.IFS(I141&lt;12,"Low-Term",I141&gt;=36,"Long-Term",TRUE,"Medium-Term")</f>
        <v>Low-Term</v>
      </c>
      <c r="N141" t="str" cm="1">
        <f t="array" ref="N141">_xlfn.IFS(A141="Bad", "Review Required", AND(A141="Good",J141&gt;7000),"VIP Client", AND(A141="Good", J141&lt;=7000),"Standart Client")</f>
        <v>Review Required</v>
      </c>
      <c r="O141" s="11">
        <v>1309</v>
      </c>
    </row>
    <row r="142" spans="1:15" x14ac:dyDescent="0.3">
      <c r="A142" t="s">
        <v>41</v>
      </c>
      <c r="B142" t="s">
        <v>77</v>
      </c>
      <c r="C142" t="s">
        <v>86</v>
      </c>
      <c r="D142" t="s">
        <v>100</v>
      </c>
      <c r="E142" t="s">
        <v>122</v>
      </c>
      <c r="F142" t="s">
        <v>123</v>
      </c>
      <c r="G142" t="s">
        <v>115</v>
      </c>
      <c r="H142" t="s">
        <v>120</v>
      </c>
      <c r="I142">
        <v>15</v>
      </c>
      <c r="J142" s="11">
        <v>6850</v>
      </c>
      <c r="K142">
        <v>34</v>
      </c>
      <c r="L142" t="str" cm="1">
        <f t="array" ref="L142">_xlfn.IFS(J142&gt;5000,"Hight",J142&gt;2000,"Medium",TRUE,"Low")</f>
        <v>Hight</v>
      </c>
      <c r="M142" t="str" cm="1">
        <f t="array" ref="M142">_xlfn.IFS(I142&lt;12,"Low-Term",I142&gt;=36,"Long-Term",TRUE,"Medium-Term")</f>
        <v>Medium-Term</v>
      </c>
      <c r="N142" t="str" cm="1">
        <f t="array" ref="N142">_xlfn.IFS(A142="Bad", "Review Required", AND(A142="Good",J142&gt;7000),"VIP Client", AND(A142="Good", J142&lt;=7000),"Standart Client")</f>
        <v>Review Required</v>
      </c>
      <c r="O142" s="11">
        <v>6850</v>
      </c>
    </row>
    <row r="143" spans="1:15" x14ac:dyDescent="0.3">
      <c r="A143" t="s">
        <v>41</v>
      </c>
      <c r="B143" t="s">
        <v>80</v>
      </c>
      <c r="C143" t="s">
        <v>86</v>
      </c>
      <c r="D143" t="s">
        <v>99</v>
      </c>
      <c r="E143" t="s">
        <v>122</v>
      </c>
      <c r="F143" t="s">
        <v>123</v>
      </c>
      <c r="G143" t="s">
        <v>114</v>
      </c>
      <c r="H143" t="s">
        <v>120</v>
      </c>
      <c r="I143">
        <v>12</v>
      </c>
      <c r="J143" s="11">
        <v>759</v>
      </c>
      <c r="K143">
        <v>26</v>
      </c>
      <c r="L143" t="str" cm="1">
        <f t="array" ref="L143">_xlfn.IFS(J143&gt;5000,"Hight",J143&gt;2000,"Medium",TRUE,"Low")</f>
        <v>Low</v>
      </c>
      <c r="M143" t="str" cm="1">
        <f t="array" ref="M143">_xlfn.IFS(I143&lt;12,"Low-Term",I143&gt;=36,"Long-Term",TRUE,"Medium-Term")</f>
        <v>Medium-Term</v>
      </c>
      <c r="N143" t="str" cm="1">
        <f t="array" ref="N143">_xlfn.IFS(A143="Bad", "Review Required", AND(A143="Good",J143&gt;7000),"VIP Client", AND(A143="Good", J143&lt;=7000),"Standart Client")</f>
        <v>Review Required</v>
      </c>
      <c r="O143" s="11">
        <v>759</v>
      </c>
    </row>
    <row r="144" spans="1:15" x14ac:dyDescent="0.3">
      <c r="A144" t="s">
        <v>41</v>
      </c>
      <c r="B144" t="s">
        <v>78</v>
      </c>
      <c r="C144" t="s">
        <v>88</v>
      </c>
      <c r="D144" t="s">
        <v>99</v>
      </c>
      <c r="E144" t="s">
        <v>124</v>
      </c>
      <c r="F144" t="s">
        <v>125</v>
      </c>
      <c r="G144" t="s">
        <v>114</v>
      </c>
      <c r="H144" t="s">
        <v>119</v>
      </c>
      <c r="I144">
        <v>36</v>
      </c>
      <c r="J144" s="11">
        <v>7127</v>
      </c>
      <c r="K144">
        <v>23</v>
      </c>
      <c r="L144" t="str" cm="1">
        <f t="array" ref="L144">_xlfn.IFS(J144&gt;5000,"Hight",J144&gt;2000,"Medium",TRUE,"Low")</f>
        <v>Hight</v>
      </c>
      <c r="M144" t="str" cm="1">
        <f t="array" ref="M144">_xlfn.IFS(I144&lt;12,"Low-Term",I144&gt;=36,"Long-Term",TRUE,"Medium-Term")</f>
        <v>Long-Term</v>
      </c>
      <c r="N144" t="str" cm="1">
        <f t="array" ref="N144">_xlfn.IFS(A144="Bad", "Review Required", AND(A144="Good",J144&gt;7000),"VIP Client", AND(A144="Good", J144&lt;=7000),"Standart Client")</f>
        <v>Review Required</v>
      </c>
      <c r="O144" s="11">
        <v>7127</v>
      </c>
    </row>
    <row r="145" spans="1:15" x14ac:dyDescent="0.3">
      <c r="A145" t="s">
        <v>41</v>
      </c>
      <c r="B145" t="s">
        <v>80</v>
      </c>
      <c r="C145" t="s">
        <v>89</v>
      </c>
      <c r="D145" t="s">
        <v>99</v>
      </c>
      <c r="E145" t="s">
        <v>124</v>
      </c>
      <c r="F145" t="s">
        <v>125</v>
      </c>
      <c r="G145" t="s">
        <v>114</v>
      </c>
      <c r="H145" t="s">
        <v>120</v>
      </c>
      <c r="I145">
        <v>18</v>
      </c>
      <c r="J145" s="11">
        <v>3190</v>
      </c>
      <c r="K145">
        <v>24</v>
      </c>
      <c r="L145" t="str" cm="1">
        <f t="array" ref="L145">_xlfn.IFS(J145&gt;5000,"Hight",J145&gt;2000,"Medium",TRUE,"Low")</f>
        <v>Medium</v>
      </c>
      <c r="M145" t="str" cm="1">
        <f t="array" ref="M145">_xlfn.IFS(I145&lt;12,"Low-Term",I145&gt;=36,"Long-Term",TRUE,"Medium-Term")</f>
        <v>Medium-Term</v>
      </c>
      <c r="N145" t="str" cm="1">
        <f t="array" ref="N145">_xlfn.IFS(A145="Bad", "Review Required", AND(A145="Good",J145&gt;7000),"VIP Client", AND(A145="Good", J145&lt;=7000),"Standart Client")</f>
        <v>Review Required</v>
      </c>
      <c r="O145" s="11">
        <v>3190</v>
      </c>
    </row>
    <row r="146" spans="1:15" x14ac:dyDescent="0.3">
      <c r="A146" t="s">
        <v>41</v>
      </c>
      <c r="B146" t="s">
        <v>80</v>
      </c>
      <c r="C146" t="s">
        <v>88</v>
      </c>
      <c r="D146" t="s">
        <v>99</v>
      </c>
      <c r="E146" t="s">
        <v>122</v>
      </c>
      <c r="F146" t="s">
        <v>123</v>
      </c>
      <c r="G146" t="s">
        <v>114</v>
      </c>
      <c r="H146" t="s">
        <v>121</v>
      </c>
      <c r="I146">
        <v>48</v>
      </c>
      <c r="J146" s="11">
        <v>7119</v>
      </c>
      <c r="K146">
        <v>53</v>
      </c>
      <c r="L146" t="str" cm="1">
        <f t="array" ref="L146">_xlfn.IFS(J146&gt;5000,"Hight",J146&gt;2000,"Medium",TRUE,"Low")</f>
        <v>Hight</v>
      </c>
      <c r="M146" t="str" cm="1">
        <f t="array" ref="M146">_xlfn.IFS(I146&lt;12,"Low-Term",I146&gt;=36,"Long-Term",TRUE,"Medium-Term")</f>
        <v>Long-Term</v>
      </c>
      <c r="N146" t="str" cm="1">
        <f t="array" ref="N146">_xlfn.IFS(A146="Bad", "Review Required", AND(A146="Good",J146&gt;7000),"VIP Client", AND(A146="Good", J146&lt;=7000),"Standart Client")</f>
        <v>Review Required</v>
      </c>
      <c r="O146" s="11">
        <v>7119</v>
      </c>
    </row>
    <row r="147" spans="1:15" x14ac:dyDescent="0.3">
      <c r="A147" t="s">
        <v>41</v>
      </c>
      <c r="B147" t="s">
        <v>80</v>
      </c>
      <c r="C147" t="s">
        <v>89</v>
      </c>
      <c r="D147" t="s">
        <v>99</v>
      </c>
      <c r="E147" t="s">
        <v>122</v>
      </c>
      <c r="F147" t="s">
        <v>126</v>
      </c>
      <c r="G147" t="s">
        <v>114</v>
      </c>
      <c r="H147" t="s">
        <v>119</v>
      </c>
      <c r="I147">
        <v>36</v>
      </c>
      <c r="J147" s="11">
        <v>2302</v>
      </c>
      <c r="K147">
        <v>31</v>
      </c>
      <c r="L147" t="str" cm="1">
        <f t="array" ref="L147">_xlfn.IFS(J147&gt;5000,"Hight",J147&gt;2000,"Medium",TRUE,"Low")</f>
        <v>Medium</v>
      </c>
      <c r="M147" t="str" cm="1">
        <f t="array" ref="M147">_xlfn.IFS(I147&lt;12,"Low-Term",I147&gt;=36,"Long-Term",TRUE,"Medium-Term")</f>
        <v>Long-Term</v>
      </c>
      <c r="N147" t="str" cm="1">
        <f t="array" ref="N147">_xlfn.IFS(A147="Bad", "Review Required", AND(A147="Good",J147&gt;7000),"VIP Client", AND(A147="Good", J147&lt;=7000),"Standart Client")</f>
        <v>Review Required</v>
      </c>
      <c r="O147" s="11">
        <v>2302</v>
      </c>
    </row>
    <row r="148" spans="1:15" x14ac:dyDescent="0.3">
      <c r="A148" t="s">
        <v>41</v>
      </c>
      <c r="B148" t="s">
        <v>77</v>
      </c>
      <c r="C148" t="s">
        <v>86</v>
      </c>
      <c r="D148" t="s">
        <v>100</v>
      </c>
      <c r="E148" t="s">
        <v>124</v>
      </c>
      <c r="F148" t="s">
        <v>125</v>
      </c>
      <c r="G148" t="s">
        <v>114</v>
      </c>
      <c r="H148" t="s">
        <v>119</v>
      </c>
      <c r="I148">
        <v>15</v>
      </c>
      <c r="J148" s="11">
        <v>2631</v>
      </c>
      <c r="K148">
        <v>28</v>
      </c>
      <c r="L148" t="str" cm="1">
        <f t="array" ref="L148">_xlfn.IFS(J148&gt;5000,"Hight",J148&gt;2000,"Medium",TRUE,"Low")</f>
        <v>Medium</v>
      </c>
      <c r="M148" t="str" cm="1">
        <f t="array" ref="M148">_xlfn.IFS(I148&lt;12,"Low-Term",I148&gt;=36,"Long-Term",TRUE,"Medium-Term")</f>
        <v>Medium-Term</v>
      </c>
      <c r="N148" t="str" cm="1">
        <f t="array" ref="N148">_xlfn.IFS(A148="Bad", "Review Required", AND(A148="Good",J148&gt;7000),"VIP Client", AND(A148="Good", J148&lt;=7000),"Standart Client")</f>
        <v>Review Required</v>
      </c>
      <c r="O148" s="11">
        <v>2631</v>
      </c>
    </row>
    <row r="149" spans="1:15" x14ac:dyDescent="0.3">
      <c r="A149" t="s">
        <v>41</v>
      </c>
      <c r="B149" t="s">
        <v>81</v>
      </c>
      <c r="C149" t="s">
        <v>92</v>
      </c>
      <c r="D149" t="s">
        <v>99</v>
      </c>
      <c r="E149" t="s">
        <v>122</v>
      </c>
      <c r="F149" t="s">
        <v>126</v>
      </c>
      <c r="G149" t="s">
        <v>114</v>
      </c>
      <c r="H149" t="s">
        <v>119</v>
      </c>
      <c r="I149">
        <v>21</v>
      </c>
      <c r="J149" s="11">
        <v>2319</v>
      </c>
      <c r="K149">
        <v>33</v>
      </c>
      <c r="L149" t="str" cm="1">
        <f t="array" ref="L149">_xlfn.IFS(J149&gt;5000,"Hight",J149&gt;2000,"Medium",TRUE,"Low")</f>
        <v>Medium</v>
      </c>
      <c r="M149" t="str" cm="1">
        <f t="array" ref="M149">_xlfn.IFS(I149&lt;12,"Low-Term",I149&gt;=36,"Long-Term",TRUE,"Medium-Term")</f>
        <v>Medium-Term</v>
      </c>
      <c r="N149" t="str" cm="1">
        <f t="array" ref="N149">_xlfn.IFS(A149="Bad", "Review Required", AND(A149="Good",J149&gt;7000),"VIP Client", AND(A149="Good", J149&lt;=7000),"Standart Client")</f>
        <v>Review Required</v>
      </c>
      <c r="O149" s="11">
        <v>2319</v>
      </c>
    </row>
    <row r="150" spans="1:15" x14ac:dyDescent="0.3">
      <c r="A150" t="s">
        <v>41</v>
      </c>
      <c r="B150" t="s">
        <v>80</v>
      </c>
      <c r="C150" t="s">
        <v>86</v>
      </c>
      <c r="D150" t="s">
        <v>99</v>
      </c>
      <c r="E150" t="s">
        <v>122</v>
      </c>
      <c r="F150" t="s">
        <v>123</v>
      </c>
      <c r="G150" t="s">
        <v>115</v>
      </c>
      <c r="H150" t="s">
        <v>121</v>
      </c>
      <c r="I150">
        <v>48</v>
      </c>
      <c r="J150" s="11">
        <v>7763</v>
      </c>
      <c r="K150">
        <v>42</v>
      </c>
      <c r="L150" t="str" cm="1">
        <f t="array" ref="L150">_xlfn.IFS(J150&gt;5000,"Hight",J150&gt;2000,"Medium",TRUE,"Low")</f>
        <v>Hight</v>
      </c>
      <c r="M150" t="str" cm="1">
        <f t="array" ref="M150">_xlfn.IFS(I150&lt;12,"Low-Term",I150&gt;=36,"Long-Term",TRUE,"Medium-Term")</f>
        <v>Long-Term</v>
      </c>
      <c r="N150" t="str" cm="1">
        <f t="array" ref="N150">_xlfn.IFS(A150="Bad", "Review Required", AND(A150="Good",J150&gt;7000),"VIP Client", AND(A150="Good", J150&lt;=7000),"Standart Client")</f>
        <v>Review Required</v>
      </c>
      <c r="O150" s="11">
        <v>7763</v>
      </c>
    </row>
    <row r="151" spans="1:15" x14ac:dyDescent="0.3">
      <c r="A151" t="s">
        <v>41</v>
      </c>
      <c r="B151" t="s">
        <v>77</v>
      </c>
      <c r="C151" t="s">
        <v>89</v>
      </c>
      <c r="D151" t="s">
        <v>99</v>
      </c>
      <c r="E151" t="s">
        <v>122</v>
      </c>
      <c r="F151" t="s">
        <v>127</v>
      </c>
      <c r="G151" t="s">
        <v>114</v>
      </c>
      <c r="H151" t="s">
        <v>119</v>
      </c>
      <c r="I151">
        <v>12</v>
      </c>
      <c r="J151" s="11">
        <v>1534</v>
      </c>
      <c r="K151">
        <v>23</v>
      </c>
      <c r="L151" t="str" cm="1">
        <f t="array" ref="L151">_xlfn.IFS(J151&gt;5000,"Hight",J151&gt;2000,"Medium",TRUE,"Low")</f>
        <v>Low</v>
      </c>
      <c r="M151" t="str" cm="1">
        <f t="array" ref="M151">_xlfn.IFS(I151&lt;12,"Low-Term",I151&gt;=36,"Long-Term",TRUE,"Medium-Term")</f>
        <v>Medium-Term</v>
      </c>
      <c r="N151" t="str" cm="1">
        <f t="array" ref="N151">_xlfn.IFS(A151="Bad", "Review Required", AND(A151="Good",J151&gt;7000),"VIP Client", AND(A151="Good", J151&lt;=7000),"Standart Client")</f>
        <v>Review Required</v>
      </c>
      <c r="O151" s="11">
        <v>1534</v>
      </c>
    </row>
    <row r="152" spans="1:15" x14ac:dyDescent="0.3">
      <c r="A152" t="s">
        <v>41</v>
      </c>
      <c r="B152" t="s">
        <v>80</v>
      </c>
      <c r="C152" t="s">
        <v>88</v>
      </c>
      <c r="D152" t="s">
        <v>78</v>
      </c>
      <c r="E152" t="s">
        <v>122</v>
      </c>
      <c r="F152" t="s">
        <v>123</v>
      </c>
      <c r="G152" t="s">
        <v>114</v>
      </c>
      <c r="H152" t="s">
        <v>120</v>
      </c>
      <c r="I152">
        <v>30</v>
      </c>
      <c r="J152" s="11">
        <v>6350</v>
      </c>
      <c r="K152">
        <v>31</v>
      </c>
      <c r="L152" t="str" cm="1">
        <f t="array" ref="L152">_xlfn.IFS(J152&gt;5000,"Hight",J152&gt;2000,"Medium",TRUE,"Low")</f>
        <v>Hight</v>
      </c>
      <c r="M152" t="str" cm="1">
        <f t="array" ref="M152">_xlfn.IFS(I152&lt;12,"Low-Term",I152&gt;=36,"Long-Term",TRUE,"Medium-Term")</f>
        <v>Medium-Term</v>
      </c>
      <c r="N152" t="str" cm="1">
        <f t="array" ref="N152">_xlfn.IFS(A152="Bad", "Review Required", AND(A152="Good",J152&gt;7000),"VIP Client", AND(A152="Good", J152&lt;=7000),"Standart Client")</f>
        <v>Review Required</v>
      </c>
      <c r="O152" s="11">
        <v>6350</v>
      </c>
    </row>
    <row r="153" spans="1:15" x14ac:dyDescent="0.3">
      <c r="A153" t="s">
        <v>41</v>
      </c>
      <c r="B153" t="s">
        <v>81</v>
      </c>
      <c r="C153" t="s">
        <v>88</v>
      </c>
      <c r="D153" t="s">
        <v>99</v>
      </c>
      <c r="E153" t="s">
        <v>122</v>
      </c>
      <c r="F153" t="s">
        <v>123</v>
      </c>
      <c r="G153" t="s">
        <v>113</v>
      </c>
      <c r="H153" t="s">
        <v>120</v>
      </c>
      <c r="I153">
        <v>18</v>
      </c>
      <c r="J153" s="11">
        <v>2864</v>
      </c>
      <c r="K153">
        <v>34</v>
      </c>
      <c r="L153" t="str" cm="1">
        <f t="array" ref="L153">_xlfn.IFS(J153&gt;5000,"Hight",J153&gt;2000,"Medium",TRUE,"Low")</f>
        <v>Medium</v>
      </c>
      <c r="M153" t="str" cm="1">
        <f t="array" ref="M153">_xlfn.IFS(I153&lt;12,"Low-Term",I153&gt;=36,"Long-Term",TRUE,"Medium-Term")</f>
        <v>Medium-Term</v>
      </c>
      <c r="N153" t="str" cm="1">
        <f t="array" ref="N153">_xlfn.IFS(A153="Bad", "Review Required", AND(A153="Good",J153&gt;7000),"VIP Client", AND(A153="Good", J153&lt;=7000),"Standart Client")</f>
        <v>Review Required</v>
      </c>
      <c r="O153" s="11">
        <v>2864</v>
      </c>
    </row>
    <row r="154" spans="1:15" x14ac:dyDescent="0.3">
      <c r="A154" t="s">
        <v>41</v>
      </c>
      <c r="B154" t="s">
        <v>80</v>
      </c>
      <c r="C154" t="s">
        <v>86</v>
      </c>
      <c r="D154" t="s">
        <v>99</v>
      </c>
      <c r="E154" t="s">
        <v>122</v>
      </c>
      <c r="F154" t="s">
        <v>123</v>
      </c>
      <c r="G154" t="s">
        <v>114</v>
      </c>
      <c r="H154" t="s">
        <v>121</v>
      </c>
      <c r="I154">
        <v>24</v>
      </c>
      <c r="J154" s="11">
        <v>1333</v>
      </c>
      <c r="K154">
        <v>43</v>
      </c>
      <c r="L154" t="str" cm="1">
        <f t="array" ref="L154">_xlfn.IFS(J154&gt;5000,"Hight",J154&gt;2000,"Medium",TRUE,"Low")</f>
        <v>Low</v>
      </c>
      <c r="M154" t="str" cm="1">
        <f t="array" ref="M154">_xlfn.IFS(I154&lt;12,"Low-Term",I154&gt;=36,"Long-Term",TRUE,"Medium-Term")</f>
        <v>Medium-Term</v>
      </c>
      <c r="N154" t="str" cm="1">
        <f t="array" ref="N154">_xlfn.IFS(A154="Bad", "Review Required", AND(A154="Good",J154&gt;7000),"VIP Client", AND(A154="Good", J154&lt;=7000),"Standart Client")</f>
        <v>Review Required</v>
      </c>
      <c r="O154" s="11">
        <v>1333</v>
      </c>
    </row>
    <row r="155" spans="1:15" x14ac:dyDescent="0.3">
      <c r="A155" t="s">
        <v>41</v>
      </c>
      <c r="B155" t="s">
        <v>80</v>
      </c>
      <c r="C155" t="s">
        <v>89</v>
      </c>
      <c r="D155" t="s">
        <v>99</v>
      </c>
      <c r="E155" t="s">
        <v>124</v>
      </c>
      <c r="F155" t="s">
        <v>125</v>
      </c>
      <c r="G155" t="s">
        <v>113</v>
      </c>
      <c r="H155" t="s">
        <v>120</v>
      </c>
      <c r="I155">
        <v>12</v>
      </c>
      <c r="J155" s="11">
        <v>626</v>
      </c>
      <c r="K155">
        <v>24</v>
      </c>
      <c r="L155" t="str" cm="1">
        <f t="array" ref="L155">_xlfn.IFS(J155&gt;5000,"Hight",J155&gt;2000,"Medium",TRUE,"Low")</f>
        <v>Low</v>
      </c>
      <c r="M155" t="str" cm="1">
        <f t="array" ref="M155">_xlfn.IFS(I155&lt;12,"Low-Term",I155&gt;=36,"Long-Term",TRUE,"Medium-Term")</f>
        <v>Medium-Term</v>
      </c>
      <c r="N155" t="str" cm="1">
        <f t="array" ref="N155">_xlfn.IFS(A155="Bad", "Review Required", AND(A155="Good",J155&gt;7000),"VIP Client", AND(A155="Good", J155&lt;=7000),"Standart Client")</f>
        <v>Review Required</v>
      </c>
      <c r="O155" s="11">
        <v>626</v>
      </c>
    </row>
    <row r="156" spans="1:15" x14ac:dyDescent="0.3">
      <c r="A156" t="s">
        <v>41</v>
      </c>
      <c r="B156" t="s">
        <v>80</v>
      </c>
      <c r="C156" t="s">
        <v>89</v>
      </c>
      <c r="D156" t="s">
        <v>99</v>
      </c>
      <c r="E156" t="s">
        <v>122</v>
      </c>
      <c r="F156" t="s">
        <v>127</v>
      </c>
      <c r="G156" t="s">
        <v>114</v>
      </c>
      <c r="H156" t="s">
        <v>120</v>
      </c>
      <c r="I156">
        <v>48</v>
      </c>
      <c r="J156" s="11">
        <v>6999</v>
      </c>
      <c r="K156">
        <v>34</v>
      </c>
      <c r="L156" t="str" cm="1">
        <f t="array" ref="L156">_xlfn.IFS(J156&gt;5000,"Hight",J156&gt;2000,"Medium",TRUE,"Low")</f>
        <v>Hight</v>
      </c>
      <c r="M156" t="str" cm="1">
        <f t="array" ref="M156">_xlfn.IFS(I156&lt;12,"Low-Term",I156&gt;=36,"Long-Term",TRUE,"Medium-Term")</f>
        <v>Long-Term</v>
      </c>
      <c r="N156" t="str" cm="1">
        <f t="array" ref="N156">_xlfn.IFS(A156="Bad", "Review Required", AND(A156="Good",J156&gt;7000),"VIP Client", AND(A156="Good", J156&lt;=7000),"Standart Client")</f>
        <v>Review Required</v>
      </c>
      <c r="O156" s="11">
        <v>6999</v>
      </c>
    </row>
    <row r="157" spans="1:15" x14ac:dyDescent="0.3">
      <c r="A157" t="s">
        <v>41</v>
      </c>
      <c r="B157" t="s">
        <v>77</v>
      </c>
      <c r="C157" t="s">
        <v>89</v>
      </c>
      <c r="D157" t="s">
        <v>99</v>
      </c>
      <c r="E157" t="s">
        <v>122</v>
      </c>
      <c r="F157" t="s">
        <v>123</v>
      </c>
      <c r="G157" t="s">
        <v>114</v>
      </c>
      <c r="H157" t="s">
        <v>120</v>
      </c>
      <c r="I157">
        <v>12</v>
      </c>
      <c r="J157" s="11">
        <v>1331</v>
      </c>
      <c r="K157">
        <v>22</v>
      </c>
      <c r="L157" t="str" cm="1">
        <f t="array" ref="L157">_xlfn.IFS(J157&gt;5000,"Hight",J157&gt;2000,"Medium",TRUE,"Low")</f>
        <v>Low</v>
      </c>
      <c r="M157" t="str" cm="1">
        <f t="array" ref="M157">_xlfn.IFS(I157&lt;12,"Low-Term",I157&gt;=36,"Long-Term",TRUE,"Medium-Term")</f>
        <v>Medium-Term</v>
      </c>
      <c r="N157" t="str" cm="1">
        <f t="array" ref="N157">_xlfn.IFS(A157="Bad", "Review Required", AND(A157="Good",J157&gt;7000),"VIP Client", AND(A157="Good", J157&lt;=7000),"Standart Client")</f>
        <v>Review Required</v>
      </c>
      <c r="O157" s="11">
        <v>1331</v>
      </c>
    </row>
    <row r="158" spans="1:15" x14ac:dyDescent="0.3">
      <c r="A158" t="s">
        <v>41</v>
      </c>
      <c r="B158" t="s">
        <v>77</v>
      </c>
      <c r="C158" t="s">
        <v>86</v>
      </c>
      <c r="D158" t="s">
        <v>100</v>
      </c>
      <c r="E158" t="s">
        <v>124</v>
      </c>
      <c r="F158" t="s">
        <v>125</v>
      </c>
      <c r="G158" t="s">
        <v>114</v>
      </c>
      <c r="H158" t="s">
        <v>120</v>
      </c>
      <c r="I158">
        <v>18</v>
      </c>
      <c r="J158" s="11">
        <v>2278</v>
      </c>
      <c r="K158">
        <v>28</v>
      </c>
      <c r="L158" t="str" cm="1">
        <f t="array" ref="L158">_xlfn.IFS(J158&gt;5000,"Hight",J158&gt;2000,"Medium",TRUE,"Low")</f>
        <v>Medium</v>
      </c>
      <c r="M158" t="str" cm="1">
        <f t="array" ref="M158">_xlfn.IFS(I158&lt;12,"Low-Term",I158&gt;=36,"Long-Term",TRUE,"Medium-Term")</f>
        <v>Medium-Term</v>
      </c>
      <c r="N158" t="str" cm="1">
        <f t="array" ref="N158">_xlfn.IFS(A158="Bad", "Review Required", AND(A158="Good",J158&gt;7000),"VIP Client", AND(A158="Good", J158&lt;=7000),"Standart Client")</f>
        <v>Review Required</v>
      </c>
      <c r="O158" s="11">
        <v>2278</v>
      </c>
    </row>
    <row r="159" spans="1:15" x14ac:dyDescent="0.3">
      <c r="A159" t="s">
        <v>41</v>
      </c>
      <c r="B159" t="s">
        <v>78</v>
      </c>
      <c r="C159" t="s">
        <v>86</v>
      </c>
      <c r="D159" t="s">
        <v>78</v>
      </c>
      <c r="E159" t="s">
        <v>124</v>
      </c>
      <c r="F159" t="s">
        <v>125</v>
      </c>
      <c r="G159" t="s">
        <v>114</v>
      </c>
      <c r="H159" t="s">
        <v>120</v>
      </c>
      <c r="I159">
        <v>21</v>
      </c>
      <c r="J159" s="11">
        <v>5003</v>
      </c>
      <c r="K159">
        <v>29</v>
      </c>
      <c r="L159" t="str" cm="1">
        <f t="array" ref="L159">_xlfn.IFS(J159&gt;5000,"Hight",J159&gt;2000,"Medium",TRUE,"Low")</f>
        <v>Hight</v>
      </c>
      <c r="M159" t="str" cm="1">
        <f t="array" ref="M159">_xlfn.IFS(I159&lt;12,"Low-Term",I159&gt;=36,"Long-Term",TRUE,"Medium-Term")</f>
        <v>Medium-Term</v>
      </c>
      <c r="N159" t="str" cm="1">
        <f t="array" ref="N159">_xlfn.IFS(A159="Bad", "Review Required", AND(A159="Good",J159&gt;7000),"VIP Client", AND(A159="Good", J159&lt;=7000),"Standart Client")</f>
        <v>Review Required</v>
      </c>
      <c r="O159" s="11">
        <v>5003</v>
      </c>
    </row>
    <row r="160" spans="1:15" x14ac:dyDescent="0.3">
      <c r="A160" t="s">
        <v>41</v>
      </c>
      <c r="B160" t="s">
        <v>80</v>
      </c>
      <c r="C160" t="s">
        <v>88</v>
      </c>
      <c r="D160" t="s">
        <v>99</v>
      </c>
      <c r="E160" t="s">
        <v>122</v>
      </c>
      <c r="F160" t="s">
        <v>123</v>
      </c>
      <c r="G160" t="s">
        <v>114</v>
      </c>
      <c r="H160" t="s">
        <v>120</v>
      </c>
      <c r="I160">
        <v>24</v>
      </c>
      <c r="J160" s="11">
        <v>3552</v>
      </c>
      <c r="K160">
        <v>27</v>
      </c>
      <c r="L160" t="str" cm="1">
        <f t="array" ref="L160">_xlfn.IFS(J160&gt;5000,"Hight",J160&gt;2000,"Medium",TRUE,"Low")</f>
        <v>Medium</v>
      </c>
      <c r="M160" t="str" cm="1">
        <f t="array" ref="M160">_xlfn.IFS(I160&lt;12,"Low-Term",I160&gt;=36,"Long-Term",TRUE,"Medium-Term")</f>
        <v>Medium-Term</v>
      </c>
      <c r="N160" t="str" cm="1">
        <f t="array" ref="N160">_xlfn.IFS(A160="Bad", "Review Required", AND(A160="Good",J160&gt;7000),"VIP Client", AND(A160="Good", J160&lt;=7000),"Standart Client")</f>
        <v>Review Required</v>
      </c>
      <c r="O160" s="11">
        <v>3552</v>
      </c>
    </row>
    <row r="161" spans="1:15" x14ac:dyDescent="0.3">
      <c r="A161" t="s">
        <v>41</v>
      </c>
      <c r="B161" t="s">
        <v>77</v>
      </c>
      <c r="C161" t="s">
        <v>88</v>
      </c>
      <c r="D161" t="s">
        <v>99</v>
      </c>
      <c r="E161" t="s">
        <v>122</v>
      </c>
      <c r="F161" t="s">
        <v>123</v>
      </c>
      <c r="G161" t="s">
        <v>113</v>
      </c>
      <c r="H161" t="s">
        <v>120</v>
      </c>
      <c r="I161">
        <v>18</v>
      </c>
      <c r="J161" s="11">
        <v>1928</v>
      </c>
      <c r="K161">
        <v>31</v>
      </c>
      <c r="L161" t="str" cm="1">
        <f t="array" ref="L161">_xlfn.IFS(J161&gt;5000,"Hight",J161&gt;2000,"Medium",TRUE,"Low")</f>
        <v>Low</v>
      </c>
      <c r="M161" t="str" cm="1">
        <f t="array" ref="M161">_xlfn.IFS(I161&lt;12,"Low-Term",I161&gt;=36,"Long-Term",TRUE,"Medium-Term")</f>
        <v>Medium-Term</v>
      </c>
      <c r="N161" t="str" cm="1">
        <f t="array" ref="N161">_xlfn.IFS(A161="Bad", "Review Required", AND(A161="Good",J161&gt;7000),"VIP Client", AND(A161="Good", J161&lt;=7000),"Standart Client")</f>
        <v>Review Required</v>
      </c>
      <c r="O161" s="11">
        <v>1928</v>
      </c>
    </row>
    <row r="162" spans="1:15" x14ac:dyDescent="0.3">
      <c r="A162" t="s">
        <v>41</v>
      </c>
      <c r="B162" t="s">
        <v>80</v>
      </c>
      <c r="C162" t="s">
        <v>89</v>
      </c>
      <c r="D162" t="s">
        <v>99</v>
      </c>
      <c r="E162" t="s">
        <v>122</v>
      </c>
      <c r="F162" t="s">
        <v>123</v>
      </c>
      <c r="G162" t="s">
        <v>113</v>
      </c>
      <c r="H162" t="s">
        <v>119</v>
      </c>
      <c r="I162">
        <v>24</v>
      </c>
      <c r="J162" s="11">
        <v>1546</v>
      </c>
      <c r="K162">
        <v>24</v>
      </c>
      <c r="L162" t="str" cm="1">
        <f t="array" ref="L162">_xlfn.IFS(J162&gt;5000,"Hight",J162&gt;2000,"Medium",TRUE,"Low")</f>
        <v>Low</v>
      </c>
      <c r="M162" t="str" cm="1">
        <f t="array" ref="M162">_xlfn.IFS(I162&lt;12,"Low-Term",I162&gt;=36,"Long-Term",TRUE,"Medium-Term")</f>
        <v>Medium-Term</v>
      </c>
      <c r="N162" t="str" cm="1">
        <f t="array" ref="N162">_xlfn.IFS(A162="Bad", "Review Required", AND(A162="Good",J162&gt;7000),"VIP Client", AND(A162="Good", J162&lt;=7000),"Standart Client")</f>
        <v>Review Required</v>
      </c>
      <c r="O162" s="11">
        <v>1546</v>
      </c>
    </row>
    <row r="163" spans="1:15" x14ac:dyDescent="0.3">
      <c r="A163" t="s">
        <v>41</v>
      </c>
      <c r="B163" t="s">
        <v>77</v>
      </c>
      <c r="C163" t="s">
        <v>86</v>
      </c>
      <c r="D163" t="s">
        <v>78</v>
      </c>
      <c r="E163" t="s">
        <v>122</v>
      </c>
      <c r="F163" t="s">
        <v>123</v>
      </c>
      <c r="G163" t="s">
        <v>114</v>
      </c>
      <c r="H163" t="s">
        <v>121</v>
      </c>
      <c r="I163">
        <v>36</v>
      </c>
      <c r="J163" s="11">
        <v>12389</v>
      </c>
      <c r="K163">
        <v>37</v>
      </c>
      <c r="L163" t="str" cm="1">
        <f t="array" ref="L163">_xlfn.IFS(J163&gt;5000,"Hight",J163&gt;2000,"Medium",TRUE,"Low")</f>
        <v>Hight</v>
      </c>
      <c r="M163" t="str" cm="1">
        <f t="array" ref="M163">_xlfn.IFS(I163&lt;12,"Low-Term",I163&gt;=36,"Long-Term",TRUE,"Medium-Term")</f>
        <v>Long-Term</v>
      </c>
      <c r="N163" t="str" cm="1">
        <f t="array" ref="N163">_xlfn.IFS(A163="Bad", "Review Required", AND(A163="Good",J163&gt;7000),"VIP Client", AND(A163="Good", J163&lt;=7000),"Standart Client")</f>
        <v>Review Required</v>
      </c>
      <c r="O163" s="11">
        <v>12389</v>
      </c>
    </row>
    <row r="164" spans="1:15" x14ac:dyDescent="0.3">
      <c r="A164" t="s">
        <v>41</v>
      </c>
      <c r="B164" t="s">
        <v>80</v>
      </c>
      <c r="C164" t="s">
        <v>86</v>
      </c>
      <c r="D164" t="s">
        <v>99</v>
      </c>
      <c r="E164" t="s">
        <v>122</v>
      </c>
      <c r="F164" t="s">
        <v>126</v>
      </c>
      <c r="G164" t="s">
        <v>114</v>
      </c>
      <c r="H164" t="s">
        <v>120</v>
      </c>
      <c r="I164">
        <v>12</v>
      </c>
      <c r="J164" s="11">
        <v>1372</v>
      </c>
      <c r="K164">
        <v>36</v>
      </c>
      <c r="L164" t="str" cm="1">
        <f t="array" ref="L164">_xlfn.IFS(J164&gt;5000,"Hight",J164&gt;2000,"Medium",TRUE,"Low")</f>
        <v>Low</v>
      </c>
      <c r="M164" t="str" cm="1">
        <f t="array" ref="M164">_xlfn.IFS(I164&lt;12,"Low-Term",I164&gt;=36,"Long-Term",TRUE,"Medium-Term")</f>
        <v>Medium-Term</v>
      </c>
      <c r="N164" t="str" cm="1">
        <f t="array" ref="N164">_xlfn.IFS(A164="Bad", "Review Required", AND(A164="Good",J164&gt;7000),"VIP Client", AND(A164="Good", J164&lt;=7000),"Standart Client")</f>
        <v>Review Required</v>
      </c>
      <c r="O164" s="11">
        <v>1372</v>
      </c>
    </row>
    <row r="165" spans="1:15" x14ac:dyDescent="0.3">
      <c r="A165" t="s">
        <v>41</v>
      </c>
      <c r="B165" t="s">
        <v>80</v>
      </c>
      <c r="C165" t="s">
        <v>89</v>
      </c>
      <c r="D165" t="s">
        <v>99</v>
      </c>
      <c r="E165" t="s">
        <v>124</v>
      </c>
      <c r="F165" t="s">
        <v>125</v>
      </c>
      <c r="G165" t="s">
        <v>114</v>
      </c>
      <c r="H165" t="s">
        <v>120</v>
      </c>
      <c r="I165">
        <v>48</v>
      </c>
      <c r="J165" s="11">
        <v>6758</v>
      </c>
      <c r="K165">
        <v>31</v>
      </c>
      <c r="L165" t="str" cm="1">
        <f t="array" ref="L165">_xlfn.IFS(J165&gt;5000,"Hight",J165&gt;2000,"Medium",TRUE,"Low")</f>
        <v>Hight</v>
      </c>
      <c r="M165" t="str" cm="1">
        <f t="array" ref="M165">_xlfn.IFS(I165&lt;12,"Low-Term",I165&gt;=36,"Long-Term",TRUE,"Medium-Term")</f>
        <v>Long-Term</v>
      </c>
      <c r="N165" t="str" cm="1">
        <f t="array" ref="N165">_xlfn.IFS(A165="Bad", "Review Required", AND(A165="Good",J165&gt;7000),"VIP Client", AND(A165="Good", J165&lt;=7000),"Standart Client")</f>
        <v>Review Required</v>
      </c>
      <c r="O165" s="11">
        <v>6758</v>
      </c>
    </row>
    <row r="166" spans="1:15" x14ac:dyDescent="0.3">
      <c r="A166" t="s">
        <v>41</v>
      </c>
      <c r="B166" t="s">
        <v>80</v>
      </c>
      <c r="C166" t="s">
        <v>88</v>
      </c>
      <c r="D166" t="s">
        <v>99</v>
      </c>
      <c r="E166" t="s">
        <v>124</v>
      </c>
      <c r="F166" t="s">
        <v>125</v>
      </c>
      <c r="G166" t="s">
        <v>113</v>
      </c>
      <c r="H166" t="s">
        <v>119</v>
      </c>
      <c r="I166">
        <v>24</v>
      </c>
      <c r="J166" s="11">
        <v>3234</v>
      </c>
      <c r="K166">
        <v>23</v>
      </c>
      <c r="L166" t="str" cm="1">
        <f t="array" ref="L166">_xlfn.IFS(J166&gt;5000,"Hight",J166&gt;2000,"Medium",TRUE,"Low")</f>
        <v>Medium</v>
      </c>
      <c r="M166" t="str" cm="1">
        <f t="array" ref="M166">_xlfn.IFS(I166&lt;12,"Low-Term",I166&gt;=36,"Long-Term",TRUE,"Medium-Term")</f>
        <v>Medium-Term</v>
      </c>
      <c r="N166" t="str" cm="1">
        <f t="array" ref="N166">_xlfn.IFS(A166="Bad", "Review Required", AND(A166="Good",J166&gt;7000),"VIP Client", AND(A166="Good", J166&lt;=7000),"Standart Client")</f>
        <v>Review Required</v>
      </c>
      <c r="O166" s="11">
        <v>3234</v>
      </c>
    </row>
    <row r="167" spans="1:15" x14ac:dyDescent="0.3">
      <c r="A167" t="s">
        <v>41</v>
      </c>
      <c r="B167" t="s">
        <v>77</v>
      </c>
      <c r="C167" t="s">
        <v>86</v>
      </c>
      <c r="D167" t="s">
        <v>99</v>
      </c>
      <c r="E167" t="s">
        <v>122</v>
      </c>
      <c r="F167" t="s">
        <v>126</v>
      </c>
      <c r="G167" t="s">
        <v>114</v>
      </c>
      <c r="H167" t="s">
        <v>120</v>
      </c>
      <c r="I167">
        <v>36</v>
      </c>
      <c r="J167" s="11">
        <v>2820</v>
      </c>
      <c r="K167">
        <v>27</v>
      </c>
      <c r="L167" t="str" cm="1">
        <f t="array" ref="L167">_xlfn.IFS(J167&gt;5000,"Hight",J167&gt;2000,"Medium",TRUE,"Low")</f>
        <v>Medium</v>
      </c>
      <c r="M167" t="str" cm="1">
        <f t="array" ref="M167">_xlfn.IFS(I167&lt;12,"Low-Term",I167&gt;=36,"Long-Term",TRUE,"Medium-Term")</f>
        <v>Long-Term</v>
      </c>
      <c r="N167" t="str" cm="1">
        <f t="array" ref="N167">_xlfn.IFS(A167="Bad", "Review Required", AND(A167="Good",J167&gt;7000),"VIP Client", AND(A167="Good", J167&lt;=7000),"Standart Client")</f>
        <v>Review Required</v>
      </c>
      <c r="O167" s="11">
        <v>2820</v>
      </c>
    </row>
    <row r="168" spans="1:15" x14ac:dyDescent="0.3">
      <c r="A168" t="s">
        <v>41</v>
      </c>
      <c r="B168" t="s">
        <v>77</v>
      </c>
      <c r="C168" t="s">
        <v>86</v>
      </c>
      <c r="D168" t="s">
        <v>99</v>
      </c>
      <c r="E168" t="s">
        <v>122</v>
      </c>
      <c r="F168" t="s">
        <v>123</v>
      </c>
      <c r="G168" t="s">
        <v>114</v>
      </c>
      <c r="H168" t="s">
        <v>120</v>
      </c>
      <c r="I168">
        <v>18</v>
      </c>
      <c r="J168" s="11">
        <v>1056</v>
      </c>
      <c r="K168">
        <v>30</v>
      </c>
      <c r="L168" t="str" cm="1">
        <f t="array" ref="L168">_xlfn.IFS(J168&gt;5000,"Hight",J168&gt;2000,"Medium",TRUE,"Low")</f>
        <v>Low</v>
      </c>
      <c r="M168" t="str" cm="1">
        <f t="array" ref="M168">_xlfn.IFS(I168&lt;12,"Low-Term",I168&gt;=36,"Long-Term",TRUE,"Medium-Term")</f>
        <v>Medium-Term</v>
      </c>
      <c r="N168" t="str" cm="1">
        <f t="array" ref="N168">_xlfn.IFS(A168="Bad", "Review Required", AND(A168="Good",J168&gt;7000),"VIP Client", AND(A168="Good", J168&lt;=7000),"Standart Client")</f>
        <v>Review Required</v>
      </c>
      <c r="O168" s="11">
        <v>1056</v>
      </c>
    </row>
    <row r="169" spans="1:15" x14ac:dyDescent="0.3">
      <c r="A169" t="s">
        <v>41</v>
      </c>
      <c r="B169" t="s">
        <v>77</v>
      </c>
      <c r="C169" t="s">
        <v>91</v>
      </c>
      <c r="D169" t="s">
        <v>99</v>
      </c>
      <c r="E169" t="s">
        <v>122</v>
      </c>
      <c r="F169" t="s">
        <v>123</v>
      </c>
      <c r="G169" t="s">
        <v>113</v>
      </c>
      <c r="H169" t="s">
        <v>119</v>
      </c>
      <c r="I169">
        <v>36</v>
      </c>
      <c r="J169" s="11">
        <v>2384</v>
      </c>
      <c r="K169">
        <v>33</v>
      </c>
      <c r="L169" t="str" cm="1">
        <f t="array" ref="L169">_xlfn.IFS(J169&gt;5000,"Hight",J169&gt;2000,"Medium",TRUE,"Low")</f>
        <v>Medium</v>
      </c>
      <c r="M169" t="str" cm="1">
        <f t="array" ref="M169">_xlfn.IFS(I169&lt;12,"Low-Term",I169&gt;=36,"Long-Term",TRUE,"Medium-Term")</f>
        <v>Long-Term</v>
      </c>
      <c r="N169" t="str" cm="1">
        <f t="array" ref="N169">_xlfn.IFS(A169="Bad", "Review Required", AND(A169="Good",J169&gt;7000),"VIP Client", AND(A169="Good", J169&lt;=7000),"Standart Client")</f>
        <v>Review Required</v>
      </c>
      <c r="O169" s="11">
        <v>2384</v>
      </c>
    </row>
    <row r="170" spans="1:15" x14ac:dyDescent="0.3">
      <c r="A170" t="s">
        <v>41</v>
      </c>
      <c r="B170" t="s">
        <v>80</v>
      </c>
      <c r="C170" t="s">
        <v>88</v>
      </c>
      <c r="D170" t="s">
        <v>99</v>
      </c>
      <c r="E170" t="s">
        <v>124</v>
      </c>
      <c r="F170" t="s">
        <v>125</v>
      </c>
      <c r="G170" t="s">
        <v>114</v>
      </c>
      <c r="H170" t="s">
        <v>119</v>
      </c>
      <c r="I170">
        <v>18</v>
      </c>
      <c r="J170" s="11">
        <v>2039</v>
      </c>
      <c r="K170">
        <v>20</v>
      </c>
      <c r="L170" t="str" cm="1">
        <f t="array" ref="L170">_xlfn.IFS(J170&gt;5000,"Hight",J170&gt;2000,"Medium",TRUE,"Low")</f>
        <v>Medium</v>
      </c>
      <c r="M170" t="str" cm="1">
        <f t="array" ref="M170">_xlfn.IFS(I170&lt;12,"Low-Term",I170&gt;=36,"Long-Term",TRUE,"Medium-Term")</f>
        <v>Medium-Term</v>
      </c>
      <c r="N170" t="str" cm="1">
        <f t="array" ref="N170">_xlfn.IFS(A170="Bad", "Review Required", AND(A170="Good",J170&gt;7000),"VIP Client", AND(A170="Good", J170&lt;=7000),"Standart Client")</f>
        <v>Review Required</v>
      </c>
      <c r="O170" s="11">
        <v>2039</v>
      </c>
    </row>
    <row r="171" spans="1:15" x14ac:dyDescent="0.3">
      <c r="A171" t="s">
        <v>41</v>
      </c>
      <c r="B171" t="s">
        <v>80</v>
      </c>
      <c r="C171" t="s">
        <v>90</v>
      </c>
      <c r="D171" t="s">
        <v>99</v>
      </c>
      <c r="E171" t="s">
        <v>122</v>
      </c>
      <c r="F171" t="s">
        <v>127</v>
      </c>
      <c r="G171" t="s">
        <v>113</v>
      </c>
      <c r="H171" t="s">
        <v>120</v>
      </c>
      <c r="I171">
        <v>18</v>
      </c>
      <c r="J171" s="11">
        <v>1217</v>
      </c>
      <c r="K171">
        <v>47</v>
      </c>
      <c r="L171" t="str" cm="1">
        <f t="array" ref="L171">_xlfn.IFS(J171&gt;5000,"Hight",J171&gt;2000,"Medium",TRUE,"Low")</f>
        <v>Low</v>
      </c>
      <c r="M171" t="str" cm="1">
        <f t="array" ref="M171">_xlfn.IFS(I171&lt;12,"Low-Term",I171&gt;=36,"Long-Term",TRUE,"Medium-Term")</f>
        <v>Medium-Term</v>
      </c>
      <c r="N171" t="str" cm="1">
        <f t="array" ref="N171">_xlfn.IFS(A171="Bad", "Review Required", AND(A171="Good",J171&gt;7000),"VIP Client", AND(A171="Good", J171&lt;=7000),"Standart Client")</f>
        <v>Review Required</v>
      </c>
      <c r="O171" s="11">
        <v>1217</v>
      </c>
    </row>
    <row r="172" spans="1:15" x14ac:dyDescent="0.3">
      <c r="A172" t="s">
        <v>41</v>
      </c>
      <c r="B172" t="s">
        <v>80</v>
      </c>
      <c r="C172" t="s">
        <v>88</v>
      </c>
      <c r="D172" t="s">
        <v>99</v>
      </c>
      <c r="E172" t="s">
        <v>122</v>
      </c>
      <c r="F172" t="s">
        <v>123</v>
      </c>
      <c r="G172" t="s">
        <v>114</v>
      </c>
      <c r="H172" t="s">
        <v>120</v>
      </c>
      <c r="I172">
        <v>12</v>
      </c>
      <c r="J172" s="11">
        <v>2246</v>
      </c>
      <c r="K172">
        <v>60</v>
      </c>
      <c r="L172" t="str" cm="1">
        <f t="array" ref="L172">_xlfn.IFS(J172&gt;5000,"Hight",J172&gt;2000,"Medium",TRUE,"Low")</f>
        <v>Medium</v>
      </c>
      <c r="M172" t="str" cm="1">
        <f t="array" ref="M172">_xlfn.IFS(I172&lt;12,"Low-Term",I172&gt;=36,"Long-Term",TRUE,"Medium-Term")</f>
        <v>Medium-Term</v>
      </c>
      <c r="N172" t="str" cm="1">
        <f t="array" ref="N172">_xlfn.IFS(A172="Bad", "Review Required", AND(A172="Good",J172&gt;7000),"VIP Client", AND(A172="Good", J172&lt;=7000),"Standart Client")</f>
        <v>Review Required</v>
      </c>
      <c r="O172" s="11">
        <v>2246</v>
      </c>
    </row>
    <row r="173" spans="1:15" x14ac:dyDescent="0.3">
      <c r="A173" t="s">
        <v>41</v>
      </c>
      <c r="B173" t="s">
        <v>77</v>
      </c>
      <c r="C173" t="s">
        <v>86</v>
      </c>
      <c r="D173" t="s">
        <v>99</v>
      </c>
      <c r="E173" t="s">
        <v>124</v>
      </c>
      <c r="F173" t="s">
        <v>125</v>
      </c>
      <c r="G173" t="s">
        <v>113</v>
      </c>
      <c r="H173" t="s">
        <v>119</v>
      </c>
      <c r="I173">
        <v>24</v>
      </c>
      <c r="J173" s="11">
        <v>2718</v>
      </c>
      <c r="K173">
        <v>20</v>
      </c>
      <c r="L173" t="str" cm="1">
        <f t="array" ref="L173">_xlfn.IFS(J173&gt;5000,"Hight",J173&gt;2000,"Medium",TRUE,"Low")</f>
        <v>Medium</v>
      </c>
      <c r="M173" t="str" cm="1">
        <f t="array" ref="M173">_xlfn.IFS(I173&lt;12,"Low-Term",I173&gt;=36,"Long-Term",TRUE,"Medium-Term")</f>
        <v>Medium-Term</v>
      </c>
      <c r="N173" t="str" cm="1">
        <f t="array" ref="N173">_xlfn.IFS(A173="Bad", "Review Required", AND(A173="Good",J173&gt;7000),"VIP Client", AND(A173="Good", J173&lt;=7000),"Standart Client")</f>
        <v>Review Required</v>
      </c>
      <c r="O173" s="11">
        <v>2718</v>
      </c>
    </row>
    <row r="174" spans="1:15" x14ac:dyDescent="0.3">
      <c r="A174" t="s">
        <v>41</v>
      </c>
      <c r="B174" t="s">
        <v>80</v>
      </c>
      <c r="C174" t="s">
        <v>95</v>
      </c>
      <c r="D174" t="s">
        <v>78</v>
      </c>
      <c r="E174" t="s">
        <v>122</v>
      </c>
      <c r="F174" t="s">
        <v>123</v>
      </c>
      <c r="G174" t="s">
        <v>115</v>
      </c>
      <c r="H174" t="s">
        <v>120</v>
      </c>
      <c r="I174">
        <v>24</v>
      </c>
      <c r="J174" s="11">
        <v>1358</v>
      </c>
      <c r="K174">
        <v>40</v>
      </c>
      <c r="L174" t="str" cm="1">
        <f t="array" ref="L174">_xlfn.IFS(J174&gt;5000,"Hight",J174&gt;2000,"Medium",TRUE,"Low")</f>
        <v>Low</v>
      </c>
      <c r="M174" t="str" cm="1">
        <f t="array" ref="M174">_xlfn.IFS(I174&lt;12,"Low-Term",I174&gt;=36,"Long-Term",TRUE,"Medium-Term")</f>
        <v>Medium-Term</v>
      </c>
      <c r="N174" t="str" cm="1">
        <f t="array" ref="N174">_xlfn.IFS(A174="Bad", "Review Required", AND(A174="Good",J174&gt;7000),"VIP Client", AND(A174="Good", J174&lt;=7000),"Standart Client")</f>
        <v>Review Required</v>
      </c>
      <c r="O174" s="11">
        <v>1358</v>
      </c>
    </row>
    <row r="175" spans="1:15" x14ac:dyDescent="0.3">
      <c r="A175" t="s">
        <v>41</v>
      </c>
      <c r="B175" t="s">
        <v>77</v>
      </c>
      <c r="C175" t="s">
        <v>86</v>
      </c>
      <c r="D175" t="s">
        <v>100</v>
      </c>
      <c r="E175" t="s">
        <v>124</v>
      </c>
      <c r="F175" t="s">
        <v>125</v>
      </c>
      <c r="G175" t="s">
        <v>113</v>
      </c>
      <c r="H175" t="s">
        <v>120</v>
      </c>
      <c r="I175">
        <v>6</v>
      </c>
      <c r="J175" s="11">
        <v>931</v>
      </c>
      <c r="K175">
        <v>32</v>
      </c>
      <c r="L175" t="str" cm="1">
        <f t="array" ref="L175">_xlfn.IFS(J175&gt;5000,"Hight",J175&gt;2000,"Medium",TRUE,"Low")</f>
        <v>Low</v>
      </c>
      <c r="M175" t="str" cm="1">
        <f t="array" ref="M175">_xlfn.IFS(I175&lt;12,"Low-Term",I175&gt;=36,"Long-Term",TRUE,"Medium-Term")</f>
        <v>Low-Term</v>
      </c>
      <c r="N175" t="str" cm="1">
        <f t="array" ref="N175">_xlfn.IFS(A175="Bad", "Review Required", AND(A175="Good",J175&gt;7000),"VIP Client", AND(A175="Good", J175&lt;=7000),"Standart Client")</f>
        <v>Review Required</v>
      </c>
      <c r="O175" s="11">
        <v>931</v>
      </c>
    </row>
    <row r="176" spans="1:15" x14ac:dyDescent="0.3">
      <c r="A176" t="s">
        <v>41</v>
      </c>
      <c r="B176" t="s">
        <v>80</v>
      </c>
      <c r="C176" t="s">
        <v>86</v>
      </c>
      <c r="D176" t="s">
        <v>99</v>
      </c>
      <c r="E176" t="s">
        <v>124</v>
      </c>
      <c r="F176" t="s">
        <v>125</v>
      </c>
      <c r="G176" t="s">
        <v>114</v>
      </c>
      <c r="H176" t="s">
        <v>119</v>
      </c>
      <c r="I176">
        <v>24</v>
      </c>
      <c r="J176" s="11">
        <v>1442</v>
      </c>
      <c r="K176">
        <v>23</v>
      </c>
      <c r="L176" t="str" cm="1">
        <f t="array" ref="L176">_xlfn.IFS(J176&gt;5000,"Hight",J176&gt;2000,"Medium",TRUE,"Low")</f>
        <v>Low</v>
      </c>
      <c r="M176" t="str" cm="1">
        <f t="array" ref="M176">_xlfn.IFS(I176&lt;12,"Low-Term",I176&gt;=36,"Long-Term",TRUE,"Medium-Term")</f>
        <v>Medium-Term</v>
      </c>
      <c r="N176" t="str" cm="1">
        <f t="array" ref="N176">_xlfn.IFS(A176="Bad", "Review Required", AND(A176="Good",J176&gt;7000),"VIP Client", AND(A176="Good", J176&lt;=7000),"Standart Client")</f>
        <v>Review Required</v>
      </c>
      <c r="O176" s="11">
        <v>1442</v>
      </c>
    </row>
    <row r="177" spans="1:15" x14ac:dyDescent="0.3">
      <c r="A177" t="s">
        <v>41</v>
      </c>
      <c r="B177" t="s">
        <v>77</v>
      </c>
      <c r="C177" t="s">
        <v>94</v>
      </c>
      <c r="D177" t="s">
        <v>99</v>
      </c>
      <c r="E177" t="s">
        <v>122</v>
      </c>
      <c r="F177" t="s">
        <v>123</v>
      </c>
      <c r="G177" t="s">
        <v>113</v>
      </c>
      <c r="H177" t="s">
        <v>120</v>
      </c>
      <c r="I177">
        <v>24</v>
      </c>
      <c r="J177" s="11">
        <v>4241</v>
      </c>
      <c r="K177">
        <v>36</v>
      </c>
      <c r="L177" t="str" cm="1">
        <f t="array" ref="L177">_xlfn.IFS(J177&gt;5000,"Hight",J177&gt;2000,"Medium",TRUE,"Low")</f>
        <v>Medium</v>
      </c>
      <c r="M177" t="str" cm="1">
        <f t="array" ref="M177">_xlfn.IFS(I177&lt;12,"Low-Term",I177&gt;=36,"Long-Term",TRUE,"Medium-Term")</f>
        <v>Medium-Term</v>
      </c>
      <c r="N177" t="str" cm="1">
        <f t="array" ref="N177">_xlfn.IFS(A177="Bad", "Review Required", AND(A177="Good",J177&gt;7000),"VIP Client", AND(A177="Good", J177&lt;=7000),"Standart Client")</f>
        <v>Review Required</v>
      </c>
      <c r="O177" s="11">
        <v>4241</v>
      </c>
    </row>
    <row r="178" spans="1:15" x14ac:dyDescent="0.3">
      <c r="A178" t="s">
        <v>41</v>
      </c>
      <c r="B178" t="s">
        <v>78</v>
      </c>
      <c r="C178" t="s">
        <v>86</v>
      </c>
      <c r="D178" t="s">
        <v>99</v>
      </c>
      <c r="E178" t="s">
        <v>122</v>
      </c>
      <c r="F178" t="s">
        <v>123</v>
      </c>
      <c r="G178" t="s">
        <v>114</v>
      </c>
      <c r="H178" t="s">
        <v>120</v>
      </c>
      <c r="I178">
        <v>18</v>
      </c>
      <c r="J178" s="11">
        <v>2775</v>
      </c>
      <c r="K178">
        <v>31</v>
      </c>
      <c r="L178" t="str" cm="1">
        <f t="array" ref="L178">_xlfn.IFS(J178&gt;5000,"Hight",J178&gt;2000,"Medium",TRUE,"Low")</f>
        <v>Medium</v>
      </c>
      <c r="M178" t="str" cm="1">
        <f t="array" ref="M178">_xlfn.IFS(I178&lt;12,"Low-Term",I178&gt;=36,"Long-Term",TRUE,"Medium-Term")</f>
        <v>Medium-Term</v>
      </c>
      <c r="N178" t="str" cm="1">
        <f t="array" ref="N178">_xlfn.IFS(A178="Bad", "Review Required", AND(A178="Good",J178&gt;7000),"VIP Client", AND(A178="Good", J178&lt;=7000),"Standart Client")</f>
        <v>Review Required</v>
      </c>
      <c r="O178" s="11">
        <v>2775</v>
      </c>
    </row>
    <row r="179" spans="1:15" x14ac:dyDescent="0.3">
      <c r="A179" t="s">
        <v>41</v>
      </c>
      <c r="B179" t="s">
        <v>77</v>
      </c>
      <c r="C179" t="s">
        <v>88</v>
      </c>
      <c r="D179" t="s">
        <v>99</v>
      </c>
      <c r="E179" t="s">
        <v>124</v>
      </c>
      <c r="F179" t="s">
        <v>125</v>
      </c>
      <c r="G179" t="s">
        <v>114</v>
      </c>
      <c r="H179" t="s">
        <v>120</v>
      </c>
      <c r="I179">
        <v>9</v>
      </c>
      <c r="J179" s="11">
        <v>918</v>
      </c>
      <c r="K179">
        <v>30</v>
      </c>
      <c r="L179" t="str" cm="1">
        <f t="array" ref="L179">_xlfn.IFS(J179&gt;5000,"Hight",J179&gt;2000,"Medium",TRUE,"Low")</f>
        <v>Low</v>
      </c>
      <c r="M179" t="str" cm="1">
        <f t="array" ref="M179">_xlfn.IFS(I179&lt;12,"Low-Term",I179&gt;=36,"Long-Term",TRUE,"Medium-Term")</f>
        <v>Low-Term</v>
      </c>
      <c r="N179" t="str" cm="1">
        <f t="array" ref="N179">_xlfn.IFS(A179="Bad", "Review Required", AND(A179="Good",J179&gt;7000),"VIP Client", AND(A179="Good", J179&lt;=7000),"Standart Client")</f>
        <v>Review Required</v>
      </c>
      <c r="O179" s="11">
        <v>918</v>
      </c>
    </row>
    <row r="180" spans="1:15" x14ac:dyDescent="0.3">
      <c r="A180" t="s">
        <v>41</v>
      </c>
      <c r="B180" t="s">
        <v>77</v>
      </c>
      <c r="C180" t="s">
        <v>92</v>
      </c>
      <c r="D180" t="s">
        <v>99</v>
      </c>
      <c r="E180" t="s">
        <v>124</v>
      </c>
      <c r="F180" t="s">
        <v>125</v>
      </c>
      <c r="G180" t="s">
        <v>113</v>
      </c>
      <c r="H180" t="s">
        <v>121</v>
      </c>
      <c r="I180">
        <v>24</v>
      </c>
      <c r="J180" s="11">
        <v>1837</v>
      </c>
      <c r="K180">
        <v>34</v>
      </c>
      <c r="L180" t="str" cm="1">
        <f t="array" ref="L180">_xlfn.IFS(J180&gt;5000,"Hight",J180&gt;2000,"Medium",TRUE,"Low")</f>
        <v>Low</v>
      </c>
      <c r="M180" t="str" cm="1">
        <f t="array" ref="M180">_xlfn.IFS(I180&lt;12,"Low-Term",I180&gt;=36,"Long-Term",TRUE,"Medium-Term")</f>
        <v>Medium-Term</v>
      </c>
      <c r="N180" t="str" cm="1">
        <f t="array" ref="N180">_xlfn.IFS(A180="Bad", "Review Required", AND(A180="Good",J180&gt;7000),"VIP Client", AND(A180="Good", J180&lt;=7000),"Standart Client")</f>
        <v>Review Required</v>
      </c>
      <c r="O180" s="11">
        <v>1837</v>
      </c>
    </row>
    <row r="181" spans="1:15" x14ac:dyDescent="0.3">
      <c r="A181" t="s">
        <v>41</v>
      </c>
      <c r="B181" t="s">
        <v>78</v>
      </c>
      <c r="C181" t="s">
        <v>88</v>
      </c>
      <c r="D181" t="s">
        <v>99</v>
      </c>
      <c r="E181" t="s">
        <v>124</v>
      </c>
      <c r="F181" t="s">
        <v>125</v>
      </c>
      <c r="G181" t="s">
        <v>115</v>
      </c>
      <c r="H181" t="s">
        <v>120</v>
      </c>
      <c r="I181">
        <v>36</v>
      </c>
      <c r="J181" s="11">
        <v>3349</v>
      </c>
      <c r="K181">
        <v>28</v>
      </c>
      <c r="L181" t="str" cm="1">
        <f t="array" ref="L181">_xlfn.IFS(J181&gt;5000,"Hight",J181&gt;2000,"Medium",TRUE,"Low")</f>
        <v>Medium</v>
      </c>
      <c r="M181" t="str" cm="1">
        <f t="array" ref="M181">_xlfn.IFS(I181&lt;12,"Low-Term",I181&gt;=36,"Long-Term",TRUE,"Medium-Term")</f>
        <v>Long-Term</v>
      </c>
      <c r="N181" t="str" cm="1">
        <f t="array" ref="N181">_xlfn.IFS(A181="Bad", "Review Required", AND(A181="Good",J181&gt;7000),"VIP Client", AND(A181="Good", J181&lt;=7000),"Standart Client")</f>
        <v>Review Required</v>
      </c>
      <c r="O181" s="11">
        <v>3349</v>
      </c>
    </row>
    <row r="182" spans="1:15" x14ac:dyDescent="0.3">
      <c r="A182" t="s">
        <v>41</v>
      </c>
      <c r="B182" t="s">
        <v>77</v>
      </c>
      <c r="C182" t="s">
        <v>89</v>
      </c>
      <c r="D182" t="s">
        <v>100</v>
      </c>
      <c r="E182" t="s">
        <v>124</v>
      </c>
      <c r="F182" t="s">
        <v>125</v>
      </c>
      <c r="G182" t="s">
        <v>114</v>
      </c>
      <c r="H182" t="s">
        <v>121</v>
      </c>
      <c r="I182">
        <v>36</v>
      </c>
      <c r="J182" s="11">
        <v>2671</v>
      </c>
      <c r="K182">
        <v>50</v>
      </c>
      <c r="L182" t="str" cm="1">
        <f t="array" ref="L182">_xlfn.IFS(J182&gt;5000,"Hight",J182&gt;2000,"Medium",TRUE,"Low")</f>
        <v>Medium</v>
      </c>
      <c r="M182" t="str" cm="1">
        <f t="array" ref="M182">_xlfn.IFS(I182&lt;12,"Low-Term",I182&gt;=36,"Long-Term",TRUE,"Medium-Term")</f>
        <v>Long-Term</v>
      </c>
      <c r="N182" t="str" cm="1">
        <f t="array" ref="N182">_xlfn.IFS(A182="Bad", "Review Required", AND(A182="Good",J182&gt;7000),"VIP Client", AND(A182="Good", J182&lt;=7000),"Standart Client")</f>
        <v>Review Required</v>
      </c>
      <c r="O182" s="11">
        <v>2671</v>
      </c>
    </row>
    <row r="183" spans="1:15" x14ac:dyDescent="0.3">
      <c r="A183" t="s">
        <v>41</v>
      </c>
      <c r="B183" t="s">
        <v>80</v>
      </c>
      <c r="C183" t="s">
        <v>90</v>
      </c>
      <c r="D183" t="s">
        <v>100</v>
      </c>
      <c r="E183" t="s">
        <v>124</v>
      </c>
      <c r="F183" t="s">
        <v>125</v>
      </c>
      <c r="G183" t="s">
        <v>114</v>
      </c>
      <c r="H183" t="s">
        <v>120</v>
      </c>
      <c r="I183">
        <v>12</v>
      </c>
      <c r="J183" s="11">
        <v>741</v>
      </c>
      <c r="K183">
        <v>22</v>
      </c>
      <c r="L183" t="str" cm="1">
        <f t="array" ref="L183">_xlfn.IFS(J183&gt;5000,"Hight",J183&gt;2000,"Medium",TRUE,"Low")</f>
        <v>Low</v>
      </c>
      <c r="M183" t="str" cm="1">
        <f t="array" ref="M183">_xlfn.IFS(I183&lt;12,"Low-Term",I183&gt;=36,"Long-Term",TRUE,"Medium-Term")</f>
        <v>Medium-Term</v>
      </c>
      <c r="N183" t="str" cm="1">
        <f t="array" ref="N183">_xlfn.IFS(A183="Bad", "Review Required", AND(A183="Good",J183&gt;7000),"VIP Client", AND(A183="Good", J183&lt;=7000),"Standart Client")</f>
        <v>Review Required</v>
      </c>
      <c r="O183" s="11">
        <v>741</v>
      </c>
    </row>
    <row r="184" spans="1:15" x14ac:dyDescent="0.3">
      <c r="A184" t="s">
        <v>41</v>
      </c>
      <c r="B184" t="s">
        <v>81</v>
      </c>
      <c r="C184" t="s">
        <v>86</v>
      </c>
      <c r="D184" t="s">
        <v>100</v>
      </c>
      <c r="E184" t="s">
        <v>124</v>
      </c>
      <c r="F184" t="s">
        <v>125</v>
      </c>
      <c r="G184" t="s">
        <v>113</v>
      </c>
      <c r="H184" t="s">
        <v>121</v>
      </c>
      <c r="I184">
        <v>10</v>
      </c>
      <c r="J184" s="11">
        <v>1240</v>
      </c>
      <c r="K184">
        <v>48</v>
      </c>
      <c r="L184" t="str" cm="1">
        <f t="array" ref="L184">_xlfn.IFS(J184&gt;5000,"Hight",J184&gt;2000,"Medium",TRUE,"Low")</f>
        <v>Low</v>
      </c>
      <c r="M184" t="str" cm="1">
        <f t="array" ref="M184">_xlfn.IFS(I184&lt;12,"Low-Term",I184&gt;=36,"Long-Term",TRUE,"Medium-Term")</f>
        <v>Low-Term</v>
      </c>
      <c r="N184" t="str" cm="1">
        <f t="array" ref="N184">_xlfn.IFS(A184="Bad", "Review Required", AND(A184="Good",J184&gt;7000),"VIP Client", AND(A184="Good", J184&lt;=7000),"Standart Client")</f>
        <v>Review Required</v>
      </c>
      <c r="O184" s="11">
        <v>1240</v>
      </c>
    </row>
    <row r="185" spans="1:15" x14ac:dyDescent="0.3">
      <c r="A185" t="s">
        <v>41</v>
      </c>
      <c r="B185" t="s">
        <v>78</v>
      </c>
      <c r="C185" t="s">
        <v>88</v>
      </c>
      <c r="D185" t="s">
        <v>99</v>
      </c>
      <c r="E185" t="s">
        <v>124</v>
      </c>
      <c r="F185" t="s">
        <v>125</v>
      </c>
      <c r="G185" t="s">
        <v>114</v>
      </c>
      <c r="H185" t="s">
        <v>120</v>
      </c>
      <c r="I185">
        <v>18</v>
      </c>
      <c r="J185" s="11">
        <v>1808</v>
      </c>
      <c r="K185">
        <v>22</v>
      </c>
      <c r="L185" t="str" cm="1">
        <f t="array" ref="L185">_xlfn.IFS(J185&gt;5000,"Hight",J185&gt;2000,"Medium",TRUE,"Low")</f>
        <v>Low</v>
      </c>
      <c r="M185" t="str" cm="1">
        <f t="array" ref="M185">_xlfn.IFS(I185&lt;12,"Low-Term",I185&gt;=36,"Long-Term",TRUE,"Medium-Term")</f>
        <v>Medium-Term</v>
      </c>
      <c r="N185" t="str" cm="1">
        <f t="array" ref="N185">_xlfn.IFS(A185="Bad", "Review Required", AND(A185="Good",J185&gt;7000),"VIP Client", AND(A185="Good", J185&lt;=7000),"Standart Client")</f>
        <v>Review Required</v>
      </c>
      <c r="O185" s="11">
        <v>1808</v>
      </c>
    </row>
    <row r="186" spans="1:15" x14ac:dyDescent="0.3">
      <c r="A186" t="s">
        <v>41</v>
      </c>
      <c r="B186" t="s">
        <v>77</v>
      </c>
      <c r="C186" t="s">
        <v>88</v>
      </c>
      <c r="D186" t="s">
        <v>100</v>
      </c>
      <c r="E186" t="s">
        <v>124</v>
      </c>
      <c r="F186" t="s">
        <v>125</v>
      </c>
      <c r="G186" t="s">
        <v>114</v>
      </c>
      <c r="H186" t="s">
        <v>119</v>
      </c>
      <c r="I186">
        <v>30</v>
      </c>
      <c r="J186" s="11">
        <v>3441</v>
      </c>
      <c r="K186">
        <v>21</v>
      </c>
      <c r="L186" t="str" cm="1">
        <f t="array" ref="L186">_xlfn.IFS(J186&gt;5000,"Hight",J186&gt;2000,"Medium",TRUE,"Low")</f>
        <v>Medium</v>
      </c>
      <c r="M186" t="str" cm="1">
        <f t="array" ref="M186">_xlfn.IFS(I186&lt;12,"Low-Term",I186&gt;=36,"Long-Term",TRUE,"Medium-Term")</f>
        <v>Medium-Term</v>
      </c>
      <c r="N186" t="str" cm="1">
        <f t="array" ref="N186">_xlfn.IFS(A186="Bad", "Review Required", AND(A186="Good",J186&gt;7000),"VIP Client", AND(A186="Good", J186&lt;=7000),"Standart Client")</f>
        <v>Review Required</v>
      </c>
      <c r="O186" s="11">
        <v>3441</v>
      </c>
    </row>
    <row r="187" spans="1:15" x14ac:dyDescent="0.3">
      <c r="A187" t="s">
        <v>41</v>
      </c>
      <c r="B187" t="s">
        <v>78</v>
      </c>
      <c r="C187" t="s">
        <v>86</v>
      </c>
      <c r="D187" t="s">
        <v>99</v>
      </c>
      <c r="E187" t="s">
        <v>122</v>
      </c>
      <c r="F187" t="s">
        <v>123</v>
      </c>
      <c r="G187" t="s">
        <v>114</v>
      </c>
      <c r="H187" t="s">
        <v>120</v>
      </c>
      <c r="I187">
        <v>18</v>
      </c>
      <c r="J187" s="11">
        <v>1530</v>
      </c>
      <c r="K187">
        <v>32</v>
      </c>
      <c r="L187" t="str" cm="1">
        <f t="array" ref="L187">_xlfn.IFS(J187&gt;5000,"Hight",J187&gt;2000,"Medium",TRUE,"Low")</f>
        <v>Low</v>
      </c>
      <c r="M187" t="str" cm="1">
        <f t="array" ref="M187">_xlfn.IFS(I187&lt;12,"Low-Term",I187&gt;=36,"Long-Term",TRUE,"Medium-Term")</f>
        <v>Medium-Term</v>
      </c>
      <c r="N187" t="str" cm="1">
        <f t="array" ref="N187">_xlfn.IFS(A187="Bad", "Review Required", AND(A187="Good",J187&gt;7000),"VIP Client", AND(A187="Good", J187&lt;=7000),"Standart Client")</f>
        <v>Review Required</v>
      </c>
      <c r="O187" s="11">
        <v>1530</v>
      </c>
    </row>
    <row r="188" spans="1:15" x14ac:dyDescent="0.3">
      <c r="A188" t="s">
        <v>41</v>
      </c>
      <c r="B188" t="s">
        <v>78</v>
      </c>
      <c r="C188" t="s">
        <v>94</v>
      </c>
      <c r="D188" t="s">
        <v>78</v>
      </c>
      <c r="E188" t="s">
        <v>122</v>
      </c>
      <c r="F188" t="s">
        <v>126</v>
      </c>
      <c r="G188" t="s">
        <v>114</v>
      </c>
      <c r="H188" t="s">
        <v>120</v>
      </c>
      <c r="I188">
        <v>48</v>
      </c>
      <c r="J188" s="11">
        <v>3914</v>
      </c>
      <c r="K188">
        <v>38</v>
      </c>
      <c r="L188" t="str" cm="1">
        <f t="array" ref="L188">_xlfn.IFS(J188&gt;5000,"Hight",J188&gt;2000,"Medium",TRUE,"Low")</f>
        <v>Medium</v>
      </c>
      <c r="M188" t="str" cm="1">
        <f t="array" ref="M188">_xlfn.IFS(I188&lt;12,"Low-Term",I188&gt;=36,"Long-Term",TRUE,"Medium-Term")</f>
        <v>Long-Term</v>
      </c>
      <c r="N188" t="str" cm="1">
        <f t="array" ref="N188">_xlfn.IFS(A188="Bad", "Review Required", AND(A188="Good",J188&gt;7000),"VIP Client", AND(A188="Good", J188&lt;=7000),"Standart Client")</f>
        <v>Review Required</v>
      </c>
      <c r="O188" s="11">
        <v>3914</v>
      </c>
    </row>
    <row r="189" spans="1:15" x14ac:dyDescent="0.3">
      <c r="A189" t="s">
        <v>41</v>
      </c>
      <c r="B189" t="s">
        <v>80</v>
      </c>
      <c r="C189" t="s">
        <v>89</v>
      </c>
      <c r="D189" t="s">
        <v>99</v>
      </c>
      <c r="E189" t="s">
        <v>122</v>
      </c>
      <c r="F189" t="s">
        <v>123</v>
      </c>
      <c r="G189" t="s">
        <v>114</v>
      </c>
      <c r="H189" t="s">
        <v>121</v>
      </c>
      <c r="I189">
        <v>18</v>
      </c>
      <c r="J189" s="11">
        <v>2600</v>
      </c>
      <c r="K189">
        <v>65</v>
      </c>
      <c r="L189" t="str" cm="1">
        <f t="array" ref="L189">_xlfn.IFS(J189&gt;5000,"Hight",J189&gt;2000,"Medium",TRUE,"Low")</f>
        <v>Medium</v>
      </c>
      <c r="M189" t="str" cm="1">
        <f t="array" ref="M189">_xlfn.IFS(I189&lt;12,"Low-Term",I189&gt;=36,"Long-Term",TRUE,"Medium-Term")</f>
        <v>Medium-Term</v>
      </c>
      <c r="N189" t="str" cm="1">
        <f t="array" ref="N189">_xlfn.IFS(A189="Bad", "Review Required", AND(A189="Good",J189&gt;7000),"VIP Client", AND(A189="Good", J189&lt;=7000),"Standart Client")</f>
        <v>Review Required</v>
      </c>
      <c r="O189" s="11">
        <v>2600</v>
      </c>
    </row>
    <row r="190" spans="1:15" x14ac:dyDescent="0.3">
      <c r="A190" t="s">
        <v>41</v>
      </c>
      <c r="B190" t="s">
        <v>77</v>
      </c>
      <c r="C190" t="s">
        <v>86</v>
      </c>
      <c r="D190" t="s">
        <v>100</v>
      </c>
      <c r="E190" t="s">
        <v>122</v>
      </c>
      <c r="F190" t="s">
        <v>123</v>
      </c>
      <c r="G190" t="s">
        <v>114</v>
      </c>
      <c r="H190" t="s">
        <v>120</v>
      </c>
      <c r="I190">
        <v>9</v>
      </c>
      <c r="J190" s="11">
        <v>1437</v>
      </c>
      <c r="K190">
        <v>29</v>
      </c>
      <c r="L190" t="str" cm="1">
        <f t="array" ref="L190">_xlfn.IFS(J190&gt;5000,"Hight",J190&gt;2000,"Medium",TRUE,"Low")</f>
        <v>Low</v>
      </c>
      <c r="M190" t="str" cm="1">
        <f t="array" ref="M190">_xlfn.IFS(I190&lt;12,"Low-Term",I190&gt;=36,"Long-Term",TRUE,"Medium-Term")</f>
        <v>Low-Term</v>
      </c>
      <c r="N190" t="str" cm="1">
        <f t="array" ref="N190">_xlfn.IFS(A190="Bad", "Review Required", AND(A190="Good",J190&gt;7000),"VIP Client", AND(A190="Good", J190&lt;=7000),"Standart Client")</f>
        <v>Review Required</v>
      </c>
      <c r="O190" s="11">
        <v>1437</v>
      </c>
    </row>
    <row r="191" spans="1:15" x14ac:dyDescent="0.3">
      <c r="A191" t="s">
        <v>41</v>
      </c>
      <c r="B191" t="s">
        <v>80</v>
      </c>
      <c r="C191" t="s">
        <v>88</v>
      </c>
      <c r="D191" t="s">
        <v>99</v>
      </c>
      <c r="E191" t="s">
        <v>122</v>
      </c>
      <c r="F191" t="s">
        <v>123</v>
      </c>
      <c r="G191" t="s">
        <v>114</v>
      </c>
      <c r="H191" t="s">
        <v>120</v>
      </c>
      <c r="I191">
        <v>18</v>
      </c>
      <c r="J191" s="11">
        <v>1553</v>
      </c>
      <c r="K191">
        <v>44</v>
      </c>
      <c r="L191" t="str" cm="1">
        <f t="array" ref="L191">_xlfn.IFS(J191&gt;5000,"Hight",J191&gt;2000,"Medium",TRUE,"Low")</f>
        <v>Low</v>
      </c>
      <c r="M191" t="str" cm="1">
        <f t="array" ref="M191">_xlfn.IFS(I191&lt;12,"Low-Term",I191&gt;=36,"Long-Term",TRUE,"Medium-Term")</f>
        <v>Medium-Term</v>
      </c>
      <c r="N191" t="str" cm="1">
        <f t="array" ref="N191">_xlfn.IFS(A191="Bad", "Review Required", AND(A191="Good",J191&gt;7000),"VIP Client", AND(A191="Good", J191&lt;=7000),"Standart Client")</f>
        <v>Review Required</v>
      </c>
      <c r="O191" s="11">
        <v>1553</v>
      </c>
    </row>
    <row r="192" spans="1:15" x14ac:dyDescent="0.3">
      <c r="A192" t="s">
        <v>41</v>
      </c>
      <c r="B192" t="s">
        <v>78</v>
      </c>
      <c r="C192" t="s">
        <v>88</v>
      </c>
      <c r="D192" t="s">
        <v>99</v>
      </c>
      <c r="E192" t="s">
        <v>124</v>
      </c>
      <c r="F192" t="s">
        <v>125</v>
      </c>
      <c r="G192" t="s">
        <v>114</v>
      </c>
      <c r="H192" t="s">
        <v>119</v>
      </c>
      <c r="I192">
        <v>9</v>
      </c>
      <c r="J192" s="11">
        <v>1980</v>
      </c>
      <c r="K192">
        <v>19</v>
      </c>
      <c r="L192" t="str" cm="1">
        <f t="array" ref="L192">_xlfn.IFS(J192&gt;5000,"Hight",J192&gt;2000,"Medium",TRUE,"Low")</f>
        <v>Low</v>
      </c>
      <c r="M192" t="str" cm="1">
        <f t="array" ref="M192">_xlfn.IFS(I192&lt;12,"Low-Term",I192&gt;=36,"Long-Term",TRUE,"Medium-Term")</f>
        <v>Low-Term</v>
      </c>
      <c r="N192" t="str" cm="1">
        <f t="array" ref="N192">_xlfn.IFS(A192="Bad", "Review Required", AND(A192="Good",J192&gt;7000),"VIP Client", AND(A192="Good", J192&lt;=7000),"Standart Client")</f>
        <v>Review Required</v>
      </c>
      <c r="O192" s="11">
        <v>1980</v>
      </c>
    </row>
    <row r="193" spans="1:15" x14ac:dyDescent="0.3">
      <c r="A193" t="s">
        <v>41</v>
      </c>
      <c r="B193" t="s">
        <v>77</v>
      </c>
      <c r="C193" t="s">
        <v>86</v>
      </c>
      <c r="D193" t="s">
        <v>99</v>
      </c>
      <c r="E193" t="s">
        <v>124</v>
      </c>
      <c r="F193" t="s">
        <v>125</v>
      </c>
      <c r="G193" t="s">
        <v>113</v>
      </c>
      <c r="H193" t="s">
        <v>120</v>
      </c>
      <c r="I193">
        <v>24</v>
      </c>
      <c r="J193" s="11">
        <v>1355</v>
      </c>
      <c r="K193">
        <v>25</v>
      </c>
      <c r="L193" t="str" cm="1">
        <f t="array" ref="L193">_xlfn.IFS(J193&gt;5000,"Hight",J193&gt;2000,"Medium",TRUE,"Low")</f>
        <v>Low</v>
      </c>
      <c r="M193" t="str" cm="1">
        <f t="array" ref="M193">_xlfn.IFS(I193&lt;12,"Low-Term",I193&gt;=36,"Long-Term",TRUE,"Medium-Term")</f>
        <v>Medium-Term</v>
      </c>
      <c r="N193" t="str" cm="1">
        <f t="array" ref="N193">_xlfn.IFS(A193="Bad", "Review Required", AND(A193="Good",J193&gt;7000),"VIP Client", AND(A193="Good", J193&lt;=7000),"Standart Client")</f>
        <v>Review Required</v>
      </c>
      <c r="O193" s="11">
        <v>1355</v>
      </c>
    </row>
    <row r="194" spans="1:15" x14ac:dyDescent="0.3">
      <c r="A194" t="s">
        <v>41</v>
      </c>
      <c r="B194" t="s">
        <v>80</v>
      </c>
      <c r="C194" t="s">
        <v>89</v>
      </c>
      <c r="D194" t="s">
        <v>99</v>
      </c>
      <c r="E194" t="s">
        <v>122</v>
      </c>
      <c r="F194" t="s">
        <v>123</v>
      </c>
      <c r="G194" t="s">
        <v>114</v>
      </c>
      <c r="H194" t="s">
        <v>120</v>
      </c>
      <c r="I194">
        <v>42</v>
      </c>
      <c r="J194" s="11">
        <v>4370</v>
      </c>
      <c r="K194">
        <v>26</v>
      </c>
      <c r="L194" t="str" cm="1">
        <f t="array" ref="L194">_xlfn.IFS(J194&gt;5000,"Hight",J194&gt;2000,"Medium",TRUE,"Low")</f>
        <v>Medium</v>
      </c>
      <c r="M194" t="str" cm="1">
        <f t="array" ref="M194">_xlfn.IFS(I194&lt;12,"Low-Term",I194&gt;=36,"Long-Term",TRUE,"Medium-Term")</f>
        <v>Long-Term</v>
      </c>
      <c r="N194" t="str" cm="1">
        <f t="array" ref="N194">_xlfn.IFS(A194="Bad", "Review Required", AND(A194="Good",J194&gt;7000),"VIP Client", AND(A194="Good", J194&lt;=7000),"Standart Client")</f>
        <v>Review Required</v>
      </c>
      <c r="O194" s="11">
        <v>4370</v>
      </c>
    </row>
    <row r="195" spans="1:15" x14ac:dyDescent="0.3">
      <c r="A195" t="s">
        <v>41</v>
      </c>
      <c r="B195" t="s">
        <v>80</v>
      </c>
      <c r="C195" t="s">
        <v>92</v>
      </c>
      <c r="D195" t="s">
        <v>99</v>
      </c>
      <c r="E195" t="s">
        <v>124</v>
      </c>
      <c r="F195" t="s">
        <v>125</v>
      </c>
      <c r="G195" t="s">
        <v>112</v>
      </c>
      <c r="H195" t="s">
        <v>120</v>
      </c>
      <c r="I195">
        <v>18</v>
      </c>
      <c r="J195" s="11">
        <v>750</v>
      </c>
      <c r="K195">
        <v>27</v>
      </c>
      <c r="L195" t="str" cm="1">
        <f t="array" ref="L195">_xlfn.IFS(J195&gt;5000,"Hight",J195&gt;2000,"Medium",TRUE,"Low")</f>
        <v>Low</v>
      </c>
      <c r="M195" t="str" cm="1">
        <f t="array" ref="M195">_xlfn.IFS(I195&lt;12,"Low-Term",I195&gt;=36,"Long-Term",TRUE,"Medium-Term")</f>
        <v>Medium-Term</v>
      </c>
      <c r="N195" t="str" cm="1">
        <f t="array" ref="N195">_xlfn.IFS(A195="Bad", "Review Required", AND(A195="Good",J195&gt;7000),"VIP Client", AND(A195="Good", J195&lt;=7000),"Standart Client")</f>
        <v>Review Required</v>
      </c>
      <c r="O195" s="11">
        <v>750</v>
      </c>
    </row>
    <row r="196" spans="1:15" x14ac:dyDescent="0.3">
      <c r="A196" t="s">
        <v>41</v>
      </c>
      <c r="B196" t="s">
        <v>78</v>
      </c>
      <c r="C196" t="s">
        <v>92</v>
      </c>
      <c r="D196" t="s">
        <v>100</v>
      </c>
      <c r="E196" t="s">
        <v>122</v>
      </c>
      <c r="F196" t="s">
        <v>123</v>
      </c>
      <c r="G196" t="s">
        <v>115</v>
      </c>
      <c r="H196" t="s">
        <v>120</v>
      </c>
      <c r="I196">
        <v>15</v>
      </c>
      <c r="J196" s="11">
        <v>4623</v>
      </c>
      <c r="K196">
        <v>40</v>
      </c>
      <c r="L196" t="str" cm="1">
        <f t="array" ref="L196">_xlfn.IFS(J196&gt;5000,"Hight",J196&gt;2000,"Medium",TRUE,"Low")</f>
        <v>Medium</v>
      </c>
      <c r="M196" t="str" cm="1">
        <f t="array" ref="M196">_xlfn.IFS(I196&lt;12,"Low-Term",I196&gt;=36,"Long-Term",TRUE,"Medium-Term")</f>
        <v>Medium-Term</v>
      </c>
      <c r="N196" t="str" cm="1">
        <f t="array" ref="N196">_xlfn.IFS(A196="Bad", "Review Required", AND(A196="Good",J196&gt;7000),"VIP Client", AND(A196="Good", J196&lt;=7000),"Standart Client")</f>
        <v>Review Required</v>
      </c>
      <c r="O196" s="11">
        <v>4623</v>
      </c>
    </row>
    <row r="197" spans="1:15" x14ac:dyDescent="0.3">
      <c r="A197" t="s">
        <v>41</v>
      </c>
      <c r="B197" t="s">
        <v>78</v>
      </c>
      <c r="C197" t="s">
        <v>94</v>
      </c>
      <c r="D197" t="s">
        <v>78</v>
      </c>
      <c r="E197" t="s">
        <v>122</v>
      </c>
      <c r="F197" t="s">
        <v>123</v>
      </c>
      <c r="G197" t="s">
        <v>114</v>
      </c>
      <c r="H197" t="s">
        <v>119</v>
      </c>
      <c r="I197">
        <v>36</v>
      </c>
      <c r="J197" s="11">
        <v>7980</v>
      </c>
      <c r="K197">
        <v>27</v>
      </c>
      <c r="L197" t="str" cm="1">
        <f t="array" ref="L197">_xlfn.IFS(J197&gt;5000,"Hight",J197&gt;2000,"Medium",TRUE,"Low")</f>
        <v>Hight</v>
      </c>
      <c r="M197" t="str" cm="1">
        <f t="array" ref="M197">_xlfn.IFS(I197&lt;12,"Low-Term",I197&gt;=36,"Long-Term",TRUE,"Medium-Term")</f>
        <v>Long-Term</v>
      </c>
      <c r="N197" t="str" cm="1">
        <f t="array" ref="N197">_xlfn.IFS(A197="Bad", "Review Required", AND(A197="Good",J197&gt;7000),"VIP Client", AND(A197="Good", J197&lt;=7000),"Standart Client")</f>
        <v>Review Required</v>
      </c>
      <c r="O197" s="11">
        <v>7980</v>
      </c>
    </row>
    <row r="198" spans="1:15" x14ac:dyDescent="0.3">
      <c r="A198" t="s">
        <v>41</v>
      </c>
      <c r="B198" t="s">
        <v>78</v>
      </c>
      <c r="C198" t="s">
        <v>86</v>
      </c>
      <c r="D198" t="s">
        <v>101</v>
      </c>
      <c r="E198" t="s">
        <v>124</v>
      </c>
      <c r="F198" t="s">
        <v>125</v>
      </c>
      <c r="G198" t="s">
        <v>114</v>
      </c>
      <c r="H198" t="s">
        <v>120</v>
      </c>
      <c r="I198">
        <v>12</v>
      </c>
      <c r="J198" s="11">
        <v>1386</v>
      </c>
      <c r="K198">
        <v>26</v>
      </c>
      <c r="L198" t="str" cm="1">
        <f t="array" ref="L198">_xlfn.IFS(J198&gt;5000,"Hight",J198&gt;2000,"Medium",TRUE,"Low")</f>
        <v>Low</v>
      </c>
      <c r="M198" t="str" cm="1">
        <f t="array" ref="M198">_xlfn.IFS(I198&lt;12,"Low-Term",I198&gt;=36,"Long-Term",TRUE,"Medium-Term")</f>
        <v>Medium-Term</v>
      </c>
      <c r="N198" t="str" cm="1">
        <f t="array" ref="N198">_xlfn.IFS(A198="Bad", "Review Required", AND(A198="Good",J198&gt;7000),"VIP Client", AND(A198="Good", J198&lt;=7000),"Standart Client")</f>
        <v>Review Required</v>
      </c>
      <c r="O198" s="11">
        <v>1386</v>
      </c>
    </row>
    <row r="199" spans="1:15" x14ac:dyDescent="0.3">
      <c r="A199" t="s">
        <v>41</v>
      </c>
      <c r="B199" t="s">
        <v>81</v>
      </c>
      <c r="C199" t="s">
        <v>86</v>
      </c>
      <c r="D199" t="s">
        <v>99</v>
      </c>
      <c r="E199" t="s">
        <v>122</v>
      </c>
      <c r="F199" t="s">
        <v>123</v>
      </c>
      <c r="G199" t="s">
        <v>114</v>
      </c>
      <c r="H199" t="s">
        <v>121</v>
      </c>
      <c r="I199">
        <v>24</v>
      </c>
      <c r="J199" s="11">
        <v>947</v>
      </c>
      <c r="K199">
        <v>38</v>
      </c>
      <c r="L199" t="str" cm="1">
        <f t="array" ref="L199">_xlfn.IFS(J199&gt;5000,"Hight",J199&gt;2000,"Medium",TRUE,"Low")</f>
        <v>Low</v>
      </c>
      <c r="M199" t="str" cm="1">
        <f t="array" ref="M199">_xlfn.IFS(I199&lt;12,"Low-Term",I199&gt;=36,"Long-Term",TRUE,"Medium-Term")</f>
        <v>Medium-Term</v>
      </c>
      <c r="N199" t="str" cm="1">
        <f t="array" ref="N199">_xlfn.IFS(A199="Bad", "Review Required", AND(A199="Good",J199&gt;7000),"VIP Client", AND(A199="Good", J199&lt;=7000),"Standart Client")</f>
        <v>Review Required</v>
      </c>
      <c r="O199" s="11">
        <v>947</v>
      </c>
    </row>
    <row r="200" spans="1:15" x14ac:dyDescent="0.3">
      <c r="A200" t="s">
        <v>41</v>
      </c>
      <c r="B200" t="s">
        <v>80</v>
      </c>
      <c r="C200" t="s">
        <v>92</v>
      </c>
      <c r="D200" t="s">
        <v>99</v>
      </c>
      <c r="E200" t="s">
        <v>122</v>
      </c>
      <c r="F200" t="s">
        <v>123</v>
      </c>
      <c r="G200" t="s">
        <v>113</v>
      </c>
      <c r="H200" t="s">
        <v>119</v>
      </c>
      <c r="I200">
        <v>12</v>
      </c>
      <c r="J200" s="11">
        <v>684</v>
      </c>
      <c r="K200">
        <v>40</v>
      </c>
      <c r="L200" t="str" cm="1">
        <f t="array" ref="L200">_xlfn.IFS(J200&gt;5000,"Hight",J200&gt;2000,"Medium",TRUE,"Low")</f>
        <v>Low</v>
      </c>
      <c r="M200" t="str" cm="1">
        <f t="array" ref="M200">_xlfn.IFS(I200&lt;12,"Low-Term",I200&gt;=36,"Long-Term",TRUE,"Medium-Term")</f>
        <v>Medium-Term</v>
      </c>
      <c r="N200" t="str" cm="1">
        <f t="array" ref="N200">_xlfn.IFS(A200="Bad", "Review Required", AND(A200="Good",J200&gt;7000),"VIP Client", AND(A200="Good", J200&lt;=7000),"Standart Client")</f>
        <v>Review Required</v>
      </c>
      <c r="O200" s="11">
        <v>684</v>
      </c>
    </row>
    <row r="201" spans="1:15" x14ac:dyDescent="0.3">
      <c r="A201" t="s">
        <v>41</v>
      </c>
      <c r="B201" t="s">
        <v>77</v>
      </c>
      <c r="C201" t="s">
        <v>88</v>
      </c>
      <c r="D201" t="s">
        <v>99</v>
      </c>
      <c r="E201" t="s">
        <v>122</v>
      </c>
      <c r="F201" t="s">
        <v>123</v>
      </c>
      <c r="G201" t="s">
        <v>113</v>
      </c>
      <c r="H201" t="s">
        <v>120</v>
      </c>
      <c r="I201">
        <v>12</v>
      </c>
      <c r="J201" s="11">
        <v>1922</v>
      </c>
      <c r="K201">
        <v>37</v>
      </c>
      <c r="L201" t="str" cm="1">
        <f t="array" ref="L201">_xlfn.IFS(J201&gt;5000,"Hight",J201&gt;2000,"Medium",TRUE,"Low")</f>
        <v>Low</v>
      </c>
      <c r="M201" t="str" cm="1">
        <f t="array" ref="M201">_xlfn.IFS(I201&lt;12,"Low-Term",I201&gt;=36,"Long-Term",TRUE,"Medium-Term")</f>
        <v>Medium-Term</v>
      </c>
      <c r="N201" t="str" cm="1">
        <f t="array" ref="N201">_xlfn.IFS(A201="Bad", "Review Required", AND(A201="Good",J201&gt;7000),"VIP Client", AND(A201="Good", J201&lt;=7000),"Standart Client")</f>
        <v>Review Required</v>
      </c>
      <c r="O201" s="11">
        <v>1922</v>
      </c>
    </row>
    <row r="202" spans="1:15" x14ac:dyDescent="0.3">
      <c r="A202" t="s">
        <v>41</v>
      </c>
      <c r="B202" t="s">
        <v>80</v>
      </c>
      <c r="C202" t="s">
        <v>86</v>
      </c>
      <c r="D202" t="s">
        <v>99</v>
      </c>
      <c r="E202" t="s">
        <v>122</v>
      </c>
      <c r="F202" t="s">
        <v>123</v>
      </c>
      <c r="G202" t="s">
        <v>114</v>
      </c>
      <c r="H202" t="s">
        <v>120</v>
      </c>
      <c r="I202">
        <v>24</v>
      </c>
      <c r="J202" s="11">
        <v>2303</v>
      </c>
      <c r="K202">
        <v>45</v>
      </c>
      <c r="L202" t="str" cm="1">
        <f t="array" ref="L202">_xlfn.IFS(J202&gt;5000,"Hight",J202&gt;2000,"Medium",TRUE,"Low")</f>
        <v>Medium</v>
      </c>
      <c r="M202" t="str" cm="1">
        <f t="array" ref="M202">_xlfn.IFS(I202&lt;12,"Low-Term",I202&gt;=36,"Long-Term",TRUE,"Medium-Term")</f>
        <v>Medium-Term</v>
      </c>
      <c r="N202" t="str" cm="1">
        <f t="array" ref="N202">_xlfn.IFS(A202="Bad", "Review Required", AND(A202="Good",J202&gt;7000),"VIP Client", AND(A202="Good", J202&lt;=7000),"Standart Client")</f>
        <v>Review Required</v>
      </c>
      <c r="O202" s="11">
        <v>2303</v>
      </c>
    </row>
    <row r="203" spans="1:15" x14ac:dyDescent="0.3">
      <c r="A203" t="s">
        <v>41</v>
      </c>
      <c r="B203" t="s">
        <v>77</v>
      </c>
      <c r="C203" t="s">
        <v>86</v>
      </c>
      <c r="D203" t="s">
        <v>100</v>
      </c>
      <c r="E203" t="s">
        <v>122</v>
      </c>
      <c r="F203" t="s">
        <v>123</v>
      </c>
      <c r="G203" t="s">
        <v>115</v>
      </c>
      <c r="H203" t="s">
        <v>120</v>
      </c>
      <c r="I203">
        <v>36</v>
      </c>
      <c r="J203" s="11">
        <v>8086</v>
      </c>
      <c r="K203">
        <v>42</v>
      </c>
      <c r="L203" t="str" cm="1">
        <f t="array" ref="L203">_xlfn.IFS(J203&gt;5000,"Hight",J203&gt;2000,"Medium",TRUE,"Low")</f>
        <v>Hight</v>
      </c>
      <c r="M203" t="str" cm="1">
        <f t="array" ref="M203">_xlfn.IFS(I203&lt;12,"Low-Term",I203&gt;=36,"Long-Term",TRUE,"Medium-Term")</f>
        <v>Long-Term</v>
      </c>
      <c r="N203" t="str" cm="1">
        <f t="array" ref="N203">_xlfn.IFS(A203="Bad", "Review Required", AND(A203="Good",J203&gt;7000),"VIP Client", AND(A203="Good", J203&lt;=7000),"Standart Client")</f>
        <v>Review Required</v>
      </c>
      <c r="O203" s="11">
        <v>8086</v>
      </c>
    </row>
    <row r="204" spans="1:15" x14ac:dyDescent="0.3">
      <c r="A204" t="s">
        <v>41</v>
      </c>
      <c r="B204" t="s">
        <v>77</v>
      </c>
      <c r="C204" t="s">
        <v>86</v>
      </c>
      <c r="D204" t="s">
        <v>99</v>
      </c>
      <c r="E204" t="s">
        <v>122</v>
      </c>
      <c r="F204" t="s">
        <v>123</v>
      </c>
      <c r="G204" t="s">
        <v>113</v>
      </c>
      <c r="H204" t="s">
        <v>120</v>
      </c>
      <c r="I204">
        <v>12</v>
      </c>
      <c r="J204" s="11">
        <v>888</v>
      </c>
      <c r="K204">
        <v>41</v>
      </c>
      <c r="L204" t="str" cm="1">
        <f t="array" ref="L204">_xlfn.IFS(J204&gt;5000,"Hight",J204&gt;2000,"Medium",TRUE,"Low")</f>
        <v>Low</v>
      </c>
      <c r="M204" t="str" cm="1">
        <f t="array" ref="M204">_xlfn.IFS(I204&lt;12,"Low-Term",I204&gt;=36,"Long-Term",TRUE,"Medium-Term")</f>
        <v>Medium-Term</v>
      </c>
      <c r="N204" t="str" cm="1">
        <f t="array" ref="N204">_xlfn.IFS(A204="Bad", "Review Required", AND(A204="Good",J204&gt;7000),"VIP Client", AND(A204="Good", J204&lt;=7000),"Standart Client")</f>
        <v>Review Required</v>
      </c>
      <c r="O204" s="11">
        <v>888</v>
      </c>
    </row>
    <row r="205" spans="1:15" x14ac:dyDescent="0.3">
      <c r="A205" t="s">
        <v>41</v>
      </c>
      <c r="B205" t="s">
        <v>80</v>
      </c>
      <c r="C205" t="s">
        <v>86</v>
      </c>
      <c r="D205" t="s">
        <v>78</v>
      </c>
      <c r="E205" t="s">
        <v>122</v>
      </c>
      <c r="F205" t="s">
        <v>127</v>
      </c>
      <c r="G205" t="s">
        <v>114</v>
      </c>
      <c r="H205" t="s">
        <v>120</v>
      </c>
      <c r="I205">
        <v>12</v>
      </c>
      <c r="J205" s="11">
        <v>900</v>
      </c>
      <c r="K205">
        <v>23</v>
      </c>
      <c r="L205" t="str" cm="1">
        <f t="array" ref="L205">_xlfn.IFS(J205&gt;5000,"Hight",J205&gt;2000,"Medium",TRUE,"Low")</f>
        <v>Low</v>
      </c>
      <c r="M205" t="str" cm="1">
        <f t="array" ref="M205">_xlfn.IFS(I205&lt;12,"Low-Term",I205&gt;=36,"Long-Term",TRUE,"Medium-Term")</f>
        <v>Medium-Term</v>
      </c>
      <c r="N205" t="str" cm="1">
        <f t="array" ref="N205">_xlfn.IFS(A205="Bad", "Review Required", AND(A205="Good",J205&gt;7000),"VIP Client", AND(A205="Good", J205&lt;=7000),"Standart Client")</f>
        <v>Review Required</v>
      </c>
      <c r="O205" s="11">
        <v>900</v>
      </c>
    </row>
    <row r="206" spans="1:15" x14ac:dyDescent="0.3">
      <c r="A206" t="s">
        <v>41</v>
      </c>
      <c r="B206" t="s">
        <v>80</v>
      </c>
      <c r="C206" t="s">
        <v>86</v>
      </c>
      <c r="D206" t="s">
        <v>99</v>
      </c>
      <c r="E206" t="s">
        <v>122</v>
      </c>
      <c r="F206" t="s">
        <v>123</v>
      </c>
      <c r="G206" t="s">
        <v>114</v>
      </c>
      <c r="H206" t="s">
        <v>119</v>
      </c>
      <c r="I206">
        <v>12</v>
      </c>
      <c r="J206" s="11">
        <v>4843</v>
      </c>
      <c r="K206">
        <v>43</v>
      </c>
      <c r="L206" t="str" cm="1">
        <f t="array" ref="L206">_xlfn.IFS(J206&gt;5000,"Hight",J206&gt;2000,"Medium",TRUE,"Low")</f>
        <v>Medium</v>
      </c>
      <c r="M206" t="str" cm="1">
        <f t="array" ref="M206">_xlfn.IFS(I206&lt;12,"Low-Term",I206&gt;=36,"Long-Term",TRUE,"Medium-Term")</f>
        <v>Medium-Term</v>
      </c>
      <c r="N206" t="str" cm="1">
        <f t="array" ref="N206">_xlfn.IFS(A206="Bad", "Review Required", AND(A206="Good",J206&gt;7000),"VIP Client", AND(A206="Good", J206&lt;=7000),"Standart Client")</f>
        <v>Review Required</v>
      </c>
      <c r="O206" s="11">
        <v>4843</v>
      </c>
    </row>
    <row r="207" spans="1:15" x14ac:dyDescent="0.3">
      <c r="A207" t="s">
        <v>41</v>
      </c>
      <c r="B207" t="s">
        <v>78</v>
      </c>
      <c r="C207" t="s">
        <v>94</v>
      </c>
      <c r="D207" t="s">
        <v>101</v>
      </c>
      <c r="E207" t="s">
        <v>122</v>
      </c>
      <c r="F207" t="s">
        <v>123</v>
      </c>
      <c r="G207" t="s">
        <v>113</v>
      </c>
      <c r="H207" t="s">
        <v>120</v>
      </c>
      <c r="I207">
        <v>21</v>
      </c>
      <c r="J207" s="11">
        <v>2580</v>
      </c>
      <c r="K207">
        <v>41</v>
      </c>
      <c r="L207" t="str" cm="1">
        <f t="array" ref="L207">_xlfn.IFS(J207&gt;5000,"Hight",J207&gt;2000,"Medium",TRUE,"Low")</f>
        <v>Medium</v>
      </c>
      <c r="M207" t="str" cm="1">
        <f t="array" ref="M207">_xlfn.IFS(I207&lt;12,"Low-Term",I207&gt;=36,"Long-Term",TRUE,"Medium-Term")</f>
        <v>Medium-Term</v>
      </c>
      <c r="N207" t="str" cm="1">
        <f t="array" ref="N207">_xlfn.IFS(A207="Bad", "Review Required", AND(A207="Good",J207&gt;7000),"VIP Client", AND(A207="Good", J207&lt;=7000),"Standart Client")</f>
        <v>Review Required</v>
      </c>
      <c r="O207" s="11">
        <v>2580</v>
      </c>
    </row>
    <row r="208" spans="1:15" x14ac:dyDescent="0.3">
      <c r="A208" t="s">
        <v>41</v>
      </c>
      <c r="B208" t="s">
        <v>77</v>
      </c>
      <c r="C208" t="s">
        <v>89</v>
      </c>
      <c r="D208" t="s">
        <v>100</v>
      </c>
      <c r="E208" t="s">
        <v>122</v>
      </c>
      <c r="F208" t="s">
        <v>127</v>
      </c>
      <c r="G208" t="s">
        <v>114</v>
      </c>
      <c r="H208" t="s">
        <v>120</v>
      </c>
      <c r="I208">
        <v>72</v>
      </c>
      <c r="J208" s="11">
        <v>5595</v>
      </c>
      <c r="K208">
        <v>24</v>
      </c>
      <c r="L208" t="str" cm="1">
        <f t="array" ref="L208">_xlfn.IFS(J208&gt;5000,"Hight",J208&gt;2000,"Medium",TRUE,"Low")</f>
        <v>Hight</v>
      </c>
      <c r="M208" t="str" cm="1">
        <f t="array" ref="M208">_xlfn.IFS(I208&lt;12,"Low-Term",I208&gt;=36,"Long-Term",TRUE,"Medium-Term")</f>
        <v>Long-Term</v>
      </c>
      <c r="N208" t="str" cm="1">
        <f t="array" ref="N208">_xlfn.IFS(A208="Bad", "Review Required", AND(A208="Good",J208&gt;7000),"VIP Client", AND(A208="Good", J208&lt;=7000),"Standart Client")</f>
        <v>Review Required</v>
      </c>
      <c r="O208" s="11">
        <v>5595</v>
      </c>
    </row>
    <row r="209" spans="1:15" x14ac:dyDescent="0.3">
      <c r="A209" t="s">
        <v>41</v>
      </c>
      <c r="B209" t="s">
        <v>78</v>
      </c>
      <c r="C209" t="s">
        <v>88</v>
      </c>
      <c r="D209" t="s">
        <v>101</v>
      </c>
      <c r="E209" t="s">
        <v>124</v>
      </c>
      <c r="F209" t="s">
        <v>125</v>
      </c>
      <c r="G209" t="s">
        <v>113</v>
      </c>
      <c r="H209" t="s">
        <v>119</v>
      </c>
      <c r="I209">
        <v>12</v>
      </c>
      <c r="J209" s="11">
        <v>1123</v>
      </c>
      <c r="K209">
        <v>29</v>
      </c>
      <c r="L209" t="str" cm="1">
        <f t="array" ref="L209">_xlfn.IFS(J209&gt;5000,"Hight",J209&gt;2000,"Medium",TRUE,"Low")</f>
        <v>Low</v>
      </c>
      <c r="M209" t="str" cm="1">
        <f t="array" ref="M209">_xlfn.IFS(I209&lt;12,"Low-Term",I209&gt;=36,"Long-Term",TRUE,"Medium-Term")</f>
        <v>Medium-Term</v>
      </c>
      <c r="N209" t="str" cm="1">
        <f t="array" ref="N209">_xlfn.IFS(A209="Bad", "Review Required", AND(A209="Good",J209&gt;7000),"VIP Client", AND(A209="Good", J209&lt;=7000),"Standart Client")</f>
        <v>Review Required</v>
      </c>
      <c r="O209" s="11">
        <v>1123</v>
      </c>
    </row>
    <row r="210" spans="1:15" x14ac:dyDescent="0.3">
      <c r="A210" t="s">
        <v>41</v>
      </c>
      <c r="B210" t="s">
        <v>80</v>
      </c>
      <c r="C210" t="s">
        <v>87</v>
      </c>
      <c r="D210" t="s">
        <v>99</v>
      </c>
      <c r="E210" t="s">
        <v>122</v>
      </c>
      <c r="F210" t="s">
        <v>123</v>
      </c>
      <c r="G210" t="s">
        <v>114</v>
      </c>
      <c r="H210" t="s">
        <v>121</v>
      </c>
      <c r="I210">
        <v>48</v>
      </c>
      <c r="J210" s="11">
        <v>6331</v>
      </c>
      <c r="K210">
        <v>46</v>
      </c>
      <c r="L210" t="str" cm="1">
        <f t="array" ref="L210">_xlfn.IFS(J210&gt;5000,"Hight",J210&gt;2000,"Medium",TRUE,"Low")</f>
        <v>Hight</v>
      </c>
      <c r="M210" t="str" cm="1">
        <f t="array" ref="M210">_xlfn.IFS(I210&lt;12,"Low-Term",I210&gt;=36,"Long-Term",TRUE,"Medium-Term")</f>
        <v>Long-Term</v>
      </c>
      <c r="N210" t="str" cm="1">
        <f t="array" ref="N210">_xlfn.IFS(A210="Bad", "Review Required", AND(A210="Good",J210&gt;7000),"VIP Client", AND(A210="Good", J210&lt;=7000),"Standart Client")</f>
        <v>Review Required</v>
      </c>
      <c r="O210" s="11">
        <v>6331</v>
      </c>
    </row>
    <row r="211" spans="1:15" x14ac:dyDescent="0.3">
      <c r="A211" t="s">
        <v>41</v>
      </c>
      <c r="B211" t="s">
        <v>77</v>
      </c>
      <c r="C211" t="s">
        <v>86</v>
      </c>
      <c r="D211" t="s">
        <v>100</v>
      </c>
      <c r="E211" t="s">
        <v>122</v>
      </c>
      <c r="F211" t="s">
        <v>123</v>
      </c>
      <c r="G211" t="s">
        <v>114</v>
      </c>
      <c r="H211" t="s">
        <v>120</v>
      </c>
      <c r="I211">
        <v>48</v>
      </c>
      <c r="J211" s="11">
        <v>6560</v>
      </c>
      <c r="K211">
        <v>24</v>
      </c>
      <c r="L211" t="str" cm="1">
        <f t="array" ref="L211">_xlfn.IFS(J211&gt;5000,"Hight",J211&gt;2000,"Medium",TRUE,"Low")</f>
        <v>Hight</v>
      </c>
      <c r="M211" t="str" cm="1">
        <f t="array" ref="M211">_xlfn.IFS(I211&lt;12,"Low-Term",I211&gt;=36,"Long-Term",TRUE,"Medium-Term")</f>
        <v>Long-Term</v>
      </c>
      <c r="N211" t="str" cm="1">
        <f t="array" ref="N211">_xlfn.IFS(A211="Bad", "Review Required", AND(A211="Good",J211&gt;7000),"VIP Client", AND(A211="Good", J211&lt;=7000),"Standart Client")</f>
        <v>Review Required</v>
      </c>
      <c r="O211" s="11">
        <v>6560</v>
      </c>
    </row>
    <row r="212" spans="1:15" x14ac:dyDescent="0.3">
      <c r="A212" t="s">
        <v>41</v>
      </c>
      <c r="B212" t="s">
        <v>77</v>
      </c>
      <c r="C212" t="s">
        <v>88</v>
      </c>
      <c r="D212" t="s">
        <v>99</v>
      </c>
      <c r="E212" t="s">
        <v>124</v>
      </c>
      <c r="F212" t="s">
        <v>125</v>
      </c>
      <c r="G212" t="s">
        <v>114</v>
      </c>
      <c r="H212" t="s">
        <v>119</v>
      </c>
      <c r="I212">
        <v>12</v>
      </c>
      <c r="J212" s="11">
        <v>2969</v>
      </c>
      <c r="K212">
        <v>25</v>
      </c>
      <c r="L212" t="str" cm="1">
        <f t="array" ref="L212">_xlfn.IFS(J212&gt;5000,"Hight",J212&gt;2000,"Medium",TRUE,"Low")</f>
        <v>Medium</v>
      </c>
      <c r="M212" t="str" cm="1">
        <f t="array" ref="M212">_xlfn.IFS(I212&lt;12,"Low-Term",I212&gt;=36,"Long-Term",TRUE,"Medium-Term")</f>
        <v>Medium-Term</v>
      </c>
      <c r="N212" t="str" cm="1">
        <f t="array" ref="N212">_xlfn.IFS(A212="Bad", "Review Required", AND(A212="Good",J212&gt;7000),"VIP Client", AND(A212="Good", J212&lt;=7000),"Standart Client")</f>
        <v>Review Required</v>
      </c>
      <c r="O212" s="11">
        <v>2969</v>
      </c>
    </row>
    <row r="213" spans="1:15" x14ac:dyDescent="0.3">
      <c r="A213" t="s">
        <v>41</v>
      </c>
      <c r="B213" t="s">
        <v>80</v>
      </c>
      <c r="C213" t="s">
        <v>92</v>
      </c>
      <c r="D213" t="s">
        <v>99</v>
      </c>
      <c r="E213" t="s">
        <v>124</v>
      </c>
      <c r="F213" t="s">
        <v>125</v>
      </c>
      <c r="G213" t="s">
        <v>114</v>
      </c>
      <c r="H213" t="s">
        <v>121</v>
      </c>
      <c r="I213">
        <v>6</v>
      </c>
      <c r="J213" s="11">
        <v>1198</v>
      </c>
      <c r="K213">
        <v>35</v>
      </c>
      <c r="L213" t="str" cm="1">
        <f t="array" ref="L213">_xlfn.IFS(J213&gt;5000,"Hight",J213&gt;2000,"Medium",TRUE,"Low")</f>
        <v>Low</v>
      </c>
      <c r="M213" t="str" cm="1">
        <f t="array" ref="M213">_xlfn.IFS(I213&lt;12,"Low-Term",I213&gt;=36,"Long-Term",TRUE,"Medium-Term")</f>
        <v>Low-Term</v>
      </c>
      <c r="N213" t="str" cm="1">
        <f t="array" ref="N213">_xlfn.IFS(A213="Bad", "Review Required", AND(A213="Good",J213&gt;7000),"VIP Client", AND(A213="Good", J213&lt;=7000),"Standart Client")</f>
        <v>Review Required</v>
      </c>
      <c r="O213" s="11">
        <v>1198</v>
      </c>
    </row>
    <row r="214" spans="1:15" x14ac:dyDescent="0.3">
      <c r="A214" t="s">
        <v>41</v>
      </c>
      <c r="B214" t="s">
        <v>77</v>
      </c>
      <c r="C214" t="s">
        <v>86</v>
      </c>
      <c r="D214" t="s">
        <v>99</v>
      </c>
      <c r="E214" t="s">
        <v>122</v>
      </c>
      <c r="F214" t="s">
        <v>123</v>
      </c>
      <c r="G214" t="s">
        <v>115</v>
      </c>
      <c r="H214" t="s">
        <v>120</v>
      </c>
      <c r="I214">
        <v>60</v>
      </c>
      <c r="J214" s="11">
        <v>14027</v>
      </c>
      <c r="K214">
        <v>27</v>
      </c>
      <c r="L214" t="str" cm="1">
        <f t="array" ref="L214">_xlfn.IFS(J214&gt;5000,"Hight",J214&gt;2000,"Medium",TRUE,"Low")</f>
        <v>Hight</v>
      </c>
      <c r="M214" t="str" cm="1">
        <f t="array" ref="M214">_xlfn.IFS(I214&lt;12,"Low-Term",I214&gt;=36,"Long-Term",TRUE,"Medium-Term")</f>
        <v>Long-Term</v>
      </c>
      <c r="N214" t="str" cm="1">
        <f t="array" ref="N214">_xlfn.IFS(A214="Bad", "Review Required", AND(A214="Good",J214&gt;7000),"VIP Client", AND(A214="Good", J214&lt;=7000),"Standart Client")</f>
        <v>Review Required</v>
      </c>
      <c r="O214" s="11">
        <v>14027</v>
      </c>
    </row>
    <row r="215" spans="1:15" x14ac:dyDescent="0.3">
      <c r="A215" t="s">
        <v>41</v>
      </c>
      <c r="B215" t="s">
        <v>81</v>
      </c>
      <c r="C215" t="s">
        <v>89</v>
      </c>
      <c r="D215" t="s">
        <v>99</v>
      </c>
      <c r="E215" t="s">
        <v>122</v>
      </c>
      <c r="F215" t="s">
        <v>123</v>
      </c>
      <c r="G215" t="s">
        <v>115</v>
      </c>
      <c r="H215" t="s">
        <v>120</v>
      </c>
      <c r="I215">
        <v>9</v>
      </c>
      <c r="J215" s="11">
        <v>1337</v>
      </c>
      <c r="K215">
        <v>34</v>
      </c>
      <c r="L215" t="str" cm="1">
        <f t="array" ref="L215">_xlfn.IFS(J215&gt;5000,"Hight",J215&gt;2000,"Medium",TRUE,"Low")</f>
        <v>Low</v>
      </c>
      <c r="M215" t="str" cm="1">
        <f t="array" ref="M215">_xlfn.IFS(I215&lt;12,"Low-Term",I215&gt;=36,"Long-Term",TRUE,"Medium-Term")</f>
        <v>Low-Term</v>
      </c>
      <c r="N215" t="str" cm="1">
        <f t="array" ref="N215">_xlfn.IFS(A215="Bad", "Review Required", AND(A215="Good",J215&gt;7000),"VIP Client", AND(A215="Good", J215&lt;=7000),"Standart Client")</f>
        <v>Review Required</v>
      </c>
      <c r="O215" s="11">
        <v>1337</v>
      </c>
    </row>
    <row r="216" spans="1:15" x14ac:dyDescent="0.3">
      <c r="A216" t="s">
        <v>41</v>
      </c>
      <c r="B216" t="s">
        <v>77</v>
      </c>
      <c r="C216" t="s">
        <v>92</v>
      </c>
      <c r="D216" t="s">
        <v>102</v>
      </c>
      <c r="E216" t="s">
        <v>124</v>
      </c>
      <c r="F216" t="s">
        <v>125</v>
      </c>
      <c r="G216" t="s">
        <v>114</v>
      </c>
      <c r="H216" t="s">
        <v>119</v>
      </c>
      <c r="I216">
        <v>6</v>
      </c>
      <c r="J216" s="11">
        <v>433</v>
      </c>
      <c r="K216">
        <v>24</v>
      </c>
      <c r="L216" t="str" cm="1">
        <f t="array" ref="L216">_xlfn.IFS(J216&gt;5000,"Hight",J216&gt;2000,"Medium",TRUE,"Low")</f>
        <v>Low</v>
      </c>
      <c r="M216" t="str" cm="1">
        <f t="array" ref="M216">_xlfn.IFS(I216&lt;12,"Low-Term",I216&gt;=36,"Long-Term",TRUE,"Medium-Term")</f>
        <v>Low-Term</v>
      </c>
      <c r="N216" t="str" cm="1">
        <f t="array" ref="N216">_xlfn.IFS(A216="Bad", "Review Required", AND(A216="Good",J216&gt;7000),"VIP Client", AND(A216="Good", J216&lt;=7000),"Standart Client")</f>
        <v>Review Required</v>
      </c>
      <c r="O216" s="11">
        <v>433</v>
      </c>
    </row>
    <row r="217" spans="1:15" x14ac:dyDescent="0.3">
      <c r="A217" t="s">
        <v>41</v>
      </c>
      <c r="B217" t="s">
        <v>80</v>
      </c>
      <c r="C217" t="s">
        <v>86</v>
      </c>
      <c r="D217" t="s">
        <v>99</v>
      </c>
      <c r="E217" t="s">
        <v>124</v>
      </c>
      <c r="F217" t="s">
        <v>125</v>
      </c>
      <c r="G217" t="s">
        <v>113</v>
      </c>
      <c r="H217" t="s">
        <v>120</v>
      </c>
      <c r="I217">
        <v>12</v>
      </c>
      <c r="J217" s="11">
        <v>1228</v>
      </c>
      <c r="K217">
        <v>24</v>
      </c>
      <c r="L217" t="str" cm="1">
        <f t="array" ref="L217">_xlfn.IFS(J217&gt;5000,"Hight",J217&gt;2000,"Medium",TRUE,"Low")</f>
        <v>Low</v>
      </c>
      <c r="M217" t="str" cm="1">
        <f t="array" ref="M217">_xlfn.IFS(I217&lt;12,"Low-Term",I217&gt;=36,"Long-Term",TRUE,"Medium-Term")</f>
        <v>Medium-Term</v>
      </c>
      <c r="N217" t="str" cm="1">
        <f t="array" ref="N217">_xlfn.IFS(A217="Bad", "Review Required", AND(A217="Good",J217&gt;7000),"VIP Client", AND(A217="Good", J217&lt;=7000),"Standart Client")</f>
        <v>Review Required</v>
      </c>
      <c r="O217" s="11">
        <v>1228</v>
      </c>
    </row>
    <row r="218" spans="1:15" x14ac:dyDescent="0.3">
      <c r="A218" t="s">
        <v>41</v>
      </c>
      <c r="B218" t="s">
        <v>78</v>
      </c>
      <c r="C218" t="s">
        <v>86</v>
      </c>
      <c r="D218" t="s">
        <v>99</v>
      </c>
      <c r="E218" t="s">
        <v>124</v>
      </c>
      <c r="F218" t="s">
        <v>125</v>
      </c>
      <c r="G218" t="s">
        <v>114</v>
      </c>
      <c r="H218" t="s">
        <v>119</v>
      </c>
      <c r="I218">
        <v>27</v>
      </c>
      <c r="J218" s="11">
        <v>2570</v>
      </c>
      <c r="K218">
        <v>21</v>
      </c>
      <c r="L218" t="str" cm="1">
        <f t="array" ref="L218">_xlfn.IFS(J218&gt;5000,"Hight",J218&gt;2000,"Medium",TRUE,"Low")</f>
        <v>Medium</v>
      </c>
      <c r="M218" t="str" cm="1">
        <f t="array" ref="M218">_xlfn.IFS(I218&lt;12,"Low-Term",I218&gt;=36,"Long-Term",TRUE,"Medium-Term")</f>
        <v>Medium-Term</v>
      </c>
      <c r="N218" t="str" cm="1">
        <f t="array" ref="N218">_xlfn.IFS(A218="Bad", "Review Required", AND(A218="Good",J218&gt;7000),"VIP Client", AND(A218="Good", J218&lt;=7000),"Standart Client")</f>
        <v>Review Required</v>
      </c>
      <c r="O218" s="11">
        <v>2570</v>
      </c>
    </row>
    <row r="219" spans="1:15" x14ac:dyDescent="0.3">
      <c r="A219" t="s">
        <v>41</v>
      </c>
      <c r="B219" t="s">
        <v>80</v>
      </c>
      <c r="C219" t="s">
        <v>89</v>
      </c>
      <c r="D219" t="s">
        <v>99</v>
      </c>
      <c r="E219" t="s">
        <v>124</v>
      </c>
      <c r="F219" t="s">
        <v>125</v>
      </c>
      <c r="G219" t="s">
        <v>114</v>
      </c>
      <c r="H219" t="s">
        <v>119</v>
      </c>
      <c r="I219">
        <v>18</v>
      </c>
      <c r="J219" s="11">
        <v>1882</v>
      </c>
      <c r="K219">
        <v>25</v>
      </c>
      <c r="L219" t="str" cm="1">
        <f t="array" ref="L219">_xlfn.IFS(J219&gt;5000,"Hight",J219&gt;2000,"Medium",TRUE,"Low")</f>
        <v>Low</v>
      </c>
      <c r="M219" t="str" cm="1">
        <f t="array" ref="M219">_xlfn.IFS(I219&lt;12,"Low-Term",I219&gt;=36,"Long-Term",TRUE,"Medium-Term")</f>
        <v>Medium-Term</v>
      </c>
      <c r="N219" t="str" cm="1">
        <f t="array" ref="N219">_xlfn.IFS(A219="Bad", "Review Required", AND(A219="Good",J219&gt;7000),"VIP Client", AND(A219="Good", J219&lt;=7000),"Standart Client")</f>
        <v>Review Required</v>
      </c>
      <c r="O219" s="11">
        <v>1882</v>
      </c>
    </row>
    <row r="220" spans="1:15" x14ac:dyDescent="0.3">
      <c r="A220" t="s">
        <v>41</v>
      </c>
      <c r="B220" t="s">
        <v>77</v>
      </c>
      <c r="C220" t="s">
        <v>94</v>
      </c>
      <c r="D220" t="s">
        <v>99</v>
      </c>
      <c r="E220" t="s">
        <v>124</v>
      </c>
      <c r="F220" t="s">
        <v>125</v>
      </c>
      <c r="G220" t="s">
        <v>114</v>
      </c>
      <c r="H220" t="s">
        <v>119</v>
      </c>
      <c r="I220">
        <v>48</v>
      </c>
      <c r="J220" s="11">
        <v>6416</v>
      </c>
      <c r="K220">
        <v>59</v>
      </c>
      <c r="L220" t="str" cm="1">
        <f t="array" ref="L220">_xlfn.IFS(J220&gt;5000,"Hight",J220&gt;2000,"Medium",TRUE,"Low")</f>
        <v>Hight</v>
      </c>
      <c r="M220" t="str" cm="1">
        <f t="array" ref="M220">_xlfn.IFS(I220&lt;12,"Low-Term",I220&gt;=36,"Long-Term",TRUE,"Medium-Term")</f>
        <v>Long-Term</v>
      </c>
      <c r="N220" t="str" cm="1">
        <f t="array" ref="N220">_xlfn.IFS(A220="Bad", "Review Required", AND(A220="Good",J220&gt;7000),"VIP Client", AND(A220="Good", J220&lt;=7000),"Standart Client")</f>
        <v>Review Required</v>
      </c>
      <c r="O220" s="11">
        <v>6416</v>
      </c>
    </row>
    <row r="221" spans="1:15" x14ac:dyDescent="0.3">
      <c r="A221" t="s">
        <v>41</v>
      </c>
      <c r="B221" t="s">
        <v>80</v>
      </c>
      <c r="C221" t="s">
        <v>89</v>
      </c>
      <c r="D221" t="s">
        <v>99</v>
      </c>
      <c r="E221" t="s">
        <v>122</v>
      </c>
      <c r="F221" t="s">
        <v>123</v>
      </c>
      <c r="G221" t="s">
        <v>113</v>
      </c>
      <c r="H221" t="s">
        <v>119</v>
      </c>
      <c r="I221">
        <v>24</v>
      </c>
      <c r="J221" s="11">
        <v>1987</v>
      </c>
      <c r="K221">
        <v>21</v>
      </c>
      <c r="L221" t="str" cm="1">
        <f t="array" ref="L221">_xlfn.IFS(J221&gt;5000,"Hight",J221&gt;2000,"Medium",TRUE,"Low")</f>
        <v>Low</v>
      </c>
      <c r="M221" t="str" cm="1">
        <f t="array" ref="M221">_xlfn.IFS(I221&lt;12,"Low-Term",I221&gt;=36,"Long-Term",TRUE,"Medium-Term")</f>
        <v>Medium-Term</v>
      </c>
      <c r="N221" t="str" cm="1">
        <f t="array" ref="N221">_xlfn.IFS(A221="Bad", "Review Required", AND(A221="Good",J221&gt;7000),"VIP Client", AND(A221="Good", J221&lt;=7000),"Standart Client")</f>
        <v>Review Required</v>
      </c>
      <c r="O221" s="11">
        <v>1987</v>
      </c>
    </row>
    <row r="222" spans="1:15" x14ac:dyDescent="0.3">
      <c r="A222" t="s">
        <v>41</v>
      </c>
      <c r="B222" t="s">
        <v>77</v>
      </c>
      <c r="C222" t="s">
        <v>87</v>
      </c>
      <c r="D222" t="s">
        <v>99</v>
      </c>
      <c r="E222" t="s">
        <v>124</v>
      </c>
      <c r="F222" t="s">
        <v>125</v>
      </c>
      <c r="G222" t="s">
        <v>115</v>
      </c>
      <c r="H222" t="s">
        <v>119</v>
      </c>
      <c r="I222">
        <v>24</v>
      </c>
      <c r="J222" s="11">
        <v>11560</v>
      </c>
      <c r="K222">
        <v>23</v>
      </c>
      <c r="L222" t="str" cm="1">
        <f t="array" ref="L222">_xlfn.IFS(J222&gt;5000,"Hight",J222&gt;2000,"Medium",TRUE,"Low")</f>
        <v>Hight</v>
      </c>
      <c r="M222" t="str" cm="1">
        <f t="array" ref="M222">_xlfn.IFS(I222&lt;12,"Low-Term",I222&gt;=36,"Long-Term",TRUE,"Medium-Term")</f>
        <v>Medium-Term</v>
      </c>
      <c r="N222" t="str" cm="1">
        <f t="array" ref="N222">_xlfn.IFS(A222="Bad", "Review Required", AND(A222="Good",J222&gt;7000),"VIP Client", AND(A222="Good", J222&lt;=7000),"Standart Client")</f>
        <v>Review Required</v>
      </c>
      <c r="O222" s="11">
        <v>11560</v>
      </c>
    </row>
    <row r="223" spans="1:15" x14ac:dyDescent="0.3">
      <c r="A223" t="s">
        <v>41</v>
      </c>
      <c r="B223" t="s">
        <v>77</v>
      </c>
      <c r="C223" t="s">
        <v>94</v>
      </c>
      <c r="D223" t="s">
        <v>100</v>
      </c>
      <c r="E223" t="s">
        <v>124</v>
      </c>
      <c r="F223" t="s">
        <v>125</v>
      </c>
      <c r="G223" t="s">
        <v>113</v>
      </c>
      <c r="H223" t="s">
        <v>119</v>
      </c>
      <c r="I223">
        <v>30</v>
      </c>
      <c r="J223" s="11">
        <v>4280</v>
      </c>
      <c r="K223">
        <v>26</v>
      </c>
      <c r="L223" t="str" cm="1">
        <f t="array" ref="L223">_xlfn.IFS(J223&gt;5000,"Hight",J223&gt;2000,"Medium",TRUE,"Low")</f>
        <v>Medium</v>
      </c>
      <c r="M223" t="str" cm="1">
        <f t="array" ref="M223">_xlfn.IFS(I223&lt;12,"Low-Term",I223&gt;=36,"Long-Term",TRUE,"Medium-Term")</f>
        <v>Medium-Term</v>
      </c>
      <c r="N223" t="str" cm="1">
        <f t="array" ref="N223">_xlfn.IFS(A223="Bad", "Review Required", AND(A223="Good",J223&gt;7000),"VIP Client", AND(A223="Good", J223&lt;=7000),"Standart Client")</f>
        <v>Review Required</v>
      </c>
      <c r="O223" s="11">
        <v>4280</v>
      </c>
    </row>
    <row r="224" spans="1:15" x14ac:dyDescent="0.3">
      <c r="A224" t="s">
        <v>41</v>
      </c>
      <c r="B224" t="s">
        <v>80</v>
      </c>
      <c r="C224" t="s">
        <v>86</v>
      </c>
      <c r="D224" t="s">
        <v>99</v>
      </c>
      <c r="E224" t="s">
        <v>124</v>
      </c>
      <c r="F224" t="s">
        <v>125</v>
      </c>
      <c r="G224" t="s">
        <v>113</v>
      </c>
      <c r="H224" t="s">
        <v>120</v>
      </c>
      <c r="I224">
        <v>12</v>
      </c>
      <c r="J224" s="11">
        <v>1274</v>
      </c>
      <c r="K224">
        <v>37</v>
      </c>
      <c r="L224" t="str" cm="1">
        <f t="array" ref="L224">_xlfn.IFS(J224&gt;5000,"Hight",J224&gt;2000,"Medium",TRUE,"Low")</f>
        <v>Low</v>
      </c>
      <c r="M224" t="str" cm="1">
        <f t="array" ref="M224">_xlfn.IFS(I224&lt;12,"Low-Term",I224&gt;=36,"Long-Term",TRUE,"Medium-Term")</f>
        <v>Medium-Term</v>
      </c>
      <c r="N224" t="str" cm="1">
        <f t="array" ref="N224">_xlfn.IFS(A224="Bad", "Review Required", AND(A224="Good",J224&gt;7000),"VIP Client", AND(A224="Good", J224&lt;=7000),"Standart Client")</f>
        <v>Review Required</v>
      </c>
      <c r="O224" s="11">
        <v>1274</v>
      </c>
    </row>
    <row r="225" spans="1:15" x14ac:dyDescent="0.3">
      <c r="A225" t="s">
        <v>41</v>
      </c>
      <c r="B225" t="s">
        <v>80</v>
      </c>
      <c r="C225" t="s">
        <v>86</v>
      </c>
      <c r="D225" t="s">
        <v>99</v>
      </c>
      <c r="E225" t="s">
        <v>124</v>
      </c>
      <c r="F225" t="s">
        <v>125</v>
      </c>
      <c r="G225" t="s">
        <v>113</v>
      </c>
      <c r="H225" t="s">
        <v>120</v>
      </c>
      <c r="I225">
        <v>18</v>
      </c>
      <c r="J225" s="11">
        <v>976</v>
      </c>
      <c r="K225">
        <v>23</v>
      </c>
      <c r="L225" t="str" cm="1">
        <f t="array" ref="L225">_xlfn.IFS(J225&gt;5000,"Hight",J225&gt;2000,"Medium",TRUE,"Low")</f>
        <v>Low</v>
      </c>
      <c r="M225" t="str" cm="1">
        <f t="array" ref="M225">_xlfn.IFS(I225&lt;12,"Low-Term",I225&gt;=36,"Long-Term",TRUE,"Medium-Term")</f>
        <v>Medium-Term</v>
      </c>
      <c r="N225" t="str" cm="1">
        <f t="array" ref="N225">_xlfn.IFS(A225="Bad", "Review Required", AND(A225="Good",J225&gt;7000),"VIP Client", AND(A225="Good", J225&lt;=7000),"Standart Client")</f>
        <v>Review Required</v>
      </c>
      <c r="O225" s="11">
        <v>976</v>
      </c>
    </row>
    <row r="226" spans="1:15" x14ac:dyDescent="0.3">
      <c r="A226" t="s">
        <v>41</v>
      </c>
      <c r="B226" t="s">
        <v>78</v>
      </c>
      <c r="C226" t="s">
        <v>91</v>
      </c>
      <c r="D226" t="s">
        <v>102</v>
      </c>
      <c r="E226" t="s">
        <v>122</v>
      </c>
      <c r="F226" t="s">
        <v>123</v>
      </c>
      <c r="G226" t="s">
        <v>114</v>
      </c>
      <c r="H226" t="s">
        <v>121</v>
      </c>
      <c r="I226">
        <v>12</v>
      </c>
      <c r="J226" s="11">
        <v>1555</v>
      </c>
      <c r="K226">
        <v>55</v>
      </c>
      <c r="L226" t="str" cm="1">
        <f t="array" ref="L226">_xlfn.IFS(J226&gt;5000,"Hight",J226&gt;2000,"Medium",TRUE,"Low")</f>
        <v>Low</v>
      </c>
      <c r="M226" t="str" cm="1">
        <f t="array" ref="M226">_xlfn.IFS(I226&lt;12,"Low-Term",I226&gt;=36,"Long-Term",TRUE,"Medium-Term")</f>
        <v>Medium-Term</v>
      </c>
      <c r="N226" t="str" cm="1">
        <f t="array" ref="N226">_xlfn.IFS(A226="Bad", "Review Required", AND(A226="Good",J226&gt;7000),"VIP Client", AND(A226="Good", J226&lt;=7000),"Standart Client")</f>
        <v>Review Required</v>
      </c>
      <c r="O226" s="11">
        <v>1555</v>
      </c>
    </row>
    <row r="227" spans="1:15" x14ac:dyDescent="0.3">
      <c r="A227" t="s">
        <v>41</v>
      </c>
      <c r="B227" t="s">
        <v>80</v>
      </c>
      <c r="C227" t="s">
        <v>86</v>
      </c>
      <c r="D227" t="s">
        <v>78</v>
      </c>
      <c r="E227" t="s">
        <v>124</v>
      </c>
      <c r="F227" t="s">
        <v>125</v>
      </c>
      <c r="G227" t="s">
        <v>114</v>
      </c>
      <c r="H227" t="s">
        <v>119</v>
      </c>
      <c r="I227">
        <v>24</v>
      </c>
      <c r="J227" s="11">
        <v>1285</v>
      </c>
      <c r="K227">
        <v>32</v>
      </c>
      <c r="L227" t="str" cm="1">
        <f t="array" ref="L227">_xlfn.IFS(J227&gt;5000,"Hight",J227&gt;2000,"Medium",TRUE,"Low")</f>
        <v>Low</v>
      </c>
      <c r="M227" t="str" cm="1">
        <f t="array" ref="M227">_xlfn.IFS(I227&lt;12,"Low-Term",I227&gt;=36,"Long-Term",TRUE,"Medium-Term")</f>
        <v>Medium-Term</v>
      </c>
      <c r="N227" t="str" cm="1">
        <f t="array" ref="N227">_xlfn.IFS(A227="Bad", "Review Required", AND(A227="Good",J227&gt;7000),"VIP Client", AND(A227="Good", J227&lt;=7000),"Standart Client")</f>
        <v>Review Required</v>
      </c>
      <c r="O227" s="11">
        <v>1285</v>
      </c>
    </row>
    <row r="228" spans="1:15" x14ac:dyDescent="0.3">
      <c r="A228" t="s">
        <v>41</v>
      </c>
      <c r="B228" t="s">
        <v>81</v>
      </c>
      <c r="C228" t="s">
        <v>89</v>
      </c>
      <c r="D228" t="s">
        <v>78</v>
      </c>
      <c r="E228" t="s">
        <v>122</v>
      </c>
      <c r="F228" t="s">
        <v>123</v>
      </c>
      <c r="G228" t="s">
        <v>114</v>
      </c>
      <c r="H228" t="s">
        <v>121</v>
      </c>
      <c r="I228">
        <v>15</v>
      </c>
      <c r="J228" s="11">
        <v>1271</v>
      </c>
      <c r="K228">
        <v>39</v>
      </c>
      <c r="L228" t="str" cm="1">
        <f t="array" ref="L228">_xlfn.IFS(J228&gt;5000,"Hight",J228&gt;2000,"Medium",TRUE,"Low")</f>
        <v>Low</v>
      </c>
      <c r="M228" t="str" cm="1">
        <f t="array" ref="M228">_xlfn.IFS(I228&lt;12,"Low-Term",I228&gt;=36,"Long-Term",TRUE,"Medium-Term")</f>
        <v>Medium-Term</v>
      </c>
      <c r="N228" t="str" cm="1">
        <f t="array" ref="N228">_xlfn.IFS(A228="Bad", "Review Required", AND(A228="Good",J228&gt;7000),"VIP Client", AND(A228="Good", J228&lt;=7000),"Standart Client")</f>
        <v>Review Required</v>
      </c>
      <c r="O228" s="11">
        <v>1271</v>
      </c>
    </row>
    <row r="229" spans="1:15" x14ac:dyDescent="0.3">
      <c r="A229" t="s">
        <v>41</v>
      </c>
      <c r="B229" t="s">
        <v>80</v>
      </c>
      <c r="C229" t="s">
        <v>86</v>
      </c>
      <c r="D229" t="s">
        <v>99</v>
      </c>
      <c r="E229" t="s">
        <v>122</v>
      </c>
      <c r="F229" t="s">
        <v>123</v>
      </c>
      <c r="G229" t="s">
        <v>114</v>
      </c>
      <c r="H229" t="s">
        <v>120</v>
      </c>
      <c r="I229">
        <v>12</v>
      </c>
      <c r="J229" s="11">
        <v>691</v>
      </c>
      <c r="K229">
        <v>35</v>
      </c>
      <c r="L229" t="str" cm="1">
        <f t="array" ref="L229">_xlfn.IFS(J229&gt;5000,"Hight",J229&gt;2000,"Medium",TRUE,"Low")</f>
        <v>Low</v>
      </c>
      <c r="M229" t="str" cm="1">
        <f t="array" ref="M229">_xlfn.IFS(I229&lt;12,"Low-Term",I229&gt;=36,"Long-Term",TRUE,"Medium-Term")</f>
        <v>Medium-Term</v>
      </c>
      <c r="N229" t="str" cm="1">
        <f t="array" ref="N229">_xlfn.IFS(A229="Bad", "Review Required", AND(A229="Good",J229&gt;7000),"VIP Client", AND(A229="Good", J229&lt;=7000),"Standart Client")</f>
        <v>Review Required</v>
      </c>
      <c r="O229" s="11">
        <v>691</v>
      </c>
    </row>
    <row r="230" spans="1:15" x14ac:dyDescent="0.3">
      <c r="A230" t="s">
        <v>41</v>
      </c>
      <c r="B230" t="s">
        <v>80</v>
      </c>
      <c r="C230" t="s">
        <v>88</v>
      </c>
      <c r="D230" t="s">
        <v>99</v>
      </c>
      <c r="E230" t="s">
        <v>124</v>
      </c>
      <c r="F230" t="s">
        <v>125</v>
      </c>
      <c r="G230" t="s">
        <v>114</v>
      </c>
      <c r="H230" t="s">
        <v>119</v>
      </c>
      <c r="I230">
        <v>18</v>
      </c>
      <c r="J230" s="11">
        <v>2124</v>
      </c>
      <c r="K230">
        <v>24</v>
      </c>
      <c r="L230" t="str" cm="1">
        <f t="array" ref="L230">_xlfn.IFS(J230&gt;5000,"Hight",J230&gt;2000,"Medium",TRUE,"Low")</f>
        <v>Medium</v>
      </c>
      <c r="M230" t="str" cm="1">
        <f t="array" ref="M230">_xlfn.IFS(I230&lt;12,"Low-Term",I230&gt;=36,"Long-Term",TRUE,"Medium-Term")</f>
        <v>Medium-Term</v>
      </c>
      <c r="N230" t="str" cm="1">
        <f t="array" ref="N230">_xlfn.IFS(A230="Bad", "Review Required", AND(A230="Good",J230&gt;7000),"VIP Client", AND(A230="Good", J230&lt;=7000),"Standart Client")</f>
        <v>Review Required</v>
      </c>
      <c r="O230" s="11">
        <v>2124</v>
      </c>
    </row>
    <row r="231" spans="1:15" x14ac:dyDescent="0.3">
      <c r="A231" t="s">
        <v>41</v>
      </c>
      <c r="B231" t="s">
        <v>78</v>
      </c>
      <c r="C231" t="s">
        <v>86</v>
      </c>
      <c r="D231" t="s">
        <v>78</v>
      </c>
      <c r="E231" t="s">
        <v>122</v>
      </c>
      <c r="F231" t="s">
        <v>123</v>
      </c>
      <c r="G231" t="s">
        <v>115</v>
      </c>
      <c r="H231" t="s">
        <v>121</v>
      </c>
      <c r="I231">
        <v>21</v>
      </c>
      <c r="J231" s="11">
        <v>12680</v>
      </c>
      <c r="K231">
        <v>30</v>
      </c>
      <c r="L231" t="str" cm="1">
        <f t="array" ref="L231">_xlfn.IFS(J231&gt;5000,"Hight",J231&gt;2000,"Medium",TRUE,"Low")</f>
        <v>Hight</v>
      </c>
      <c r="M231" t="str" cm="1">
        <f t="array" ref="M231">_xlfn.IFS(I231&lt;12,"Low-Term",I231&gt;=36,"Long-Term",TRUE,"Medium-Term")</f>
        <v>Medium-Term</v>
      </c>
      <c r="N231" t="str" cm="1">
        <f t="array" ref="N231">_xlfn.IFS(A231="Bad", "Review Required", AND(A231="Good",J231&gt;7000),"VIP Client", AND(A231="Good", J231&lt;=7000),"Standart Client")</f>
        <v>Review Required</v>
      </c>
      <c r="O231" s="11">
        <v>12680</v>
      </c>
    </row>
    <row r="232" spans="1:15" x14ac:dyDescent="0.3">
      <c r="A232" t="s">
        <v>41</v>
      </c>
      <c r="B232" t="s">
        <v>80</v>
      </c>
      <c r="C232" t="s">
        <v>88</v>
      </c>
      <c r="D232" t="s">
        <v>99</v>
      </c>
      <c r="E232" t="s">
        <v>122</v>
      </c>
      <c r="F232" t="s">
        <v>126</v>
      </c>
      <c r="G232" t="s">
        <v>113</v>
      </c>
      <c r="H232" t="s">
        <v>120</v>
      </c>
      <c r="I232">
        <v>30</v>
      </c>
      <c r="J232" s="11">
        <v>3108</v>
      </c>
      <c r="K232">
        <v>31</v>
      </c>
      <c r="L232" t="str" cm="1">
        <f t="array" ref="L232">_xlfn.IFS(J232&gt;5000,"Hight",J232&gt;2000,"Medium",TRUE,"Low")</f>
        <v>Medium</v>
      </c>
      <c r="M232" t="str" cm="1">
        <f t="array" ref="M232">_xlfn.IFS(I232&lt;12,"Low-Term",I232&gt;=36,"Long-Term",TRUE,"Medium-Term")</f>
        <v>Medium-Term</v>
      </c>
      <c r="N232" t="str" cm="1">
        <f t="array" ref="N232">_xlfn.IFS(A232="Bad", "Review Required", AND(A232="Good",J232&gt;7000),"VIP Client", AND(A232="Good", J232&lt;=7000),"Standart Client")</f>
        <v>Review Required</v>
      </c>
      <c r="O232" s="11">
        <v>3108</v>
      </c>
    </row>
    <row r="233" spans="1:15" x14ac:dyDescent="0.3">
      <c r="A233" t="s">
        <v>41</v>
      </c>
      <c r="B233" t="s">
        <v>80</v>
      </c>
      <c r="C233" t="s">
        <v>92</v>
      </c>
      <c r="D233" t="s">
        <v>99</v>
      </c>
      <c r="E233" t="s">
        <v>124</v>
      </c>
      <c r="F233" t="s">
        <v>125</v>
      </c>
      <c r="G233" t="s">
        <v>115</v>
      </c>
      <c r="H233" t="s">
        <v>120</v>
      </c>
      <c r="I233">
        <v>36</v>
      </c>
      <c r="J233" s="11">
        <v>8065</v>
      </c>
      <c r="K233">
        <v>25</v>
      </c>
      <c r="L233" t="str" cm="1">
        <f t="array" ref="L233">_xlfn.IFS(J233&gt;5000,"Hight",J233&gt;2000,"Medium",TRUE,"Low")</f>
        <v>Hight</v>
      </c>
      <c r="M233" t="str" cm="1">
        <f t="array" ref="M233">_xlfn.IFS(I233&lt;12,"Low-Term",I233&gt;=36,"Long-Term",TRUE,"Medium-Term")</f>
        <v>Long-Term</v>
      </c>
      <c r="N233" t="str" cm="1">
        <f t="array" ref="N233">_xlfn.IFS(A233="Bad", "Review Required", AND(A233="Good",J233&gt;7000),"VIP Client", AND(A233="Good", J233&lt;=7000),"Standart Client")</f>
        <v>Review Required</v>
      </c>
      <c r="O233" s="11">
        <v>8065</v>
      </c>
    </row>
    <row r="234" spans="1:15" x14ac:dyDescent="0.3">
      <c r="A234" t="s">
        <v>41</v>
      </c>
      <c r="B234" t="s">
        <v>80</v>
      </c>
      <c r="C234" t="s">
        <v>86</v>
      </c>
      <c r="D234" t="s">
        <v>78</v>
      </c>
      <c r="E234" t="s">
        <v>124</v>
      </c>
      <c r="F234" t="s">
        <v>125</v>
      </c>
      <c r="G234" t="s">
        <v>114</v>
      </c>
      <c r="H234" t="s">
        <v>119</v>
      </c>
      <c r="I234">
        <v>24</v>
      </c>
      <c r="J234" s="11">
        <v>1371</v>
      </c>
      <c r="K234">
        <v>25</v>
      </c>
      <c r="L234" t="str" cm="1">
        <f t="array" ref="L234">_xlfn.IFS(J234&gt;5000,"Hight",J234&gt;2000,"Medium",TRUE,"Low")</f>
        <v>Low</v>
      </c>
      <c r="M234" t="str" cm="1">
        <f t="array" ref="M234">_xlfn.IFS(I234&lt;12,"Low-Term",I234&gt;=36,"Long-Term",TRUE,"Medium-Term")</f>
        <v>Medium-Term</v>
      </c>
      <c r="N234" t="str" cm="1">
        <f t="array" ref="N234">_xlfn.IFS(A234="Bad", "Review Required", AND(A234="Good",J234&gt;7000),"VIP Client", AND(A234="Good", J234&lt;=7000),"Standart Client")</f>
        <v>Review Required</v>
      </c>
      <c r="O234" s="11">
        <v>1371</v>
      </c>
    </row>
    <row r="235" spans="1:15" x14ac:dyDescent="0.3">
      <c r="A235" t="s">
        <v>41</v>
      </c>
      <c r="B235" t="s">
        <v>77</v>
      </c>
      <c r="C235" t="s">
        <v>89</v>
      </c>
      <c r="D235" t="s">
        <v>99</v>
      </c>
      <c r="E235" t="s">
        <v>122</v>
      </c>
      <c r="F235" t="s">
        <v>123</v>
      </c>
      <c r="G235" t="s">
        <v>114</v>
      </c>
      <c r="H235" t="s">
        <v>120</v>
      </c>
      <c r="I235">
        <v>39</v>
      </c>
      <c r="J235" s="11">
        <v>4933</v>
      </c>
      <c r="K235">
        <v>25</v>
      </c>
      <c r="L235" t="str" cm="1">
        <f t="array" ref="L235">_xlfn.IFS(J235&gt;5000,"Hight",J235&gt;2000,"Medium",TRUE,"Low")</f>
        <v>Medium</v>
      </c>
      <c r="M235" t="str" cm="1">
        <f t="array" ref="M235">_xlfn.IFS(I235&lt;12,"Low-Term",I235&gt;=36,"Long-Term",TRUE,"Medium-Term")</f>
        <v>Long-Term</v>
      </c>
      <c r="N235" t="str" cm="1">
        <f t="array" ref="N235">_xlfn.IFS(A235="Bad", "Review Required", AND(A235="Good",J235&gt;7000),"VIP Client", AND(A235="Good", J235&lt;=7000),"Standart Client")</f>
        <v>Review Required</v>
      </c>
      <c r="O235" s="11">
        <v>4933</v>
      </c>
    </row>
    <row r="236" spans="1:15" x14ac:dyDescent="0.3">
      <c r="A236" t="s">
        <v>41</v>
      </c>
      <c r="B236" t="s">
        <v>77</v>
      </c>
      <c r="C236" t="s">
        <v>86</v>
      </c>
      <c r="D236" t="s">
        <v>100</v>
      </c>
      <c r="E236" t="s">
        <v>124</v>
      </c>
      <c r="F236" t="s">
        <v>125</v>
      </c>
      <c r="G236" t="s">
        <v>113</v>
      </c>
      <c r="H236" t="s">
        <v>120</v>
      </c>
      <c r="I236">
        <v>12</v>
      </c>
      <c r="J236" s="11">
        <v>836</v>
      </c>
      <c r="K236">
        <v>23</v>
      </c>
      <c r="L236" t="str" cm="1">
        <f t="array" ref="L236">_xlfn.IFS(J236&gt;5000,"Hight",J236&gt;2000,"Medium",TRUE,"Low")</f>
        <v>Low</v>
      </c>
      <c r="M236" t="str" cm="1">
        <f t="array" ref="M236">_xlfn.IFS(I236&lt;12,"Low-Term",I236&gt;=36,"Long-Term",TRUE,"Medium-Term")</f>
        <v>Medium-Term</v>
      </c>
      <c r="N236" t="str" cm="1">
        <f t="array" ref="N236">_xlfn.IFS(A236="Bad", "Review Required", AND(A236="Good",J236&gt;7000),"VIP Client", AND(A236="Good", J236&lt;=7000),"Standart Client")</f>
        <v>Review Required</v>
      </c>
      <c r="O236" s="11">
        <v>836</v>
      </c>
    </row>
    <row r="237" spans="1:15" x14ac:dyDescent="0.3">
      <c r="A237" t="s">
        <v>41</v>
      </c>
      <c r="B237" t="s">
        <v>77</v>
      </c>
      <c r="C237" t="s">
        <v>92</v>
      </c>
      <c r="D237" t="s">
        <v>99</v>
      </c>
      <c r="E237" t="s">
        <v>122</v>
      </c>
      <c r="F237" t="s">
        <v>123</v>
      </c>
      <c r="G237" t="s">
        <v>114</v>
      </c>
      <c r="H237" t="s">
        <v>121</v>
      </c>
      <c r="I237">
        <v>48</v>
      </c>
      <c r="J237" s="11">
        <v>6224</v>
      </c>
      <c r="K237">
        <v>50</v>
      </c>
      <c r="L237" t="str" cm="1">
        <f t="array" ref="L237">_xlfn.IFS(J237&gt;5000,"Hight",J237&gt;2000,"Medium",TRUE,"Low")</f>
        <v>Hight</v>
      </c>
      <c r="M237" t="str" cm="1">
        <f t="array" ref="M237">_xlfn.IFS(I237&lt;12,"Low-Term",I237&gt;=36,"Long-Term",TRUE,"Medium-Term")</f>
        <v>Long-Term</v>
      </c>
      <c r="N237" t="str" cm="1">
        <f t="array" ref="N237">_xlfn.IFS(A237="Bad", "Review Required", AND(A237="Good",J237&gt;7000),"VIP Client", AND(A237="Good", J237&lt;=7000),"Standart Client")</f>
        <v>Review Required</v>
      </c>
      <c r="O237" s="11">
        <v>6224</v>
      </c>
    </row>
    <row r="238" spans="1:15" x14ac:dyDescent="0.3">
      <c r="A238" t="s">
        <v>41</v>
      </c>
      <c r="B238" t="s">
        <v>80</v>
      </c>
      <c r="C238" t="s">
        <v>92</v>
      </c>
      <c r="D238" t="s">
        <v>99</v>
      </c>
      <c r="E238" t="s">
        <v>122</v>
      </c>
      <c r="F238" t="s">
        <v>123</v>
      </c>
      <c r="G238" t="s">
        <v>114</v>
      </c>
      <c r="H238" t="s">
        <v>120</v>
      </c>
      <c r="I238">
        <v>40</v>
      </c>
      <c r="J238" s="11">
        <v>5998</v>
      </c>
      <c r="K238">
        <v>27</v>
      </c>
      <c r="L238" t="str" cm="1">
        <f t="array" ref="L238">_xlfn.IFS(J238&gt;5000,"Hight",J238&gt;2000,"Medium",TRUE,"Low")</f>
        <v>Hight</v>
      </c>
      <c r="M238" t="str" cm="1">
        <f t="array" ref="M238">_xlfn.IFS(I238&lt;12,"Low-Term",I238&gt;=36,"Long-Term",TRUE,"Medium-Term")</f>
        <v>Long-Term</v>
      </c>
      <c r="N238" t="str" cm="1">
        <f t="array" ref="N238">_xlfn.IFS(A238="Bad", "Review Required", AND(A238="Good",J238&gt;7000),"VIP Client", AND(A238="Good", J238&lt;=7000),"Standart Client")</f>
        <v>Review Required</v>
      </c>
      <c r="O238" s="11">
        <v>5998</v>
      </c>
    </row>
    <row r="239" spans="1:15" x14ac:dyDescent="0.3">
      <c r="A239" t="s">
        <v>41</v>
      </c>
      <c r="B239" t="s">
        <v>77</v>
      </c>
      <c r="C239" t="s">
        <v>94</v>
      </c>
      <c r="D239" t="s">
        <v>99</v>
      </c>
      <c r="E239" t="s">
        <v>124</v>
      </c>
      <c r="F239" t="s">
        <v>125</v>
      </c>
      <c r="G239" t="s">
        <v>114</v>
      </c>
      <c r="H239" t="s">
        <v>120</v>
      </c>
      <c r="I239">
        <v>21</v>
      </c>
      <c r="J239" s="11">
        <v>1188</v>
      </c>
      <c r="K239">
        <v>39</v>
      </c>
      <c r="L239" t="str" cm="1">
        <f t="array" ref="L239">_xlfn.IFS(J239&gt;5000,"Hight",J239&gt;2000,"Medium",TRUE,"Low")</f>
        <v>Low</v>
      </c>
      <c r="M239" t="str" cm="1">
        <f t="array" ref="M239">_xlfn.IFS(I239&lt;12,"Low-Term",I239&gt;=36,"Long-Term",TRUE,"Medium-Term")</f>
        <v>Medium-Term</v>
      </c>
      <c r="N239" t="str" cm="1">
        <f t="array" ref="N239">_xlfn.IFS(A239="Bad", "Review Required", AND(A239="Good",J239&gt;7000),"VIP Client", AND(A239="Good", J239&lt;=7000),"Standart Client")</f>
        <v>Review Required</v>
      </c>
      <c r="O239" s="11">
        <v>1188</v>
      </c>
    </row>
    <row r="240" spans="1:15" x14ac:dyDescent="0.3">
      <c r="A240" t="s">
        <v>41</v>
      </c>
      <c r="B240" t="s">
        <v>80</v>
      </c>
      <c r="C240" t="s">
        <v>87</v>
      </c>
      <c r="D240" t="s">
        <v>78</v>
      </c>
      <c r="E240" t="s">
        <v>122</v>
      </c>
      <c r="F240" t="s">
        <v>123</v>
      </c>
      <c r="G240" t="s">
        <v>114</v>
      </c>
      <c r="H240" t="s">
        <v>121</v>
      </c>
      <c r="I240">
        <v>18</v>
      </c>
      <c r="J240" s="11">
        <v>7511</v>
      </c>
      <c r="K240">
        <v>51</v>
      </c>
      <c r="L240" t="str" cm="1">
        <f t="array" ref="L240">_xlfn.IFS(J240&gt;5000,"Hight",J240&gt;2000,"Medium",TRUE,"Low")</f>
        <v>Hight</v>
      </c>
      <c r="M240" t="str" cm="1">
        <f t="array" ref="M240">_xlfn.IFS(I240&lt;12,"Low-Term",I240&gt;=36,"Long-Term",TRUE,"Medium-Term")</f>
        <v>Medium-Term</v>
      </c>
      <c r="N240" t="str" cm="1">
        <f t="array" ref="N240">_xlfn.IFS(A240="Bad", "Review Required", AND(A240="Good",J240&gt;7000),"VIP Client", AND(A240="Good", J240&lt;=7000),"Standart Client")</f>
        <v>Review Required</v>
      </c>
      <c r="O240" s="11">
        <v>7511</v>
      </c>
    </row>
    <row r="241" spans="1:15" x14ac:dyDescent="0.3">
      <c r="A241" t="s">
        <v>41</v>
      </c>
      <c r="B241" t="s">
        <v>80</v>
      </c>
      <c r="C241" t="s">
        <v>86</v>
      </c>
      <c r="D241" t="s">
        <v>99</v>
      </c>
      <c r="E241" t="s">
        <v>122</v>
      </c>
      <c r="F241" t="s">
        <v>123</v>
      </c>
      <c r="G241" t="s">
        <v>114</v>
      </c>
      <c r="H241" t="s">
        <v>120</v>
      </c>
      <c r="I241">
        <v>36</v>
      </c>
      <c r="J241" s="11">
        <v>9271</v>
      </c>
      <c r="K241">
        <v>24</v>
      </c>
      <c r="L241" t="str" cm="1">
        <f t="array" ref="L241">_xlfn.IFS(J241&gt;5000,"Hight",J241&gt;2000,"Medium",TRUE,"Low")</f>
        <v>Hight</v>
      </c>
      <c r="M241" t="str" cm="1">
        <f t="array" ref="M241">_xlfn.IFS(I241&lt;12,"Low-Term",I241&gt;=36,"Long-Term",TRUE,"Medium-Term")</f>
        <v>Long-Term</v>
      </c>
      <c r="N241" t="str" cm="1">
        <f t="array" ref="N241">_xlfn.IFS(A241="Bad", "Review Required", AND(A241="Good",J241&gt;7000),"VIP Client", AND(A241="Good", J241&lt;=7000),"Standart Client")</f>
        <v>Review Required</v>
      </c>
      <c r="O241" s="11">
        <v>9271</v>
      </c>
    </row>
    <row r="242" spans="1:15" x14ac:dyDescent="0.3">
      <c r="A242" t="s">
        <v>41</v>
      </c>
      <c r="B242" t="s">
        <v>77</v>
      </c>
      <c r="C242" t="s">
        <v>86</v>
      </c>
      <c r="D242" t="s">
        <v>99</v>
      </c>
      <c r="E242" t="s">
        <v>124</v>
      </c>
      <c r="F242" t="s">
        <v>125</v>
      </c>
      <c r="G242" t="s">
        <v>112</v>
      </c>
      <c r="H242" t="s">
        <v>119</v>
      </c>
      <c r="I242">
        <v>15</v>
      </c>
      <c r="J242" s="11">
        <v>1778</v>
      </c>
      <c r="K242">
        <v>26</v>
      </c>
      <c r="L242" t="str" cm="1">
        <f t="array" ref="L242">_xlfn.IFS(J242&gt;5000,"Hight",J242&gt;2000,"Medium",TRUE,"Low")</f>
        <v>Low</v>
      </c>
      <c r="M242" t="str" cm="1">
        <f t="array" ref="M242">_xlfn.IFS(I242&lt;12,"Low-Term",I242&gt;=36,"Long-Term",TRUE,"Medium-Term")</f>
        <v>Medium-Term</v>
      </c>
      <c r="N242" t="str" cm="1">
        <f t="array" ref="N242">_xlfn.IFS(A242="Bad", "Review Required", AND(A242="Good",J242&gt;7000),"VIP Client", AND(A242="Good", J242&lt;=7000),"Standart Client")</f>
        <v>Review Required</v>
      </c>
      <c r="O242" s="11">
        <v>1778</v>
      </c>
    </row>
    <row r="243" spans="1:15" x14ac:dyDescent="0.3">
      <c r="A243" t="s">
        <v>41</v>
      </c>
      <c r="B243" t="s">
        <v>80</v>
      </c>
      <c r="C243" t="s">
        <v>87</v>
      </c>
      <c r="D243" t="s">
        <v>99</v>
      </c>
      <c r="E243" t="s">
        <v>122</v>
      </c>
      <c r="F243" t="s">
        <v>123</v>
      </c>
      <c r="G243" t="s">
        <v>114</v>
      </c>
      <c r="H243" t="s">
        <v>120</v>
      </c>
      <c r="I243">
        <v>36</v>
      </c>
      <c r="J243" s="11">
        <v>9629</v>
      </c>
      <c r="K243">
        <v>24</v>
      </c>
      <c r="L243" t="str" cm="1">
        <f t="array" ref="L243">_xlfn.IFS(J243&gt;5000,"Hight",J243&gt;2000,"Medium",TRUE,"Low")</f>
        <v>Hight</v>
      </c>
      <c r="M243" t="str" cm="1">
        <f t="array" ref="M243">_xlfn.IFS(I243&lt;12,"Low-Term",I243&gt;=36,"Long-Term",TRUE,"Medium-Term")</f>
        <v>Long-Term</v>
      </c>
      <c r="N243" t="str" cm="1">
        <f t="array" ref="N243">_xlfn.IFS(A243="Bad", "Review Required", AND(A243="Good",J243&gt;7000),"VIP Client", AND(A243="Good", J243&lt;=7000),"Standart Client")</f>
        <v>Review Required</v>
      </c>
      <c r="O243" s="11">
        <v>9629</v>
      </c>
    </row>
    <row r="244" spans="1:15" x14ac:dyDescent="0.3">
      <c r="A244" t="s">
        <v>41</v>
      </c>
      <c r="B244" t="s">
        <v>80</v>
      </c>
      <c r="C244" t="s">
        <v>90</v>
      </c>
      <c r="D244" t="s">
        <v>99</v>
      </c>
      <c r="E244" t="s">
        <v>122</v>
      </c>
      <c r="F244" t="s">
        <v>123</v>
      </c>
      <c r="G244" t="s">
        <v>114</v>
      </c>
      <c r="H244" t="s">
        <v>120</v>
      </c>
      <c r="I244">
        <v>48</v>
      </c>
      <c r="J244" s="11">
        <v>3051</v>
      </c>
      <c r="K244">
        <v>54</v>
      </c>
      <c r="L244" t="str" cm="1">
        <f t="array" ref="L244">_xlfn.IFS(J244&gt;5000,"Hight",J244&gt;2000,"Medium",TRUE,"Low")</f>
        <v>Medium</v>
      </c>
      <c r="M244" t="str" cm="1">
        <f t="array" ref="M244">_xlfn.IFS(I244&lt;12,"Low-Term",I244&gt;=36,"Long-Term",TRUE,"Medium-Term")</f>
        <v>Long-Term</v>
      </c>
      <c r="N244" t="str" cm="1">
        <f t="array" ref="N244">_xlfn.IFS(A244="Bad", "Review Required", AND(A244="Good",J244&gt;7000),"VIP Client", AND(A244="Good", J244&lt;=7000),"Standart Client")</f>
        <v>Review Required</v>
      </c>
      <c r="O244" s="11">
        <v>3051</v>
      </c>
    </row>
    <row r="245" spans="1:15" x14ac:dyDescent="0.3">
      <c r="A245" t="s">
        <v>41</v>
      </c>
      <c r="B245" t="s">
        <v>80</v>
      </c>
      <c r="C245" t="s">
        <v>86</v>
      </c>
      <c r="D245" t="s">
        <v>99</v>
      </c>
      <c r="E245" t="s">
        <v>122</v>
      </c>
      <c r="F245" t="s">
        <v>123</v>
      </c>
      <c r="G245" t="s">
        <v>114</v>
      </c>
      <c r="H245" t="s">
        <v>121</v>
      </c>
      <c r="I245">
        <v>48</v>
      </c>
      <c r="J245" s="11">
        <v>3931</v>
      </c>
      <c r="K245">
        <v>46</v>
      </c>
      <c r="L245" t="str" cm="1">
        <f t="array" ref="L245">_xlfn.IFS(J245&gt;5000,"Hight",J245&gt;2000,"Medium",TRUE,"Low")</f>
        <v>Medium</v>
      </c>
      <c r="M245" t="str" cm="1">
        <f t="array" ref="M245">_xlfn.IFS(I245&lt;12,"Low-Term",I245&gt;=36,"Long-Term",TRUE,"Medium-Term")</f>
        <v>Long-Term</v>
      </c>
      <c r="N245" t="str" cm="1">
        <f t="array" ref="N245">_xlfn.IFS(A245="Bad", "Review Required", AND(A245="Good",J245&gt;7000),"VIP Client", AND(A245="Good", J245&lt;=7000),"Standart Client")</f>
        <v>Review Required</v>
      </c>
      <c r="O245" s="11">
        <v>3931</v>
      </c>
    </row>
    <row r="246" spans="1:15" x14ac:dyDescent="0.3">
      <c r="A246" t="s">
        <v>41</v>
      </c>
      <c r="B246" t="s">
        <v>80</v>
      </c>
      <c r="C246" t="s">
        <v>89</v>
      </c>
      <c r="D246" t="s">
        <v>99</v>
      </c>
      <c r="E246" t="s">
        <v>122</v>
      </c>
      <c r="F246" t="s">
        <v>127</v>
      </c>
      <c r="G246" t="s">
        <v>114</v>
      </c>
      <c r="H246" t="s">
        <v>120</v>
      </c>
      <c r="I246">
        <v>18</v>
      </c>
      <c r="J246" s="11">
        <v>1345</v>
      </c>
      <c r="K246">
        <v>26</v>
      </c>
      <c r="L246" t="str" cm="1">
        <f t="array" ref="L246">_xlfn.IFS(J246&gt;5000,"Hight",J246&gt;2000,"Medium",TRUE,"Low")</f>
        <v>Low</v>
      </c>
      <c r="M246" t="str" cm="1">
        <f t="array" ref="M246">_xlfn.IFS(I246&lt;12,"Low-Term",I246&gt;=36,"Long-Term",TRUE,"Medium-Term")</f>
        <v>Medium-Term</v>
      </c>
      <c r="N246" t="str" cm="1">
        <f t="array" ref="N246">_xlfn.IFS(A246="Bad", "Review Required", AND(A246="Good",J246&gt;7000),"VIP Client", AND(A246="Good", J246&lt;=7000),"Standart Client")</f>
        <v>Review Required</v>
      </c>
      <c r="O246" s="11">
        <v>1345</v>
      </c>
    </row>
    <row r="247" spans="1:15" x14ac:dyDescent="0.3">
      <c r="A247" t="s">
        <v>41</v>
      </c>
      <c r="B247" t="s">
        <v>80</v>
      </c>
      <c r="C247" t="s">
        <v>88</v>
      </c>
      <c r="D247" t="s">
        <v>99</v>
      </c>
      <c r="E247" t="s">
        <v>122</v>
      </c>
      <c r="F247" t="s">
        <v>123</v>
      </c>
      <c r="G247" t="s">
        <v>114</v>
      </c>
      <c r="H247" t="s">
        <v>120</v>
      </c>
      <c r="I247">
        <v>36</v>
      </c>
      <c r="J247" s="11">
        <v>2712</v>
      </c>
      <c r="K247">
        <v>41</v>
      </c>
      <c r="L247" t="str" cm="1">
        <f t="array" ref="L247">_xlfn.IFS(J247&gt;5000,"Hight",J247&gt;2000,"Medium",TRUE,"Low")</f>
        <v>Medium</v>
      </c>
      <c r="M247" t="str" cm="1">
        <f t="array" ref="M247">_xlfn.IFS(I247&lt;12,"Low-Term",I247&gt;=36,"Long-Term",TRUE,"Medium-Term")</f>
        <v>Long-Term</v>
      </c>
      <c r="N247" t="str" cm="1">
        <f t="array" ref="N247">_xlfn.IFS(A247="Bad", "Review Required", AND(A247="Good",J247&gt;7000),"VIP Client", AND(A247="Good", J247&lt;=7000),"Standart Client")</f>
        <v>Review Required</v>
      </c>
      <c r="O247" s="11">
        <v>2712</v>
      </c>
    </row>
    <row r="248" spans="1:15" x14ac:dyDescent="0.3">
      <c r="A248" t="s">
        <v>41</v>
      </c>
      <c r="B248" t="s">
        <v>80</v>
      </c>
      <c r="C248" t="s">
        <v>86</v>
      </c>
      <c r="D248" t="s">
        <v>99</v>
      </c>
      <c r="E248" t="s">
        <v>124</v>
      </c>
      <c r="F248" t="s">
        <v>125</v>
      </c>
      <c r="G248" t="s">
        <v>114</v>
      </c>
      <c r="H248" t="s">
        <v>119</v>
      </c>
      <c r="I248">
        <v>18</v>
      </c>
      <c r="J248" s="11">
        <v>3966</v>
      </c>
      <c r="K248">
        <v>33</v>
      </c>
      <c r="L248" t="str" cm="1">
        <f t="array" ref="L248">_xlfn.IFS(J248&gt;5000,"Hight",J248&gt;2000,"Medium",TRUE,"Low")</f>
        <v>Medium</v>
      </c>
      <c r="M248" t="str" cm="1">
        <f t="array" ref="M248">_xlfn.IFS(I248&lt;12,"Low-Term",I248&gt;=36,"Long-Term",TRUE,"Medium-Term")</f>
        <v>Medium-Term</v>
      </c>
      <c r="N248" t="str" cm="1">
        <f t="array" ref="N248">_xlfn.IFS(A248="Bad", "Review Required", AND(A248="Good",J248&gt;7000),"VIP Client", AND(A248="Good", J248&lt;=7000),"Standart Client")</f>
        <v>Review Required</v>
      </c>
      <c r="O248" s="11">
        <v>3966</v>
      </c>
    </row>
    <row r="249" spans="1:15" x14ac:dyDescent="0.3">
      <c r="A249" t="s">
        <v>41</v>
      </c>
      <c r="B249" t="s">
        <v>78</v>
      </c>
      <c r="C249" t="s">
        <v>94</v>
      </c>
      <c r="D249" t="s">
        <v>99</v>
      </c>
      <c r="E249" t="s">
        <v>122</v>
      </c>
      <c r="F249" t="s">
        <v>123</v>
      </c>
      <c r="G249" t="s">
        <v>114</v>
      </c>
      <c r="H249" t="s">
        <v>120</v>
      </c>
      <c r="I249">
        <v>18</v>
      </c>
      <c r="J249" s="11">
        <v>4165</v>
      </c>
      <c r="K249">
        <v>36</v>
      </c>
      <c r="L249" t="str" cm="1">
        <f t="array" ref="L249">_xlfn.IFS(J249&gt;5000,"Hight",J249&gt;2000,"Medium",TRUE,"Low")</f>
        <v>Medium</v>
      </c>
      <c r="M249" t="str" cm="1">
        <f t="array" ref="M249">_xlfn.IFS(I249&lt;12,"Low-Term",I249&gt;=36,"Long-Term",TRUE,"Medium-Term")</f>
        <v>Medium-Term</v>
      </c>
      <c r="N249" t="str" cm="1">
        <f t="array" ref="N249">_xlfn.IFS(A249="Bad", "Review Required", AND(A249="Good",J249&gt;7000),"VIP Client", AND(A249="Good", J249&lt;=7000),"Standart Client")</f>
        <v>Review Required</v>
      </c>
      <c r="O249" s="11">
        <v>4165</v>
      </c>
    </row>
    <row r="250" spans="1:15" x14ac:dyDescent="0.3">
      <c r="A250" t="s">
        <v>41</v>
      </c>
      <c r="B250" t="s">
        <v>80</v>
      </c>
      <c r="C250" t="s">
        <v>87</v>
      </c>
      <c r="D250" t="s">
        <v>78</v>
      </c>
      <c r="E250" t="s">
        <v>122</v>
      </c>
      <c r="F250" t="s">
        <v>123</v>
      </c>
      <c r="G250" t="s">
        <v>114</v>
      </c>
      <c r="H250" t="s">
        <v>121</v>
      </c>
      <c r="I250">
        <v>36</v>
      </c>
      <c r="J250" s="11">
        <v>8335</v>
      </c>
      <c r="K250">
        <v>47</v>
      </c>
      <c r="L250" t="str" cm="1">
        <f t="array" ref="L250">_xlfn.IFS(J250&gt;5000,"Hight",J250&gt;2000,"Medium",TRUE,"Low")</f>
        <v>Hight</v>
      </c>
      <c r="M250" t="str" cm="1">
        <f t="array" ref="M250">_xlfn.IFS(I250&lt;12,"Low-Term",I250&gt;=36,"Long-Term",TRUE,"Medium-Term")</f>
        <v>Long-Term</v>
      </c>
      <c r="N250" t="str" cm="1">
        <f t="array" ref="N250">_xlfn.IFS(A250="Bad", "Review Required", AND(A250="Good",J250&gt;7000),"VIP Client", AND(A250="Good", J250&lt;=7000),"Standart Client")</f>
        <v>Review Required</v>
      </c>
      <c r="O250" s="11">
        <v>8335</v>
      </c>
    </row>
    <row r="251" spans="1:15" x14ac:dyDescent="0.3">
      <c r="A251" t="s">
        <v>41</v>
      </c>
      <c r="B251" t="s">
        <v>80</v>
      </c>
      <c r="C251" t="s">
        <v>86</v>
      </c>
      <c r="D251" t="s">
        <v>99</v>
      </c>
      <c r="E251" t="s">
        <v>124</v>
      </c>
      <c r="F251" t="s">
        <v>125</v>
      </c>
      <c r="G251" t="s">
        <v>114</v>
      </c>
      <c r="H251" t="s">
        <v>119</v>
      </c>
      <c r="I251">
        <v>18</v>
      </c>
      <c r="J251" s="11">
        <v>1216</v>
      </c>
      <c r="K251">
        <v>23</v>
      </c>
      <c r="L251" t="str" cm="1">
        <f t="array" ref="L251">_xlfn.IFS(J251&gt;5000,"Hight",J251&gt;2000,"Medium",TRUE,"Low")</f>
        <v>Low</v>
      </c>
      <c r="M251" t="str" cm="1">
        <f t="array" ref="M251">_xlfn.IFS(I251&lt;12,"Low-Term",I251&gt;=36,"Long-Term",TRUE,"Medium-Term")</f>
        <v>Medium-Term</v>
      </c>
      <c r="N251" t="str" cm="1">
        <f t="array" ref="N251">_xlfn.IFS(A251="Bad", "Review Required", AND(A251="Good",J251&gt;7000),"VIP Client", AND(A251="Good", J251&lt;=7000),"Standart Client")</f>
        <v>Review Required</v>
      </c>
      <c r="O251" s="11">
        <v>1216</v>
      </c>
    </row>
    <row r="252" spans="1:15" x14ac:dyDescent="0.3">
      <c r="A252" t="s">
        <v>41</v>
      </c>
      <c r="B252" t="s">
        <v>80</v>
      </c>
      <c r="C252" t="s">
        <v>94</v>
      </c>
      <c r="D252" t="s">
        <v>99</v>
      </c>
      <c r="E252" t="s">
        <v>122</v>
      </c>
      <c r="F252" t="s">
        <v>123</v>
      </c>
      <c r="G252" t="s">
        <v>114</v>
      </c>
      <c r="H252" t="s">
        <v>119</v>
      </c>
      <c r="I252">
        <v>45</v>
      </c>
      <c r="J252" s="11">
        <v>11816</v>
      </c>
      <c r="K252">
        <v>29</v>
      </c>
      <c r="L252" t="str" cm="1">
        <f t="array" ref="L252">_xlfn.IFS(J252&gt;5000,"Hight",J252&gt;2000,"Medium",TRUE,"Low")</f>
        <v>Hight</v>
      </c>
      <c r="M252" t="str" cm="1">
        <f t="array" ref="M252">_xlfn.IFS(I252&lt;12,"Low-Term",I252&gt;=36,"Long-Term",TRUE,"Medium-Term")</f>
        <v>Long-Term</v>
      </c>
      <c r="N252" t="str" cm="1">
        <f t="array" ref="N252">_xlfn.IFS(A252="Bad", "Review Required", AND(A252="Good",J252&gt;7000),"VIP Client", AND(A252="Good", J252&lt;=7000),"Standart Client")</f>
        <v>Review Required</v>
      </c>
      <c r="O252" s="11">
        <v>11816</v>
      </c>
    </row>
    <row r="253" spans="1:15" x14ac:dyDescent="0.3">
      <c r="A253" t="s">
        <v>41</v>
      </c>
      <c r="B253" t="s">
        <v>81</v>
      </c>
      <c r="C253" t="s">
        <v>89</v>
      </c>
      <c r="D253" t="s">
        <v>99</v>
      </c>
      <c r="E253" t="s">
        <v>124</v>
      </c>
      <c r="F253" t="s">
        <v>125</v>
      </c>
      <c r="G253" t="s">
        <v>113</v>
      </c>
      <c r="H253" t="s">
        <v>120</v>
      </c>
      <c r="I253">
        <v>15</v>
      </c>
      <c r="J253" s="11">
        <v>2327</v>
      </c>
      <c r="K253">
        <v>25</v>
      </c>
      <c r="L253" t="str" cm="1">
        <f t="array" ref="L253">_xlfn.IFS(J253&gt;5000,"Hight",J253&gt;2000,"Medium",TRUE,"Low")</f>
        <v>Medium</v>
      </c>
      <c r="M253" t="str" cm="1">
        <f t="array" ref="M253">_xlfn.IFS(I253&lt;12,"Low-Term",I253&gt;=36,"Long-Term",TRUE,"Medium-Term")</f>
        <v>Medium-Term</v>
      </c>
      <c r="N253" t="str" cm="1">
        <f t="array" ref="N253">_xlfn.IFS(A253="Bad", "Review Required", AND(A253="Good",J253&gt;7000),"VIP Client", AND(A253="Good", J253&lt;=7000),"Standart Client")</f>
        <v>Review Required</v>
      </c>
      <c r="O253" s="11">
        <v>2327</v>
      </c>
    </row>
    <row r="254" spans="1:15" x14ac:dyDescent="0.3">
      <c r="A254" t="s">
        <v>41</v>
      </c>
      <c r="B254" t="s">
        <v>80</v>
      </c>
      <c r="C254" t="s">
        <v>86</v>
      </c>
      <c r="D254" t="s">
        <v>99</v>
      </c>
      <c r="E254" t="s">
        <v>122</v>
      </c>
      <c r="F254" t="s">
        <v>123</v>
      </c>
      <c r="G254" t="s">
        <v>114</v>
      </c>
      <c r="H254" t="s">
        <v>120</v>
      </c>
      <c r="I254">
        <v>12</v>
      </c>
      <c r="J254" s="11">
        <v>1082</v>
      </c>
      <c r="K254">
        <v>48</v>
      </c>
      <c r="L254" t="str" cm="1">
        <f t="array" ref="L254">_xlfn.IFS(J254&gt;5000,"Hight",J254&gt;2000,"Medium",TRUE,"Low")</f>
        <v>Low</v>
      </c>
      <c r="M254" t="str" cm="1">
        <f t="array" ref="M254">_xlfn.IFS(I254&lt;12,"Low-Term",I254&gt;=36,"Long-Term",TRUE,"Medium-Term")</f>
        <v>Medium-Term</v>
      </c>
      <c r="N254" t="str" cm="1">
        <f t="array" ref="N254">_xlfn.IFS(A254="Bad", "Review Required", AND(A254="Good",J254&gt;7000),"VIP Client", AND(A254="Good", J254&lt;=7000),"Standart Client")</f>
        <v>Review Required</v>
      </c>
      <c r="O254" s="11">
        <v>1082</v>
      </c>
    </row>
    <row r="255" spans="1:15" x14ac:dyDescent="0.3">
      <c r="A255" t="s">
        <v>41</v>
      </c>
      <c r="B255" t="s">
        <v>80</v>
      </c>
      <c r="C255" t="s">
        <v>88</v>
      </c>
      <c r="D255" t="s">
        <v>99</v>
      </c>
      <c r="E255" t="s">
        <v>122</v>
      </c>
      <c r="F255" t="s">
        <v>123</v>
      </c>
      <c r="G255" t="s">
        <v>114</v>
      </c>
      <c r="H255" t="s">
        <v>120</v>
      </c>
      <c r="I255">
        <v>36</v>
      </c>
      <c r="J255" s="11">
        <v>5179</v>
      </c>
      <c r="K255">
        <v>29</v>
      </c>
      <c r="L255" t="str" cm="1">
        <f t="array" ref="L255">_xlfn.IFS(J255&gt;5000,"Hight",J255&gt;2000,"Medium",TRUE,"Low")</f>
        <v>Hight</v>
      </c>
      <c r="M255" t="str" cm="1">
        <f t="array" ref="M255">_xlfn.IFS(I255&lt;12,"Low-Term",I255&gt;=36,"Long-Term",TRUE,"Medium-Term")</f>
        <v>Long-Term</v>
      </c>
      <c r="N255" t="str" cm="1">
        <f t="array" ref="N255">_xlfn.IFS(A255="Bad", "Review Required", AND(A255="Good",J255&gt;7000),"VIP Client", AND(A255="Good", J255&lt;=7000),"Standart Client")</f>
        <v>Review Required</v>
      </c>
      <c r="O255" s="11">
        <v>5179</v>
      </c>
    </row>
    <row r="256" spans="1:15" x14ac:dyDescent="0.3">
      <c r="A256" t="s">
        <v>41</v>
      </c>
      <c r="B256" t="s">
        <v>78</v>
      </c>
      <c r="C256" t="s">
        <v>91</v>
      </c>
      <c r="D256" t="s">
        <v>99</v>
      </c>
      <c r="E256" t="s">
        <v>124</v>
      </c>
      <c r="F256" t="s">
        <v>125</v>
      </c>
      <c r="G256" t="s">
        <v>114</v>
      </c>
      <c r="H256" t="s">
        <v>120</v>
      </c>
      <c r="I256">
        <v>18</v>
      </c>
      <c r="J256" s="11">
        <v>1943</v>
      </c>
      <c r="K256">
        <v>23</v>
      </c>
      <c r="L256" t="str" cm="1">
        <f t="array" ref="L256">_xlfn.IFS(J256&gt;5000,"Hight",J256&gt;2000,"Medium",TRUE,"Low")</f>
        <v>Low</v>
      </c>
      <c r="M256" t="str" cm="1">
        <f t="array" ref="M256">_xlfn.IFS(I256&lt;12,"Low-Term",I256&gt;=36,"Long-Term",TRUE,"Medium-Term")</f>
        <v>Medium-Term</v>
      </c>
      <c r="N256" t="str" cm="1">
        <f t="array" ref="N256">_xlfn.IFS(A256="Bad", "Review Required", AND(A256="Good",J256&gt;7000),"VIP Client", AND(A256="Good", J256&lt;=7000),"Standart Client")</f>
        <v>Review Required</v>
      </c>
      <c r="O256" s="11">
        <v>1943</v>
      </c>
    </row>
    <row r="257" spans="1:15" x14ac:dyDescent="0.3">
      <c r="A257" t="s">
        <v>41</v>
      </c>
      <c r="B257" t="s">
        <v>78</v>
      </c>
      <c r="C257" t="s">
        <v>86</v>
      </c>
      <c r="D257" t="s">
        <v>78</v>
      </c>
      <c r="E257" t="s">
        <v>122</v>
      </c>
      <c r="F257" t="s">
        <v>123</v>
      </c>
      <c r="G257" t="s">
        <v>114</v>
      </c>
      <c r="H257" t="s">
        <v>119</v>
      </c>
      <c r="I257">
        <v>18</v>
      </c>
      <c r="J257" s="11">
        <v>6761</v>
      </c>
      <c r="K257">
        <v>68</v>
      </c>
      <c r="L257" t="str" cm="1">
        <f t="array" ref="L257">_xlfn.IFS(J257&gt;5000,"Hight",J257&gt;2000,"Medium",TRUE,"Low")</f>
        <v>Hight</v>
      </c>
      <c r="M257" t="str" cm="1">
        <f t="array" ref="M257">_xlfn.IFS(I257&lt;12,"Low-Term",I257&gt;=36,"Long-Term",TRUE,"Medium-Term")</f>
        <v>Medium-Term</v>
      </c>
      <c r="N257" t="str" cm="1">
        <f t="array" ref="N257">_xlfn.IFS(A257="Bad", "Review Required", AND(A257="Good",J257&gt;7000),"VIP Client", AND(A257="Good", J257&lt;=7000),"Standart Client")</f>
        <v>Review Required</v>
      </c>
      <c r="O257" s="11">
        <v>6761</v>
      </c>
    </row>
    <row r="258" spans="1:15" x14ac:dyDescent="0.3">
      <c r="A258" t="s">
        <v>41</v>
      </c>
      <c r="B258" t="s">
        <v>80</v>
      </c>
      <c r="C258" t="s">
        <v>89</v>
      </c>
      <c r="D258" t="s">
        <v>99</v>
      </c>
      <c r="E258" t="s">
        <v>122</v>
      </c>
      <c r="F258" t="s">
        <v>123</v>
      </c>
      <c r="G258" t="s">
        <v>113</v>
      </c>
      <c r="H258" t="s">
        <v>120</v>
      </c>
      <c r="I258">
        <v>12</v>
      </c>
      <c r="J258" s="11">
        <v>709</v>
      </c>
      <c r="K258">
        <v>57</v>
      </c>
      <c r="L258" t="str" cm="1">
        <f t="array" ref="L258">_xlfn.IFS(J258&gt;5000,"Hight",J258&gt;2000,"Medium",TRUE,"Low")</f>
        <v>Low</v>
      </c>
      <c r="M258" t="str" cm="1">
        <f t="array" ref="M258">_xlfn.IFS(I258&lt;12,"Low-Term",I258&gt;=36,"Long-Term",TRUE,"Medium-Term")</f>
        <v>Medium-Term</v>
      </c>
      <c r="N258" t="str" cm="1">
        <f t="array" ref="N258">_xlfn.IFS(A258="Bad", "Review Required", AND(A258="Good",J258&gt;7000),"VIP Client", AND(A258="Good", J258&lt;=7000),"Standart Client")</f>
        <v>Review Required</v>
      </c>
      <c r="O258" s="11">
        <v>709</v>
      </c>
    </row>
    <row r="259" spans="1:15" x14ac:dyDescent="0.3">
      <c r="A259" t="s">
        <v>41</v>
      </c>
      <c r="B259" t="s">
        <v>80</v>
      </c>
      <c r="C259" t="s">
        <v>86</v>
      </c>
      <c r="D259" t="s">
        <v>99</v>
      </c>
      <c r="E259" t="s">
        <v>122</v>
      </c>
      <c r="F259" t="s">
        <v>127</v>
      </c>
      <c r="G259" t="s">
        <v>114</v>
      </c>
      <c r="H259" t="s">
        <v>119</v>
      </c>
      <c r="I259">
        <v>20</v>
      </c>
      <c r="J259" s="11">
        <v>2235</v>
      </c>
      <c r="K259">
        <v>33</v>
      </c>
      <c r="L259" t="str" cm="1">
        <f t="array" ref="L259">_xlfn.IFS(J259&gt;5000,"Hight",J259&gt;2000,"Medium",TRUE,"Low")</f>
        <v>Medium</v>
      </c>
      <c r="M259" t="str" cm="1">
        <f t="array" ref="M259">_xlfn.IFS(I259&lt;12,"Low-Term",I259&gt;=36,"Long-Term",TRUE,"Medium-Term")</f>
        <v>Medium-Term</v>
      </c>
      <c r="N259" t="str" cm="1">
        <f t="array" ref="N259">_xlfn.IFS(A259="Bad", "Review Required", AND(A259="Good",J259&gt;7000),"VIP Client", AND(A259="Good", J259&lt;=7000),"Standart Client")</f>
        <v>Review Required</v>
      </c>
      <c r="O259" s="11">
        <v>2235</v>
      </c>
    </row>
    <row r="260" spans="1:15" x14ac:dyDescent="0.3">
      <c r="A260" t="s">
        <v>41</v>
      </c>
      <c r="B260" t="s">
        <v>80</v>
      </c>
      <c r="C260" t="s">
        <v>86</v>
      </c>
      <c r="D260" t="s">
        <v>99</v>
      </c>
      <c r="E260" t="s">
        <v>122</v>
      </c>
      <c r="F260" t="s">
        <v>123</v>
      </c>
      <c r="G260" t="s">
        <v>113</v>
      </c>
      <c r="H260" t="s">
        <v>121</v>
      </c>
      <c r="I260">
        <v>18</v>
      </c>
      <c r="J260" s="11">
        <v>1442</v>
      </c>
      <c r="K260">
        <v>32</v>
      </c>
      <c r="L260" t="str" cm="1">
        <f t="array" ref="L260">_xlfn.IFS(J260&gt;5000,"Hight",J260&gt;2000,"Medium",TRUE,"Low")</f>
        <v>Low</v>
      </c>
      <c r="M260" t="str" cm="1">
        <f t="array" ref="M260">_xlfn.IFS(I260&lt;12,"Low-Term",I260&gt;=36,"Long-Term",TRUE,"Medium-Term")</f>
        <v>Medium-Term</v>
      </c>
      <c r="N260" t="str" cm="1">
        <f t="array" ref="N260">_xlfn.IFS(A260="Bad", "Review Required", AND(A260="Good",J260&gt;7000),"VIP Client", AND(A260="Good", J260&lt;=7000),"Standart Client")</f>
        <v>Review Required</v>
      </c>
      <c r="O260" s="11">
        <v>1442</v>
      </c>
    </row>
    <row r="261" spans="1:15" x14ac:dyDescent="0.3">
      <c r="A261" t="s">
        <v>41</v>
      </c>
      <c r="B261" t="s">
        <v>80</v>
      </c>
      <c r="C261" t="s">
        <v>86</v>
      </c>
      <c r="D261" t="s">
        <v>99</v>
      </c>
      <c r="E261" t="s">
        <v>124</v>
      </c>
      <c r="F261" t="s">
        <v>125</v>
      </c>
      <c r="G261" t="s">
        <v>114</v>
      </c>
      <c r="H261" t="s">
        <v>120</v>
      </c>
      <c r="I261">
        <v>15</v>
      </c>
      <c r="J261" s="11">
        <v>3959</v>
      </c>
      <c r="K261">
        <v>29</v>
      </c>
      <c r="L261" t="str" cm="1">
        <f t="array" ref="L261">_xlfn.IFS(J261&gt;5000,"Hight",J261&gt;2000,"Medium",TRUE,"Low")</f>
        <v>Medium</v>
      </c>
      <c r="M261" t="str" cm="1">
        <f t="array" ref="M261">_xlfn.IFS(I261&lt;12,"Low-Term",I261&gt;=36,"Long-Term",TRUE,"Medium-Term")</f>
        <v>Medium-Term</v>
      </c>
      <c r="N261" t="str" cm="1">
        <f t="array" ref="N261">_xlfn.IFS(A261="Bad", "Review Required", AND(A261="Good",J261&gt;7000),"VIP Client", AND(A261="Good", J261&lt;=7000),"Standart Client")</f>
        <v>Review Required</v>
      </c>
      <c r="O261" s="11">
        <v>3959</v>
      </c>
    </row>
    <row r="262" spans="1:15" x14ac:dyDescent="0.3">
      <c r="A262" t="s">
        <v>41</v>
      </c>
      <c r="B262" t="s">
        <v>78</v>
      </c>
      <c r="C262" t="s">
        <v>94</v>
      </c>
      <c r="D262" t="s">
        <v>99</v>
      </c>
      <c r="E262" t="s">
        <v>122</v>
      </c>
      <c r="F262" t="s">
        <v>127</v>
      </c>
      <c r="G262" t="s">
        <v>114</v>
      </c>
      <c r="H262" t="s">
        <v>120</v>
      </c>
      <c r="I262">
        <v>18</v>
      </c>
      <c r="J262" s="11">
        <v>2169</v>
      </c>
      <c r="K262">
        <v>28</v>
      </c>
      <c r="L262" t="str" cm="1">
        <f t="array" ref="L262">_xlfn.IFS(J262&gt;5000,"Hight",J262&gt;2000,"Medium",TRUE,"Low")</f>
        <v>Medium</v>
      </c>
      <c r="M262" t="str" cm="1">
        <f t="array" ref="M262">_xlfn.IFS(I262&lt;12,"Low-Term",I262&gt;=36,"Long-Term",TRUE,"Medium-Term")</f>
        <v>Medium-Term</v>
      </c>
      <c r="N262" t="str" cm="1">
        <f t="array" ref="N262">_xlfn.IFS(A262="Bad", "Review Required", AND(A262="Good",J262&gt;7000),"VIP Client", AND(A262="Good", J262&lt;=7000),"Standart Client")</f>
        <v>Review Required</v>
      </c>
      <c r="O262" s="11">
        <v>2169</v>
      </c>
    </row>
    <row r="263" spans="1:15" x14ac:dyDescent="0.3">
      <c r="A263" t="s">
        <v>41</v>
      </c>
      <c r="B263" t="s">
        <v>80</v>
      </c>
      <c r="C263" t="s">
        <v>89</v>
      </c>
      <c r="D263" t="s">
        <v>99</v>
      </c>
      <c r="E263" t="s">
        <v>124</v>
      </c>
      <c r="F263" t="s">
        <v>125</v>
      </c>
      <c r="G263" t="s">
        <v>114</v>
      </c>
      <c r="H263" t="s">
        <v>120</v>
      </c>
      <c r="I263">
        <v>24</v>
      </c>
      <c r="J263" s="11">
        <v>2439</v>
      </c>
      <c r="K263">
        <v>35</v>
      </c>
      <c r="L263" t="str" cm="1">
        <f t="array" ref="L263">_xlfn.IFS(J263&gt;5000,"Hight",J263&gt;2000,"Medium",TRUE,"Low")</f>
        <v>Medium</v>
      </c>
      <c r="M263" t="str" cm="1">
        <f t="array" ref="M263">_xlfn.IFS(I263&lt;12,"Low-Term",I263&gt;=36,"Long-Term",TRUE,"Medium-Term")</f>
        <v>Medium-Term</v>
      </c>
      <c r="N263" t="str" cm="1">
        <f t="array" ref="N263">_xlfn.IFS(A263="Bad", "Review Required", AND(A263="Good",J263&gt;7000),"VIP Client", AND(A263="Good", J263&lt;=7000),"Standart Client")</f>
        <v>Review Required</v>
      </c>
      <c r="O263" s="11">
        <v>2439</v>
      </c>
    </row>
    <row r="264" spans="1:15" x14ac:dyDescent="0.3">
      <c r="A264" t="s">
        <v>41</v>
      </c>
      <c r="B264" t="s">
        <v>78</v>
      </c>
      <c r="C264" t="s">
        <v>88</v>
      </c>
      <c r="D264" t="s">
        <v>99</v>
      </c>
      <c r="E264" t="s">
        <v>122</v>
      </c>
      <c r="F264" t="s">
        <v>123</v>
      </c>
      <c r="G264" t="s">
        <v>113</v>
      </c>
      <c r="H264" t="s">
        <v>119</v>
      </c>
      <c r="I264">
        <v>10</v>
      </c>
      <c r="J264" s="11">
        <v>2210</v>
      </c>
      <c r="K264">
        <v>25</v>
      </c>
      <c r="L264" t="str" cm="1">
        <f t="array" ref="L264">_xlfn.IFS(J264&gt;5000,"Hight",J264&gt;2000,"Medium",TRUE,"Low")</f>
        <v>Medium</v>
      </c>
      <c r="M264" t="str" cm="1">
        <f t="array" ref="M264">_xlfn.IFS(I264&lt;12,"Low-Term",I264&gt;=36,"Long-Term",TRUE,"Medium-Term")</f>
        <v>Low-Term</v>
      </c>
      <c r="N264" t="str" cm="1">
        <f t="array" ref="N264">_xlfn.IFS(A264="Bad", "Review Required", AND(A264="Good",J264&gt;7000),"VIP Client", AND(A264="Good", J264&lt;=7000),"Standart Client")</f>
        <v>Review Required</v>
      </c>
      <c r="O264" s="11">
        <v>2210</v>
      </c>
    </row>
    <row r="265" spans="1:15" x14ac:dyDescent="0.3">
      <c r="A265" t="s">
        <v>41</v>
      </c>
      <c r="B265" t="s">
        <v>80</v>
      </c>
      <c r="C265" t="s">
        <v>86</v>
      </c>
      <c r="D265" t="s">
        <v>99</v>
      </c>
      <c r="E265" t="s">
        <v>122</v>
      </c>
      <c r="F265" t="s">
        <v>123</v>
      </c>
      <c r="G265" t="s">
        <v>115</v>
      </c>
      <c r="H265" t="s">
        <v>121</v>
      </c>
      <c r="I265">
        <v>9</v>
      </c>
      <c r="J265" s="11">
        <v>1422</v>
      </c>
      <c r="K265">
        <v>27</v>
      </c>
      <c r="L265" t="str" cm="1">
        <f t="array" ref="L265">_xlfn.IFS(J265&gt;5000,"Hight",J265&gt;2000,"Medium",TRUE,"Low")</f>
        <v>Low</v>
      </c>
      <c r="M265" t="str" cm="1">
        <f t="array" ref="M265">_xlfn.IFS(I265&lt;12,"Low-Term",I265&gt;=36,"Long-Term",TRUE,"Medium-Term")</f>
        <v>Low-Term</v>
      </c>
      <c r="N265" t="str" cm="1">
        <f t="array" ref="N265">_xlfn.IFS(A265="Bad", "Review Required", AND(A265="Good",J265&gt;7000),"VIP Client", AND(A265="Good", J265&lt;=7000),"Standart Client")</f>
        <v>Review Required</v>
      </c>
      <c r="O265" s="11">
        <v>1422</v>
      </c>
    </row>
    <row r="266" spans="1:15" x14ac:dyDescent="0.3">
      <c r="A266" t="s">
        <v>41</v>
      </c>
      <c r="B266" t="s">
        <v>77</v>
      </c>
      <c r="C266" t="s">
        <v>88</v>
      </c>
      <c r="D266" t="s">
        <v>99</v>
      </c>
      <c r="E266" t="s">
        <v>122</v>
      </c>
      <c r="F266" t="s">
        <v>126</v>
      </c>
      <c r="G266" t="s">
        <v>114</v>
      </c>
      <c r="H266" t="s">
        <v>120</v>
      </c>
      <c r="I266">
        <v>24</v>
      </c>
      <c r="J266" s="11">
        <v>4057</v>
      </c>
      <c r="K266">
        <v>43</v>
      </c>
      <c r="L266" t="str" cm="1">
        <f t="array" ref="L266">_xlfn.IFS(J266&gt;5000,"Hight",J266&gt;2000,"Medium",TRUE,"Low")</f>
        <v>Medium</v>
      </c>
      <c r="M266" t="str" cm="1">
        <f t="array" ref="M266">_xlfn.IFS(I266&lt;12,"Low-Term",I266&gt;=36,"Long-Term",TRUE,"Medium-Term")</f>
        <v>Medium-Term</v>
      </c>
      <c r="N266" t="str" cm="1">
        <f t="array" ref="N266">_xlfn.IFS(A266="Bad", "Review Required", AND(A266="Good",J266&gt;7000),"VIP Client", AND(A266="Good", J266&lt;=7000),"Standart Client")</f>
        <v>Review Required</v>
      </c>
      <c r="O266" s="11">
        <v>4057</v>
      </c>
    </row>
    <row r="267" spans="1:15" x14ac:dyDescent="0.3">
      <c r="A267" t="s">
        <v>41</v>
      </c>
      <c r="B267" t="s">
        <v>80</v>
      </c>
      <c r="C267" t="s">
        <v>92</v>
      </c>
      <c r="D267" t="s">
        <v>99</v>
      </c>
      <c r="E267" t="s">
        <v>124</v>
      </c>
      <c r="F267" t="s">
        <v>125</v>
      </c>
      <c r="G267" t="s">
        <v>114</v>
      </c>
      <c r="H267" t="s">
        <v>120</v>
      </c>
      <c r="I267">
        <v>12</v>
      </c>
      <c r="J267" s="11">
        <v>795</v>
      </c>
      <c r="K267">
        <v>53</v>
      </c>
      <c r="L267" t="str" cm="1">
        <f t="array" ref="L267">_xlfn.IFS(J267&gt;5000,"Hight",J267&gt;2000,"Medium",TRUE,"Low")</f>
        <v>Low</v>
      </c>
      <c r="M267" t="str" cm="1">
        <f t="array" ref="M267">_xlfn.IFS(I267&lt;12,"Low-Term",I267&gt;=36,"Long-Term",TRUE,"Medium-Term")</f>
        <v>Medium-Term</v>
      </c>
      <c r="N267" t="str" cm="1">
        <f t="array" ref="N267">_xlfn.IFS(A267="Bad", "Review Required", AND(A267="Good",J267&gt;7000),"VIP Client", AND(A267="Good", J267&lt;=7000),"Standart Client")</f>
        <v>Review Required</v>
      </c>
      <c r="O267" s="11">
        <v>795</v>
      </c>
    </row>
    <row r="268" spans="1:15" x14ac:dyDescent="0.3">
      <c r="A268" t="s">
        <v>41</v>
      </c>
      <c r="B268" t="s">
        <v>77</v>
      </c>
      <c r="C268" t="s">
        <v>94</v>
      </c>
      <c r="D268" t="s">
        <v>99</v>
      </c>
      <c r="E268" t="s">
        <v>122</v>
      </c>
      <c r="F268" t="s">
        <v>123</v>
      </c>
      <c r="G268" t="s">
        <v>114</v>
      </c>
      <c r="H268" t="s">
        <v>120</v>
      </c>
      <c r="I268">
        <v>48</v>
      </c>
      <c r="J268" s="11">
        <v>15672</v>
      </c>
      <c r="K268">
        <v>23</v>
      </c>
      <c r="L268" t="str" cm="1">
        <f t="array" ref="L268">_xlfn.IFS(J268&gt;5000,"Hight",J268&gt;2000,"Medium",TRUE,"Low")</f>
        <v>Hight</v>
      </c>
      <c r="M268" t="str" cm="1">
        <f t="array" ref="M268">_xlfn.IFS(I268&lt;12,"Low-Term",I268&gt;=36,"Long-Term",TRUE,"Medium-Term")</f>
        <v>Long-Term</v>
      </c>
      <c r="N268" t="str" cm="1">
        <f t="array" ref="N268">_xlfn.IFS(A268="Bad", "Review Required", AND(A268="Good",J268&gt;7000),"VIP Client", AND(A268="Good", J268&lt;=7000),"Standart Client")</f>
        <v>Review Required</v>
      </c>
      <c r="O268" s="11">
        <v>15672</v>
      </c>
    </row>
    <row r="269" spans="1:15" x14ac:dyDescent="0.3">
      <c r="A269" t="s">
        <v>41</v>
      </c>
      <c r="B269" t="s">
        <v>80</v>
      </c>
      <c r="C269" t="s">
        <v>88</v>
      </c>
      <c r="D269" t="s">
        <v>99</v>
      </c>
      <c r="E269" t="s">
        <v>122</v>
      </c>
      <c r="F269" t="s">
        <v>123</v>
      </c>
      <c r="G269" t="s">
        <v>114</v>
      </c>
      <c r="H269" t="s">
        <v>120</v>
      </c>
      <c r="I269">
        <v>18</v>
      </c>
      <c r="J269" s="11">
        <v>4153</v>
      </c>
      <c r="K269">
        <v>42</v>
      </c>
      <c r="L269" t="str" cm="1">
        <f t="array" ref="L269">_xlfn.IFS(J269&gt;5000,"Hight",J269&gt;2000,"Medium",TRUE,"Low")</f>
        <v>Medium</v>
      </c>
      <c r="M269" t="str" cm="1">
        <f t="array" ref="M269">_xlfn.IFS(I269&lt;12,"Low-Term",I269&gt;=36,"Long-Term",TRUE,"Medium-Term")</f>
        <v>Medium-Term</v>
      </c>
      <c r="N269" t="str" cm="1">
        <f t="array" ref="N269">_xlfn.IFS(A269="Bad", "Review Required", AND(A269="Good",J269&gt;7000),"VIP Client", AND(A269="Good", J269&lt;=7000),"Standart Client")</f>
        <v>Review Required</v>
      </c>
      <c r="O269" s="11">
        <v>4153</v>
      </c>
    </row>
    <row r="270" spans="1:15" x14ac:dyDescent="0.3">
      <c r="A270" t="s">
        <v>41</v>
      </c>
      <c r="B270" t="s">
        <v>80</v>
      </c>
      <c r="C270" t="s">
        <v>86</v>
      </c>
      <c r="D270" t="s">
        <v>99</v>
      </c>
      <c r="E270" t="s">
        <v>122</v>
      </c>
      <c r="F270" t="s">
        <v>123</v>
      </c>
      <c r="G270" t="s">
        <v>114</v>
      </c>
      <c r="H270" t="s">
        <v>119</v>
      </c>
      <c r="I270">
        <v>16</v>
      </c>
      <c r="J270" s="11">
        <v>2625</v>
      </c>
      <c r="K270">
        <v>43</v>
      </c>
      <c r="L270" t="str" cm="1">
        <f t="array" ref="L270">_xlfn.IFS(J270&gt;5000,"Hight",J270&gt;2000,"Medium",TRUE,"Low")</f>
        <v>Medium</v>
      </c>
      <c r="M270" t="str" cm="1">
        <f t="array" ref="M270">_xlfn.IFS(I270&lt;12,"Low-Term",I270&gt;=36,"Long-Term",TRUE,"Medium-Term")</f>
        <v>Medium-Term</v>
      </c>
      <c r="N270" t="str" cm="1">
        <f t="array" ref="N270">_xlfn.IFS(A270="Bad", "Review Required", AND(A270="Good",J270&gt;7000),"VIP Client", AND(A270="Good", J270&lt;=7000),"Standart Client")</f>
        <v>Review Required</v>
      </c>
      <c r="O270" s="11">
        <v>2625</v>
      </c>
    </row>
    <row r="271" spans="1:15" x14ac:dyDescent="0.3">
      <c r="A271" t="s">
        <v>41</v>
      </c>
      <c r="B271" t="s">
        <v>77</v>
      </c>
      <c r="C271" t="s">
        <v>88</v>
      </c>
      <c r="D271" t="s">
        <v>99</v>
      </c>
      <c r="E271" t="s">
        <v>124</v>
      </c>
      <c r="F271" t="s">
        <v>125</v>
      </c>
      <c r="G271" t="s">
        <v>113</v>
      </c>
      <c r="H271" t="s">
        <v>120</v>
      </c>
      <c r="I271">
        <v>24</v>
      </c>
      <c r="J271" s="11">
        <v>4736</v>
      </c>
      <c r="K271">
        <v>25</v>
      </c>
      <c r="L271" t="str" cm="1">
        <f t="array" ref="L271">_xlfn.IFS(J271&gt;5000,"Hight",J271&gt;2000,"Medium",TRUE,"Low")</f>
        <v>Medium</v>
      </c>
      <c r="M271" t="str" cm="1">
        <f t="array" ref="M271">_xlfn.IFS(I271&lt;12,"Low-Term",I271&gt;=36,"Long-Term",TRUE,"Medium-Term")</f>
        <v>Medium-Term</v>
      </c>
      <c r="N271" t="str" cm="1">
        <f t="array" ref="N271">_xlfn.IFS(A271="Bad", "Review Required", AND(A271="Good",J271&gt;7000),"VIP Client", AND(A271="Good", J271&lt;=7000),"Standart Client")</f>
        <v>Review Required</v>
      </c>
      <c r="O271" s="11">
        <v>4736</v>
      </c>
    </row>
    <row r="272" spans="1:15" x14ac:dyDescent="0.3">
      <c r="A272" t="s">
        <v>41</v>
      </c>
      <c r="B272" t="s">
        <v>80</v>
      </c>
      <c r="C272" t="s">
        <v>94</v>
      </c>
      <c r="D272" t="s">
        <v>99</v>
      </c>
      <c r="E272" t="s">
        <v>122</v>
      </c>
      <c r="F272" t="s">
        <v>123</v>
      </c>
      <c r="G272" t="s">
        <v>114</v>
      </c>
      <c r="H272" t="s">
        <v>119</v>
      </c>
      <c r="I272">
        <v>24</v>
      </c>
      <c r="J272" s="11">
        <v>3161</v>
      </c>
      <c r="K272">
        <v>31</v>
      </c>
      <c r="L272" t="str" cm="1">
        <f t="array" ref="L272">_xlfn.IFS(J272&gt;5000,"Hight",J272&gt;2000,"Medium",TRUE,"Low")</f>
        <v>Medium</v>
      </c>
      <c r="M272" t="str" cm="1">
        <f t="array" ref="M272">_xlfn.IFS(I272&lt;12,"Low-Term",I272&gt;=36,"Long-Term",TRUE,"Medium-Term")</f>
        <v>Medium-Term</v>
      </c>
      <c r="N272" t="str" cm="1">
        <f t="array" ref="N272">_xlfn.IFS(A272="Bad", "Review Required", AND(A272="Good",J272&gt;7000),"VIP Client", AND(A272="Good", J272&lt;=7000),"Standart Client")</f>
        <v>Review Required</v>
      </c>
      <c r="O272" s="11">
        <v>3161</v>
      </c>
    </row>
    <row r="273" spans="1:15" x14ac:dyDescent="0.3">
      <c r="A273" t="s">
        <v>41</v>
      </c>
      <c r="B273" t="s">
        <v>77</v>
      </c>
      <c r="C273" t="s">
        <v>95</v>
      </c>
      <c r="D273" t="s">
        <v>99</v>
      </c>
      <c r="E273" t="s">
        <v>124</v>
      </c>
      <c r="F273" t="s">
        <v>125</v>
      </c>
      <c r="G273" t="s">
        <v>115</v>
      </c>
      <c r="H273" t="s">
        <v>120</v>
      </c>
      <c r="I273">
        <v>48</v>
      </c>
      <c r="J273" s="11">
        <v>18424</v>
      </c>
      <c r="K273">
        <v>32</v>
      </c>
      <c r="L273" t="str" cm="1">
        <f t="array" ref="L273">_xlfn.IFS(J273&gt;5000,"Hight",J273&gt;2000,"Medium",TRUE,"Low")</f>
        <v>Hight</v>
      </c>
      <c r="M273" t="str" cm="1">
        <f t="array" ref="M273">_xlfn.IFS(I273&lt;12,"Low-Term",I273&gt;=36,"Long-Term",TRUE,"Medium-Term")</f>
        <v>Long-Term</v>
      </c>
      <c r="N273" t="str" cm="1">
        <f t="array" ref="N273">_xlfn.IFS(A273="Bad", "Review Required", AND(A273="Good",J273&gt;7000),"VIP Client", AND(A273="Good", J273&lt;=7000),"Standart Client")</f>
        <v>Review Required</v>
      </c>
      <c r="O273" s="11">
        <v>18424</v>
      </c>
    </row>
    <row r="274" spans="1:15" x14ac:dyDescent="0.3">
      <c r="A274" t="s">
        <v>41</v>
      </c>
      <c r="B274" t="s">
        <v>80</v>
      </c>
      <c r="C274" t="s">
        <v>86</v>
      </c>
      <c r="D274" t="s">
        <v>99</v>
      </c>
      <c r="E274" t="s">
        <v>122</v>
      </c>
      <c r="F274" t="s">
        <v>123</v>
      </c>
      <c r="G274" t="s">
        <v>115</v>
      </c>
      <c r="H274" t="s">
        <v>120</v>
      </c>
      <c r="I274">
        <v>6</v>
      </c>
      <c r="J274" s="11">
        <v>14896</v>
      </c>
      <c r="K274">
        <v>68</v>
      </c>
      <c r="L274" t="str" cm="1">
        <f t="array" ref="L274">_xlfn.IFS(J274&gt;5000,"Hight",J274&gt;2000,"Medium",TRUE,"Low")</f>
        <v>Hight</v>
      </c>
      <c r="M274" t="str" cm="1">
        <f t="array" ref="M274">_xlfn.IFS(I274&lt;12,"Low-Term",I274&gt;=36,"Long-Term",TRUE,"Medium-Term")</f>
        <v>Low-Term</v>
      </c>
      <c r="N274" t="str" cm="1">
        <f t="array" ref="N274">_xlfn.IFS(A274="Bad", "Review Required", AND(A274="Good",J274&gt;7000),"VIP Client", AND(A274="Good", J274&lt;=7000),"Standart Client")</f>
        <v>Review Required</v>
      </c>
      <c r="O274" s="11">
        <v>14896</v>
      </c>
    </row>
    <row r="275" spans="1:15" x14ac:dyDescent="0.3">
      <c r="A275" t="s">
        <v>41</v>
      </c>
      <c r="B275" t="s">
        <v>80</v>
      </c>
      <c r="C275" t="s">
        <v>88</v>
      </c>
      <c r="D275" t="s">
        <v>100</v>
      </c>
      <c r="E275" t="s">
        <v>122</v>
      </c>
      <c r="F275" t="s">
        <v>126</v>
      </c>
      <c r="G275" t="s">
        <v>114</v>
      </c>
      <c r="H275" t="s">
        <v>120</v>
      </c>
      <c r="I275">
        <v>24</v>
      </c>
      <c r="J275" s="11">
        <v>2359</v>
      </c>
      <c r="K275">
        <v>33</v>
      </c>
      <c r="L275" t="str" cm="1">
        <f t="array" ref="L275">_xlfn.IFS(J275&gt;5000,"Hight",J275&gt;2000,"Medium",TRUE,"Low")</f>
        <v>Medium</v>
      </c>
      <c r="M275" t="str" cm="1">
        <f t="array" ref="M275">_xlfn.IFS(I275&lt;12,"Low-Term",I275&gt;=36,"Long-Term",TRUE,"Medium-Term")</f>
        <v>Medium-Term</v>
      </c>
      <c r="N275" t="str" cm="1">
        <f t="array" ref="N275">_xlfn.IFS(A275="Bad", "Review Required", AND(A275="Good",J275&gt;7000),"VIP Client", AND(A275="Good", J275&lt;=7000),"Standart Client")</f>
        <v>Review Required</v>
      </c>
      <c r="O275" s="11">
        <v>2359</v>
      </c>
    </row>
    <row r="276" spans="1:15" x14ac:dyDescent="0.3">
      <c r="A276" t="s">
        <v>41</v>
      </c>
      <c r="B276" t="s">
        <v>80</v>
      </c>
      <c r="C276" t="s">
        <v>88</v>
      </c>
      <c r="D276" t="s">
        <v>99</v>
      </c>
      <c r="E276" t="s">
        <v>122</v>
      </c>
      <c r="F276" t="s">
        <v>123</v>
      </c>
      <c r="G276" t="s">
        <v>115</v>
      </c>
      <c r="H276" t="s">
        <v>119</v>
      </c>
      <c r="I276">
        <v>24</v>
      </c>
      <c r="J276" s="11">
        <v>3345</v>
      </c>
      <c r="K276">
        <v>39</v>
      </c>
      <c r="L276" t="str" cm="1">
        <f t="array" ref="L276">_xlfn.IFS(J276&gt;5000,"Hight",J276&gt;2000,"Medium",TRUE,"Low")</f>
        <v>Medium</v>
      </c>
      <c r="M276" t="str" cm="1">
        <f t="array" ref="M276">_xlfn.IFS(I276&lt;12,"Low-Term",I276&gt;=36,"Long-Term",TRUE,"Medium-Term")</f>
        <v>Medium-Term</v>
      </c>
      <c r="N276" t="str" cm="1">
        <f t="array" ref="N276">_xlfn.IFS(A276="Bad", "Review Required", AND(A276="Good",J276&gt;7000),"VIP Client", AND(A276="Good", J276&lt;=7000),"Standart Client")</f>
        <v>Review Required</v>
      </c>
      <c r="O276" s="11">
        <v>3345</v>
      </c>
    </row>
    <row r="277" spans="1:15" x14ac:dyDescent="0.3">
      <c r="A277" t="s">
        <v>41</v>
      </c>
      <c r="B277" t="s">
        <v>80</v>
      </c>
      <c r="C277" t="s">
        <v>89</v>
      </c>
      <c r="D277" t="s">
        <v>99</v>
      </c>
      <c r="E277" t="s">
        <v>124</v>
      </c>
      <c r="F277" t="s">
        <v>125</v>
      </c>
      <c r="G277" t="s">
        <v>114</v>
      </c>
      <c r="H277" t="s">
        <v>119</v>
      </c>
      <c r="I277">
        <v>9</v>
      </c>
      <c r="J277" s="11">
        <v>1366</v>
      </c>
      <c r="K277">
        <v>22</v>
      </c>
      <c r="L277" t="str" cm="1">
        <f t="array" ref="L277">_xlfn.IFS(J277&gt;5000,"Hight",J277&gt;2000,"Medium",TRUE,"Low")</f>
        <v>Low</v>
      </c>
      <c r="M277" t="str" cm="1">
        <f t="array" ref="M277">_xlfn.IFS(I277&lt;12,"Low-Term",I277&gt;=36,"Long-Term",TRUE,"Medium-Term")</f>
        <v>Low-Term</v>
      </c>
      <c r="N277" t="str" cm="1">
        <f t="array" ref="N277">_xlfn.IFS(A277="Bad", "Review Required", AND(A277="Good",J277&gt;7000),"VIP Client", AND(A277="Good", J277&lt;=7000),"Standart Client")</f>
        <v>Review Required</v>
      </c>
      <c r="O277" s="11">
        <v>1366</v>
      </c>
    </row>
    <row r="278" spans="1:15" x14ac:dyDescent="0.3">
      <c r="A278" t="s">
        <v>41</v>
      </c>
      <c r="B278" t="s">
        <v>80</v>
      </c>
      <c r="C278" t="s">
        <v>88</v>
      </c>
      <c r="D278" t="s">
        <v>99</v>
      </c>
      <c r="E278" t="s">
        <v>122</v>
      </c>
      <c r="F278" t="s">
        <v>126</v>
      </c>
      <c r="G278" t="s">
        <v>114</v>
      </c>
      <c r="H278" t="s">
        <v>120</v>
      </c>
      <c r="I278">
        <v>24</v>
      </c>
      <c r="J278" s="11">
        <v>6872</v>
      </c>
      <c r="K278">
        <v>55</v>
      </c>
      <c r="L278" t="str" cm="1">
        <f t="array" ref="L278">_xlfn.IFS(J278&gt;5000,"Hight",J278&gt;2000,"Medium",TRUE,"Low")</f>
        <v>Hight</v>
      </c>
      <c r="M278" t="str" cm="1">
        <f t="array" ref="M278">_xlfn.IFS(I278&lt;12,"Low-Term",I278&gt;=36,"Long-Term",TRUE,"Medium-Term")</f>
        <v>Medium-Term</v>
      </c>
      <c r="N278" t="str" cm="1">
        <f t="array" ref="N278">_xlfn.IFS(A278="Bad", "Review Required", AND(A278="Good",J278&gt;7000),"VIP Client", AND(A278="Good", J278&lt;=7000),"Standart Client")</f>
        <v>Review Required</v>
      </c>
      <c r="O278" s="11">
        <v>6872</v>
      </c>
    </row>
    <row r="279" spans="1:15" x14ac:dyDescent="0.3">
      <c r="A279" t="s">
        <v>41</v>
      </c>
      <c r="B279" t="s">
        <v>80</v>
      </c>
      <c r="C279" t="s">
        <v>86</v>
      </c>
      <c r="D279" t="s">
        <v>99</v>
      </c>
      <c r="E279" t="s">
        <v>122</v>
      </c>
      <c r="F279" t="s">
        <v>123</v>
      </c>
      <c r="G279" t="s">
        <v>114</v>
      </c>
      <c r="H279" t="s">
        <v>120</v>
      </c>
      <c r="I279">
        <v>12</v>
      </c>
      <c r="J279" s="11">
        <v>697</v>
      </c>
      <c r="K279">
        <v>46</v>
      </c>
      <c r="L279" t="str" cm="1">
        <f t="array" ref="L279">_xlfn.IFS(J279&gt;5000,"Hight",J279&gt;2000,"Medium",TRUE,"Low")</f>
        <v>Low</v>
      </c>
      <c r="M279" t="str" cm="1">
        <f t="array" ref="M279">_xlfn.IFS(I279&lt;12,"Low-Term",I279&gt;=36,"Long-Term",TRUE,"Medium-Term")</f>
        <v>Medium-Term</v>
      </c>
      <c r="N279" t="str" cm="1">
        <f t="array" ref="N279">_xlfn.IFS(A279="Bad", "Review Required", AND(A279="Good",J279&gt;7000),"VIP Client", AND(A279="Good", J279&lt;=7000),"Standart Client")</f>
        <v>Review Required</v>
      </c>
      <c r="O279" s="11">
        <v>697</v>
      </c>
    </row>
    <row r="280" spans="1:15" x14ac:dyDescent="0.3">
      <c r="A280" t="s">
        <v>41</v>
      </c>
      <c r="B280" t="s">
        <v>80</v>
      </c>
      <c r="C280" t="s">
        <v>87</v>
      </c>
      <c r="D280" t="s">
        <v>99</v>
      </c>
      <c r="E280" t="s">
        <v>122</v>
      </c>
      <c r="F280" t="s">
        <v>123</v>
      </c>
      <c r="G280" t="s">
        <v>114</v>
      </c>
      <c r="H280" t="s">
        <v>121</v>
      </c>
      <c r="I280">
        <v>48</v>
      </c>
      <c r="J280" s="11">
        <v>10297</v>
      </c>
      <c r="K280">
        <v>39</v>
      </c>
      <c r="L280" t="str" cm="1">
        <f t="array" ref="L280">_xlfn.IFS(J280&gt;5000,"Hight",J280&gt;2000,"Medium",TRUE,"Low")</f>
        <v>Hight</v>
      </c>
      <c r="M280" t="str" cm="1">
        <f t="array" ref="M280">_xlfn.IFS(I280&lt;12,"Low-Term",I280&gt;=36,"Long-Term",TRUE,"Medium-Term")</f>
        <v>Long-Term</v>
      </c>
      <c r="N280" t="str" cm="1">
        <f t="array" ref="N280">_xlfn.IFS(A280="Bad", "Review Required", AND(A280="Good",J280&gt;7000),"VIP Client", AND(A280="Good", J280&lt;=7000),"Standart Client")</f>
        <v>Review Required</v>
      </c>
      <c r="O280" s="11">
        <v>10297</v>
      </c>
    </row>
    <row r="281" spans="1:15" x14ac:dyDescent="0.3">
      <c r="A281" t="s">
        <v>41</v>
      </c>
      <c r="B281" t="s">
        <v>77</v>
      </c>
      <c r="C281" t="s">
        <v>89</v>
      </c>
      <c r="D281" t="s">
        <v>99</v>
      </c>
      <c r="E281" t="s">
        <v>124</v>
      </c>
      <c r="F281" t="s">
        <v>125</v>
      </c>
      <c r="G281" t="s">
        <v>114</v>
      </c>
      <c r="H281" t="s">
        <v>120</v>
      </c>
      <c r="I281">
        <v>9</v>
      </c>
      <c r="J281" s="11">
        <v>1670</v>
      </c>
      <c r="K281">
        <v>22</v>
      </c>
      <c r="L281" t="str" cm="1">
        <f t="array" ref="L281">_xlfn.IFS(J281&gt;5000,"Hight",J281&gt;2000,"Medium",TRUE,"Low")</f>
        <v>Low</v>
      </c>
      <c r="M281" t="str" cm="1">
        <f t="array" ref="M281">_xlfn.IFS(I281&lt;12,"Low-Term",I281&gt;=36,"Long-Term",TRUE,"Medium-Term")</f>
        <v>Low-Term</v>
      </c>
      <c r="N281" t="str" cm="1">
        <f t="array" ref="N281">_xlfn.IFS(A281="Bad", "Review Required", AND(A281="Good",J281&gt;7000),"VIP Client", AND(A281="Good", J281&lt;=7000),"Standart Client")</f>
        <v>Review Required</v>
      </c>
      <c r="O281" s="11">
        <v>1670</v>
      </c>
    </row>
    <row r="282" spans="1:15" x14ac:dyDescent="0.3">
      <c r="A282" t="s">
        <v>41</v>
      </c>
      <c r="B282" t="s">
        <v>77</v>
      </c>
      <c r="C282" t="s">
        <v>89</v>
      </c>
      <c r="D282" t="s">
        <v>100</v>
      </c>
      <c r="E282" t="s">
        <v>122</v>
      </c>
      <c r="F282" t="s">
        <v>123</v>
      </c>
      <c r="G282" t="s">
        <v>115</v>
      </c>
      <c r="H282" t="s">
        <v>120</v>
      </c>
      <c r="I282">
        <v>30</v>
      </c>
      <c r="J282" s="11">
        <v>1919</v>
      </c>
      <c r="K282">
        <v>30</v>
      </c>
      <c r="L282" t="str" cm="1">
        <f t="array" ref="L282">_xlfn.IFS(J282&gt;5000,"Hight",J282&gt;2000,"Medium",TRUE,"Low")</f>
        <v>Low</v>
      </c>
      <c r="M282" t="str" cm="1">
        <f t="array" ref="M282">_xlfn.IFS(I282&lt;12,"Low-Term",I282&gt;=36,"Long-Term",TRUE,"Medium-Term")</f>
        <v>Medium-Term</v>
      </c>
      <c r="N282" t="str" cm="1">
        <f t="array" ref="N282">_xlfn.IFS(A282="Bad", "Review Required", AND(A282="Good",J282&gt;7000),"VIP Client", AND(A282="Good", J282&lt;=7000),"Standart Client")</f>
        <v>Review Required</v>
      </c>
      <c r="O282" s="11">
        <v>1919</v>
      </c>
    </row>
    <row r="283" spans="1:15" x14ac:dyDescent="0.3">
      <c r="A283" t="s">
        <v>41</v>
      </c>
      <c r="B283" t="s">
        <v>81</v>
      </c>
      <c r="C283" t="s">
        <v>89</v>
      </c>
      <c r="D283" t="s">
        <v>99</v>
      </c>
      <c r="E283" t="s">
        <v>124</v>
      </c>
      <c r="F283" t="s">
        <v>125</v>
      </c>
      <c r="G283" t="s">
        <v>113</v>
      </c>
      <c r="H283" t="s">
        <v>120</v>
      </c>
      <c r="I283">
        <v>9</v>
      </c>
      <c r="J283" s="11">
        <v>745</v>
      </c>
      <c r="K283">
        <v>28</v>
      </c>
      <c r="L283" t="str" cm="1">
        <f t="array" ref="L283">_xlfn.IFS(J283&gt;5000,"Hight",J283&gt;2000,"Medium",TRUE,"Low")</f>
        <v>Low</v>
      </c>
      <c r="M283" t="str" cm="1">
        <f t="array" ref="M283">_xlfn.IFS(I283&lt;12,"Low-Term",I283&gt;=36,"Long-Term",TRUE,"Medium-Term")</f>
        <v>Low-Term</v>
      </c>
      <c r="N283" t="str" cm="1">
        <f t="array" ref="N283">_xlfn.IFS(A283="Bad", "Review Required", AND(A283="Good",J283&gt;7000),"VIP Client", AND(A283="Good", J283&lt;=7000),"Standart Client")</f>
        <v>Review Required</v>
      </c>
      <c r="O283" s="11">
        <v>745</v>
      </c>
    </row>
    <row r="284" spans="1:15" x14ac:dyDescent="0.3">
      <c r="A284" t="s">
        <v>41</v>
      </c>
      <c r="B284" t="s">
        <v>77</v>
      </c>
      <c r="C284" t="s">
        <v>92</v>
      </c>
      <c r="D284" t="s">
        <v>99</v>
      </c>
      <c r="E284" t="s">
        <v>122</v>
      </c>
      <c r="F284" t="s">
        <v>123</v>
      </c>
      <c r="G284" t="s">
        <v>114</v>
      </c>
      <c r="H284" t="s">
        <v>121</v>
      </c>
      <c r="I284">
        <v>60</v>
      </c>
      <c r="J284" s="11">
        <v>6288</v>
      </c>
      <c r="K284">
        <v>42</v>
      </c>
      <c r="L284" t="str" cm="1">
        <f t="array" ref="L284">_xlfn.IFS(J284&gt;5000,"Hight",J284&gt;2000,"Medium",TRUE,"Low")</f>
        <v>Hight</v>
      </c>
      <c r="M284" t="str" cm="1">
        <f t="array" ref="M284">_xlfn.IFS(I284&lt;12,"Low-Term",I284&gt;=36,"Long-Term",TRUE,"Medium-Term")</f>
        <v>Long-Term</v>
      </c>
      <c r="N284" t="str" cm="1">
        <f t="array" ref="N284">_xlfn.IFS(A284="Bad", "Review Required", AND(A284="Good",J284&gt;7000),"VIP Client", AND(A284="Good", J284&lt;=7000),"Standart Client")</f>
        <v>Review Required</v>
      </c>
      <c r="O284" s="11">
        <v>6288</v>
      </c>
    </row>
    <row r="285" spans="1:15" x14ac:dyDescent="0.3">
      <c r="A285" t="s">
        <v>41</v>
      </c>
      <c r="B285" t="s">
        <v>80</v>
      </c>
      <c r="C285" t="s">
        <v>88</v>
      </c>
      <c r="D285" t="s">
        <v>101</v>
      </c>
      <c r="E285" t="s">
        <v>122</v>
      </c>
      <c r="F285" t="s">
        <v>123</v>
      </c>
      <c r="G285" t="s">
        <v>114</v>
      </c>
      <c r="H285" t="s">
        <v>121</v>
      </c>
      <c r="I285">
        <v>24</v>
      </c>
      <c r="J285" s="11">
        <v>3349</v>
      </c>
      <c r="K285">
        <v>30</v>
      </c>
      <c r="L285" t="str" cm="1">
        <f t="array" ref="L285">_xlfn.IFS(J285&gt;5000,"Hight",J285&gt;2000,"Medium",TRUE,"Low")</f>
        <v>Medium</v>
      </c>
      <c r="M285" t="str" cm="1">
        <f t="array" ref="M285">_xlfn.IFS(I285&lt;12,"Low-Term",I285&gt;=36,"Long-Term",TRUE,"Medium-Term")</f>
        <v>Medium-Term</v>
      </c>
      <c r="N285" t="str" cm="1">
        <f t="array" ref="N285">_xlfn.IFS(A285="Bad", "Review Required", AND(A285="Good",J285&gt;7000),"VIP Client", AND(A285="Good", J285&lt;=7000),"Standart Client")</f>
        <v>Review Required</v>
      </c>
      <c r="O285" s="11">
        <v>3349</v>
      </c>
    </row>
    <row r="286" spans="1:15" x14ac:dyDescent="0.3">
      <c r="A286" t="s">
        <v>41</v>
      </c>
      <c r="B286" t="s">
        <v>78</v>
      </c>
      <c r="C286" t="s">
        <v>88</v>
      </c>
      <c r="D286" t="s">
        <v>99</v>
      </c>
      <c r="E286" t="s">
        <v>122</v>
      </c>
      <c r="F286" t="s">
        <v>127</v>
      </c>
      <c r="G286" t="s">
        <v>113</v>
      </c>
      <c r="H286" t="s">
        <v>120</v>
      </c>
      <c r="I286">
        <v>18</v>
      </c>
      <c r="J286" s="11">
        <v>1533</v>
      </c>
      <c r="K286">
        <v>43</v>
      </c>
      <c r="L286" t="str" cm="1">
        <f t="array" ref="L286">_xlfn.IFS(J286&gt;5000,"Hight",J286&gt;2000,"Medium",TRUE,"Low")</f>
        <v>Low</v>
      </c>
      <c r="M286" t="str" cm="1">
        <f t="array" ref="M286">_xlfn.IFS(I286&lt;12,"Low-Term",I286&gt;=36,"Long-Term",TRUE,"Medium-Term")</f>
        <v>Medium-Term</v>
      </c>
      <c r="N286" t="str" cm="1">
        <f t="array" ref="N286">_xlfn.IFS(A286="Bad", "Review Required", AND(A286="Good",J286&gt;7000),"VIP Client", AND(A286="Good", J286&lt;=7000),"Standart Client")</f>
        <v>Review Required</v>
      </c>
      <c r="O286" s="11">
        <v>1533</v>
      </c>
    </row>
    <row r="287" spans="1:15" x14ac:dyDescent="0.3">
      <c r="A287" t="s">
        <v>41</v>
      </c>
      <c r="B287" t="s">
        <v>78</v>
      </c>
      <c r="C287" t="s">
        <v>89</v>
      </c>
      <c r="D287" t="s">
        <v>100</v>
      </c>
      <c r="E287" t="s">
        <v>122</v>
      </c>
      <c r="F287" t="s">
        <v>123</v>
      </c>
      <c r="G287" t="s">
        <v>114</v>
      </c>
      <c r="H287" t="s">
        <v>120</v>
      </c>
      <c r="I287">
        <v>24</v>
      </c>
      <c r="J287" s="11">
        <v>3621</v>
      </c>
      <c r="K287">
        <v>31</v>
      </c>
      <c r="L287" t="str" cm="1">
        <f t="array" ref="L287">_xlfn.IFS(J287&gt;5000,"Hight",J287&gt;2000,"Medium",TRUE,"Low")</f>
        <v>Medium</v>
      </c>
      <c r="M287" t="str" cm="1">
        <f t="array" ref="M287">_xlfn.IFS(I287&lt;12,"Low-Term",I287&gt;=36,"Long-Term",TRUE,"Medium-Term")</f>
        <v>Medium-Term</v>
      </c>
      <c r="N287" t="str" cm="1">
        <f t="array" ref="N287">_xlfn.IFS(A287="Bad", "Review Required", AND(A287="Good",J287&gt;7000),"VIP Client", AND(A287="Good", J287&lt;=7000),"Standart Client")</f>
        <v>Review Required</v>
      </c>
      <c r="O287" s="11">
        <v>3621</v>
      </c>
    </row>
    <row r="288" spans="1:15" x14ac:dyDescent="0.3">
      <c r="A288" t="s">
        <v>41</v>
      </c>
      <c r="B288" t="s">
        <v>80</v>
      </c>
      <c r="C288" t="s">
        <v>94</v>
      </c>
      <c r="D288" t="s">
        <v>99</v>
      </c>
      <c r="E288" t="s">
        <v>122</v>
      </c>
      <c r="F288" t="s">
        <v>123</v>
      </c>
      <c r="G288" t="s">
        <v>114</v>
      </c>
      <c r="H288" t="s">
        <v>120</v>
      </c>
      <c r="I288">
        <v>36</v>
      </c>
      <c r="J288" s="11">
        <v>2145</v>
      </c>
      <c r="K288">
        <v>24</v>
      </c>
      <c r="L288" t="str" cm="1">
        <f t="array" ref="L288">_xlfn.IFS(J288&gt;5000,"Hight",J288&gt;2000,"Medium",TRUE,"Low")</f>
        <v>Medium</v>
      </c>
      <c r="M288" t="str" cm="1">
        <f t="array" ref="M288">_xlfn.IFS(I288&lt;12,"Low-Term",I288&gt;=36,"Long-Term",TRUE,"Medium-Term")</f>
        <v>Long-Term</v>
      </c>
      <c r="N288" t="str" cm="1">
        <f t="array" ref="N288">_xlfn.IFS(A288="Bad", "Review Required", AND(A288="Good",J288&gt;7000),"VIP Client", AND(A288="Good", J288&lt;=7000),"Standart Client")</f>
        <v>Review Required</v>
      </c>
      <c r="O288" s="11">
        <v>2145</v>
      </c>
    </row>
    <row r="289" spans="1:15" x14ac:dyDescent="0.3">
      <c r="A289" t="s">
        <v>41</v>
      </c>
      <c r="B289" t="s">
        <v>77</v>
      </c>
      <c r="C289" t="s">
        <v>87</v>
      </c>
      <c r="D289" t="s">
        <v>101</v>
      </c>
      <c r="E289" t="s">
        <v>124</v>
      </c>
      <c r="F289" t="s">
        <v>125</v>
      </c>
      <c r="G289" t="s">
        <v>114</v>
      </c>
      <c r="H289" t="s">
        <v>119</v>
      </c>
      <c r="I289">
        <v>24</v>
      </c>
      <c r="J289" s="11">
        <v>4113</v>
      </c>
      <c r="K289">
        <v>28</v>
      </c>
      <c r="L289" t="str" cm="1">
        <f t="array" ref="L289">_xlfn.IFS(J289&gt;5000,"Hight",J289&gt;2000,"Medium",TRUE,"Low")</f>
        <v>Medium</v>
      </c>
      <c r="M289" t="str" cm="1">
        <f t="array" ref="M289">_xlfn.IFS(I289&lt;12,"Low-Term",I289&gt;=36,"Long-Term",TRUE,"Medium-Term")</f>
        <v>Medium-Term</v>
      </c>
      <c r="N289" t="str" cm="1">
        <f t="array" ref="N289">_xlfn.IFS(A289="Bad", "Review Required", AND(A289="Good",J289&gt;7000),"VIP Client", AND(A289="Good", J289&lt;=7000),"Standart Client")</f>
        <v>Review Required</v>
      </c>
      <c r="O289" s="11">
        <v>4113</v>
      </c>
    </row>
    <row r="290" spans="1:15" x14ac:dyDescent="0.3">
      <c r="A290" t="s">
        <v>41</v>
      </c>
      <c r="B290" t="s">
        <v>78</v>
      </c>
      <c r="C290" t="s">
        <v>88</v>
      </c>
      <c r="D290" t="s">
        <v>99</v>
      </c>
      <c r="E290" t="s">
        <v>124</v>
      </c>
      <c r="F290" t="s">
        <v>125</v>
      </c>
      <c r="G290" t="s">
        <v>115</v>
      </c>
      <c r="H290" t="s">
        <v>120</v>
      </c>
      <c r="I290">
        <v>36</v>
      </c>
      <c r="J290" s="11">
        <v>10974</v>
      </c>
      <c r="K290">
        <v>26</v>
      </c>
      <c r="L290" t="str" cm="1">
        <f t="array" ref="L290">_xlfn.IFS(J290&gt;5000,"Hight",J290&gt;2000,"Medium",TRUE,"Low")</f>
        <v>Hight</v>
      </c>
      <c r="M290" t="str" cm="1">
        <f t="array" ref="M290">_xlfn.IFS(I290&lt;12,"Low-Term",I290&gt;=36,"Long-Term",TRUE,"Medium-Term")</f>
        <v>Long-Term</v>
      </c>
      <c r="N290" t="str" cm="1">
        <f t="array" ref="N290">_xlfn.IFS(A290="Bad", "Review Required", AND(A290="Good",J290&gt;7000),"VIP Client", AND(A290="Good", J290&lt;=7000),"Standart Client")</f>
        <v>Review Required</v>
      </c>
      <c r="O290" s="11">
        <v>10974</v>
      </c>
    </row>
    <row r="291" spans="1:15" x14ac:dyDescent="0.3">
      <c r="A291" t="s">
        <v>41</v>
      </c>
      <c r="B291" t="s">
        <v>80</v>
      </c>
      <c r="C291" t="s">
        <v>86</v>
      </c>
      <c r="D291" t="s">
        <v>99</v>
      </c>
      <c r="E291" t="s">
        <v>122</v>
      </c>
      <c r="F291" t="s">
        <v>123</v>
      </c>
      <c r="G291" t="s">
        <v>113</v>
      </c>
      <c r="H291" t="s">
        <v>120</v>
      </c>
      <c r="I291">
        <v>28</v>
      </c>
      <c r="J291" s="11">
        <v>4006</v>
      </c>
      <c r="K291">
        <v>45</v>
      </c>
      <c r="L291" t="str" cm="1">
        <f t="array" ref="L291">_xlfn.IFS(J291&gt;5000,"Hight",J291&gt;2000,"Medium",TRUE,"Low")</f>
        <v>Medium</v>
      </c>
      <c r="M291" t="str" cm="1">
        <f t="array" ref="M291">_xlfn.IFS(I291&lt;12,"Low-Term",I291&gt;=36,"Long-Term",TRUE,"Medium-Term")</f>
        <v>Medium-Term</v>
      </c>
      <c r="N291" t="str" cm="1">
        <f t="array" ref="N291">_xlfn.IFS(A291="Bad", "Review Required", AND(A291="Good",J291&gt;7000),"VIP Client", AND(A291="Good", J291&lt;=7000),"Standart Client")</f>
        <v>Review Required</v>
      </c>
      <c r="O291" s="11">
        <v>4006</v>
      </c>
    </row>
    <row r="292" spans="1:15" x14ac:dyDescent="0.3">
      <c r="A292" t="s">
        <v>41</v>
      </c>
      <c r="B292" t="s">
        <v>78</v>
      </c>
      <c r="C292" t="s">
        <v>89</v>
      </c>
      <c r="D292" t="s">
        <v>101</v>
      </c>
      <c r="E292" t="s">
        <v>122</v>
      </c>
      <c r="F292" t="s">
        <v>123</v>
      </c>
      <c r="G292" t="s">
        <v>114</v>
      </c>
      <c r="H292" t="s">
        <v>120</v>
      </c>
      <c r="I292">
        <v>24</v>
      </c>
      <c r="J292" s="11">
        <v>2397</v>
      </c>
      <c r="K292">
        <v>35</v>
      </c>
      <c r="L292" t="str" cm="1">
        <f t="array" ref="L292">_xlfn.IFS(J292&gt;5000,"Hight",J292&gt;2000,"Medium",TRUE,"Low")</f>
        <v>Medium</v>
      </c>
      <c r="M292" t="str" cm="1">
        <f t="array" ref="M292">_xlfn.IFS(I292&lt;12,"Low-Term",I292&gt;=36,"Long-Term",TRUE,"Medium-Term")</f>
        <v>Medium-Term</v>
      </c>
      <c r="N292" t="str" cm="1">
        <f t="array" ref="N292">_xlfn.IFS(A292="Bad", "Review Required", AND(A292="Good",J292&gt;7000),"VIP Client", AND(A292="Good", J292&lt;=7000),"Standart Client")</f>
        <v>Review Required</v>
      </c>
      <c r="O292" s="11">
        <v>2397</v>
      </c>
    </row>
    <row r="293" spans="1:15" x14ac:dyDescent="0.3">
      <c r="A293" t="s">
        <v>41</v>
      </c>
      <c r="B293" t="s">
        <v>77</v>
      </c>
      <c r="C293" t="s">
        <v>89</v>
      </c>
      <c r="D293" t="s">
        <v>101</v>
      </c>
      <c r="E293" t="s">
        <v>122</v>
      </c>
      <c r="F293" t="s">
        <v>123</v>
      </c>
      <c r="G293" t="s">
        <v>113</v>
      </c>
      <c r="H293" t="s">
        <v>120</v>
      </c>
      <c r="I293">
        <v>27</v>
      </c>
      <c r="J293" s="11">
        <v>2520</v>
      </c>
      <c r="K293">
        <v>23</v>
      </c>
      <c r="L293" t="str" cm="1">
        <f t="array" ref="L293">_xlfn.IFS(J293&gt;5000,"Hight",J293&gt;2000,"Medium",TRUE,"Low")</f>
        <v>Medium</v>
      </c>
      <c r="M293" t="str" cm="1">
        <f t="array" ref="M293">_xlfn.IFS(I293&lt;12,"Low-Term",I293&gt;=36,"Long-Term",TRUE,"Medium-Term")</f>
        <v>Medium-Term</v>
      </c>
      <c r="N293" t="str" cm="1">
        <f t="array" ref="N293">_xlfn.IFS(A293="Bad", "Review Required", AND(A293="Good",J293&gt;7000),"VIP Client", AND(A293="Good", J293&lt;=7000),"Standart Client")</f>
        <v>Review Required</v>
      </c>
      <c r="O293" s="11">
        <v>2520</v>
      </c>
    </row>
    <row r="294" spans="1:15" x14ac:dyDescent="0.3">
      <c r="A294" t="s">
        <v>41</v>
      </c>
      <c r="B294" t="s">
        <v>80</v>
      </c>
      <c r="C294" t="s">
        <v>86</v>
      </c>
      <c r="D294" t="s">
        <v>99</v>
      </c>
      <c r="E294" t="s">
        <v>124</v>
      </c>
      <c r="F294" t="s">
        <v>125</v>
      </c>
      <c r="G294" t="s">
        <v>112</v>
      </c>
      <c r="H294" t="s">
        <v>119</v>
      </c>
      <c r="I294">
        <v>24</v>
      </c>
      <c r="J294" s="11">
        <v>1193</v>
      </c>
      <c r="K294">
        <v>29</v>
      </c>
      <c r="L294" t="str" cm="1">
        <f t="array" ref="L294">_xlfn.IFS(J294&gt;5000,"Hight",J294&gt;2000,"Medium",TRUE,"Low")</f>
        <v>Low</v>
      </c>
      <c r="M294" t="str" cm="1">
        <f t="array" ref="M294">_xlfn.IFS(I294&lt;12,"Low-Term",I294&gt;=36,"Long-Term",TRUE,"Medium-Term")</f>
        <v>Medium-Term</v>
      </c>
      <c r="N294" t="str" cm="1">
        <f t="array" ref="N294">_xlfn.IFS(A294="Bad", "Review Required", AND(A294="Good",J294&gt;7000),"VIP Client", AND(A294="Good", J294&lt;=7000),"Standart Client")</f>
        <v>Review Required</v>
      </c>
      <c r="O294" s="11">
        <v>1193</v>
      </c>
    </row>
    <row r="295" spans="1:15" x14ac:dyDescent="0.3">
      <c r="A295" t="s">
        <v>41</v>
      </c>
      <c r="B295" t="s">
        <v>80</v>
      </c>
      <c r="C295" t="s">
        <v>94</v>
      </c>
      <c r="D295" t="s">
        <v>99</v>
      </c>
      <c r="E295" t="s">
        <v>122</v>
      </c>
      <c r="F295" t="s">
        <v>123</v>
      </c>
      <c r="G295" t="s">
        <v>114</v>
      </c>
      <c r="H295" t="s">
        <v>119</v>
      </c>
      <c r="I295">
        <v>60</v>
      </c>
      <c r="J295" s="11">
        <v>7297</v>
      </c>
      <c r="K295">
        <v>36</v>
      </c>
      <c r="L295" t="str" cm="1">
        <f t="array" ref="L295">_xlfn.IFS(J295&gt;5000,"Hight",J295&gt;2000,"Medium",TRUE,"Low")</f>
        <v>Hight</v>
      </c>
      <c r="M295" t="str" cm="1">
        <f t="array" ref="M295">_xlfn.IFS(I295&lt;12,"Low-Term",I295&gt;=36,"Long-Term",TRUE,"Medium-Term")</f>
        <v>Long-Term</v>
      </c>
      <c r="N295" t="str" cm="1">
        <f t="array" ref="N295">_xlfn.IFS(A295="Bad", "Review Required", AND(A295="Good",J295&gt;7000),"VIP Client", AND(A295="Good", J295&lt;=7000),"Standart Client")</f>
        <v>Review Required</v>
      </c>
      <c r="O295" s="11">
        <v>7297</v>
      </c>
    </row>
    <row r="296" spans="1:15" x14ac:dyDescent="0.3">
      <c r="A296" t="s">
        <v>41</v>
      </c>
      <c r="B296" t="s">
        <v>78</v>
      </c>
      <c r="C296" t="s">
        <v>86</v>
      </c>
      <c r="D296" t="s">
        <v>99</v>
      </c>
      <c r="E296" t="s">
        <v>122</v>
      </c>
      <c r="F296" t="s">
        <v>123</v>
      </c>
      <c r="G296" t="s">
        <v>113</v>
      </c>
      <c r="H296" t="s">
        <v>120</v>
      </c>
      <c r="I296">
        <v>24</v>
      </c>
      <c r="J296" s="11">
        <v>2538</v>
      </c>
      <c r="K296">
        <v>47</v>
      </c>
      <c r="L296" t="str" cm="1">
        <f t="array" ref="L296">_xlfn.IFS(J296&gt;5000,"Hight",J296&gt;2000,"Medium",TRUE,"Low")</f>
        <v>Medium</v>
      </c>
      <c r="M296" t="str" cm="1">
        <f t="array" ref="M296">_xlfn.IFS(I296&lt;12,"Low-Term",I296&gt;=36,"Long-Term",TRUE,"Medium-Term")</f>
        <v>Medium-Term</v>
      </c>
      <c r="N296" t="str" cm="1">
        <f t="array" ref="N296">_xlfn.IFS(A296="Bad", "Review Required", AND(A296="Good",J296&gt;7000),"VIP Client", AND(A296="Good", J296&lt;=7000),"Standart Client")</f>
        <v>Review Required</v>
      </c>
      <c r="O296" s="11">
        <v>2538</v>
      </c>
    </row>
    <row r="297" spans="1:15" x14ac:dyDescent="0.3">
      <c r="A297" t="s">
        <v>41</v>
      </c>
      <c r="B297" t="s">
        <v>77</v>
      </c>
      <c r="C297" t="s">
        <v>86</v>
      </c>
      <c r="D297" t="s">
        <v>100</v>
      </c>
      <c r="E297" t="s">
        <v>122</v>
      </c>
      <c r="F297" t="s">
        <v>127</v>
      </c>
      <c r="G297" t="s">
        <v>114</v>
      </c>
      <c r="H297" t="s">
        <v>119</v>
      </c>
      <c r="I297">
        <v>15</v>
      </c>
      <c r="J297" s="11">
        <v>1264</v>
      </c>
      <c r="K297">
        <v>25</v>
      </c>
      <c r="L297" t="str" cm="1">
        <f t="array" ref="L297">_xlfn.IFS(J297&gt;5000,"Hight",J297&gt;2000,"Medium",TRUE,"Low")</f>
        <v>Low</v>
      </c>
      <c r="M297" t="str" cm="1">
        <f t="array" ref="M297">_xlfn.IFS(I297&lt;12,"Low-Term",I297&gt;=36,"Long-Term",TRUE,"Medium-Term")</f>
        <v>Medium-Term</v>
      </c>
      <c r="N297" t="str" cm="1">
        <f t="array" ref="N297">_xlfn.IFS(A297="Bad", "Review Required", AND(A297="Good",J297&gt;7000),"VIP Client", AND(A297="Good", J297&lt;=7000),"Standart Client")</f>
        <v>Review Required</v>
      </c>
      <c r="O297" s="11">
        <v>1264</v>
      </c>
    </row>
    <row r="298" spans="1:15" x14ac:dyDescent="0.3">
      <c r="A298" t="s">
        <v>41</v>
      </c>
      <c r="B298" t="s">
        <v>77</v>
      </c>
      <c r="C298" t="s">
        <v>88</v>
      </c>
      <c r="D298" t="s">
        <v>99</v>
      </c>
      <c r="E298" t="s">
        <v>122</v>
      </c>
      <c r="F298" t="s">
        <v>123</v>
      </c>
      <c r="G298" t="s">
        <v>114</v>
      </c>
      <c r="H298" t="s">
        <v>120</v>
      </c>
      <c r="I298">
        <v>30</v>
      </c>
      <c r="J298" s="11">
        <v>8386</v>
      </c>
      <c r="K298">
        <v>49</v>
      </c>
      <c r="L298" t="str" cm="1">
        <f t="array" ref="L298">_xlfn.IFS(J298&gt;5000,"Hight",J298&gt;2000,"Medium",TRUE,"Low")</f>
        <v>Hight</v>
      </c>
      <c r="M298" t="str" cm="1">
        <f t="array" ref="M298">_xlfn.IFS(I298&lt;12,"Low-Term",I298&gt;=36,"Long-Term",TRUE,"Medium-Term")</f>
        <v>Medium-Term</v>
      </c>
      <c r="N298" t="str" cm="1">
        <f t="array" ref="N298">_xlfn.IFS(A298="Bad", "Review Required", AND(A298="Good",J298&gt;7000),"VIP Client", AND(A298="Good", J298&lt;=7000),"Standart Client")</f>
        <v>Review Required</v>
      </c>
      <c r="O298" s="11">
        <v>8386</v>
      </c>
    </row>
    <row r="299" spans="1:15" x14ac:dyDescent="0.3">
      <c r="A299" t="s">
        <v>41</v>
      </c>
      <c r="B299" t="s">
        <v>78</v>
      </c>
      <c r="C299" t="s">
        <v>94</v>
      </c>
      <c r="D299" t="s">
        <v>99</v>
      </c>
      <c r="E299" t="s">
        <v>122</v>
      </c>
      <c r="F299" t="s">
        <v>123</v>
      </c>
      <c r="G299" t="s">
        <v>115</v>
      </c>
      <c r="H299" t="s">
        <v>119</v>
      </c>
      <c r="I299">
        <v>48</v>
      </c>
      <c r="J299" s="11">
        <v>4844</v>
      </c>
      <c r="K299">
        <v>33</v>
      </c>
      <c r="L299" t="str" cm="1">
        <f t="array" ref="L299">_xlfn.IFS(J299&gt;5000,"Hight",J299&gt;2000,"Medium",TRUE,"Low")</f>
        <v>Medium</v>
      </c>
      <c r="M299" t="str" cm="1">
        <f t="array" ref="M299">_xlfn.IFS(I299&lt;12,"Low-Term",I299&gt;=36,"Long-Term",TRUE,"Medium-Term")</f>
        <v>Long-Term</v>
      </c>
      <c r="N299" t="str" cm="1">
        <f t="array" ref="N299">_xlfn.IFS(A299="Bad", "Review Required", AND(A299="Good",J299&gt;7000),"VIP Client", AND(A299="Good", J299&lt;=7000),"Standart Client")</f>
        <v>Review Required</v>
      </c>
      <c r="O299" s="11">
        <v>4844</v>
      </c>
    </row>
    <row r="300" spans="1:15" x14ac:dyDescent="0.3">
      <c r="A300" t="s">
        <v>41</v>
      </c>
      <c r="B300" t="s">
        <v>80</v>
      </c>
      <c r="C300" t="s">
        <v>87</v>
      </c>
      <c r="D300" t="s">
        <v>99</v>
      </c>
      <c r="E300" t="s">
        <v>122</v>
      </c>
      <c r="F300" t="s">
        <v>123</v>
      </c>
      <c r="G300" t="s">
        <v>114</v>
      </c>
      <c r="H300" t="s">
        <v>120</v>
      </c>
      <c r="I300">
        <v>36</v>
      </c>
      <c r="J300" s="11">
        <v>8229</v>
      </c>
      <c r="K300">
        <v>26</v>
      </c>
      <c r="L300" t="str" cm="1">
        <f t="array" ref="L300">_xlfn.IFS(J300&gt;5000,"Hight",J300&gt;2000,"Medium",TRUE,"Low")</f>
        <v>Hight</v>
      </c>
      <c r="M300" t="str" cm="1">
        <f t="array" ref="M300">_xlfn.IFS(I300&lt;12,"Low-Term",I300&gt;=36,"Long-Term",TRUE,"Medium-Term")</f>
        <v>Long-Term</v>
      </c>
      <c r="N300" t="str" cm="1">
        <f t="array" ref="N300">_xlfn.IFS(A300="Bad", "Review Required", AND(A300="Good",J300&gt;7000),"VIP Client", AND(A300="Good", J300&lt;=7000),"Standart Client")</f>
        <v>Review Required</v>
      </c>
      <c r="O300" s="11">
        <v>8229</v>
      </c>
    </row>
    <row r="301" spans="1:15" x14ac:dyDescent="0.3">
      <c r="A301" t="s">
        <v>41</v>
      </c>
      <c r="B301" t="s">
        <v>80</v>
      </c>
      <c r="C301" t="s">
        <v>89</v>
      </c>
      <c r="D301" t="s">
        <v>99</v>
      </c>
      <c r="E301" t="s">
        <v>122</v>
      </c>
      <c r="F301" t="s">
        <v>123</v>
      </c>
      <c r="G301" t="s">
        <v>114</v>
      </c>
      <c r="H301" t="s">
        <v>121</v>
      </c>
      <c r="I301">
        <v>45</v>
      </c>
      <c r="J301" s="11">
        <v>1845</v>
      </c>
      <c r="K301">
        <v>23</v>
      </c>
      <c r="L301" t="str" cm="1">
        <f t="array" ref="L301">_xlfn.IFS(J301&gt;5000,"Hight",J301&gt;2000,"Medium",TRUE,"Low")</f>
        <v>Low</v>
      </c>
      <c r="M301" t="str" cm="1">
        <f t="array" ref="M301">_xlfn.IFS(I301&lt;12,"Low-Term",I301&gt;=36,"Long-Term",TRUE,"Medium-Term")</f>
        <v>Long-Term</v>
      </c>
      <c r="N301" t="str" cm="1">
        <f t="array" ref="N301">_xlfn.IFS(A301="Bad", "Review Required", AND(A301="Good",J301&gt;7000),"VIP Client", AND(A301="Good", J301&lt;=7000),"Standart Client")</f>
        <v>Review Required</v>
      </c>
      <c r="O301" s="11">
        <v>1845</v>
      </c>
    </row>
    <row r="302" spans="1:15" x14ac:dyDescent="0.3">
      <c r="A302" t="s">
        <v>34</v>
      </c>
      <c r="B302" t="s">
        <v>80</v>
      </c>
      <c r="C302" t="s">
        <v>89</v>
      </c>
      <c r="D302" t="s">
        <v>78</v>
      </c>
      <c r="E302" t="s">
        <v>122</v>
      </c>
      <c r="F302" t="s">
        <v>123</v>
      </c>
      <c r="G302" t="s">
        <v>114</v>
      </c>
      <c r="H302" t="s">
        <v>120</v>
      </c>
      <c r="I302">
        <v>6</v>
      </c>
      <c r="J302" s="11">
        <v>1169</v>
      </c>
      <c r="K302">
        <v>67</v>
      </c>
      <c r="L302" t="str" cm="1">
        <f t="array" ref="L302">_xlfn.IFS(J302&gt;5000,"Hight",J302&gt;2000,"Medium",TRUE,"Low")</f>
        <v>Low</v>
      </c>
      <c r="M302" t="str" cm="1">
        <f t="array" ref="M302">_xlfn.IFS(I302&lt;12,"Low-Term",I302&gt;=36,"Long-Term",TRUE,"Medium-Term")</f>
        <v>Low-Term</v>
      </c>
      <c r="N302" t="str" cm="1">
        <f t="array" ref="N302">_xlfn.IFS(A302="Bad", "Review Required", AND(A302="Good",J302&gt;7000),"VIP Client", AND(A302="Good", J302&lt;=7000),"Standart Client")</f>
        <v>Standart Client</v>
      </c>
    </row>
    <row r="303" spans="1:15" x14ac:dyDescent="0.3">
      <c r="A303" t="s">
        <v>34</v>
      </c>
      <c r="B303" t="s">
        <v>78</v>
      </c>
      <c r="C303" t="s">
        <v>92</v>
      </c>
      <c r="D303" t="s">
        <v>99</v>
      </c>
      <c r="E303" t="s">
        <v>122</v>
      </c>
      <c r="F303" t="s">
        <v>123</v>
      </c>
      <c r="G303" t="s">
        <v>113</v>
      </c>
      <c r="H303" t="s">
        <v>120</v>
      </c>
      <c r="I303">
        <v>12</v>
      </c>
      <c r="J303" s="11">
        <v>2096</v>
      </c>
      <c r="K303">
        <v>49</v>
      </c>
      <c r="L303" t="str" cm="1">
        <f t="array" ref="L303">_xlfn.IFS(J303&gt;5000,"Hight",J303&gt;2000,"Medium",TRUE,"Low")</f>
        <v>Medium</v>
      </c>
      <c r="M303" t="str" cm="1">
        <f t="array" ref="M303">_xlfn.IFS(I303&lt;12,"Low-Term",I303&gt;=36,"Long-Term",TRUE,"Medium-Term")</f>
        <v>Medium-Term</v>
      </c>
      <c r="N303" t="str" cm="1">
        <f t="array" ref="N303">_xlfn.IFS(A303="Bad", "Review Required", AND(A303="Good",J303&gt;7000),"VIP Client", AND(A303="Good", J303&lt;=7000),"Standart Client")</f>
        <v>Standart Client</v>
      </c>
    </row>
    <row r="304" spans="1:15" x14ac:dyDescent="0.3">
      <c r="A304" t="s">
        <v>34</v>
      </c>
      <c r="B304" t="s">
        <v>80</v>
      </c>
      <c r="C304" t="s">
        <v>88</v>
      </c>
      <c r="D304" t="s">
        <v>99</v>
      </c>
      <c r="E304" t="s">
        <v>122</v>
      </c>
      <c r="F304" t="s">
        <v>123</v>
      </c>
      <c r="G304" t="s">
        <v>114</v>
      </c>
      <c r="H304" t="s">
        <v>121</v>
      </c>
      <c r="I304">
        <v>42</v>
      </c>
      <c r="J304" s="11">
        <v>7882</v>
      </c>
      <c r="K304">
        <v>45</v>
      </c>
      <c r="L304" t="str" cm="1">
        <f t="array" ref="L304">_xlfn.IFS(J304&gt;5000,"Hight",J304&gt;2000,"Medium",TRUE,"Low")</f>
        <v>Hight</v>
      </c>
      <c r="M304" t="str" cm="1">
        <f t="array" ref="M304">_xlfn.IFS(I304&lt;12,"Low-Term",I304&gt;=36,"Long-Term",TRUE,"Medium-Term")</f>
        <v>Long-Term</v>
      </c>
      <c r="N304" t="str" cm="1">
        <f t="array" ref="N304">_xlfn.IFS(A304="Bad", "Review Required", AND(A304="Good",J304&gt;7000),"VIP Client", AND(A304="Good", J304&lt;=7000),"Standart Client")</f>
        <v>VIP Client</v>
      </c>
    </row>
    <row r="305" spans="1:14" x14ac:dyDescent="0.3">
      <c r="A305" t="s">
        <v>34</v>
      </c>
      <c r="B305" t="s">
        <v>78</v>
      </c>
      <c r="C305" t="s">
        <v>92</v>
      </c>
      <c r="D305" t="s">
        <v>78</v>
      </c>
      <c r="E305" t="s">
        <v>122</v>
      </c>
      <c r="F305" t="s">
        <v>123</v>
      </c>
      <c r="G305" t="s">
        <v>113</v>
      </c>
      <c r="H305" t="s">
        <v>121</v>
      </c>
      <c r="I305">
        <v>36</v>
      </c>
      <c r="J305" s="11">
        <v>9055</v>
      </c>
      <c r="K305">
        <v>35</v>
      </c>
      <c r="L305" t="str" cm="1">
        <f t="array" ref="L305">_xlfn.IFS(J305&gt;5000,"Hight",J305&gt;2000,"Medium",TRUE,"Low")</f>
        <v>Hight</v>
      </c>
      <c r="M305" t="str" cm="1">
        <f t="array" ref="M305">_xlfn.IFS(I305&lt;12,"Low-Term",I305&gt;=36,"Long-Term",TRUE,"Medium-Term")</f>
        <v>Long-Term</v>
      </c>
      <c r="N305" t="str" cm="1">
        <f t="array" ref="N305">_xlfn.IFS(A305="Bad", "Review Required", AND(A305="Good",J305&gt;7000),"VIP Client", AND(A305="Good", J305&lt;=7000),"Standart Client")</f>
        <v>VIP Client</v>
      </c>
    </row>
    <row r="306" spans="1:14" x14ac:dyDescent="0.3">
      <c r="A306" t="s">
        <v>34</v>
      </c>
      <c r="B306" t="s">
        <v>78</v>
      </c>
      <c r="C306" t="s">
        <v>88</v>
      </c>
      <c r="D306" t="s">
        <v>101</v>
      </c>
      <c r="E306" t="s">
        <v>122</v>
      </c>
      <c r="F306" t="s">
        <v>123</v>
      </c>
      <c r="G306" t="s">
        <v>114</v>
      </c>
      <c r="H306" t="s">
        <v>120</v>
      </c>
      <c r="I306">
        <v>24</v>
      </c>
      <c r="J306" s="11">
        <v>2835</v>
      </c>
      <c r="K306">
        <v>53</v>
      </c>
      <c r="L306" t="str" cm="1">
        <f t="array" ref="L306">_xlfn.IFS(J306&gt;5000,"Hight",J306&gt;2000,"Medium",TRUE,"Low")</f>
        <v>Medium</v>
      </c>
      <c r="M306" t="str" cm="1">
        <f t="array" ref="M306">_xlfn.IFS(I306&lt;12,"Low-Term",I306&gt;=36,"Long-Term",TRUE,"Medium-Term")</f>
        <v>Medium-Term</v>
      </c>
      <c r="N306" t="str" cm="1">
        <f t="array" ref="N306">_xlfn.IFS(A306="Bad", "Review Required", AND(A306="Good",J306&gt;7000),"VIP Client", AND(A306="Good", J306&lt;=7000),"Standart Client")</f>
        <v>Standart Client</v>
      </c>
    </row>
    <row r="307" spans="1:14" x14ac:dyDescent="0.3">
      <c r="A307" t="s">
        <v>34</v>
      </c>
      <c r="B307" t="s">
        <v>77</v>
      </c>
      <c r="C307" t="s">
        <v>87</v>
      </c>
      <c r="D307" t="s">
        <v>99</v>
      </c>
      <c r="E307" t="s">
        <v>122</v>
      </c>
      <c r="F307" t="s">
        <v>123</v>
      </c>
      <c r="G307" t="s">
        <v>115</v>
      </c>
      <c r="H307" t="s">
        <v>119</v>
      </c>
      <c r="I307">
        <v>36</v>
      </c>
      <c r="J307" s="11">
        <v>6948</v>
      </c>
      <c r="K307">
        <v>35</v>
      </c>
      <c r="L307" t="str" cm="1">
        <f t="array" ref="L307">_xlfn.IFS(J307&gt;5000,"Hight",J307&gt;2000,"Medium",TRUE,"Low")</f>
        <v>Hight</v>
      </c>
      <c r="M307" t="str" cm="1">
        <f t="array" ref="M307">_xlfn.IFS(I307&lt;12,"Low-Term",I307&gt;=36,"Long-Term",TRUE,"Medium-Term")</f>
        <v>Long-Term</v>
      </c>
      <c r="N307" t="str" cm="1">
        <f t="array" ref="N307">_xlfn.IFS(A307="Bad", "Review Required", AND(A307="Good",J307&gt;7000),"VIP Client", AND(A307="Good", J307&lt;=7000),"Standart Client")</f>
        <v>Standart Client</v>
      </c>
    </row>
    <row r="308" spans="1:14" x14ac:dyDescent="0.3">
      <c r="A308" t="s">
        <v>34</v>
      </c>
      <c r="B308" t="s">
        <v>78</v>
      </c>
      <c r="C308" t="s">
        <v>89</v>
      </c>
      <c r="D308" t="s">
        <v>102</v>
      </c>
      <c r="E308" t="s">
        <v>122</v>
      </c>
      <c r="F308" t="s">
        <v>126</v>
      </c>
      <c r="G308" t="s">
        <v>113</v>
      </c>
      <c r="H308" t="s">
        <v>120</v>
      </c>
      <c r="I308">
        <v>12</v>
      </c>
      <c r="J308" s="11">
        <v>3059</v>
      </c>
      <c r="K308">
        <v>61</v>
      </c>
      <c r="L308" t="str" cm="1">
        <f t="array" ref="L308">_xlfn.IFS(J308&gt;5000,"Hight",J308&gt;2000,"Medium",TRUE,"Low")</f>
        <v>Medium</v>
      </c>
      <c r="M308" t="str" cm="1">
        <f t="array" ref="M308">_xlfn.IFS(I308&lt;12,"Low-Term",I308&gt;=36,"Long-Term",TRUE,"Medium-Term")</f>
        <v>Medium-Term</v>
      </c>
      <c r="N308" t="str" cm="1">
        <f t="array" ref="N308">_xlfn.IFS(A308="Bad", "Review Required", AND(A308="Good",J308&gt;7000),"VIP Client", AND(A308="Good", J308&lt;=7000),"Standart Client")</f>
        <v>Standart Client</v>
      </c>
    </row>
    <row r="309" spans="1:14" x14ac:dyDescent="0.3">
      <c r="A309" t="s">
        <v>34</v>
      </c>
      <c r="B309" t="s">
        <v>77</v>
      </c>
      <c r="C309" t="s">
        <v>89</v>
      </c>
      <c r="D309" t="s">
        <v>99</v>
      </c>
      <c r="E309" t="s">
        <v>124</v>
      </c>
      <c r="F309" t="s">
        <v>125</v>
      </c>
      <c r="G309" t="s">
        <v>114</v>
      </c>
      <c r="H309" t="s">
        <v>120</v>
      </c>
      <c r="I309">
        <v>12</v>
      </c>
      <c r="J309" s="11">
        <v>1567</v>
      </c>
      <c r="K309">
        <v>22</v>
      </c>
      <c r="L309" t="str" cm="1">
        <f t="array" ref="L309">_xlfn.IFS(J309&gt;5000,"Hight",J309&gt;2000,"Medium",TRUE,"Low")</f>
        <v>Low</v>
      </c>
      <c r="M309" t="str" cm="1">
        <f t="array" ref="M309">_xlfn.IFS(I309&lt;12,"Low-Term",I309&gt;=36,"Long-Term",TRUE,"Medium-Term")</f>
        <v>Medium-Term</v>
      </c>
      <c r="N309" t="str" cm="1">
        <f t="array" ref="N309">_xlfn.IFS(A309="Bad", "Review Required", AND(A309="Good",J309&gt;7000),"VIP Client", AND(A309="Good", J309&lt;=7000),"Standart Client")</f>
        <v>Standart Client</v>
      </c>
    </row>
    <row r="310" spans="1:14" x14ac:dyDescent="0.3">
      <c r="A310" t="s">
        <v>34</v>
      </c>
      <c r="B310" t="s">
        <v>80</v>
      </c>
      <c r="C310" t="s">
        <v>86</v>
      </c>
      <c r="D310" t="s">
        <v>99</v>
      </c>
      <c r="E310" t="s">
        <v>124</v>
      </c>
      <c r="F310" t="s">
        <v>125</v>
      </c>
      <c r="G310" t="s">
        <v>114</v>
      </c>
      <c r="H310" t="s">
        <v>119</v>
      </c>
      <c r="I310">
        <v>15</v>
      </c>
      <c r="J310" s="11">
        <v>1403</v>
      </c>
      <c r="K310">
        <v>28</v>
      </c>
      <c r="L310" t="str" cm="1">
        <f t="array" ref="L310">_xlfn.IFS(J310&gt;5000,"Hight",J310&gt;2000,"Medium",TRUE,"Low")</f>
        <v>Low</v>
      </c>
      <c r="M310" t="str" cm="1">
        <f t="array" ref="M310">_xlfn.IFS(I310&lt;12,"Low-Term",I310&gt;=36,"Long-Term",TRUE,"Medium-Term")</f>
        <v>Medium-Term</v>
      </c>
      <c r="N310" t="str" cm="1">
        <f t="array" ref="N310">_xlfn.IFS(A310="Bad", "Review Required", AND(A310="Good",J310&gt;7000),"VIP Client", AND(A310="Good", J310&lt;=7000),"Standart Client")</f>
        <v>Standart Client</v>
      </c>
    </row>
    <row r="311" spans="1:14" x14ac:dyDescent="0.3">
      <c r="A311" t="s">
        <v>34</v>
      </c>
      <c r="B311" t="s">
        <v>78</v>
      </c>
      <c r="C311" t="s">
        <v>89</v>
      </c>
      <c r="D311" t="s">
        <v>78</v>
      </c>
      <c r="E311" t="s">
        <v>122</v>
      </c>
      <c r="F311" t="s">
        <v>123</v>
      </c>
      <c r="G311" t="s">
        <v>114</v>
      </c>
      <c r="H311" t="s">
        <v>120</v>
      </c>
      <c r="I311">
        <v>24</v>
      </c>
      <c r="J311" s="11">
        <v>2424</v>
      </c>
      <c r="K311">
        <v>53</v>
      </c>
      <c r="L311" t="str" cm="1">
        <f t="array" ref="L311">_xlfn.IFS(J311&gt;5000,"Hight",J311&gt;2000,"Medium",TRUE,"Low")</f>
        <v>Medium</v>
      </c>
      <c r="M311" t="str" cm="1">
        <f t="array" ref="M311">_xlfn.IFS(I311&lt;12,"Low-Term",I311&gt;=36,"Long-Term",TRUE,"Medium-Term")</f>
        <v>Medium-Term</v>
      </c>
      <c r="N311" t="str" cm="1">
        <f t="array" ref="N311">_xlfn.IFS(A311="Bad", "Review Required", AND(A311="Good",J311&gt;7000),"VIP Client", AND(A311="Good", J311&lt;=7000),"Standart Client")</f>
        <v>Standart Client</v>
      </c>
    </row>
    <row r="312" spans="1:14" x14ac:dyDescent="0.3">
      <c r="A312" t="s">
        <v>34</v>
      </c>
      <c r="B312" t="s">
        <v>80</v>
      </c>
      <c r="C312" t="s">
        <v>94</v>
      </c>
      <c r="D312" t="s">
        <v>78</v>
      </c>
      <c r="E312" t="s">
        <v>122</v>
      </c>
      <c r="F312" t="s">
        <v>123</v>
      </c>
      <c r="G312" t="s">
        <v>114</v>
      </c>
      <c r="H312" t="s">
        <v>120</v>
      </c>
      <c r="I312">
        <v>30</v>
      </c>
      <c r="J312" s="11">
        <v>8072</v>
      </c>
      <c r="K312">
        <v>25</v>
      </c>
      <c r="L312" t="str" cm="1">
        <f t="array" ref="L312">_xlfn.IFS(J312&gt;5000,"Hight",J312&gt;2000,"Medium",TRUE,"Low")</f>
        <v>Hight</v>
      </c>
      <c r="M312" t="str" cm="1">
        <f t="array" ref="M312">_xlfn.IFS(I312&lt;12,"Low-Term",I312&gt;=36,"Long-Term",TRUE,"Medium-Term")</f>
        <v>Medium-Term</v>
      </c>
      <c r="N312" t="str" cm="1">
        <f t="array" ref="N312">_xlfn.IFS(A312="Bad", "Review Required", AND(A312="Good",J312&gt;7000),"VIP Client", AND(A312="Good", J312&lt;=7000),"Standart Client")</f>
        <v>VIP Client</v>
      </c>
    </row>
    <row r="313" spans="1:14" x14ac:dyDescent="0.3">
      <c r="A313" t="s">
        <v>34</v>
      </c>
      <c r="B313" t="s">
        <v>78</v>
      </c>
      <c r="C313" t="s">
        <v>89</v>
      </c>
      <c r="D313" t="s">
        <v>101</v>
      </c>
      <c r="E313" t="s">
        <v>122</v>
      </c>
      <c r="F313" t="s">
        <v>123</v>
      </c>
      <c r="G313" t="s">
        <v>114</v>
      </c>
      <c r="H313" t="s">
        <v>120</v>
      </c>
      <c r="I313">
        <v>24</v>
      </c>
      <c r="J313" s="11">
        <v>3430</v>
      </c>
      <c r="K313">
        <v>31</v>
      </c>
      <c r="L313" t="str" cm="1">
        <f t="array" ref="L313">_xlfn.IFS(J313&gt;5000,"Hight",J313&gt;2000,"Medium",TRUE,"Low")</f>
        <v>Medium</v>
      </c>
      <c r="M313" t="str" cm="1">
        <f t="array" ref="M313">_xlfn.IFS(I313&lt;12,"Low-Term",I313&gt;=36,"Long-Term",TRUE,"Medium-Term")</f>
        <v>Medium-Term</v>
      </c>
      <c r="N313" t="str" cm="1">
        <f t="array" ref="N313">_xlfn.IFS(A313="Bad", "Review Required", AND(A313="Good",J313&gt;7000),"VIP Client", AND(A313="Good", J313&lt;=7000),"Standart Client")</f>
        <v>Standart Client</v>
      </c>
    </row>
    <row r="314" spans="1:14" x14ac:dyDescent="0.3">
      <c r="A314" t="s">
        <v>34</v>
      </c>
      <c r="B314" t="s">
        <v>78</v>
      </c>
      <c r="C314" t="s">
        <v>86</v>
      </c>
      <c r="D314" t="s">
        <v>99</v>
      </c>
      <c r="E314" t="s">
        <v>122</v>
      </c>
      <c r="F314" t="s">
        <v>123</v>
      </c>
      <c r="G314" t="s">
        <v>114</v>
      </c>
      <c r="H314" t="s">
        <v>120</v>
      </c>
      <c r="I314">
        <v>9</v>
      </c>
      <c r="J314" s="11">
        <v>2134</v>
      </c>
      <c r="K314">
        <v>48</v>
      </c>
      <c r="L314" t="str" cm="1">
        <f t="array" ref="L314">_xlfn.IFS(J314&gt;5000,"Hight",J314&gt;2000,"Medium",TRUE,"Low")</f>
        <v>Medium</v>
      </c>
      <c r="M314" t="str" cm="1">
        <f t="array" ref="M314">_xlfn.IFS(I314&lt;12,"Low-Term",I314&gt;=36,"Long-Term",TRUE,"Medium-Term")</f>
        <v>Low-Term</v>
      </c>
      <c r="N314" t="str" cm="1">
        <f t="array" ref="N314">_xlfn.IFS(A314="Bad", "Review Required", AND(A314="Good",J314&gt;7000),"VIP Client", AND(A314="Good", J314&lt;=7000),"Standart Client")</f>
        <v>Standart Client</v>
      </c>
    </row>
    <row r="315" spans="1:14" x14ac:dyDescent="0.3">
      <c r="A315" t="s">
        <v>34</v>
      </c>
      <c r="B315" t="s">
        <v>80</v>
      </c>
      <c r="C315" t="s">
        <v>89</v>
      </c>
      <c r="D315" t="s">
        <v>101</v>
      </c>
      <c r="E315" t="s">
        <v>122</v>
      </c>
      <c r="F315" t="s">
        <v>123</v>
      </c>
      <c r="G315" t="s">
        <v>114</v>
      </c>
      <c r="H315" t="s">
        <v>119</v>
      </c>
      <c r="I315">
        <v>6</v>
      </c>
      <c r="J315" s="11">
        <v>2647</v>
      </c>
      <c r="K315">
        <v>44</v>
      </c>
      <c r="L315" t="str" cm="1">
        <f t="array" ref="L315">_xlfn.IFS(J315&gt;5000,"Hight",J315&gt;2000,"Medium",TRUE,"Low")</f>
        <v>Medium</v>
      </c>
      <c r="M315" t="str" cm="1">
        <f t="array" ref="M315">_xlfn.IFS(I315&lt;12,"Low-Term",I315&gt;=36,"Long-Term",TRUE,"Medium-Term")</f>
        <v>Low-Term</v>
      </c>
      <c r="N315" t="str" cm="1">
        <f t="array" ref="N315">_xlfn.IFS(A315="Bad", "Review Required", AND(A315="Good",J315&gt;7000),"VIP Client", AND(A315="Good", J315&lt;=7000),"Standart Client")</f>
        <v>Standart Client</v>
      </c>
    </row>
    <row r="316" spans="1:14" x14ac:dyDescent="0.3">
      <c r="A316" t="s">
        <v>34</v>
      </c>
      <c r="B316" t="s">
        <v>80</v>
      </c>
      <c r="C316" t="s">
        <v>86</v>
      </c>
      <c r="D316" t="s">
        <v>99</v>
      </c>
      <c r="E316" t="s">
        <v>122</v>
      </c>
      <c r="F316" t="s">
        <v>123</v>
      </c>
      <c r="G316" t="s">
        <v>113</v>
      </c>
      <c r="H316" t="s">
        <v>119</v>
      </c>
      <c r="I316">
        <v>10</v>
      </c>
      <c r="J316" s="11">
        <v>2241</v>
      </c>
      <c r="K316">
        <v>48</v>
      </c>
      <c r="L316" t="str" cm="1">
        <f t="array" ref="L316">_xlfn.IFS(J316&gt;5000,"Hight",J316&gt;2000,"Medium",TRUE,"Low")</f>
        <v>Medium</v>
      </c>
      <c r="M316" t="str" cm="1">
        <f t="array" ref="M316">_xlfn.IFS(I316&lt;12,"Low-Term",I316&gt;=36,"Long-Term",TRUE,"Medium-Term")</f>
        <v>Low-Term</v>
      </c>
      <c r="N316" t="str" cm="1">
        <f t="array" ref="N316">_xlfn.IFS(A316="Bad", "Review Required", AND(A316="Good",J316&gt;7000),"VIP Client", AND(A316="Good", J316&lt;=7000),"Standart Client")</f>
        <v>Standart Client</v>
      </c>
    </row>
    <row r="317" spans="1:14" x14ac:dyDescent="0.3">
      <c r="A317" t="s">
        <v>34</v>
      </c>
      <c r="B317" t="s">
        <v>77</v>
      </c>
      <c r="C317" t="s">
        <v>87</v>
      </c>
      <c r="D317" t="s">
        <v>100</v>
      </c>
      <c r="E317" t="s">
        <v>122</v>
      </c>
      <c r="F317" t="s">
        <v>123</v>
      </c>
      <c r="G317" t="s">
        <v>114</v>
      </c>
      <c r="H317" t="s">
        <v>120</v>
      </c>
      <c r="I317">
        <v>12</v>
      </c>
      <c r="J317" s="11">
        <v>1804</v>
      </c>
      <c r="K317">
        <v>44</v>
      </c>
      <c r="L317" t="str" cm="1">
        <f t="array" ref="L317">_xlfn.IFS(J317&gt;5000,"Hight",J317&gt;2000,"Medium",TRUE,"Low")</f>
        <v>Low</v>
      </c>
      <c r="M317" t="str" cm="1">
        <f t="array" ref="M317">_xlfn.IFS(I317&lt;12,"Low-Term",I317&gt;=36,"Long-Term",TRUE,"Medium-Term")</f>
        <v>Medium-Term</v>
      </c>
      <c r="N317" t="str" cm="1">
        <f t="array" ref="N317">_xlfn.IFS(A317="Bad", "Review Required", AND(A317="Good",J317&gt;7000),"VIP Client", AND(A317="Good", J317&lt;=7000),"Standart Client")</f>
        <v>Standart Client</v>
      </c>
    </row>
    <row r="318" spans="1:14" x14ac:dyDescent="0.3">
      <c r="A318" t="s">
        <v>34</v>
      </c>
      <c r="B318" t="s">
        <v>78</v>
      </c>
      <c r="C318" t="s">
        <v>88</v>
      </c>
      <c r="D318" t="s">
        <v>78</v>
      </c>
      <c r="E318" t="s">
        <v>122</v>
      </c>
      <c r="F318" t="s">
        <v>127</v>
      </c>
      <c r="G318" t="s">
        <v>114</v>
      </c>
      <c r="H318" t="s">
        <v>120</v>
      </c>
      <c r="I318">
        <v>10</v>
      </c>
      <c r="J318" s="11">
        <v>2069</v>
      </c>
      <c r="K318">
        <v>26</v>
      </c>
      <c r="L318" t="str" cm="1">
        <f t="array" ref="L318">_xlfn.IFS(J318&gt;5000,"Hight",J318&gt;2000,"Medium",TRUE,"Low")</f>
        <v>Medium</v>
      </c>
      <c r="M318" t="str" cm="1">
        <f t="array" ref="M318">_xlfn.IFS(I318&lt;12,"Low-Term",I318&gt;=36,"Long-Term",TRUE,"Medium-Term")</f>
        <v>Low-Term</v>
      </c>
      <c r="N318" t="str" cm="1">
        <f t="array" ref="N318">_xlfn.IFS(A318="Bad", "Review Required", AND(A318="Good",J318&gt;7000),"VIP Client", AND(A318="Good", J318&lt;=7000),"Standart Client")</f>
        <v>Standart Client</v>
      </c>
    </row>
    <row r="319" spans="1:14" x14ac:dyDescent="0.3">
      <c r="A319" t="s">
        <v>34</v>
      </c>
      <c r="B319" t="s">
        <v>80</v>
      </c>
      <c r="C319" t="s">
        <v>88</v>
      </c>
      <c r="D319" t="s">
        <v>99</v>
      </c>
      <c r="E319" t="s">
        <v>122</v>
      </c>
      <c r="F319" t="s">
        <v>123</v>
      </c>
      <c r="G319" t="s">
        <v>113</v>
      </c>
      <c r="H319" t="s">
        <v>120</v>
      </c>
      <c r="I319">
        <v>6</v>
      </c>
      <c r="J319" s="11">
        <v>1374</v>
      </c>
      <c r="K319">
        <v>36</v>
      </c>
      <c r="L319" t="str" cm="1">
        <f t="array" ref="L319">_xlfn.IFS(J319&gt;5000,"Hight",J319&gt;2000,"Medium",TRUE,"Low")</f>
        <v>Low</v>
      </c>
      <c r="M319" t="str" cm="1">
        <f t="array" ref="M319">_xlfn.IFS(I319&lt;12,"Low-Term",I319&gt;=36,"Long-Term",TRUE,"Medium-Term")</f>
        <v>Low-Term</v>
      </c>
      <c r="N319" t="str" cm="1">
        <f t="array" ref="N319">_xlfn.IFS(A319="Bad", "Review Required", AND(A319="Good",J319&gt;7000),"VIP Client", AND(A319="Good", J319&lt;=7000),"Standart Client")</f>
        <v>Standart Client</v>
      </c>
    </row>
    <row r="320" spans="1:14" x14ac:dyDescent="0.3">
      <c r="A320" t="s">
        <v>34</v>
      </c>
      <c r="B320" t="s">
        <v>78</v>
      </c>
      <c r="C320" t="s">
        <v>89</v>
      </c>
      <c r="D320" t="s">
        <v>99</v>
      </c>
      <c r="E320" t="s">
        <v>122</v>
      </c>
      <c r="F320" t="s">
        <v>127</v>
      </c>
      <c r="G320" t="s">
        <v>113</v>
      </c>
      <c r="H320" t="s">
        <v>120</v>
      </c>
      <c r="I320">
        <v>6</v>
      </c>
      <c r="J320" s="11">
        <v>426</v>
      </c>
      <c r="K320">
        <v>39</v>
      </c>
      <c r="L320" t="str" cm="1">
        <f t="array" ref="L320">_xlfn.IFS(J320&gt;5000,"Hight",J320&gt;2000,"Medium",TRUE,"Low")</f>
        <v>Low</v>
      </c>
      <c r="M320" t="str" cm="1">
        <f t="array" ref="M320">_xlfn.IFS(I320&lt;12,"Low-Term",I320&gt;=36,"Long-Term",TRUE,"Medium-Term")</f>
        <v>Low-Term</v>
      </c>
      <c r="N320" t="str" cm="1">
        <f t="array" ref="N320">_xlfn.IFS(A320="Bad", "Review Required", AND(A320="Good",J320&gt;7000),"VIP Client", AND(A320="Good", J320&lt;=7000),"Standart Client")</f>
        <v>Standart Client</v>
      </c>
    </row>
    <row r="321" spans="1:14" x14ac:dyDescent="0.3">
      <c r="A321" t="s">
        <v>34</v>
      </c>
      <c r="B321" t="s">
        <v>81</v>
      </c>
      <c r="C321" t="s">
        <v>89</v>
      </c>
      <c r="D321" t="s">
        <v>102</v>
      </c>
      <c r="E321" t="s">
        <v>124</v>
      </c>
      <c r="F321" t="s">
        <v>125</v>
      </c>
      <c r="G321" t="s">
        <v>114</v>
      </c>
      <c r="H321" t="s">
        <v>119</v>
      </c>
      <c r="I321">
        <v>12</v>
      </c>
      <c r="J321" s="11">
        <v>409</v>
      </c>
      <c r="K321">
        <v>42</v>
      </c>
      <c r="L321" t="str" cm="1">
        <f t="array" ref="L321">_xlfn.IFS(J321&gt;5000,"Hight",J321&gt;2000,"Medium",TRUE,"Low")</f>
        <v>Low</v>
      </c>
      <c r="M321" t="str" cm="1">
        <f t="array" ref="M321">_xlfn.IFS(I321&lt;12,"Low-Term",I321&gt;=36,"Long-Term",TRUE,"Medium-Term")</f>
        <v>Medium-Term</v>
      </c>
      <c r="N321" t="str" cm="1">
        <f t="array" ref="N321">_xlfn.IFS(A321="Bad", "Review Required", AND(A321="Good",J321&gt;7000),"VIP Client", AND(A321="Good", J321&lt;=7000),"Standart Client")</f>
        <v>Standart Client</v>
      </c>
    </row>
    <row r="322" spans="1:14" x14ac:dyDescent="0.3">
      <c r="A322" t="s">
        <v>34</v>
      </c>
      <c r="B322" t="s">
        <v>77</v>
      </c>
      <c r="C322" t="s">
        <v>89</v>
      </c>
      <c r="D322" t="s">
        <v>99</v>
      </c>
      <c r="E322" t="s">
        <v>122</v>
      </c>
      <c r="F322" t="s">
        <v>123</v>
      </c>
      <c r="G322" t="s">
        <v>114</v>
      </c>
      <c r="H322" t="s">
        <v>120</v>
      </c>
      <c r="I322">
        <v>7</v>
      </c>
      <c r="J322" s="11">
        <v>2415</v>
      </c>
      <c r="K322">
        <v>34</v>
      </c>
      <c r="L322" t="str" cm="1">
        <f t="array" ref="L322">_xlfn.IFS(J322&gt;5000,"Hight",J322&gt;2000,"Medium",TRUE,"Low")</f>
        <v>Medium</v>
      </c>
      <c r="M322" t="str" cm="1">
        <f t="array" ref="M322">_xlfn.IFS(I322&lt;12,"Low-Term",I322&gt;=36,"Long-Term",TRUE,"Medium-Term")</f>
        <v>Low-Term</v>
      </c>
      <c r="N322" t="str" cm="1">
        <f t="array" ref="N322">_xlfn.IFS(A322="Bad", "Review Required", AND(A322="Good",J322&gt;7000),"VIP Client", AND(A322="Good", J322&lt;=7000),"Standart Client")</f>
        <v>Standart Client</v>
      </c>
    </row>
    <row r="323" spans="1:14" x14ac:dyDescent="0.3">
      <c r="A323" t="s">
        <v>34</v>
      </c>
      <c r="B323" t="s">
        <v>77</v>
      </c>
      <c r="C323" t="s">
        <v>94</v>
      </c>
      <c r="D323" t="s">
        <v>102</v>
      </c>
      <c r="E323" t="s">
        <v>122</v>
      </c>
      <c r="F323" t="s">
        <v>127</v>
      </c>
      <c r="G323" t="s">
        <v>114</v>
      </c>
      <c r="H323" t="s">
        <v>120</v>
      </c>
      <c r="I323">
        <v>18</v>
      </c>
      <c r="J323" s="11">
        <v>1913</v>
      </c>
      <c r="K323">
        <v>36</v>
      </c>
      <c r="L323" t="str" cm="1">
        <f t="array" ref="L323">_xlfn.IFS(J323&gt;5000,"Hight",J323&gt;2000,"Medium",TRUE,"Low")</f>
        <v>Low</v>
      </c>
      <c r="M323" t="str" cm="1">
        <f t="array" ref="M323">_xlfn.IFS(I323&lt;12,"Low-Term",I323&gt;=36,"Long-Term",TRUE,"Medium-Term")</f>
        <v>Medium-Term</v>
      </c>
      <c r="N323" t="str" cm="1">
        <f t="array" ref="N323">_xlfn.IFS(A323="Bad", "Review Required", AND(A323="Good",J323&gt;7000),"VIP Client", AND(A323="Good", J323&lt;=7000),"Standart Client")</f>
        <v>Standart Client</v>
      </c>
    </row>
    <row r="324" spans="1:14" x14ac:dyDescent="0.3">
      <c r="A324" t="s">
        <v>34</v>
      </c>
      <c r="B324" t="s">
        <v>80</v>
      </c>
      <c r="C324" t="s">
        <v>88</v>
      </c>
      <c r="D324" t="s">
        <v>99</v>
      </c>
      <c r="E324" t="s">
        <v>122</v>
      </c>
      <c r="F324" t="s">
        <v>123</v>
      </c>
      <c r="G324" t="s">
        <v>114</v>
      </c>
      <c r="H324" t="s">
        <v>120</v>
      </c>
      <c r="I324">
        <v>24</v>
      </c>
      <c r="J324" s="11">
        <v>4020</v>
      </c>
      <c r="K324">
        <v>27</v>
      </c>
      <c r="L324" t="str" cm="1">
        <f t="array" ref="L324">_xlfn.IFS(J324&gt;5000,"Hight",J324&gt;2000,"Medium",TRUE,"Low")</f>
        <v>Medium</v>
      </c>
      <c r="M324" t="str" cm="1">
        <f t="array" ref="M324">_xlfn.IFS(I324&lt;12,"Low-Term",I324&gt;=36,"Long-Term",TRUE,"Medium-Term")</f>
        <v>Medium-Term</v>
      </c>
      <c r="N324" t="str" cm="1">
        <f t="array" ref="N324">_xlfn.IFS(A324="Bad", "Review Required", AND(A324="Good",J324&gt;7000),"VIP Client", AND(A324="Good", J324&lt;=7000),"Standart Client")</f>
        <v>Standart Client</v>
      </c>
    </row>
    <row r="325" spans="1:14" x14ac:dyDescent="0.3">
      <c r="A325" t="s">
        <v>34</v>
      </c>
      <c r="B325" t="s">
        <v>77</v>
      </c>
      <c r="C325" t="s">
        <v>86</v>
      </c>
      <c r="D325" t="s">
        <v>100</v>
      </c>
      <c r="E325" t="s">
        <v>122</v>
      </c>
      <c r="F325" t="s">
        <v>123</v>
      </c>
      <c r="G325" t="s">
        <v>114</v>
      </c>
      <c r="H325" t="s">
        <v>120</v>
      </c>
      <c r="I325">
        <v>18</v>
      </c>
      <c r="J325" s="11">
        <v>5866</v>
      </c>
      <c r="K325">
        <v>30</v>
      </c>
      <c r="L325" t="str" cm="1">
        <f t="array" ref="L325">_xlfn.IFS(J325&gt;5000,"Hight",J325&gt;2000,"Medium",TRUE,"Low")</f>
        <v>Hight</v>
      </c>
      <c r="M325" t="str" cm="1">
        <f t="array" ref="M325">_xlfn.IFS(I325&lt;12,"Low-Term",I325&gt;=36,"Long-Term",TRUE,"Medium-Term")</f>
        <v>Medium-Term</v>
      </c>
      <c r="N325" t="str" cm="1">
        <f t="array" ref="N325">_xlfn.IFS(A325="Bad", "Review Required", AND(A325="Good",J325&gt;7000),"VIP Client", AND(A325="Good", J325&lt;=7000),"Standart Client")</f>
        <v>Standart Client</v>
      </c>
    </row>
    <row r="326" spans="1:14" x14ac:dyDescent="0.3">
      <c r="A326" t="s">
        <v>34</v>
      </c>
      <c r="B326" t="s">
        <v>78</v>
      </c>
      <c r="C326" t="s">
        <v>94</v>
      </c>
      <c r="D326" t="s">
        <v>78</v>
      </c>
      <c r="E326" t="s">
        <v>122</v>
      </c>
      <c r="F326" t="s">
        <v>123</v>
      </c>
      <c r="G326" t="s">
        <v>113</v>
      </c>
      <c r="H326" t="s">
        <v>119</v>
      </c>
      <c r="I326">
        <v>12</v>
      </c>
      <c r="J326" s="11">
        <v>1264</v>
      </c>
      <c r="K326">
        <v>57</v>
      </c>
      <c r="L326" t="str" cm="1">
        <f t="array" ref="L326">_xlfn.IFS(J326&gt;5000,"Hight",J326&gt;2000,"Medium",TRUE,"Low")</f>
        <v>Low</v>
      </c>
      <c r="M326" t="str" cm="1">
        <f t="array" ref="M326">_xlfn.IFS(I326&lt;12,"Low-Term",I326&gt;=36,"Long-Term",TRUE,"Medium-Term")</f>
        <v>Medium-Term</v>
      </c>
      <c r="N326" t="str" cm="1">
        <f t="array" ref="N326">_xlfn.IFS(A326="Bad", "Review Required", AND(A326="Good",J326&gt;7000),"VIP Client", AND(A326="Good", J326&lt;=7000),"Standart Client")</f>
        <v>Standart Client</v>
      </c>
    </row>
    <row r="327" spans="1:14" x14ac:dyDescent="0.3">
      <c r="A327" t="s">
        <v>34</v>
      </c>
      <c r="B327" t="s">
        <v>81</v>
      </c>
      <c r="C327" t="s">
        <v>88</v>
      </c>
      <c r="D327" t="s">
        <v>99</v>
      </c>
      <c r="E327" t="s">
        <v>124</v>
      </c>
      <c r="F327" t="s">
        <v>125</v>
      </c>
      <c r="G327" t="s">
        <v>115</v>
      </c>
      <c r="H327" t="s">
        <v>120</v>
      </c>
      <c r="I327">
        <v>12</v>
      </c>
      <c r="J327" s="11">
        <v>1474</v>
      </c>
      <c r="K327">
        <v>33</v>
      </c>
      <c r="L327" t="str" cm="1">
        <f t="array" ref="L327">_xlfn.IFS(J327&gt;5000,"Hight",J327&gt;2000,"Medium",TRUE,"Low")</f>
        <v>Low</v>
      </c>
      <c r="M327" t="str" cm="1">
        <f t="array" ref="M327">_xlfn.IFS(I327&lt;12,"Low-Term",I327&gt;=36,"Long-Term",TRUE,"Medium-Term")</f>
        <v>Medium-Term</v>
      </c>
      <c r="N327" t="str" cm="1">
        <f t="array" ref="N327">_xlfn.IFS(A327="Bad", "Review Required", AND(A327="Good",J327&gt;7000),"VIP Client", AND(A327="Good", J327&lt;=7000),"Standart Client")</f>
        <v>Standart Client</v>
      </c>
    </row>
    <row r="328" spans="1:14" x14ac:dyDescent="0.3">
      <c r="A328" t="s">
        <v>34</v>
      </c>
      <c r="B328" t="s">
        <v>78</v>
      </c>
      <c r="C328" t="s">
        <v>92</v>
      </c>
      <c r="D328" t="s">
        <v>99</v>
      </c>
      <c r="E328" t="s">
        <v>122</v>
      </c>
      <c r="F328" t="s">
        <v>123</v>
      </c>
      <c r="G328" t="s">
        <v>114</v>
      </c>
      <c r="H328" t="s">
        <v>121</v>
      </c>
      <c r="I328">
        <v>48</v>
      </c>
      <c r="J328" s="11">
        <v>6110</v>
      </c>
      <c r="K328">
        <v>31</v>
      </c>
      <c r="L328" t="str" cm="1">
        <f t="array" ref="L328">_xlfn.IFS(J328&gt;5000,"Hight",J328&gt;2000,"Medium",TRUE,"Low")</f>
        <v>Hight</v>
      </c>
      <c r="M328" t="str" cm="1">
        <f t="array" ref="M328">_xlfn.IFS(I328&lt;12,"Low-Term",I328&gt;=36,"Long-Term",TRUE,"Medium-Term")</f>
        <v>Long-Term</v>
      </c>
      <c r="N328" t="str" cm="1">
        <f t="array" ref="N328">_xlfn.IFS(A328="Bad", "Review Required", AND(A328="Good",J328&gt;7000),"VIP Client", AND(A328="Good", J328&lt;=7000),"Standart Client")</f>
        <v>Standart Client</v>
      </c>
    </row>
    <row r="329" spans="1:14" x14ac:dyDescent="0.3">
      <c r="A329" t="s">
        <v>34</v>
      </c>
      <c r="B329" t="s">
        <v>81</v>
      </c>
      <c r="C329" t="s">
        <v>90</v>
      </c>
      <c r="D329" t="s">
        <v>99</v>
      </c>
      <c r="E329" t="s">
        <v>122</v>
      </c>
      <c r="F329" t="s">
        <v>123</v>
      </c>
      <c r="G329" t="s">
        <v>114</v>
      </c>
      <c r="H329" t="s">
        <v>120</v>
      </c>
      <c r="I329">
        <v>10</v>
      </c>
      <c r="J329" s="11">
        <v>1225</v>
      </c>
      <c r="K329">
        <v>37</v>
      </c>
      <c r="L329" t="str" cm="1">
        <f t="array" ref="L329">_xlfn.IFS(J329&gt;5000,"Hight",J329&gt;2000,"Medium",TRUE,"Low")</f>
        <v>Low</v>
      </c>
      <c r="M329" t="str" cm="1">
        <f t="array" ref="M329">_xlfn.IFS(I329&lt;12,"Low-Term",I329&gt;=36,"Long-Term",TRUE,"Medium-Term")</f>
        <v>Low-Term</v>
      </c>
      <c r="N329" t="str" cm="1">
        <f t="array" ref="N329">_xlfn.IFS(A329="Bad", "Review Required", AND(A329="Good",J329&gt;7000),"VIP Client", AND(A329="Good", J329&lt;=7000),"Standart Client")</f>
        <v>Standart Client</v>
      </c>
    </row>
    <row r="330" spans="1:14" x14ac:dyDescent="0.3">
      <c r="A330" t="s">
        <v>34</v>
      </c>
      <c r="B330" t="s">
        <v>77</v>
      </c>
      <c r="C330" t="s">
        <v>89</v>
      </c>
      <c r="D330" t="s">
        <v>99</v>
      </c>
      <c r="E330" t="s">
        <v>122</v>
      </c>
      <c r="F330" t="s">
        <v>123</v>
      </c>
      <c r="G330" t="s">
        <v>114</v>
      </c>
      <c r="H330" t="s">
        <v>120</v>
      </c>
      <c r="I330">
        <v>9</v>
      </c>
      <c r="J330" s="11">
        <v>458</v>
      </c>
      <c r="K330">
        <v>24</v>
      </c>
      <c r="L330" t="str" cm="1">
        <f t="array" ref="L330">_xlfn.IFS(J330&gt;5000,"Hight",J330&gt;2000,"Medium",TRUE,"Low")</f>
        <v>Low</v>
      </c>
      <c r="M330" t="str" cm="1">
        <f t="array" ref="M330">_xlfn.IFS(I330&lt;12,"Low-Term",I330&gt;=36,"Long-Term",TRUE,"Medium-Term")</f>
        <v>Low-Term</v>
      </c>
      <c r="N330" t="str" cm="1">
        <f t="array" ref="N330">_xlfn.IFS(A330="Bad", "Review Required", AND(A330="Good",J330&gt;7000),"VIP Client", AND(A330="Good", J330&lt;=7000),"Standart Client")</f>
        <v>Standart Client</v>
      </c>
    </row>
    <row r="331" spans="1:14" x14ac:dyDescent="0.3">
      <c r="A331" t="s">
        <v>34</v>
      </c>
      <c r="B331" t="s">
        <v>78</v>
      </c>
      <c r="C331" t="s">
        <v>89</v>
      </c>
      <c r="D331" t="s">
        <v>101</v>
      </c>
      <c r="E331" t="s">
        <v>122</v>
      </c>
      <c r="F331" t="s">
        <v>123</v>
      </c>
      <c r="G331" t="s">
        <v>115</v>
      </c>
      <c r="H331" t="s">
        <v>120</v>
      </c>
      <c r="I331">
        <v>30</v>
      </c>
      <c r="J331" s="11">
        <v>2333</v>
      </c>
      <c r="K331">
        <v>30</v>
      </c>
      <c r="L331" t="str" cm="1">
        <f t="array" ref="L331">_xlfn.IFS(J331&gt;5000,"Hight",J331&gt;2000,"Medium",TRUE,"Low")</f>
        <v>Medium</v>
      </c>
      <c r="M331" t="str" cm="1">
        <f t="array" ref="M331">_xlfn.IFS(I331&lt;12,"Low-Term",I331&gt;=36,"Long-Term",TRUE,"Medium-Term")</f>
        <v>Medium-Term</v>
      </c>
      <c r="N331" t="str" cm="1">
        <f t="array" ref="N331">_xlfn.IFS(A331="Bad", "Review Required", AND(A331="Good",J331&gt;7000),"VIP Client", AND(A331="Good", J331&lt;=7000),"Standart Client")</f>
        <v>Standart Client</v>
      </c>
    </row>
    <row r="332" spans="1:14" x14ac:dyDescent="0.3">
      <c r="A332" t="s">
        <v>34</v>
      </c>
      <c r="B332" t="s">
        <v>77</v>
      </c>
      <c r="C332" t="s">
        <v>89</v>
      </c>
      <c r="D332" t="s">
        <v>101</v>
      </c>
      <c r="E332" t="s">
        <v>122</v>
      </c>
      <c r="F332" t="s">
        <v>126</v>
      </c>
      <c r="G332" t="s">
        <v>114</v>
      </c>
      <c r="H332" t="s">
        <v>120</v>
      </c>
      <c r="I332">
        <v>12</v>
      </c>
      <c r="J332" s="11">
        <v>1158</v>
      </c>
      <c r="K332">
        <v>26</v>
      </c>
      <c r="L332" t="str" cm="1">
        <f t="array" ref="L332">_xlfn.IFS(J332&gt;5000,"Hight",J332&gt;2000,"Medium",TRUE,"Low")</f>
        <v>Low</v>
      </c>
      <c r="M332" t="str" cm="1">
        <f t="array" ref="M332">_xlfn.IFS(I332&lt;12,"Low-Term",I332&gt;=36,"Long-Term",TRUE,"Medium-Term")</f>
        <v>Medium-Term</v>
      </c>
      <c r="N332" t="str" cm="1">
        <f t="array" ref="N332">_xlfn.IFS(A332="Bad", "Review Required", AND(A332="Good",J332&gt;7000),"VIP Client", AND(A332="Good", J332&lt;=7000),"Standart Client")</f>
        <v>Standart Client</v>
      </c>
    </row>
    <row r="333" spans="1:14" x14ac:dyDescent="0.3">
      <c r="A333" t="s">
        <v>34</v>
      </c>
      <c r="B333" t="s">
        <v>77</v>
      </c>
      <c r="C333" t="s">
        <v>91</v>
      </c>
      <c r="D333" t="s">
        <v>99</v>
      </c>
      <c r="E333" t="s">
        <v>122</v>
      </c>
      <c r="F333" t="s">
        <v>123</v>
      </c>
      <c r="G333" t="s">
        <v>113</v>
      </c>
      <c r="H333" t="s">
        <v>120</v>
      </c>
      <c r="I333">
        <v>18</v>
      </c>
      <c r="J333" s="11">
        <v>6204</v>
      </c>
      <c r="K333">
        <v>44</v>
      </c>
      <c r="L333" t="str" cm="1">
        <f t="array" ref="L333">_xlfn.IFS(J333&gt;5000,"Hight",J333&gt;2000,"Medium",TRUE,"Low")</f>
        <v>Hight</v>
      </c>
      <c r="M333" t="str" cm="1">
        <f t="array" ref="M333">_xlfn.IFS(I333&lt;12,"Low-Term",I333&gt;=36,"Long-Term",TRUE,"Medium-Term")</f>
        <v>Medium-Term</v>
      </c>
      <c r="N333" t="str" cm="1">
        <f t="array" ref="N333">_xlfn.IFS(A333="Bad", "Review Required", AND(A333="Good",J333&gt;7000),"VIP Client", AND(A333="Good", J333&lt;=7000),"Standart Client")</f>
        <v>Standart Client</v>
      </c>
    </row>
    <row r="334" spans="1:14" x14ac:dyDescent="0.3">
      <c r="A334" t="s">
        <v>34</v>
      </c>
      <c r="B334" t="s">
        <v>80</v>
      </c>
      <c r="C334" t="s">
        <v>87</v>
      </c>
      <c r="D334" t="s">
        <v>100</v>
      </c>
      <c r="E334" t="s">
        <v>122</v>
      </c>
      <c r="F334" t="s">
        <v>127</v>
      </c>
      <c r="G334" t="s">
        <v>114</v>
      </c>
      <c r="H334" t="s">
        <v>119</v>
      </c>
      <c r="I334">
        <v>30</v>
      </c>
      <c r="J334" s="11">
        <v>6187</v>
      </c>
      <c r="K334">
        <v>24</v>
      </c>
      <c r="L334" t="str" cm="1">
        <f t="array" ref="L334">_xlfn.IFS(J334&gt;5000,"Hight",J334&gt;2000,"Medium",TRUE,"Low")</f>
        <v>Hight</v>
      </c>
      <c r="M334" t="str" cm="1">
        <f t="array" ref="M334">_xlfn.IFS(I334&lt;12,"Low-Term",I334&gt;=36,"Long-Term",TRUE,"Medium-Term")</f>
        <v>Medium-Term</v>
      </c>
      <c r="N334" t="str" cm="1">
        <f t="array" ref="N334">_xlfn.IFS(A334="Bad", "Review Required", AND(A334="Good",J334&gt;7000),"VIP Client", AND(A334="Good", J334&lt;=7000),"Standart Client")</f>
        <v>Standart Client</v>
      </c>
    </row>
    <row r="335" spans="1:14" x14ac:dyDescent="0.3">
      <c r="A335" t="s">
        <v>34</v>
      </c>
      <c r="B335" t="s">
        <v>78</v>
      </c>
      <c r="C335" t="s">
        <v>86</v>
      </c>
      <c r="D335" t="s">
        <v>99</v>
      </c>
      <c r="E335" t="s">
        <v>124</v>
      </c>
      <c r="F335" t="s">
        <v>125</v>
      </c>
      <c r="G335" t="s">
        <v>115</v>
      </c>
      <c r="H335" t="s">
        <v>120</v>
      </c>
      <c r="I335">
        <v>11</v>
      </c>
      <c r="J335" s="11">
        <v>1393</v>
      </c>
      <c r="K335">
        <v>35</v>
      </c>
      <c r="L335" t="str" cm="1">
        <f t="array" ref="L335">_xlfn.IFS(J335&gt;5000,"Hight",J335&gt;2000,"Medium",TRUE,"Low")</f>
        <v>Low</v>
      </c>
      <c r="M335" t="str" cm="1">
        <f t="array" ref="M335">_xlfn.IFS(I335&lt;12,"Low-Term",I335&gt;=36,"Long-Term",TRUE,"Medium-Term")</f>
        <v>Low-Term</v>
      </c>
      <c r="N335" t="str" cm="1">
        <f t="array" ref="N335">_xlfn.IFS(A335="Bad", "Review Required", AND(A335="Good",J335&gt;7000),"VIP Client", AND(A335="Good", J335&lt;=7000),"Standart Client")</f>
        <v>Standart Client</v>
      </c>
    </row>
    <row r="336" spans="1:14" x14ac:dyDescent="0.3">
      <c r="A336" t="s">
        <v>34</v>
      </c>
      <c r="B336" t="s">
        <v>78</v>
      </c>
      <c r="C336" t="s">
        <v>89</v>
      </c>
      <c r="D336" t="s">
        <v>101</v>
      </c>
      <c r="E336" t="s">
        <v>122</v>
      </c>
      <c r="F336" t="s">
        <v>123</v>
      </c>
      <c r="G336" t="s">
        <v>114</v>
      </c>
      <c r="H336" t="s">
        <v>120</v>
      </c>
      <c r="I336">
        <v>36</v>
      </c>
      <c r="J336" s="11">
        <v>2299</v>
      </c>
      <c r="K336">
        <v>39</v>
      </c>
      <c r="L336" t="str" cm="1">
        <f t="array" ref="L336">_xlfn.IFS(J336&gt;5000,"Hight",J336&gt;2000,"Medium",TRUE,"Low")</f>
        <v>Medium</v>
      </c>
      <c r="M336" t="str" cm="1">
        <f t="array" ref="M336">_xlfn.IFS(I336&lt;12,"Low-Term",I336&gt;=36,"Long-Term",TRUE,"Medium-Term")</f>
        <v>Long-Term</v>
      </c>
      <c r="N336" t="str" cm="1">
        <f t="array" ref="N336">_xlfn.IFS(A336="Bad", "Review Required", AND(A336="Good",J336&gt;7000),"VIP Client", AND(A336="Good", J336&lt;=7000),"Standart Client")</f>
        <v>Standart Client</v>
      </c>
    </row>
    <row r="337" spans="1:14" x14ac:dyDescent="0.3">
      <c r="A337" t="s">
        <v>34</v>
      </c>
      <c r="B337" t="s">
        <v>80</v>
      </c>
      <c r="C337" t="s">
        <v>87</v>
      </c>
      <c r="D337" t="s">
        <v>101</v>
      </c>
      <c r="E337" t="s">
        <v>124</v>
      </c>
      <c r="F337" t="s">
        <v>125</v>
      </c>
      <c r="G337" t="s">
        <v>112</v>
      </c>
      <c r="H337" t="s">
        <v>119</v>
      </c>
      <c r="I337">
        <v>6</v>
      </c>
      <c r="J337" s="11">
        <v>1352</v>
      </c>
      <c r="K337">
        <v>23</v>
      </c>
      <c r="L337" t="str" cm="1">
        <f t="array" ref="L337">_xlfn.IFS(J337&gt;5000,"Hight",J337&gt;2000,"Medium",TRUE,"Low")</f>
        <v>Low</v>
      </c>
      <c r="M337" t="str" cm="1">
        <f t="array" ref="M337">_xlfn.IFS(I337&lt;12,"Low-Term",I337&gt;=36,"Long-Term",TRUE,"Medium-Term")</f>
        <v>Low-Term</v>
      </c>
      <c r="N337" t="str" cm="1">
        <f t="array" ref="N337">_xlfn.IFS(A337="Bad", "Review Required", AND(A337="Good",J337&gt;7000),"VIP Client", AND(A337="Good", J337&lt;=7000),"Standart Client")</f>
        <v>Standart Client</v>
      </c>
    </row>
    <row r="338" spans="1:14" x14ac:dyDescent="0.3">
      <c r="A338" t="s">
        <v>34</v>
      </c>
      <c r="B338" t="s">
        <v>78</v>
      </c>
      <c r="C338" t="s">
        <v>86</v>
      </c>
      <c r="D338" t="s">
        <v>99</v>
      </c>
      <c r="E338" t="s">
        <v>122</v>
      </c>
      <c r="F338" t="s">
        <v>123</v>
      </c>
      <c r="G338" t="s">
        <v>113</v>
      </c>
      <c r="H338" t="s">
        <v>120</v>
      </c>
      <c r="I338">
        <v>11</v>
      </c>
      <c r="J338" s="11">
        <v>7228</v>
      </c>
      <c r="K338">
        <v>39</v>
      </c>
      <c r="L338" t="str" cm="1">
        <f t="array" ref="L338">_xlfn.IFS(J338&gt;5000,"Hight",J338&gt;2000,"Medium",TRUE,"Low")</f>
        <v>Hight</v>
      </c>
      <c r="M338" t="str" cm="1">
        <f t="array" ref="M338">_xlfn.IFS(I338&lt;12,"Low-Term",I338&gt;=36,"Long-Term",TRUE,"Medium-Term")</f>
        <v>Low-Term</v>
      </c>
      <c r="N338" t="str" cm="1">
        <f t="array" ref="N338">_xlfn.IFS(A338="Bad", "Review Required", AND(A338="Good",J338&gt;7000),"VIP Client", AND(A338="Good", J338&lt;=7000),"Standart Client")</f>
        <v>VIP Client</v>
      </c>
    </row>
    <row r="339" spans="1:14" x14ac:dyDescent="0.3">
      <c r="A339" t="s">
        <v>34</v>
      </c>
      <c r="B339" t="s">
        <v>78</v>
      </c>
      <c r="C339" t="s">
        <v>89</v>
      </c>
      <c r="D339" t="s">
        <v>100</v>
      </c>
      <c r="E339" t="s">
        <v>124</v>
      </c>
      <c r="F339" t="s">
        <v>125</v>
      </c>
      <c r="G339" t="s">
        <v>114</v>
      </c>
      <c r="H339" t="s">
        <v>120</v>
      </c>
      <c r="I339">
        <v>12</v>
      </c>
      <c r="J339" s="11">
        <v>2073</v>
      </c>
      <c r="K339">
        <v>28</v>
      </c>
      <c r="L339" t="str" cm="1">
        <f t="array" ref="L339">_xlfn.IFS(J339&gt;5000,"Hight",J339&gt;2000,"Medium",TRUE,"Low")</f>
        <v>Medium</v>
      </c>
      <c r="M339" t="str" cm="1">
        <f t="array" ref="M339">_xlfn.IFS(I339&lt;12,"Low-Term",I339&gt;=36,"Long-Term",TRUE,"Medium-Term")</f>
        <v>Medium-Term</v>
      </c>
      <c r="N339" t="str" cm="1">
        <f t="array" ref="N339">_xlfn.IFS(A339="Bad", "Review Required", AND(A339="Good",J339&gt;7000),"VIP Client", AND(A339="Good", J339&lt;=7000),"Standart Client")</f>
        <v>Standart Client</v>
      </c>
    </row>
    <row r="340" spans="1:14" x14ac:dyDescent="0.3">
      <c r="A340" t="s">
        <v>34</v>
      </c>
      <c r="B340" t="s">
        <v>77</v>
      </c>
      <c r="C340" t="s">
        <v>88</v>
      </c>
      <c r="D340" t="s">
        <v>78</v>
      </c>
      <c r="E340" t="s">
        <v>122</v>
      </c>
      <c r="F340" t="s">
        <v>123</v>
      </c>
      <c r="G340" t="s">
        <v>113</v>
      </c>
      <c r="H340" t="s">
        <v>120</v>
      </c>
      <c r="I340">
        <v>24</v>
      </c>
      <c r="J340" s="11">
        <v>2333</v>
      </c>
      <c r="K340">
        <v>29</v>
      </c>
      <c r="L340" t="str" cm="1">
        <f t="array" ref="L340">_xlfn.IFS(J340&gt;5000,"Hight",J340&gt;2000,"Medium",TRUE,"Low")</f>
        <v>Medium</v>
      </c>
      <c r="M340" t="str" cm="1">
        <f t="array" ref="M340">_xlfn.IFS(I340&lt;12,"Low-Term",I340&gt;=36,"Long-Term",TRUE,"Medium-Term")</f>
        <v>Medium-Term</v>
      </c>
      <c r="N340" t="str" cm="1">
        <f t="array" ref="N340">_xlfn.IFS(A340="Bad", "Review Required", AND(A340="Good",J340&gt;7000),"VIP Client", AND(A340="Good", J340&lt;=7000),"Standart Client")</f>
        <v>Standart Client</v>
      </c>
    </row>
    <row r="341" spans="1:14" x14ac:dyDescent="0.3">
      <c r="A341" t="s">
        <v>34</v>
      </c>
      <c r="B341" t="s">
        <v>77</v>
      </c>
      <c r="C341" t="s">
        <v>87</v>
      </c>
      <c r="D341" t="s">
        <v>99</v>
      </c>
      <c r="E341" t="s">
        <v>122</v>
      </c>
      <c r="F341" t="s">
        <v>123</v>
      </c>
      <c r="G341" t="s">
        <v>115</v>
      </c>
      <c r="H341" t="s">
        <v>120</v>
      </c>
      <c r="I341">
        <v>27</v>
      </c>
      <c r="J341" s="11">
        <v>5965</v>
      </c>
      <c r="K341">
        <v>30</v>
      </c>
      <c r="L341" t="str" cm="1">
        <f t="array" ref="L341">_xlfn.IFS(J341&gt;5000,"Hight",J341&gt;2000,"Medium",TRUE,"Low")</f>
        <v>Hight</v>
      </c>
      <c r="M341" t="str" cm="1">
        <f t="array" ref="M341">_xlfn.IFS(I341&lt;12,"Low-Term",I341&gt;=36,"Long-Term",TRUE,"Medium-Term")</f>
        <v>Medium-Term</v>
      </c>
      <c r="N341" t="str" cm="1">
        <f t="array" ref="N341">_xlfn.IFS(A341="Bad", "Review Required", AND(A341="Good",J341&gt;7000),"VIP Client", AND(A341="Good", J341&lt;=7000),"Standart Client")</f>
        <v>Standart Client</v>
      </c>
    </row>
    <row r="342" spans="1:14" x14ac:dyDescent="0.3">
      <c r="A342" t="s">
        <v>34</v>
      </c>
      <c r="B342" t="s">
        <v>78</v>
      </c>
      <c r="C342" t="s">
        <v>89</v>
      </c>
      <c r="D342" t="s">
        <v>99</v>
      </c>
      <c r="E342" t="s">
        <v>122</v>
      </c>
      <c r="F342" t="s">
        <v>123</v>
      </c>
      <c r="G342" t="s">
        <v>114</v>
      </c>
      <c r="H342" t="s">
        <v>120</v>
      </c>
      <c r="I342">
        <v>12</v>
      </c>
      <c r="J342" s="11">
        <v>1262</v>
      </c>
      <c r="K342">
        <v>25</v>
      </c>
      <c r="L342" t="str" cm="1">
        <f t="array" ref="L342">_xlfn.IFS(J342&gt;5000,"Hight",J342&gt;2000,"Medium",TRUE,"Low")</f>
        <v>Low</v>
      </c>
      <c r="M342" t="str" cm="1">
        <f t="array" ref="M342">_xlfn.IFS(I342&lt;12,"Low-Term",I342&gt;=36,"Long-Term",TRUE,"Medium-Term")</f>
        <v>Medium-Term</v>
      </c>
      <c r="N342" t="str" cm="1">
        <f t="array" ref="N342">_xlfn.IFS(A342="Bad", "Review Required", AND(A342="Good",J342&gt;7000),"VIP Client", AND(A342="Good", J342&lt;=7000),"Standart Client")</f>
        <v>Standart Client</v>
      </c>
    </row>
    <row r="343" spans="1:14" x14ac:dyDescent="0.3">
      <c r="A343" t="s">
        <v>34</v>
      </c>
      <c r="B343" t="s">
        <v>78</v>
      </c>
      <c r="C343" t="s">
        <v>87</v>
      </c>
      <c r="D343" t="s">
        <v>78</v>
      </c>
      <c r="E343" t="s">
        <v>122</v>
      </c>
      <c r="F343" t="s">
        <v>123</v>
      </c>
      <c r="G343" t="s">
        <v>114</v>
      </c>
      <c r="H343" t="s">
        <v>120</v>
      </c>
      <c r="I343">
        <v>18</v>
      </c>
      <c r="J343" s="11">
        <v>3378</v>
      </c>
      <c r="K343">
        <v>31</v>
      </c>
      <c r="L343" t="str" cm="1">
        <f t="array" ref="L343">_xlfn.IFS(J343&gt;5000,"Hight",J343&gt;2000,"Medium",TRUE,"Low")</f>
        <v>Medium</v>
      </c>
      <c r="M343" t="str" cm="1">
        <f t="array" ref="M343">_xlfn.IFS(I343&lt;12,"Low-Term",I343&gt;=36,"Long-Term",TRUE,"Medium-Term")</f>
        <v>Medium-Term</v>
      </c>
      <c r="N343" t="str" cm="1">
        <f t="array" ref="N343">_xlfn.IFS(A343="Bad", "Review Required", AND(A343="Good",J343&gt;7000),"VIP Client", AND(A343="Good", J343&lt;=7000),"Standart Client")</f>
        <v>Standart Client</v>
      </c>
    </row>
    <row r="344" spans="1:14" x14ac:dyDescent="0.3">
      <c r="A344" t="s">
        <v>34</v>
      </c>
      <c r="B344" t="s">
        <v>78</v>
      </c>
      <c r="C344" t="s">
        <v>86</v>
      </c>
      <c r="D344" t="s">
        <v>78</v>
      </c>
      <c r="E344" t="s">
        <v>122</v>
      </c>
      <c r="F344" t="s">
        <v>123</v>
      </c>
      <c r="G344" t="s">
        <v>113</v>
      </c>
      <c r="H344" t="s">
        <v>120</v>
      </c>
      <c r="I344">
        <v>6</v>
      </c>
      <c r="J344" s="11">
        <v>783</v>
      </c>
      <c r="K344">
        <v>26</v>
      </c>
      <c r="L344" t="str" cm="1">
        <f t="array" ref="L344">_xlfn.IFS(J344&gt;5000,"Hight",J344&gt;2000,"Medium",TRUE,"Low")</f>
        <v>Low</v>
      </c>
      <c r="M344" t="str" cm="1">
        <f t="array" ref="M344">_xlfn.IFS(I344&lt;12,"Low-Term",I344&gt;=36,"Long-Term",TRUE,"Medium-Term")</f>
        <v>Low-Term</v>
      </c>
      <c r="N344" t="str" cm="1">
        <f t="array" ref="N344">_xlfn.IFS(A344="Bad", "Review Required", AND(A344="Good",J344&gt;7000),"VIP Client", AND(A344="Good", J344&lt;=7000),"Standart Client")</f>
        <v>Standart Client</v>
      </c>
    </row>
    <row r="345" spans="1:14" x14ac:dyDescent="0.3">
      <c r="A345" t="s">
        <v>34</v>
      </c>
      <c r="B345" t="s">
        <v>78</v>
      </c>
      <c r="C345" t="s">
        <v>89</v>
      </c>
      <c r="D345" t="s">
        <v>99</v>
      </c>
      <c r="E345" t="s">
        <v>124</v>
      </c>
      <c r="F345" t="s">
        <v>125</v>
      </c>
      <c r="G345" t="s">
        <v>114</v>
      </c>
      <c r="H345" t="s">
        <v>120</v>
      </c>
      <c r="I345">
        <v>36</v>
      </c>
      <c r="J345" s="11">
        <v>9566</v>
      </c>
      <c r="K345">
        <v>31</v>
      </c>
      <c r="L345" t="str" cm="1">
        <f t="array" ref="L345">_xlfn.IFS(J345&gt;5000,"Hight",J345&gt;2000,"Medium",TRUE,"Low")</f>
        <v>Hight</v>
      </c>
      <c r="M345" t="str" cm="1">
        <f t="array" ref="M345">_xlfn.IFS(I345&lt;12,"Low-Term",I345&gt;=36,"Long-Term",TRUE,"Medium-Term")</f>
        <v>Long-Term</v>
      </c>
      <c r="N345" t="str" cm="1">
        <f t="array" ref="N345">_xlfn.IFS(A345="Bad", "Review Required", AND(A345="Good",J345&gt;7000),"VIP Client", AND(A345="Good", J345&lt;=7000),"Standart Client")</f>
        <v>VIP Client</v>
      </c>
    </row>
    <row r="346" spans="1:14" x14ac:dyDescent="0.3">
      <c r="A346" t="s">
        <v>34</v>
      </c>
      <c r="B346" t="s">
        <v>81</v>
      </c>
      <c r="C346" t="s">
        <v>86</v>
      </c>
      <c r="D346" t="s">
        <v>99</v>
      </c>
      <c r="E346" t="s">
        <v>124</v>
      </c>
      <c r="F346" t="s">
        <v>125</v>
      </c>
      <c r="G346" t="s">
        <v>115</v>
      </c>
      <c r="H346" t="s">
        <v>120</v>
      </c>
      <c r="I346">
        <v>18</v>
      </c>
      <c r="J346" s="11">
        <v>1961</v>
      </c>
      <c r="K346">
        <v>23</v>
      </c>
      <c r="L346" t="str" cm="1">
        <f t="array" ref="L346">_xlfn.IFS(J346&gt;5000,"Hight",J346&gt;2000,"Medium",TRUE,"Low")</f>
        <v>Low</v>
      </c>
      <c r="M346" t="str" cm="1">
        <f t="array" ref="M346">_xlfn.IFS(I346&lt;12,"Low-Term",I346&gt;=36,"Long-Term",TRUE,"Medium-Term")</f>
        <v>Medium-Term</v>
      </c>
      <c r="N346" t="str" cm="1">
        <f t="array" ref="N346">_xlfn.IFS(A346="Bad", "Review Required", AND(A346="Good",J346&gt;7000),"VIP Client", AND(A346="Good", J346&lt;=7000),"Standart Client")</f>
        <v>Standart Client</v>
      </c>
    </row>
    <row r="347" spans="1:14" x14ac:dyDescent="0.3">
      <c r="A347" t="s">
        <v>34</v>
      </c>
      <c r="B347" t="s">
        <v>77</v>
      </c>
      <c r="C347" t="s">
        <v>94</v>
      </c>
      <c r="D347" t="s">
        <v>99</v>
      </c>
      <c r="E347" t="s">
        <v>122</v>
      </c>
      <c r="F347" t="s">
        <v>127</v>
      </c>
      <c r="G347" t="s">
        <v>114</v>
      </c>
      <c r="H347" t="s">
        <v>120</v>
      </c>
      <c r="I347">
        <v>9</v>
      </c>
      <c r="J347" s="11">
        <v>1391</v>
      </c>
      <c r="K347">
        <v>27</v>
      </c>
      <c r="L347" t="str" cm="1">
        <f t="array" ref="L347">_xlfn.IFS(J347&gt;5000,"Hight",J347&gt;2000,"Medium",TRUE,"Low")</f>
        <v>Low</v>
      </c>
      <c r="M347" t="str" cm="1">
        <f t="array" ref="M347">_xlfn.IFS(I347&lt;12,"Low-Term",I347&gt;=36,"Long-Term",TRUE,"Medium-Term")</f>
        <v>Low-Term</v>
      </c>
      <c r="N347" t="str" cm="1">
        <f t="array" ref="N347">_xlfn.IFS(A347="Bad", "Review Required", AND(A347="Good",J347&gt;7000),"VIP Client", AND(A347="Good", J347&lt;=7000),"Standart Client")</f>
        <v>Standart Client</v>
      </c>
    </row>
    <row r="348" spans="1:14" x14ac:dyDescent="0.3">
      <c r="A348" t="s">
        <v>34</v>
      </c>
      <c r="B348" t="s">
        <v>77</v>
      </c>
      <c r="C348" t="s">
        <v>89</v>
      </c>
      <c r="D348" t="s">
        <v>78</v>
      </c>
      <c r="E348" t="s">
        <v>122</v>
      </c>
      <c r="F348" t="s">
        <v>123</v>
      </c>
      <c r="G348" t="s">
        <v>114</v>
      </c>
      <c r="H348" t="s">
        <v>120</v>
      </c>
      <c r="I348">
        <v>15</v>
      </c>
      <c r="J348" s="11">
        <v>1537</v>
      </c>
      <c r="K348">
        <v>50</v>
      </c>
      <c r="L348" t="str" cm="1">
        <f t="array" ref="L348">_xlfn.IFS(J348&gt;5000,"Hight",J348&gt;2000,"Medium",TRUE,"Low")</f>
        <v>Low</v>
      </c>
      <c r="M348" t="str" cm="1">
        <f t="array" ref="M348">_xlfn.IFS(I348&lt;12,"Low-Term",I348&gt;=36,"Long-Term",TRUE,"Medium-Term")</f>
        <v>Medium-Term</v>
      </c>
      <c r="N348" t="str" cm="1">
        <f t="array" ref="N348">_xlfn.IFS(A348="Bad", "Review Required", AND(A348="Good",J348&gt;7000),"VIP Client", AND(A348="Good", J348&lt;=7000),"Standart Client")</f>
        <v>Standart Client</v>
      </c>
    </row>
    <row r="349" spans="1:14" x14ac:dyDescent="0.3">
      <c r="A349" t="s">
        <v>34</v>
      </c>
      <c r="B349" t="s">
        <v>78</v>
      </c>
      <c r="C349" t="s">
        <v>89</v>
      </c>
      <c r="D349" t="s">
        <v>99</v>
      </c>
      <c r="E349" t="s">
        <v>124</v>
      </c>
      <c r="F349" t="s">
        <v>125</v>
      </c>
      <c r="G349" t="s">
        <v>114</v>
      </c>
      <c r="H349" t="s">
        <v>120</v>
      </c>
      <c r="I349">
        <v>24</v>
      </c>
      <c r="J349" s="11">
        <v>3181</v>
      </c>
      <c r="K349">
        <v>26</v>
      </c>
      <c r="L349" t="str" cm="1">
        <f t="array" ref="L349">_xlfn.IFS(J349&gt;5000,"Hight",J349&gt;2000,"Medium",TRUE,"Low")</f>
        <v>Medium</v>
      </c>
      <c r="M349" t="str" cm="1">
        <f t="array" ref="M349">_xlfn.IFS(I349&lt;12,"Low-Term",I349&gt;=36,"Long-Term",TRUE,"Medium-Term")</f>
        <v>Medium-Term</v>
      </c>
      <c r="N349" t="str" cm="1">
        <f t="array" ref="N349">_xlfn.IFS(A349="Bad", "Review Required", AND(A349="Good",J349&gt;7000),"VIP Client", AND(A349="Good", J349&lt;=7000),"Standart Client")</f>
        <v>Standart Client</v>
      </c>
    </row>
    <row r="350" spans="1:14" x14ac:dyDescent="0.3">
      <c r="A350" t="s">
        <v>34</v>
      </c>
      <c r="B350" t="s">
        <v>78</v>
      </c>
      <c r="C350" t="s">
        <v>91</v>
      </c>
      <c r="D350" t="s">
        <v>78</v>
      </c>
      <c r="E350" t="s">
        <v>122</v>
      </c>
      <c r="F350" t="s">
        <v>123</v>
      </c>
      <c r="G350" t="s">
        <v>114</v>
      </c>
      <c r="H350" t="s">
        <v>120</v>
      </c>
      <c r="I350">
        <v>27</v>
      </c>
      <c r="J350" s="11">
        <v>5190</v>
      </c>
      <c r="K350">
        <v>48</v>
      </c>
      <c r="L350" t="str" cm="1">
        <f t="array" ref="L350">_xlfn.IFS(J350&gt;5000,"Hight",J350&gt;2000,"Medium",TRUE,"Low")</f>
        <v>Hight</v>
      </c>
      <c r="M350" t="str" cm="1">
        <f t="array" ref="M350">_xlfn.IFS(I350&lt;12,"Low-Term",I350&gt;=36,"Long-Term",TRUE,"Medium-Term")</f>
        <v>Medium-Term</v>
      </c>
      <c r="N350" t="str" cm="1">
        <f t="array" ref="N350">_xlfn.IFS(A350="Bad", "Review Required", AND(A350="Good",J350&gt;7000),"VIP Client", AND(A350="Good", J350&lt;=7000),"Standart Client")</f>
        <v>Standart Client</v>
      </c>
    </row>
    <row r="351" spans="1:14" x14ac:dyDescent="0.3">
      <c r="A351" t="s">
        <v>34</v>
      </c>
      <c r="B351" t="s">
        <v>78</v>
      </c>
      <c r="C351" t="s">
        <v>89</v>
      </c>
      <c r="D351" t="s">
        <v>99</v>
      </c>
      <c r="E351" t="s">
        <v>124</v>
      </c>
      <c r="F351" t="s">
        <v>125</v>
      </c>
      <c r="G351" t="s">
        <v>114</v>
      </c>
      <c r="H351" t="s">
        <v>120</v>
      </c>
      <c r="I351">
        <v>12</v>
      </c>
      <c r="J351" s="11">
        <v>2171</v>
      </c>
      <c r="K351">
        <v>29</v>
      </c>
      <c r="L351" t="str" cm="1">
        <f t="array" ref="L351">_xlfn.IFS(J351&gt;5000,"Hight",J351&gt;2000,"Medium",TRUE,"Low")</f>
        <v>Medium</v>
      </c>
      <c r="M351" t="str" cm="1">
        <f t="array" ref="M351">_xlfn.IFS(I351&lt;12,"Low-Term",I351&gt;=36,"Long-Term",TRUE,"Medium-Term")</f>
        <v>Medium-Term</v>
      </c>
      <c r="N351" t="str" cm="1">
        <f t="array" ref="N351">_xlfn.IFS(A351="Bad", "Review Required", AND(A351="Good",J351&gt;7000),"VIP Client", AND(A351="Good", J351&lt;=7000),"Standart Client")</f>
        <v>Standart Client</v>
      </c>
    </row>
    <row r="352" spans="1:14" x14ac:dyDescent="0.3">
      <c r="A352" t="s">
        <v>34</v>
      </c>
      <c r="B352" t="s">
        <v>77</v>
      </c>
      <c r="C352" t="s">
        <v>86</v>
      </c>
      <c r="D352" t="s">
        <v>102</v>
      </c>
      <c r="E352" t="s">
        <v>122</v>
      </c>
      <c r="F352" t="s">
        <v>127</v>
      </c>
      <c r="G352" t="s">
        <v>114</v>
      </c>
      <c r="H352" t="s">
        <v>120</v>
      </c>
      <c r="I352">
        <v>12</v>
      </c>
      <c r="J352" s="11">
        <v>1007</v>
      </c>
      <c r="K352">
        <v>22</v>
      </c>
      <c r="L352" t="str" cm="1">
        <f t="array" ref="L352">_xlfn.IFS(J352&gt;5000,"Hight",J352&gt;2000,"Medium",TRUE,"Low")</f>
        <v>Low</v>
      </c>
      <c r="M352" t="str" cm="1">
        <f t="array" ref="M352">_xlfn.IFS(I352&lt;12,"Low-Term",I352&gt;=36,"Long-Term",TRUE,"Medium-Term")</f>
        <v>Medium-Term</v>
      </c>
      <c r="N352" t="str" cm="1">
        <f t="array" ref="N352">_xlfn.IFS(A352="Bad", "Review Required", AND(A352="Good",J352&gt;7000),"VIP Client", AND(A352="Good", J352&lt;=7000),"Standart Client")</f>
        <v>Standart Client</v>
      </c>
    </row>
    <row r="353" spans="1:14" x14ac:dyDescent="0.3">
      <c r="A353" t="s">
        <v>34</v>
      </c>
      <c r="B353" t="s">
        <v>78</v>
      </c>
      <c r="C353" t="s">
        <v>89</v>
      </c>
      <c r="D353" t="s">
        <v>78</v>
      </c>
      <c r="E353" t="s">
        <v>124</v>
      </c>
      <c r="F353" t="s">
        <v>125</v>
      </c>
      <c r="G353" t="s">
        <v>114</v>
      </c>
      <c r="H353" t="s">
        <v>120</v>
      </c>
      <c r="I353">
        <v>36</v>
      </c>
      <c r="J353" s="11">
        <v>2394</v>
      </c>
      <c r="K353">
        <v>25</v>
      </c>
      <c r="L353" t="str" cm="1">
        <f t="array" ref="L353">_xlfn.IFS(J353&gt;5000,"Hight",J353&gt;2000,"Medium",TRUE,"Low")</f>
        <v>Medium</v>
      </c>
      <c r="M353" t="str" cm="1">
        <f t="array" ref="M353">_xlfn.IFS(I353&lt;12,"Low-Term",I353&gt;=36,"Long-Term",TRUE,"Medium-Term")</f>
        <v>Long-Term</v>
      </c>
      <c r="N353" t="str" cm="1">
        <f t="array" ref="N353">_xlfn.IFS(A353="Bad", "Review Required", AND(A353="Good",J353&gt;7000),"VIP Client", AND(A353="Good", J353&lt;=7000),"Standart Client")</f>
        <v>Standart Client</v>
      </c>
    </row>
    <row r="354" spans="1:14" x14ac:dyDescent="0.3">
      <c r="A354" t="s">
        <v>34</v>
      </c>
      <c r="B354" t="s">
        <v>78</v>
      </c>
      <c r="C354" t="s">
        <v>87</v>
      </c>
      <c r="D354" t="s">
        <v>99</v>
      </c>
      <c r="E354" t="s">
        <v>124</v>
      </c>
      <c r="F354" t="s">
        <v>125</v>
      </c>
      <c r="G354" t="s">
        <v>114</v>
      </c>
      <c r="H354" t="s">
        <v>120</v>
      </c>
      <c r="I354">
        <v>36</v>
      </c>
      <c r="J354" s="11">
        <v>8133</v>
      </c>
      <c r="K354">
        <v>30</v>
      </c>
      <c r="L354" t="str" cm="1">
        <f t="array" ref="L354">_xlfn.IFS(J354&gt;5000,"Hight",J354&gt;2000,"Medium",TRUE,"Low")</f>
        <v>Hight</v>
      </c>
      <c r="M354" t="str" cm="1">
        <f t="array" ref="M354">_xlfn.IFS(I354&lt;12,"Low-Term",I354&gt;=36,"Long-Term",TRUE,"Medium-Term")</f>
        <v>Long-Term</v>
      </c>
      <c r="N354" t="str" cm="1">
        <f t="array" ref="N354">_xlfn.IFS(A354="Bad", "Review Required", AND(A354="Good",J354&gt;7000),"VIP Client", AND(A354="Good", J354&lt;=7000),"Standart Client")</f>
        <v>VIP Client</v>
      </c>
    </row>
    <row r="355" spans="1:14" x14ac:dyDescent="0.3">
      <c r="A355" t="s">
        <v>34</v>
      </c>
      <c r="B355" t="s">
        <v>78</v>
      </c>
      <c r="C355" t="s">
        <v>89</v>
      </c>
      <c r="D355" t="s">
        <v>78</v>
      </c>
      <c r="E355" t="s">
        <v>122</v>
      </c>
      <c r="F355" t="s">
        <v>123</v>
      </c>
      <c r="G355" t="s">
        <v>113</v>
      </c>
      <c r="H355" t="s">
        <v>119</v>
      </c>
      <c r="I355">
        <v>7</v>
      </c>
      <c r="J355" s="11">
        <v>730</v>
      </c>
      <c r="K355">
        <v>46</v>
      </c>
      <c r="L355" t="str" cm="1">
        <f t="array" ref="L355">_xlfn.IFS(J355&gt;5000,"Hight",J355&gt;2000,"Medium",TRUE,"Low")</f>
        <v>Low</v>
      </c>
      <c r="M355" t="str" cm="1">
        <f t="array" ref="M355">_xlfn.IFS(I355&lt;12,"Low-Term",I355&gt;=36,"Long-Term",TRUE,"Medium-Term")</f>
        <v>Low-Term</v>
      </c>
      <c r="N355" t="str" cm="1">
        <f t="array" ref="N355">_xlfn.IFS(A355="Bad", "Review Required", AND(A355="Good",J355&gt;7000),"VIP Client", AND(A355="Good", J355&lt;=7000),"Standart Client")</f>
        <v>Standart Client</v>
      </c>
    </row>
    <row r="356" spans="1:14" x14ac:dyDescent="0.3">
      <c r="A356" t="s">
        <v>34</v>
      </c>
      <c r="B356" t="s">
        <v>80</v>
      </c>
      <c r="C356" t="s">
        <v>95</v>
      </c>
      <c r="D356" t="s">
        <v>99</v>
      </c>
      <c r="E356" t="s">
        <v>122</v>
      </c>
      <c r="F356" t="s">
        <v>123</v>
      </c>
      <c r="G356" t="s">
        <v>115</v>
      </c>
      <c r="H356" t="s">
        <v>121</v>
      </c>
      <c r="I356">
        <v>8</v>
      </c>
      <c r="J356" s="11">
        <v>1164</v>
      </c>
      <c r="K356">
        <v>51</v>
      </c>
      <c r="L356" t="str" cm="1">
        <f t="array" ref="L356">_xlfn.IFS(J356&gt;5000,"Hight",J356&gt;2000,"Medium",TRUE,"Low")</f>
        <v>Low</v>
      </c>
      <c r="M356" t="str" cm="1">
        <f t="array" ref="M356">_xlfn.IFS(I356&lt;12,"Low-Term",I356&gt;=36,"Long-Term",TRUE,"Medium-Term")</f>
        <v>Low-Term</v>
      </c>
      <c r="N356" t="str" cm="1">
        <f t="array" ref="N356">_xlfn.IFS(A356="Bad", "Review Required", AND(A356="Good",J356&gt;7000),"VIP Client", AND(A356="Good", J356&lt;=7000),"Standart Client")</f>
        <v>Standart Client</v>
      </c>
    </row>
    <row r="357" spans="1:14" x14ac:dyDescent="0.3">
      <c r="A357" t="s">
        <v>34</v>
      </c>
      <c r="B357" t="s">
        <v>77</v>
      </c>
      <c r="C357" t="s">
        <v>94</v>
      </c>
      <c r="D357" t="s">
        <v>99</v>
      </c>
      <c r="E357" t="s">
        <v>124</v>
      </c>
      <c r="F357" t="s">
        <v>125</v>
      </c>
      <c r="G357" t="s">
        <v>113</v>
      </c>
      <c r="H357" t="s">
        <v>120</v>
      </c>
      <c r="I357">
        <v>42</v>
      </c>
      <c r="J357" s="11">
        <v>5954</v>
      </c>
      <c r="K357">
        <v>41</v>
      </c>
      <c r="L357" t="str" cm="1">
        <f t="array" ref="L357">_xlfn.IFS(J357&gt;5000,"Hight",J357&gt;2000,"Medium",TRUE,"Low")</f>
        <v>Hight</v>
      </c>
      <c r="M357" t="str" cm="1">
        <f t="array" ref="M357">_xlfn.IFS(I357&lt;12,"Low-Term",I357&gt;=36,"Long-Term",TRUE,"Medium-Term")</f>
        <v>Long-Term</v>
      </c>
      <c r="N357" t="str" cm="1">
        <f t="array" ref="N357">_xlfn.IFS(A357="Bad", "Review Required", AND(A357="Good",J357&gt;7000),"VIP Client", AND(A357="Good", J357&lt;=7000),"Standart Client")</f>
        <v>Standart Client</v>
      </c>
    </row>
    <row r="358" spans="1:14" x14ac:dyDescent="0.3">
      <c r="A358" t="s">
        <v>34</v>
      </c>
      <c r="B358" t="s">
        <v>80</v>
      </c>
      <c r="C358" t="s">
        <v>87</v>
      </c>
      <c r="D358" t="s">
        <v>99</v>
      </c>
      <c r="E358" t="s">
        <v>122</v>
      </c>
      <c r="F358" t="s">
        <v>123</v>
      </c>
      <c r="G358" t="s">
        <v>115</v>
      </c>
      <c r="H358" t="s">
        <v>121</v>
      </c>
      <c r="I358">
        <v>12</v>
      </c>
      <c r="J358" s="11">
        <v>1526</v>
      </c>
      <c r="K358">
        <v>66</v>
      </c>
      <c r="L358" t="str" cm="1">
        <f t="array" ref="L358">_xlfn.IFS(J358&gt;5000,"Hight",J358&gt;2000,"Medium",TRUE,"Low")</f>
        <v>Low</v>
      </c>
      <c r="M358" t="str" cm="1">
        <f t="array" ref="M358">_xlfn.IFS(I358&lt;12,"Low-Term",I358&gt;=36,"Long-Term",TRUE,"Medium-Term")</f>
        <v>Medium-Term</v>
      </c>
      <c r="N358" t="str" cm="1">
        <f t="array" ref="N358">_xlfn.IFS(A358="Bad", "Review Required", AND(A358="Good",J358&gt;7000),"VIP Client", AND(A358="Good", J358&lt;=7000),"Standart Client")</f>
        <v>Standart Client</v>
      </c>
    </row>
    <row r="359" spans="1:14" x14ac:dyDescent="0.3">
      <c r="A359" t="s">
        <v>34</v>
      </c>
      <c r="B359" t="s">
        <v>77</v>
      </c>
      <c r="C359" t="s">
        <v>89</v>
      </c>
      <c r="D359" t="s">
        <v>99</v>
      </c>
      <c r="E359" t="s">
        <v>122</v>
      </c>
      <c r="F359" t="s">
        <v>123</v>
      </c>
      <c r="G359" t="s">
        <v>114</v>
      </c>
      <c r="H359" t="s">
        <v>120</v>
      </c>
      <c r="I359">
        <v>11</v>
      </c>
      <c r="J359" s="11">
        <v>4771</v>
      </c>
      <c r="K359">
        <v>51</v>
      </c>
      <c r="L359" t="str" cm="1">
        <f t="array" ref="L359">_xlfn.IFS(J359&gt;5000,"Hight",J359&gt;2000,"Medium",TRUE,"Low")</f>
        <v>Medium</v>
      </c>
      <c r="M359" t="str" cm="1">
        <f t="array" ref="M359">_xlfn.IFS(I359&lt;12,"Low-Term",I359&gt;=36,"Long-Term",TRUE,"Medium-Term")</f>
        <v>Low-Term</v>
      </c>
      <c r="N359" t="str" cm="1">
        <f t="array" ref="N359">_xlfn.IFS(A359="Bad", "Review Required", AND(A359="Good",J359&gt;7000),"VIP Client", AND(A359="Good", J359&lt;=7000),"Standart Client")</f>
        <v>Standart Client</v>
      </c>
    </row>
    <row r="360" spans="1:14" x14ac:dyDescent="0.3">
      <c r="A360" t="s">
        <v>34</v>
      </c>
      <c r="B360" t="s">
        <v>78</v>
      </c>
      <c r="C360" t="s">
        <v>87</v>
      </c>
      <c r="D360" t="s">
        <v>78</v>
      </c>
      <c r="E360" t="s">
        <v>122</v>
      </c>
      <c r="F360" t="s">
        <v>123</v>
      </c>
      <c r="G360" t="s">
        <v>113</v>
      </c>
      <c r="H360" t="s">
        <v>120</v>
      </c>
      <c r="I360">
        <v>54</v>
      </c>
      <c r="J360" s="11">
        <v>9436</v>
      </c>
      <c r="K360">
        <v>39</v>
      </c>
      <c r="L360" t="str" cm="1">
        <f t="array" ref="L360">_xlfn.IFS(J360&gt;5000,"Hight",J360&gt;2000,"Medium",TRUE,"Low")</f>
        <v>Hight</v>
      </c>
      <c r="M360" t="str" cm="1">
        <f t="array" ref="M360">_xlfn.IFS(I360&lt;12,"Low-Term",I360&gt;=36,"Long-Term",TRUE,"Medium-Term")</f>
        <v>Long-Term</v>
      </c>
      <c r="N360" t="str" cm="1">
        <f t="array" ref="N360">_xlfn.IFS(A360="Bad", "Review Required", AND(A360="Good",J360&gt;7000),"VIP Client", AND(A360="Good", J360&lt;=7000),"Standart Client")</f>
        <v>VIP Client</v>
      </c>
    </row>
    <row r="361" spans="1:14" x14ac:dyDescent="0.3">
      <c r="A361" t="s">
        <v>34</v>
      </c>
      <c r="B361" t="s">
        <v>77</v>
      </c>
      <c r="C361" t="s">
        <v>88</v>
      </c>
      <c r="D361" t="s">
        <v>99</v>
      </c>
      <c r="E361" t="s">
        <v>122</v>
      </c>
      <c r="F361" t="s">
        <v>127</v>
      </c>
      <c r="G361" t="s">
        <v>114</v>
      </c>
      <c r="H361" t="s">
        <v>120</v>
      </c>
      <c r="I361">
        <v>30</v>
      </c>
      <c r="J361" s="11">
        <v>3832</v>
      </c>
      <c r="K361">
        <v>22</v>
      </c>
      <c r="L361" t="str" cm="1">
        <f t="array" ref="L361">_xlfn.IFS(J361&gt;5000,"Hight",J361&gt;2000,"Medium",TRUE,"Low")</f>
        <v>Medium</v>
      </c>
      <c r="M361" t="str" cm="1">
        <f t="array" ref="M361">_xlfn.IFS(I361&lt;12,"Low-Term",I361&gt;=36,"Long-Term",TRUE,"Medium-Term")</f>
        <v>Medium-Term</v>
      </c>
      <c r="N361" t="str" cm="1">
        <f t="array" ref="N361">_xlfn.IFS(A361="Bad", "Review Required", AND(A361="Good",J361&gt;7000),"VIP Client", AND(A361="Good", J361&lt;=7000),"Standart Client")</f>
        <v>Standart Client</v>
      </c>
    </row>
    <row r="362" spans="1:14" x14ac:dyDescent="0.3">
      <c r="A362" t="s">
        <v>34</v>
      </c>
      <c r="B362" t="s">
        <v>78</v>
      </c>
      <c r="C362" t="s">
        <v>89</v>
      </c>
      <c r="D362" t="s">
        <v>101</v>
      </c>
      <c r="E362" t="s">
        <v>122</v>
      </c>
      <c r="F362" t="s">
        <v>123</v>
      </c>
      <c r="G362" t="s">
        <v>114</v>
      </c>
      <c r="H362" t="s">
        <v>120</v>
      </c>
      <c r="I362">
        <v>15</v>
      </c>
      <c r="J362" s="11">
        <v>1213</v>
      </c>
      <c r="K362">
        <v>47</v>
      </c>
      <c r="L362" t="str" cm="1">
        <f t="array" ref="L362">_xlfn.IFS(J362&gt;5000,"Hight",J362&gt;2000,"Medium",TRUE,"Low")</f>
        <v>Low</v>
      </c>
      <c r="M362" t="str" cm="1">
        <f t="array" ref="M362">_xlfn.IFS(I362&lt;12,"Low-Term",I362&gt;=36,"Long-Term",TRUE,"Medium-Term")</f>
        <v>Medium-Term</v>
      </c>
      <c r="N362" t="str" cm="1">
        <f t="array" ref="N362">_xlfn.IFS(A362="Bad", "Review Required", AND(A362="Good",J362&gt;7000),"VIP Client", AND(A362="Good", J362&lt;=7000),"Standart Client")</f>
        <v>Standart Client</v>
      </c>
    </row>
    <row r="363" spans="1:14" x14ac:dyDescent="0.3">
      <c r="A363" t="s">
        <v>34</v>
      </c>
      <c r="B363" t="s">
        <v>78</v>
      </c>
      <c r="C363" t="s">
        <v>94</v>
      </c>
      <c r="D363" t="s">
        <v>100</v>
      </c>
      <c r="E363" t="s">
        <v>124</v>
      </c>
      <c r="F363" t="s">
        <v>125</v>
      </c>
      <c r="G363" t="s">
        <v>113</v>
      </c>
      <c r="H363" t="s">
        <v>119</v>
      </c>
      <c r="I363">
        <v>18</v>
      </c>
      <c r="J363" s="11">
        <v>1568</v>
      </c>
      <c r="K363">
        <v>24</v>
      </c>
      <c r="L363" t="str" cm="1">
        <f t="array" ref="L363">_xlfn.IFS(J363&gt;5000,"Hight",J363&gt;2000,"Medium",TRUE,"Low")</f>
        <v>Low</v>
      </c>
      <c r="M363" t="str" cm="1">
        <f t="array" ref="M363">_xlfn.IFS(I363&lt;12,"Low-Term",I363&gt;=36,"Long-Term",TRUE,"Medium-Term")</f>
        <v>Medium-Term</v>
      </c>
      <c r="N363" t="str" cm="1">
        <f t="array" ref="N363">_xlfn.IFS(A363="Bad", "Review Required", AND(A363="Good",J363&gt;7000),"VIP Client", AND(A363="Good", J363&lt;=7000),"Standart Client")</f>
        <v>Standart Client</v>
      </c>
    </row>
    <row r="364" spans="1:14" x14ac:dyDescent="0.3">
      <c r="A364" t="s">
        <v>34</v>
      </c>
      <c r="B364" t="s">
        <v>80</v>
      </c>
      <c r="C364" t="s">
        <v>95</v>
      </c>
      <c r="D364" t="s">
        <v>99</v>
      </c>
      <c r="E364" t="s">
        <v>124</v>
      </c>
      <c r="F364" t="s">
        <v>125</v>
      </c>
      <c r="G364" t="s">
        <v>113</v>
      </c>
      <c r="H364" t="s">
        <v>120</v>
      </c>
      <c r="I364">
        <v>24</v>
      </c>
      <c r="J364" s="11">
        <v>1755</v>
      </c>
      <c r="K364">
        <v>58</v>
      </c>
      <c r="L364" t="str" cm="1">
        <f t="array" ref="L364">_xlfn.IFS(J364&gt;5000,"Hight",J364&gt;2000,"Medium",TRUE,"Low")</f>
        <v>Low</v>
      </c>
      <c r="M364" t="str" cm="1">
        <f t="array" ref="M364">_xlfn.IFS(I364&lt;12,"Low-Term",I364&gt;=36,"Long-Term",TRUE,"Medium-Term")</f>
        <v>Medium-Term</v>
      </c>
      <c r="N364" t="str" cm="1">
        <f t="array" ref="N364">_xlfn.IFS(A364="Bad", "Review Required", AND(A364="Good",J364&gt;7000),"VIP Client", AND(A364="Good", J364&lt;=7000),"Standart Client")</f>
        <v>Standart Client</v>
      </c>
    </row>
    <row r="365" spans="1:14" x14ac:dyDescent="0.3">
      <c r="A365" t="s">
        <v>34</v>
      </c>
      <c r="B365" t="s">
        <v>80</v>
      </c>
      <c r="C365" t="s">
        <v>89</v>
      </c>
      <c r="D365" t="s">
        <v>99</v>
      </c>
      <c r="E365" t="s">
        <v>122</v>
      </c>
      <c r="F365" t="s">
        <v>123</v>
      </c>
      <c r="G365" t="s">
        <v>113</v>
      </c>
      <c r="H365" t="s">
        <v>120</v>
      </c>
      <c r="I365">
        <v>10</v>
      </c>
      <c r="J365" s="11">
        <v>2315</v>
      </c>
      <c r="K365">
        <v>52</v>
      </c>
      <c r="L365" t="str" cm="1">
        <f t="array" ref="L365">_xlfn.IFS(J365&gt;5000,"Hight",J365&gt;2000,"Medium",TRUE,"Low")</f>
        <v>Medium</v>
      </c>
      <c r="M365" t="str" cm="1">
        <f t="array" ref="M365">_xlfn.IFS(I365&lt;12,"Low-Term",I365&gt;=36,"Long-Term",TRUE,"Medium-Term")</f>
        <v>Low-Term</v>
      </c>
      <c r="N365" t="str" cm="1">
        <f t="array" ref="N365">_xlfn.IFS(A365="Bad", "Review Required", AND(A365="Good",J365&gt;7000),"VIP Client", AND(A365="Good", J365&lt;=7000),"Standart Client")</f>
        <v>Standart Client</v>
      </c>
    </row>
    <row r="366" spans="1:14" x14ac:dyDescent="0.3">
      <c r="A366" t="s">
        <v>34</v>
      </c>
      <c r="B366" t="s">
        <v>78</v>
      </c>
      <c r="C366" t="s">
        <v>94</v>
      </c>
      <c r="D366" t="s">
        <v>99</v>
      </c>
      <c r="E366" t="s">
        <v>124</v>
      </c>
      <c r="F366" t="s">
        <v>125</v>
      </c>
      <c r="G366" t="s">
        <v>115</v>
      </c>
      <c r="H366" t="s">
        <v>120</v>
      </c>
      <c r="I366">
        <v>12</v>
      </c>
      <c r="J366" s="11">
        <v>1412</v>
      </c>
      <c r="K366">
        <v>29</v>
      </c>
      <c r="L366" t="str" cm="1">
        <f t="array" ref="L366">_xlfn.IFS(J366&gt;5000,"Hight",J366&gt;2000,"Medium",TRUE,"Low")</f>
        <v>Low</v>
      </c>
      <c r="M366" t="str" cm="1">
        <f t="array" ref="M366">_xlfn.IFS(I366&lt;12,"Low-Term",I366&gt;=36,"Long-Term",TRUE,"Medium-Term")</f>
        <v>Medium-Term</v>
      </c>
      <c r="N366" t="str" cm="1">
        <f t="array" ref="N366">_xlfn.IFS(A366="Bad", "Review Required", AND(A366="Good",J366&gt;7000),"VIP Client", AND(A366="Good", J366&lt;=7000),"Standart Client")</f>
        <v>Standart Client</v>
      </c>
    </row>
    <row r="367" spans="1:14" x14ac:dyDescent="0.3">
      <c r="A367" t="s">
        <v>34</v>
      </c>
      <c r="B367" t="s">
        <v>77</v>
      </c>
      <c r="C367" t="s">
        <v>88</v>
      </c>
      <c r="D367" t="s">
        <v>99</v>
      </c>
      <c r="E367" t="s">
        <v>124</v>
      </c>
      <c r="F367" t="s">
        <v>125</v>
      </c>
      <c r="G367" t="s">
        <v>114</v>
      </c>
      <c r="H367" t="s">
        <v>120</v>
      </c>
      <c r="I367">
        <v>18</v>
      </c>
      <c r="J367" s="11">
        <v>1295</v>
      </c>
      <c r="K367">
        <v>27</v>
      </c>
      <c r="L367" t="str" cm="1">
        <f t="array" ref="L367">_xlfn.IFS(J367&gt;5000,"Hight",J367&gt;2000,"Medium",TRUE,"Low")</f>
        <v>Low</v>
      </c>
      <c r="M367" t="str" cm="1">
        <f t="array" ref="M367">_xlfn.IFS(I367&lt;12,"Low-Term",I367&gt;=36,"Long-Term",TRUE,"Medium-Term")</f>
        <v>Medium-Term</v>
      </c>
      <c r="N367" t="str" cm="1">
        <f t="array" ref="N367">_xlfn.IFS(A367="Bad", "Review Required", AND(A367="Good",J367&gt;7000),"VIP Client", AND(A367="Good", J367&lt;=7000),"Standart Client")</f>
        <v>Standart Client</v>
      </c>
    </row>
    <row r="368" spans="1:14" x14ac:dyDescent="0.3">
      <c r="A368" t="s">
        <v>34</v>
      </c>
      <c r="B368" t="s">
        <v>80</v>
      </c>
      <c r="C368" t="s">
        <v>86</v>
      </c>
      <c r="D368" t="s">
        <v>100</v>
      </c>
      <c r="E368" t="s">
        <v>122</v>
      </c>
      <c r="F368" t="s">
        <v>123</v>
      </c>
      <c r="G368" t="s">
        <v>115</v>
      </c>
      <c r="H368" t="s">
        <v>120</v>
      </c>
      <c r="I368">
        <v>18</v>
      </c>
      <c r="J368" s="11">
        <v>2249</v>
      </c>
      <c r="K368">
        <v>30</v>
      </c>
      <c r="L368" t="str" cm="1">
        <f t="array" ref="L368">_xlfn.IFS(J368&gt;5000,"Hight",J368&gt;2000,"Medium",TRUE,"Low")</f>
        <v>Medium</v>
      </c>
      <c r="M368" t="str" cm="1">
        <f t="array" ref="M368">_xlfn.IFS(I368&lt;12,"Low-Term",I368&gt;=36,"Long-Term",TRUE,"Medium-Term")</f>
        <v>Medium-Term</v>
      </c>
      <c r="N368" t="str" cm="1">
        <f t="array" ref="N368">_xlfn.IFS(A368="Bad", "Review Required", AND(A368="Good",J368&gt;7000),"VIP Client", AND(A368="Good", J368&lt;=7000),"Standart Client")</f>
        <v>Standart Client</v>
      </c>
    </row>
    <row r="369" spans="1:14" x14ac:dyDescent="0.3">
      <c r="A369" t="s">
        <v>34</v>
      </c>
      <c r="B369" t="s">
        <v>78</v>
      </c>
      <c r="C369" t="s">
        <v>89</v>
      </c>
      <c r="D369" t="s">
        <v>99</v>
      </c>
      <c r="E369" t="s">
        <v>122</v>
      </c>
      <c r="F369" t="s">
        <v>123</v>
      </c>
      <c r="G369" t="s">
        <v>114</v>
      </c>
      <c r="H369" t="s">
        <v>120</v>
      </c>
      <c r="I369">
        <v>12</v>
      </c>
      <c r="J369" s="11">
        <v>618</v>
      </c>
      <c r="K369">
        <v>56</v>
      </c>
      <c r="L369" t="str" cm="1">
        <f t="array" ref="L369">_xlfn.IFS(J369&gt;5000,"Hight",J369&gt;2000,"Medium",TRUE,"Low")</f>
        <v>Low</v>
      </c>
      <c r="M369" t="str" cm="1">
        <f t="array" ref="M369">_xlfn.IFS(I369&lt;12,"Low-Term",I369&gt;=36,"Long-Term",TRUE,"Medium-Term")</f>
        <v>Medium-Term</v>
      </c>
      <c r="N369" t="str" cm="1">
        <f t="array" ref="N369">_xlfn.IFS(A369="Bad", "Review Required", AND(A369="Good",J369&gt;7000),"VIP Client", AND(A369="Good", J369&lt;=7000),"Standart Client")</f>
        <v>Standart Client</v>
      </c>
    </row>
    <row r="370" spans="1:14" x14ac:dyDescent="0.3">
      <c r="A370" t="s">
        <v>34</v>
      </c>
      <c r="B370" t="s">
        <v>80</v>
      </c>
      <c r="C370" t="s">
        <v>87</v>
      </c>
      <c r="D370" t="s">
        <v>99</v>
      </c>
      <c r="E370" t="s">
        <v>122</v>
      </c>
      <c r="F370" t="s">
        <v>123</v>
      </c>
      <c r="G370" t="s">
        <v>114</v>
      </c>
      <c r="H370" t="s">
        <v>120</v>
      </c>
      <c r="I370">
        <v>12</v>
      </c>
      <c r="J370" s="11">
        <v>1409</v>
      </c>
      <c r="K370">
        <v>54</v>
      </c>
      <c r="L370" t="str" cm="1">
        <f t="array" ref="L370">_xlfn.IFS(J370&gt;5000,"Hight",J370&gt;2000,"Medium",TRUE,"Low")</f>
        <v>Low</v>
      </c>
      <c r="M370" t="str" cm="1">
        <f t="array" ref="M370">_xlfn.IFS(I370&lt;12,"Low-Term",I370&gt;=36,"Long-Term",TRUE,"Medium-Term")</f>
        <v>Medium-Term</v>
      </c>
      <c r="N370" t="str" cm="1">
        <f t="array" ref="N370">_xlfn.IFS(A370="Bad", "Review Required", AND(A370="Good",J370&gt;7000),"VIP Client", AND(A370="Good", J370&lt;=7000),"Standart Client")</f>
        <v>Standart Client</v>
      </c>
    </row>
    <row r="371" spans="1:14" x14ac:dyDescent="0.3">
      <c r="A371" t="s">
        <v>34</v>
      </c>
      <c r="B371" t="s">
        <v>81</v>
      </c>
      <c r="C371" t="s">
        <v>88</v>
      </c>
      <c r="D371" t="s">
        <v>78</v>
      </c>
      <c r="E371" t="s">
        <v>122</v>
      </c>
      <c r="F371" t="s">
        <v>123</v>
      </c>
      <c r="G371" t="s">
        <v>114</v>
      </c>
      <c r="H371" t="s">
        <v>119</v>
      </c>
      <c r="I371">
        <v>24</v>
      </c>
      <c r="J371" s="11">
        <v>3617</v>
      </c>
      <c r="K371">
        <v>20</v>
      </c>
      <c r="L371" t="str" cm="1">
        <f t="array" ref="L371">_xlfn.IFS(J371&gt;5000,"Hight",J371&gt;2000,"Medium",TRUE,"Low")</f>
        <v>Medium</v>
      </c>
      <c r="M371" t="str" cm="1">
        <f t="array" ref="M371">_xlfn.IFS(I371&lt;12,"Low-Term",I371&gt;=36,"Long-Term",TRUE,"Medium-Term")</f>
        <v>Medium-Term</v>
      </c>
      <c r="N371" t="str" cm="1">
        <f t="array" ref="N371">_xlfn.IFS(A371="Bad", "Review Required", AND(A371="Good",J371&gt;7000),"VIP Client", AND(A371="Good", J371&lt;=7000),"Standart Client")</f>
        <v>Standart Client</v>
      </c>
    </row>
    <row r="372" spans="1:14" x14ac:dyDescent="0.3">
      <c r="A372" t="s">
        <v>34</v>
      </c>
      <c r="B372" t="s">
        <v>77</v>
      </c>
      <c r="C372" t="s">
        <v>86</v>
      </c>
      <c r="D372" t="s">
        <v>102</v>
      </c>
      <c r="E372" t="s">
        <v>122</v>
      </c>
      <c r="F372" t="s">
        <v>123</v>
      </c>
      <c r="G372" t="s">
        <v>114</v>
      </c>
      <c r="H372" t="s">
        <v>120</v>
      </c>
      <c r="I372">
        <v>12</v>
      </c>
      <c r="J372" s="11">
        <v>1318</v>
      </c>
      <c r="K372">
        <v>54</v>
      </c>
      <c r="L372" t="str" cm="1">
        <f t="array" ref="L372">_xlfn.IFS(J372&gt;5000,"Hight",J372&gt;2000,"Medium",TRUE,"Low")</f>
        <v>Low</v>
      </c>
      <c r="M372" t="str" cm="1">
        <f t="array" ref="M372">_xlfn.IFS(I372&lt;12,"Low-Term",I372&gt;=36,"Long-Term",TRUE,"Medium-Term")</f>
        <v>Medium-Term</v>
      </c>
      <c r="N372" t="str" cm="1">
        <f t="array" ref="N372">_xlfn.IFS(A372="Bad", "Review Required", AND(A372="Good",J372&gt;7000),"VIP Client", AND(A372="Good", J372&lt;=7000),"Standart Client")</f>
        <v>Standart Client</v>
      </c>
    </row>
    <row r="373" spans="1:14" x14ac:dyDescent="0.3">
      <c r="A373" t="s">
        <v>34</v>
      </c>
      <c r="B373" t="s">
        <v>78</v>
      </c>
      <c r="C373" t="s">
        <v>92</v>
      </c>
      <c r="D373" t="s">
        <v>78</v>
      </c>
      <c r="E373" t="s">
        <v>124</v>
      </c>
      <c r="F373" t="s">
        <v>125</v>
      </c>
      <c r="G373" t="s">
        <v>114</v>
      </c>
      <c r="H373" t="s">
        <v>120</v>
      </c>
      <c r="I373">
        <v>12</v>
      </c>
      <c r="J373" s="11">
        <v>2012</v>
      </c>
      <c r="K373">
        <v>61</v>
      </c>
      <c r="L373" t="str" cm="1">
        <f t="array" ref="L373">_xlfn.IFS(J373&gt;5000,"Hight",J373&gt;2000,"Medium",TRUE,"Low")</f>
        <v>Medium</v>
      </c>
      <c r="M373" t="str" cm="1">
        <f t="array" ref="M373">_xlfn.IFS(I373&lt;12,"Low-Term",I373&gt;=36,"Long-Term",TRUE,"Medium-Term")</f>
        <v>Medium-Term</v>
      </c>
      <c r="N373" t="str" cm="1">
        <f t="array" ref="N373">_xlfn.IFS(A373="Bad", "Review Required", AND(A373="Good",J373&gt;7000),"VIP Client", AND(A373="Good", J373&lt;=7000),"Standart Client")</f>
        <v>Standart Client</v>
      </c>
    </row>
    <row r="374" spans="1:14" x14ac:dyDescent="0.3">
      <c r="A374" t="s">
        <v>34</v>
      </c>
      <c r="B374" t="s">
        <v>77</v>
      </c>
      <c r="C374" t="s">
        <v>94</v>
      </c>
      <c r="D374" t="s">
        <v>100</v>
      </c>
      <c r="E374" t="s">
        <v>122</v>
      </c>
      <c r="F374" t="s">
        <v>123</v>
      </c>
      <c r="G374" t="s">
        <v>114</v>
      </c>
      <c r="H374" t="s">
        <v>120</v>
      </c>
      <c r="I374">
        <v>18</v>
      </c>
      <c r="J374" s="11">
        <v>2622</v>
      </c>
      <c r="K374">
        <v>34</v>
      </c>
      <c r="L374" t="str" cm="1">
        <f t="array" ref="L374">_xlfn.IFS(J374&gt;5000,"Hight",J374&gt;2000,"Medium",TRUE,"Low")</f>
        <v>Medium</v>
      </c>
      <c r="M374" t="str" cm="1">
        <f t="array" ref="M374">_xlfn.IFS(I374&lt;12,"Low-Term",I374&gt;=36,"Long-Term",TRUE,"Medium-Term")</f>
        <v>Medium-Term</v>
      </c>
      <c r="N374" t="str" cm="1">
        <f t="array" ref="N374">_xlfn.IFS(A374="Bad", "Review Required", AND(A374="Good",J374&gt;7000),"VIP Client", AND(A374="Good", J374&lt;=7000),"Standart Client")</f>
        <v>Standart Client</v>
      </c>
    </row>
    <row r="375" spans="1:14" x14ac:dyDescent="0.3">
      <c r="A375" t="s">
        <v>34</v>
      </c>
      <c r="B375" t="s">
        <v>77</v>
      </c>
      <c r="C375" t="s">
        <v>89</v>
      </c>
      <c r="D375" t="s">
        <v>99</v>
      </c>
      <c r="E375" t="s">
        <v>122</v>
      </c>
      <c r="F375" t="s">
        <v>123</v>
      </c>
      <c r="G375" t="s">
        <v>114</v>
      </c>
      <c r="H375" t="s">
        <v>120</v>
      </c>
      <c r="I375">
        <v>36</v>
      </c>
      <c r="J375" s="11">
        <v>2337</v>
      </c>
      <c r="K375">
        <v>36</v>
      </c>
      <c r="L375" t="str" cm="1">
        <f t="array" ref="L375">_xlfn.IFS(J375&gt;5000,"Hight",J375&gt;2000,"Medium",TRUE,"Low")</f>
        <v>Medium</v>
      </c>
      <c r="M375" t="str" cm="1">
        <f t="array" ref="M375">_xlfn.IFS(I375&lt;12,"Low-Term",I375&gt;=36,"Long-Term",TRUE,"Medium-Term")</f>
        <v>Long-Term</v>
      </c>
      <c r="N375" t="str" cm="1">
        <f t="array" ref="N375">_xlfn.IFS(A375="Bad", "Review Required", AND(A375="Good",J375&gt;7000),"VIP Client", AND(A375="Good", J375&lt;=7000),"Standart Client")</f>
        <v>Standart Client</v>
      </c>
    </row>
    <row r="376" spans="1:14" x14ac:dyDescent="0.3">
      <c r="A376" t="s">
        <v>34</v>
      </c>
      <c r="B376" t="s">
        <v>77</v>
      </c>
      <c r="C376" t="s">
        <v>87</v>
      </c>
      <c r="D376" t="s">
        <v>78</v>
      </c>
      <c r="E376" t="s">
        <v>122</v>
      </c>
      <c r="F376" t="s">
        <v>123</v>
      </c>
      <c r="G376" t="s">
        <v>115</v>
      </c>
      <c r="H376" t="s">
        <v>119</v>
      </c>
      <c r="I376">
        <v>20</v>
      </c>
      <c r="J376" s="11">
        <v>7057</v>
      </c>
      <c r="K376">
        <v>36</v>
      </c>
      <c r="L376" t="str" cm="1">
        <f t="array" ref="L376">_xlfn.IFS(J376&gt;5000,"Hight",J376&gt;2000,"Medium",TRUE,"Low")</f>
        <v>Hight</v>
      </c>
      <c r="M376" t="str" cm="1">
        <f t="array" ref="M376">_xlfn.IFS(I376&lt;12,"Low-Term",I376&gt;=36,"Long-Term",TRUE,"Medium-Term")</f>
        <v>Medium-Term</v>
      </c>
      <c r="N376" t="str" cm="1">
        <f t="array" ref="N376">_xlfn.IFS(A376="Bad", "Review Required", AND(A376="Good",J376&gt;7000),"VIP Client", AND(A376="Good", J376&lt;=7000),"Standart Client")</f>
        <v>VIP Client</v>
      </c>
    </row>
    <row r="377" spans="1:14" x14ac:dyDescent="0.3">
      <c r="A377" t="s">
        <v>34</v>
      </c>
      <c r="B377" t="s">
        <v>78</v>
      </c>
      <c r="C377" t="s">
        <v>86</v>
      </c>
      <c r="D377" t="s">
        <v>100</v>
      </c>
      <c r="E377" t="s">
        <v>122</v>
      </c>
      <c r="F377" t="s">
        <v>127</v>
      </c>
      <c r="G377" t="s">
        <v>113</v>
      </c>
      <c r="H377" t="s">
        <v>119</v>
      </c>
      <c r="I377">
        <v>24</v>
      </c>
      <c r="J377" s="11">
        <v>1469</v>
      </c>
      <c r="K377">
        <v>41</v>
      </c>
      <c r="L377" t="str" cm="1">
        <f t="array" ref="L377">_xlfn.IFS(J377&gt;5000,"Hight",J377&gt;2000,"Medium",TRUE,"Low")</f>
        <v>Low</v>
      </c>
      <c r="M377" t="str" cm="1">
        <f t="array" ref="M377">_xlfn.IFS(I377&lt;12,"Low-Term",I377&gt;=36,"Long-Term",TRUE,"Medium-Term")</f>
        <v>Medium-Term</v>
      </c>
      <c r="N377" t="str" cm="1">
        <f t="array" ref="N377">_xlfn.IFS(A377="Bad", "Review Required", AND(A377="Good",J377&gt;7000),"VIP Client", AND(A377="Good", J377&lt;=7000),"Standart Client")</f>
        <v>Standart Client</v>
      </c>
    </row>
    <row r="378" spans="1:14" x14ac:dyDescent="0.3">
      <c r="A378" t="s">
        <v>34</v>
      </c>
      <c r="B378" t="s">
        <v>77</v>
      </c>
      <c r="C378" t="s">
        <v>89</v>
      </c>
      <c r="D378" t="s">
        <v>99</v>
      </c>
      <c r="E378" t="s">
        <v>122</v>
      </c>
      <c r="F378" t="s">
        <v>123</v>
      </c>
      <c r="G378" t="s">
        <v>114</v>
      </c>
      <c r="H378" t="s">
        <v>119</v>
      </c>
      <c r="I378">
        <v>36</v>
      </c>
      <c r="J378" s="11">
        <v>2323</v>
      </c>
      <c r="K378">
        <v>24</v>
      </c>
      <c r="L378" t="str" cm="1">
        <f t="array" ref="L378">_xlfn.IFS(J378&gt;5000,"Hight",J378&gt;2000,"Medium",TRUE,"Low")</f>
        <v>Medium</v>
      </c>
      <c r="M378" t="str" cm="1">
        <f t="array" ref="M378">_xlfn.IFS(I378&lt;12,"Low-Term",I378&gt;=36,"Long-Term",TRUE,"Medium-Term")</f>
        <v>Long-Term</v>
      </c>
      <c r="N378" t="str" cm="1">
        <f t="array" ref="N378">_xlfn.IFS(A378="Bad", "Review Required", AND(A378="Good",J378&gt;7000),"VIP Client", AND(A378="Good", J378&lt;=7000),"Standart Client")</f>
        <v>Standart Client</v>
      </c>
    </row>
    <row r="379" spans="1:14" x14ac:dyDescent="0.3">
      <c r="A379" t="s">
        <v>34</v>
      </c>
      <c r="B379" t="s">
        <v>78</v>
      </c>
      <c r="C379" t="s">
        <v>89</v>
      </c>
      <c r="D379" t="s">
        <v>99</v>
      </c>
      <c r="E379" t="s">
        <v>124</v>
      </c>
      <c r="F379" t="s">
        <v>125</v>
      </c>
      <c r="G379" t="s">
        <v>114</v>
      </c>
      <c r="H379" t="s">
        <v>120</v>
      </c>
      <c r="I379">
        <v>6</v>
      </c>
      <c r="J379" s="11">
        <v>932</v>
      </c>
      <c r="K379">
        <v>24</v>
      </c>
      <c r="L379" t="str" cm="1">
        <f t="array" ref="L379">_xlfn.IFS(J379&gt;5000,"Hight",J379&gt;2000,"Medium",TRUE,"Low")</f>
        <v>Low</v>
      </c>
      <c r="M379" t="str" cm="1">
        <f t="array" ref="M379">_xlfn.IFS(I379&lt;12,"Low-Term",I379&gt;=36,"Long-Term",TRUE,"Medium-Term")</f>
        <v>Low-Term</v>
      </c>
      <c r="N379" t="str" cm="1">
        <f t="array" ref="N379">_xlfn.IFS(A379="Bad", "Review Required", AND(A379="Good",J379&gt;7000),"VIP Client", AND(A379="Good", J379&lt;=7000),"Standart Client")</f>
        <v>Standart Client</v>
      </c>
    </row>
    <row r="380" spans="1:14" x14ac:dyDescent="0.3">
      <c r="A380" t="s">
        <v>34</v>
      </c>
      <c r="B380" t="s">
        <v>77</v>
      </c>
      <c r="C380" t="s">
        <v>88</v>
      </c>
      <c r="D380" t="s">
        <v>99</v>
      </c>
      <c r="E380" t="s">
        <v>122</v>
      </c>
      <c r="F380" t="s">
        <v>123</v>
      </c>
      <c r="G380" t="s">
        <v>114</v>
      </c>
      <c r="H380" t="s">
        <v>119</v>
      </c>
      <c r="I380">
        <v>9</v>
      </c>
      <c r="J380" s="11">
        <v>1919</v>
      </c>
      <c r="K380">
        <v>35</v>
      </c>
      <c r="L380" t="str" cm="1">
        <f t="array" ref="L380">_xlfn.IFS(J380&gt;5000,"Hight",J380&gt;2000,"Medium",TRUE,"Low")</f>
        <v>Low</v>
      </c>
      <c r="M380" t="str" cm="1">
        <f t="array" ref="M380">_xlfn.IFS(I380&lt;12,"Low-Term",I380&gt;=36,"Long-Term",TRUE,"Medium-Term")</f>
        <v>Low-Term</v>
      </c>
      <c r="N380" t="str" cm="1">
        <f t="array" ref="N380">_xlfn.IFS(A380="Bad", "Review Required", AND(A380="Good",J380&gt;7000),"VIP Client", AND(A380="Good", J380&lt;=7000),"Standart Client")</f>
        <v>Standart Client</v>
      </c>
    </row>
    <row r="381" spans="1:14" x14ac:dyDescent="0.3">
      <c r="A381" t="s">
        <v>34</v>
      </c>
      <c r="B381" t="s">
        <v>78</v>
      </c>
      <c r="C381" t="s">
        <v>87</v>
      </c>
      <c r="D381" t="s">
        <v>78</v>
      </c>
      <c r="E381" t="s">
        <v>122</v>
      </c>
      <c r="F381" t="s">
        <v>127</v>
      </c>
      <c r="G381" t="s">
        <v>114</v>
      </c>
      <c r="H381" t="s">
        <v>119</v>
      </c>
      <c r="I381">
        <v>12</v>
      </c>
      <c r="J381" s="11">
        <v>2445</v>
      </c>
      <c r="K381">
        <v>26</v>
      </c>
      <c r="L381" t="str" cm="1">
        <f t="array" ref="L381">_xlfn.IFS(J381&gt;5000,"Hight",J381&gt;2000,"Medium",TRUE,"Low")</f>
        <v>Medium</v>
      </c>
      <c r="M381" t="str" cm="1">
        <f t="array" ref="M381">_xlfn.IFS(I381&lt;12,"Low-Term",I381&gt;=36,"Long-Term",TRUE,"Medium-Term")</f>
        <v>Medium-Term</v>
      </c>
      <c r="N381" t="str" cm="1">
        <f t="array" ref="N381">_xlfn.IFS(A381="Bad", "Review Required", AND(A381="Good",J381&gt;7000),"VIP Client", AND(A381="Good", J381&lt;=7000),"Standart Client")</f>
        <v>Standart Client</v>
      </c>
    </row>
    <row r="382" spans="1:14" x14ac:dyDescent="0.3">
      <c r="A382" t="s">
        <v>34</v>
      </c>
      <c r="B382" t="s">
        <v>77</v>
      </c>
      <c r="C382" t="s">
        <v>86</v>
      </c>
      <c r="D382" t="s">
        <v>99</v>
      </c>
      <c r="E382" t="s">
        <v>122</v>
      </c>
      <c r="F382" t="s">
        <v>123</v>
      </c>
      <c r="G382" t="s">
        <v>114</v>
      </c>
      <c r="H382" t="s">
        <v>120</v>
      </c>
      <c r="I382">
        <v>12</v>
      </c>
      <c r="J382" s="11">
        <v>6078</v>
      </c>
      <c r="K382">
        <v>32</v>
      </c>
      <c r="L382" t="str" cm="1">
        <f t="array" ref="L382">_xlfn.IFS(J382&gt;5000,"Hight",J382&gt;2000,"Medium",TRUE,"Low")</f>
        <v>Hight</v>
      </c>
      <c r="M382" t="str" cm="1">
        <f t="array" ref="M382">_xlfn.IFS(I382&lt;12,"Low-Term",I382&gt;=36,"Long-Term",TRUE,"Medium-Term")</f>
        <v>Medium-Term</v>
      </c>
      <c r="N382" t="str" cm="1">
        <f t="array" ref="N382">_xlfn.IFS(A382="Bad", "Review Required", AND(A382="Good",J382&gt;7000),"VIP Client", AND(A382="Good", J382&lt;=7000),"Standart Client")</f>
        <v>Standart Client</v>
      </c>
    </row>
    <row r="383" spans="1:14" x14ac:dyDescent="0.3">
      <c r="A383" t="s">
        <v>34</v>
      </c>
      <c r="B383" t="s">
        <v>80</v>
      </c>
      <c r="C383" t="s">
        <v>88</v>
      </c>
      <c r="D383" t="s">
        <v>78</v>
      </c>
      <c r="E383" t="s">
        <v>124</v>
      </c>
      <c r="F383" t="s">
        <v>125</v>
      </c>
      <c r="G383" t="s">
        <v>114</v>
      </c>
      <c r="H383" t="s">
        <v>120</v>
      </c>
      <c r="I383">
        <v>24</v>
      </c>
      <c r="J383" s="11">
        <v>7721</v>
      </c>
      <c r="K383">
        <v>30</v>
      </c>
      <c r="L383" t="str" cm="1">
        <f t="array" ref="L383">_xlfn.IFS(J383&gt;5000,"Hight",J383&gt;2000,"Medium",TRUE,"Low")</f>
        <v>Hight</v>
      </c>
      <c r="M383" t="str" cm="1">
        <f t="array" ref="M383">_xlfn.IFS(I383&lt;12,"Low-Term",I383&gt;=36,"Long-Term",TRUE,"Medium-Term")</f>
        <v>Medium-Term</v>
      </c>
      <c r="N383" t="str" cm="1">
        <f t="array" ref="N383">_xlfn.IFS(A383="Bad", "Review Required", AND(A383="Good",J383&gt;7000),"VIP Client", AND(A383="Good", J383&lt;=7000),"Standart Client")</f>
        <v>VIP Client</v>
      </c>
    </row>
    <row r="384" spans="1:14" x14ac:dyDescent="0.3">
      <c r="A384" t="s">
        <v>34</v>
      </c>
      <c r="B384" t="s">
        <v>77</v>
      </c>
      <c r="C384" t="s">
        <v>94</v>
      </c>
      <c r="D384" t="s">
        <v>101</v>
      </c>
      <c r="E384" t="s">
        <v>122</v>
      </c>
      <c r="F384" t="s">
        <v>127</v>
      </c>
      <c r="G384" t="s">
        <v>114</v>
      </c>
      <c r="H384" t="s">
        <v>120</v>
      </c>
      <c r="I384">
        <v>14</v>
      </c>
      <c r="J384" s="11">
        <v>1410</v>
      </c>
      <c r="K384">
        <v>35</v>
      </c>
      <c r="L384" t="str" cm="1">
        <f t="array" ref="L384">_xlfn.IFS(J384&gt;5000,"Hight",J384&gt;2000,"Medium",TRUE,"Low")</f>
        <v>Low</v>
      </c>
      <c r="M384" t="str" cm="1">
        <f t="array" ref="M384">_xlfn.IFS(I384&lt;12,"Low-Term",I384&gt;=36,"Long-Term",TRUE,"Medium-Term")</f>
        <v>Medium-Term</v>
      </c>
      <c r="N384" t="str" cm="1">
        <f t="array" ref="N384">_xlfn.IFS(A384="Bad", "Review Required", AND(A384="Good",J384&gt;7000),"VIP Client", AND(A384="Good", J384&lt;=7000),"Standart Client")</f>
        <v>Standart Client</v>
      </c>
    </row>
    <row r="385" spans="1:14" x14ac:dyDescent="0.3">
      <c r="A385" t="s">
        <v>34</v>
      </c>
      <c r="B385" t="s">
        <v>77</v>
      </c>
      <c r="C385" t="s">
        <v>94</v>
      </c>
      <c r="D385" t="s">
        <v>100</v>
      </c>
      <c r="E385" t="s">
        <v>122</v>
      </c>
      <c r="F385" t="s">
        <v>126</v>
      </c>
      <c r="G385" t="s">
        <v>114</v>
      </c>
      <c r="H385" t="s">
        <v>120</v>
      </c>
      <c r="I385">
        <v>6</v>
      </c>
      <c r="J385" s="11">
        <v>1449</v>
      </c>
      <c r="K385">
        <v>31</v>
      </c>
      <c r="L385" t="str" cm="1">
        <f t="array" ref="L385">_xlfn.IFS(J385&gt;5000,"Hight",J385&gt;2000,"Medium",TRUE,"Low")</f>
        <v>Low</v>
      </c>
      <c r="M385" t="str" cm="1">
        <f t="array" ref="M385">_xlfn.IFS(I385&lt;12,"Low-Term",I385&gt;=36,"Long-Term",TRUE,"Medium-Term")</f>
        <v>Low-Term</v>
      </c>
      <c r="N385" t="str" cm="1">
        <f t="array" ref="N385">_xlfn.IFS(A385="Bad", "Review Required", AND(A385="Good",J385&gt;7000),"VIP Client", AND(A385="Good", J385&lt;=7000),"Standart Client")</f>
        <v>Standart Client</v>
      </c>
    </row>
    <row r="386" spans="1:14" x14ac:dyDescent="0.3">
      <c r="A386" t="s">
        <v>34</v>
      </c>
      <c r="B386" t="s">
        <v>81</v>
      </c>
      <c r="C386" t="s">
        <v>92</v>
      </c>
      <c r="D386" t="s">
        <v>99</v>
      </c>
      <c r="E386" t="s">
        <v>124</v>
      </c>
      <c r="F386" t="s">
        <v>125</v>
      </c>
      <c r="G386" t="s">
        <v>114</v>
      </c>
      <c r="H386" t="s">
        <v>119</v>
      </c>
      <c r="I386">
        <v>15</v>
      </c>
      <c r="J386" s="11">
        <v>392</v>
      </c>
      <c r="K386">
        <v>23</v>
      </c>
      <c r="L386" t="str" cm="1">
        <f t="array" ref="L386">_xlfn.IFS(J386&gt;5000,"Hight",J386&gt;2000,"Medium",TRUE,"Low")</f>
        <v>Low</v>
      </c>
      <c r="M386" t="str" cm="1">
        <f t="array" ref="M386">_xlfn.IFS(I386&lt;12,"Low-Term",I386&gt;=36,"Long-Term",TRUE,"Medium-Term")</f>
        <v>Medium-Term</v>
      </c>
      <c r="N386" t="str" cm="1">
        <f t="array" ref="N386">_xlfn.IFS(A386="Bad", "Review Required", AND(A386="Good",J386&gt;7000),"VIP Client", AND(A386="Good", J386&lt;=7000),"Standart Client")</f>
        <v>Standart Client</v>
      </c>
    </row>
    <row r="387" spans="1:14" x14ac:dyDescent="0.3">
      <c r="A387" t="s">
        <v>34</v>
      </c>
      <c r="B387" t="s">
        <v>77</v>
      </c>
      <c r="C387" t="s">
        <v>86</v>
      </c>
      <c r="D387" t="s">
        <v>99</v>
      </c>
      <c r="E387" t="s">
        <v>122</v>
      </c>
      <c r="F387" t="s">
        <v>123</v>
      </c>
      <c r="G387" t="s">
        <v>113</v>
      </c>
      <c r="H387" t="s">
        <v>119</v>
      </c>
      <c r="I387">
        <v>18</v>
      </c>
      <c r="J387" s="11">
        <v>6260</v>
      </c>
      <c r="K387">
        <v>28</v>
      </c>
      <c r="L387" t="str" cm="1">
        <f t="array" ref="L387">_xlfn.IFS(J387&gt;5000,"Hight",J387&gt;2000,"Medium",TRUE,"Low")</f>
        <v>Hight</v>
      </c>
      <c r="M387" t="str" cm="1">
        <f t="array" ref="M387">_xlfn.IFS(I387&lt;12,"Low-Term",I387&gt;=36,"Long-Term",TRUE,"Medium-Term")</f>
        <v>Medium-Term</v>
      </c>
      <c r="N387" t="str" cm="1">
        <f t="array" ref="N387">_xlfn.IFS(A387="Bad", "Review Required", AND(A387="Good",J387&gt;7000),"VIP Client", AND(A387="Good", J387&lt;=7000),"Standart Client")</f>
        <v>Standart Client</v>
      </c>
    </row>
    <row r="388" spans="1:14" x14ac:dyDescent="0.3">
      <c r="A388" t="s">
        <v>34</v>
      </c>
      <c r="B388" t="s">
        <v>80</v>
      </c>
      <c r="C388" t="s">
        <v>89</v>
      </c>
      <c r="D388" t="s">
        <v>101</v>
      </c>
      <c r="E388" t="s">
        <v>122</v>
      </c>
      <c r="F388" t="s">
        <v>127</v>
      </c>
      <c r="G388" t="s">
        <v>114</v>
      </c>
      <c r="H388" t="s">
        <v>120</v>
      </c>
      <c r="I388">
        <v>12</v>
      </c>
      <c r="J388" s="11">
        <v>1680</v>
      </c>
      <c r="K388">
        <v>35</v>
      </c>
      <c r="L388" t="str" cm="1">
        <f t="array" ref="L388">_xlfn.IFS(J388&gt;5000,"Hight",J388&gt;2000,"Medium",TRUE,"Low")</f>
        <v>Low</v>
      </c>
      <c r="M388" t="str" cm="1">
        <f t="array" ref="M388">_xlfn.IFS(I388&lt;12,"Low-Term",I388&gt;=36,"Long-Term",TRUE,"Medium-Term")</f>
        <v>Medium-Term</v>
      </c>
      <c r="N388" t="str" cm="1">
        <f t="array" ref="N388">_xlfn.IFS(A388="Bad", "Review Required", AND(A388="Good",J388&gt;7000),"VIP Client", AND(A388="Good", J388&lt;=7000),"Standart Client")</f>
        <v>Standart Client</v>
      </c>
    </row>
    <row r="389" spans="1:14" x14ac:dyDescent="0.3">
      <c r="A389" t="s">
        <v>34</v>
      </c>
      <c r="B389" t="s">
        <v>78</v>
      </c>
      <c r="C389" t="s">
        <v>89</v>
      </c>
      <c r="D389" t="s">
        <v>78</v>
      </c>
      <c r="E389" t="s">
        <v>122</v>
      </c>
      <c r="F389" t="s">
        <v>123</v>
      </c>
      <c r="G389" t="s">
        <v>114</v>
      </c>
      <c r="H389" t="s">
        <v>120</v>
      </c>
      <c r="I389">
        <v>48</v>
      </c>
      <c r="J389" s="11">
        <v>3578</v>
      </c>
      <c r="K389">
        <v>47</v>
      </c>
      <c r="L389" t="str" cm="1">
        <f t="array" ref="L389">_xlfn.IFS(J389&gt;5000,"Hight",J389&gt;2000,"Medium",TRUE,"Low")</f>
        <v>Medium</v>
      </c>
      <c r="M389" t="str" cm="1">
        <f t="array" ref="M389">_xlfn.IFS(I389&lt;12,"Low-Term",I389&gt;=36,"Long-Term",TRUE,"Medium-Term")</f>
        <v>Long-Term</v>
      </c>
      <c r="N389" t="str" cm="1">
        <f t="array" ref="N389">_xlfn.IFS(A389="Bad", "Review Required", AND(A389="Good",J389&gt;7000),"VIP Client", AND(A389="Good", J389&lt;=7000),"Standart Client")</f>
        <v>Standart Client</v>
      </c>
    </row>
    <row r="390" spans="1:14" x14ac:dyDescent="0.3">
      <c r="A390" t="s">
        <v>34</v>
      </c>
      <c r="B390" t="s">
        <v>80</v>
      </c>
      <c r="C390" t="s">
        <v>88</v>
      </c>
      <c r="D390" t="s">
        <v>78</v>
      </c>
      <c r="E390" t="s">
        <v>124</v>
      </c>
      <c r="F390" t="s">
        <v>125</v>
      </c>
      <c r="G390" t="s">
        <v>114</v>
      </c>
      <c r="H390" t="s">
        <v>119</v>
      </c>
      <c r="I390">
        <v>10</v>
      </c>
      <c r="J390" s="11">
        <v>2132</v>
      </c>
      <c r="K390">
        <v>27</v>
      </c>
      <c r="L390" t="str" cm="1">
        <f t="array" ref="L390">_xlfn.IFS(J390&gt;5000,"Hight",J390&gt;2000,"Medium",TRUE,"Low")</f>
        <v>Medium</v>
      </c>
      <c r="M390" t="str" cm="1">
        <f t="array" ref="M390">_xlfn.IFS(I390&lt;12,"Low-Term",I390&gt;=36,"Long-Term",TRUE,"Medium-Term")</f>
        <v>Low-Term</v>
      </c>
      <c r="N390" t="str" cm="1">
        <f t="array" ref="N390">_xlfn.IFS(A390="Bad", "Review Required", AND(A390="Good",J390&gt;7000),"VIP Client", AND(A390="Good", J390&lt;=7000),"Standart Client")</f>
        <v>Standart Client</v>
      </c>
    </row>
    <row r="391" spans="1:14" x14ac:dyDescent="0.3">
      <c r="A391" t="s">
        <v>34</v>
      </c>
      <c r="B391" t="s">
        <v>77</v>
      </c>
      <c r="C391" t="s">
        <v>86</v>
      </c>
      <c r="D391" t="s">
        <v>101</v>
      </c>
      <c r="E391" t="s">
        <v>122</v>
      </c>
      <c r="F391" t="s">
        <v>126</v>
      </c>
      <c r="G391" t="s">
        <v>115</v>
      </c>
      <c r="H391" t="s">
        <v>120</v>
      </c>
      <c r="I391">
        <v>12</v>
      </c>
      <c r="J391" s="11">
        <v>2366</v>
      </c>
      <c r="K391">
        <v>36</v>
      </c>
      <c r="L391" t="str" cm="1">
        <f t="array" ref="L391">_xlfn.IFS(J391&gt;5000,"Hight",J391&gt;2000,"Medium",TRUE,"Low")</f>
        <v>Medium</v>
      </c>
      <c r="M391" t="str" cm="1">
        <f t="array" ref="M391">_xlfn.IFS(I391&lt;12,"Low-Term",I391&gt;=36,"Long-Term",TRUE,"Medium-Term")</f>
        <v>Medium-Term</v>
      </c>
      <c r="N391" t="str" cm="1">
        <f t="array" ref="N391">_xlfn.IFS(A391="Bad", "Review Required", AND(A391="Good",J391&gt;7000),"VIP Client", AND(A391="Good", J391&lt;=7000),"Standart Client")</f>
        <v>Standart Client</v>
      </c>
    </row>
    <row r="392" spans="1:14" x14ac:dyDescent="0.3">
      <c r="A392" t="s">
        <v>34</v>
      </c>
      <c r="B392" t="s">
        <v>78</v>
      </c>
      <c r="C392" t="s">
        <v>87</v>
      </c>
      <c r="D392" t="s">
        <v>99</v>
      </c>
      <c r="E392" t="s">
        <v>124</v>
      </c>
      <c r="F392" t="s">
        <v>125</v>
      </c>
      <c r="G392" t="s">
        <v>115</v>
      </c>
      <c r="H392" t="s">
        <v>119</v>
      </c>
      <c r="I392">
        <v>24</v>
      </c>
      <c r="J392" s="11">
        <v>3868</v>
      </c>
      <c r="K392">
        <v>41</v>
      </c>
      <c r="L392" t="str" cm="1">
        <f t="array" ref="L392">_xlfn.IFS(J392&gt;5000,"Hight",J392&gt;2000,"Medium",TRUE,"Low")</f>
        <v>Medium</v>
      </c>
      <c r="M392" t="str" cm="1">
        <f t="array" ref="M392">_xlfn.IFS(I392&lt;12,"Low-Term",I392&gt;=36,"Long-Term",TRUE,"Medium-Term")</f>
        <v>Medium-Term</v>
      </c>
      <c r="N392" t="str" cm="1">
        <f t="array" ref="N392">_xlfn.IFS(A392="Bad", "Review Required", AND(A392="Good",J392&gt;7000),"VIP Client", AND(A392="Good", J392&lt;=7000),"Standart Client")</f>
        <v>Standart Client</v>
      </c>
    </row>
    <row r="393" spans="1:14" x14ac:dyDescent="0.3">
      <c r="A393" t="s">
        <v>34</v>
      </c>
      <c r="B393" t="s">
        <v>78</v>
      </c>
      <c r="C393" t="s">
        <v>88</v>
      </c>
      <c r="D393" t="s">
        <v>99</v>
      </c>
      <c r="E393" t="s">
        <v>122</v>
      </c>
      <c r="F393" t="s">
        <v>123</v>
      </c>
      <c r="G393" t="s">
        <v>113</v>
      </c>
      <c r="H393" t="s">
        <v>119</v>
      </c>
      <c r="I393">
        <v>12</v>
      </c>
      <c r="J393" s="11">
        <v>1768</v>
      </c>
      <c r="K393">
        <v>24</v>
      </c>
      <c r="L393" t="str" cm="1">
        <f t="array" ref="L393">_xlfn.IFS(J393&gt;5000,"Hight",J393&gt;2000,"Medium",TRUE,"Low")</f>
        <v>Low</v>
      </c>
      <c r="M393" t="str" cm="1">
        <f t="array" ref="M393">_xlfn.IFS(I393&lt;12,"Low-Term",I393&gt;=36,"Long-Term",TRUE,"Medium-Term")</f>
        <v>Medium-Term</v>
      </c>
      <c r="N393" t="str" cm="1">
        <f t="array" ref="N393">_xlfn.IFS(A393="Bad", "Review Required", AND(A393="Good",J393&gt;7000),"VIP Client", AND(A393="Good", J393&lt;=7000),"Standart Client")</f>
        <v>Standart Client</v>
      </c>
    </row>
    <row r="394" spans="1:14" x14ac:dyDescent="0.3">
      <c r="A394" t="s">
        <v>34</v>
      </c>
      <c r="B394" t="s">
        <v>81</v>
      </c>
      <c r="C394" t="s">
        <v>86</v>
      </c>
      <c r="D394" t="s">
        <v>99</v>
      </c>
      <c r="E394" t="s">
        <v>122</v>
      </c>
      <c r="F394" t="s">
        <v>123</v>
      </c>
      <c r="G394" t="s">
        <v>114</v>
      </c>
      <c r="H394" t="s">
        <v>121</v>
      </c>
      <c r="I394">
        <v>10</v>
      </c>
      <c r="J394" s="11">
        <v>781</v>
      </c>
      <c r="K394">
        <v>63</v>
      </c>
      <c r="L394" t="str" cm="1">
        <f t="array" ref="L394">_xlfn.IFS(J394&gt;5000,"Hight",J394&gt;2000,"Medium",TRUE,"Low")</f>
        <v>Low</v>
      </c>
      <c r="M394" t="str" cm="1">
        <f t="array" ref="M394">_xlfn.IFS(I394&lt;12,"Low-Term",I394&gt;=36,"Long-Term",TRUE,"Medium-Term")</f>
        <v>Low-Term</v>
      </c>
      <c r="N394" t="str" cm="1">
        <f t="array" ref="N394">_xlfn.IFS(A394="Bad", "Review Required", AND(A394="Good",J394&gt;7000),"VIP Client", AND(A394="Good", J394&lt;=7000),"Standart Client")</f>
        <v>Standart Client</v>
      </c>
    </row>
    <row r="395" spans="1:14" x14ac:dyDescent="0.3">
      <c r="A395" t="s">
        <v>34</v>
      </c>
      <c r="B395" t="s">
        <v>80</v>
      </c>
      <c r="C395" t="s">
        <v>86</v>
      </c>
      <c r="D395" t="s">
        <v>99</v>
      </c>
      <c r="E395" t="s">
        <v>122</v>
      </c>
      <c r="F395" t="s">
        <v>123</v>
      </c>
      <c r="G395" t="s">
        <v>114</v>
      </c>
      <c r="H395" t="s">
        <v>120</v>
      </c>
      <c r="I395">
        <v>12</v>
      </c>
      <c r="J395" s="11">
        <v>2121</v>
      </c>
      <c r="K395">
        <v>30</v>
      </c>
      <c r="L395" t="str" cm="1">
        <f t="array" ref="L395">_xlfn.IFS(J395&gt;5000,"Hight",J395&gt;2000,"Medium",TRUE,"Low")</f>
        <v>Medium</v>
      </c>
      <c r="M395" t="str" cm="1">
        <f t="array" ref="M395">_xlfn.IFS(I395&lt;12,"Low-Term",I395&gt;=36,"Long-Term",TRUE,"Medium-Term")</f>
        <v>Medium-Term</v>
      </c>
      <c r="N395" t="str" cm="1">
        <f t="array" ref="N395">_xlfn.IFS(A395="Bad", "Review Required", AND(A395="Good",J395&gt;7000),"VIP Client", AND(A395="Good", J395&lt;=7000),"Standart Client")</f>
        <v>Standart Client</v>
      </c>
    </row>
    <row r="396" spans="1:14" x14ac:dyDescent="0.3">
      <c r="A396" t="s">
        <v>34</v>
      </c>
      <c r="B396" t="s">
        <v>80</v>
      </c>
      <c r="C396" t="s">
        <v>89</v>
      </c>
      <c r="D396" t="s">
        <v>99</v>
      </c>
      <c r="E396" t="s">
        <v>122</v>
      </c>
      <c r="F396" t="s">
        <v>127</v>
      </c>
      <c r="G396" t="s">
        <v>113</v>
      </c>
      <c r="H396" t="s">
        <v>120</v>
      </c>
      <c r="I396">
        <v>12</v>
      </c>
      <c r="J396" s="11">
        <v>701</v>
      </c>
      <c r="K396">
        <v>40</v>
      </c>
      <c r="L396" t="str" cm="1">
        <f t="array" ref="L396">_xlfn.IFS(J396&gt;5000,"Hight",J396&gt;2000,"Medium",TRUE,"Low")</f>
        <v>Low</v>
      </c>
      <c r="M396" t="str" cm="1">
        <f t="array" ref="M396">_xlfn.IFS(I396&lt;12,"Low-Term",I396&gt;=36,"Long-Term",TRUE,"Medium-Term")</f>
        <v>Medium-Term</v>
      </c>
      <c r="N396" t="str" cm="1">
        <f t="array" ref="N396">_xlfn.IFS(A396="Bad", "Review Required", AND(A396="Good",J396&gt;7000),"VIP Client", AND(A396="Good", J396&lt;=7000),"Standart Client")</f>
        <v>Standart Client</v>
      </c>
    </row>
    <row r="397" spans="1:14" x14ac:dyDescent="0.3">
      <c r="A397" t="s">
        <v>34</v>
      </c>
      <c r="B397" t="s">
        <v>77</v>
      </c>
      <c r="C397" t="s">
        <v>87</v>
      </c>
      <c r="D397" t="s">
        <v>99</v>
      </c>
      <c r="E397" t="s">
        <v>122</v>
      </c>
      <c r="F397" t="s">
        <v>123</v>
      </c>
      <c r="G397" t="s">
        <v>115</v>
      </c>
      <c r="H397" t="s">
        <v>120</v>
      </c>
      <c r="I397">
        <v>12</v>
      </c>
      <c r="J397" s="11">
        <v>1860</v>
      </c>
      <c r="K397">
        <v>34</v>
      </c>
      <c r="L397" t="str" cm="1">
        <f t="array" ref="L397">_xlfn.IFS(J397&gt;5000,"Hight",J397&gt;2000,"Medium",TRUE,"Low")</f>
        <v>Low</v>
      </c>
      <c r="M397" t="str" cm="1">
        <f t="array" ref="M397">_xlfn.IFS(I397&lt;12,"Low-Term",I397&gt;=36,"Long-Term",TRUE,"Medium-Term")</f>
        <v>Medium-Term</v>
      </c>
      <c r="N397" t="str" cm="1">
        <f t="array" ref="N397">_xlfn.IFS(A397="Bad", "Review Required", AND(A397="Good",J397&gt;7000),"VIP Client", AND(A397="Good", J397&lt;=7000),"Standart Client")</f>
        <v>Standart Client</v>
      </c>
    </row>
    <row r="398" spans="1:14" x14ac:dyDescent="0.3">
      <c r="A398" t="s">
        <v>34</v>
      </c>
      <c r="B398" t="s">
        <v>77</v>
      </c>
      <c r="C398" t="s">
        <v>86</v>
      </c>
      <c r="D398" t="s">
        <v>78</v>
      </c>
      <c r="E398" t="s">
        <v>124</v>
      </c>
      <c r="F398" t="s">
        <v>125</v>
      </c>
      <c r="G398" t="s">
        <v>114</v>
      </c>
      <c r="H398" t="s">
        <v>120</v>
      </c>
      <c r="I398">
        <v>48</v>
      </c>
      <c r="J398" s="11">
        <v>8487</v>
      </c>
      <c r="K398">
        <v>24</v>
      </c>
      <c r="L398" t="str" cm="1">
        <f t="array" ref="L398">_xlfn.IFS(J398&gt;5000,"Hight",J398&gt;2000,"Medium",TRUE,"Low")</f>
        <v>Hight</v>
      </c>
      <c r="M398" t="str" cm="1">
        <f t="array" ref="M398">_xlfn.IFS(I398&lt;12,"Low-Term",I398&gt;=36,"Long-Term",TRUE,"Medium-Term")</f>
        <v>Long-Term</v>
      </c>
      <c r="N398" t="str" cm="1">
        <f t="array" ref="N398">_xlfn.IFS(A398="Bad", "Review Required", AND(A398="Good",J398&gt;7000),"VIP Client", AND(A398="Good", J398&lt;=7000),"Standart Client")</f>
        <v>VIP Client</v>
      </c>
    </row>
    <row r="399" spans="1:14" x14ac:dyDescent="0.3">
      <c r="A399" t="s">
        <v>34</v>
      </c>
      <c r="B399" t="s">
        <v>78</v>
      </c>
      <c r="C399" t="s">
        <v>88</v>
      </c>
      <c r="D399" t="s">
        <v>99</v>
      </c>
      <c r="E399" t="s">
        <v>122</v>
      </c>
      <c r="F399" t="s">
        <v>123</v>
      </c>
      <c r="G399" t="s">
        <v>113</v>
      </c>
      <c r="H399" t="s">
        <v>120</v>
      </c>
      <c r="I399">
        <v>15</v>
      </c>
      <c r="J399" s="11">
        <v>2708</v>
      </c>
      <c r="K399">
        <v>27</v>
      </c>
      <c r="L399" t="str" cm="1">
        <f t="array" ref="L399">_xlfn.IFS(J399&gt;5000,"Hight",J399&gt;2000,"Medium",TRUE,"Low")</f>
        <v>Medium</v>
      </c>
      <c r="M399" t="str" cm="1">
        <f t="array" ref="M399">_xlfn.IFS(I399&lt;12,"Low-Term",I399&gt;=36,"Long-Term",TRUE,"Medium-Term")</f>
        <v>Medium-Term</v>
      </c>
      <c r="N399" t="str" cm="1">
        <f t="array" ref="N399">_xlfn.IFS(A399="Bad", "Review Required", AND(A399="Good",J399&gt;7000),"VIP Client", AND(A399="Good", J399&lt;=7000),"Standart Client")</f>
        <v>Standart Client</v>
      </c>
    </row>
    <row r="400" spans="1:14" x14ac:dyDescent="0.3">
      <c r="A400" t="s">
        <v>34</v>
      </c>
      <c r="B400" t="s">
        <v>78</v>
      </c>
      <c r="C400" t="s">
        <v>88</v>
      </c>
      <c r="D400" t="s">
        <v>99</v>
      </c>
      <c r="E400" t="s">
        <v>122</v>
      </c>
      <c r="F400" t="s">
        <v>123</v>
      </c>
      <c r="G400" t="s">
        <v>114</v>
      </c>
      <c r="H400" t="s">
        <v>121</v>
      </c>
      <c r="I400">
        <v>18</v>
      </c>
      <c r="J400" s="11">
        <v>1984</v>
      </c>
      <c r="K400">
        <v>47</v>
      </c>
      <c r="L400" t="str" cm="1">
        <f t="array" ref="L400">_xlfn.IFS(J400&gt;5000,"Hight",J400&gt;2000,"Medium",TRUE,"Low")</f>
        <v>Low</v>
      </c>
      <c r="M400" t="str" cm="1">
        <f t="array" ref="M400">_xlfn.IFS(I400&lt;12,"Low-Term",I400&gt;=36,"Long-Term",TRUE,"Medium-Term")</f>
        <v>Medium-Term</v>
      </c>
      <c r="N400" t="str" cm="1">
        <f t="array" ref="N400">_xlfn.IFS(A400="Bad", "Review Required", AND(A400="Good",J400&gt;7000),"VIP Client", AND(A400="Good", J400&lt;=7000),"Standart Client")</f>
        <v>Standart Client</v>
      </c>
    </row>
    <row r="401" spans="1:14" x14ac:dyDescent="0.3">
      <c r="A401" t="s">
        <v>34</v>
      </c>
      <c r="B401" t="s">
        <v>78</v>
      </c>
      <c r="C401" t="s">
        <v>89</v>
      </c>
      <c r="D401" t="s">
        <v>100</v>
      </c>
      <c r="E401" t="s">
        <v>124</v>
      </c>
      <c r="F401" t="s">
        <v>125</v>
      </c>
      <c r="G401" t="s">
        <v>114</v>
      </c>
      <c r="H401" t="s">
        <v>120</v>
      </c>
      <c r="I401">
        <v>60</v>
      </c>
      <c r="J401" s="11">
        <v>10144</v>
      </c>
      <c r="K401">
        <v>21</v>
      </c>
      <c r="L401" t="str" cm="1">
        <f t="array" ref="L401">_xlfn.IFS(J401&gt;5000,"Hight",J401&gt;2000,"Medium",TRUE,"Low")</f>
        <v>Hight</v>
      </c>
      <c r="M401" t="str" cm="1">
        <f t="array" ref="M401">_xlfn.IFS(I401&lt;12,"Low-Term",I401&gt;=36,"Long-Term",TRUE,"Medium-Term")</f>
        <v>Long-Term</v>
      </c>
      <c r="N401" t="str" cm="1">
        <f t="array" ref="N401">_xlfn.IFS(A401="Bad", "Review Required", AND(A401="Good",J401&gt;7000),"VIP Client", AND(A401="Good", J401&lt;=7000),"Standart Client")</f>
        <v>VIP Client</v>
      </c>
    </row>
    <row r="402" spans="1:14" x14ac:dyDescent="0.3">
      <c r="A402" t="s">
        <v>34</v>
      </c>
      <c r="B402" t="s">
        <v>78</v>
      </c>
      <c r="C402" t="s">
        <v>89</v>
      </c>
      <c r="D402" t="s">
        <v>78</v>
      </c>
      <c r="E402" t="s">
        <v>124</v>
      </c>
      <c r="F402" t="s">
        <v>125</v>
      </c>
      <c r="G402" t="s">
        <v>114</v>
      </c>
      <c r="H402" t="s">
        <v>120</v>
      </c>
      <c r="I402">
        <v>12</v>
      </c>
      <c r="J402" s="11">
        <v>1240</v>
      </c>
      <c r="K402">
        <v>38</v>
      </c>
      <c r="L402" t="str" cm="1">
        <f t="array" ref="L402">_xlfn.IFS(J402&gt;5000,"Hight",J402&gt;2000,"Medium",TRUE,"Low")</f>
        <v>Low</v>
      </c>
      <c r="M402" t="str" cm="1">
        <f t="array" ref="M402">_xlfn.IFS(I402&lt;12,"Low-Term",I402&gt;=36,"Long-Term",TRUE,"Medium-Term")</f>
        <v>Medium-Term</v>
      </c>
      <c r="N402" t="str" cm="1">
        <f t="array" ref="N402">_xlfn.IFS(A402="Bad", "Review Required", AND(A402="Good",J402&gt;7000),"VIP Client", AND(A402="Good", J402&lt;=7000),"Standart Client")</f>
        <v>Standart Client</v>
      </c>
    </row>
    <row r="403" spans="1:14" x14ac:dyDescent="0.3">
      <c r="A403" t="s">
        <v>34</v>
      </c>
      <c r="B403" t="s">
        <v>78</v>
      </c>
      <c r="C403" t="s">
        <v>87</v>
      </c>
      <c r="D403" t="s">
        <v>102</v>
      </c>
      <c r="E403" t="s">
        <v>122</v>
      </c>
      <c r="F403" t="s">
        <v>123</v>
      </c>
      <c r="G403" t="s">
        <v>114</v>
      </c>
      <c r="H403" t="s">
        <v>120</v>
      </c>
      <c r="I403">
        <v>27</v>
      </c>
      <c r="J403" s="11">
        <v>8613</v>
      </c>
      <c r="K403">
        <v>27</v>
      </c>
      <c r="L403" t="str" cm="1">
        <f t="array" ref="L403">_xlfn.IFS(J403&gt;5000,"Hight",J403&gt;2000,"Medium",TRUE,"Low")</f>
        <v>Hight</v>
      </c>
      <c r="M403" t="str" cm="1">
        <f t="array" ref="M403">_xlfn.IFS(I403&lt;12,"Low-Term",I403&gt;=36,"Long-Term",TRUE,"Medium-Term")</f>
        <v>Medium-Term</v>
      </c>
      <c r="N403" t="str" cm="1">
        <f t="array" ref="N403">_xlfn.IFS(A403="Bad", "Review Required", AND(A403="Good",J403&gt;7000),"VIP Client", AND(A403="Good", J403&lt;=7000),"Standart Client")</f>
        <v>VIP Client</v>
      </c>
    </row>
    <row r="404" spans="1:14" x14ac:dyDescent="0.3">
      <c r="A404" t="s">
        <v>34</v>
      </c>
      <c r="B404" t="s">
        <v>77</v>
      </c>
      <c r="C404" t="s">
        <v>89</v>
      </c>
      <c r="D404" t="s">
        <v>78</v>
      </c>
      <c r="E404" t="s">
        <v>122</v>
      </c>
      <c r="F404" t="s">
        <v>123</v>
      </c>
      <c r="G404" t="s">
        <v>114</v>
      </c>
      <c r="H404" t="s">
        <v>120</v>
      </c>
      <c r="I404">
        <v>15</v>
      </c>
      <c r="J404" s="11">
        <v>2728</v>
      </c>
      <c r="K404">
        <v>35</v>
      </c>
      <c r="L404" t="str" cm="1">
        <f t="array" ref="L404">_xlfn.IFS(J404&gt;5000,"Hight",J404&gt;2000,"Medium",TRUE,"Low")</f>
        <v>Medium</v>
      </c>
      <c r="M404" t="str" cm="1">
        <f t="array" ref="M404">_xlfn.IFS(I404&lt;12,"Low-Term",I404&gt;=36,"Long-Term",TRUE,"Medium-Term")</f>
        <v>Medium-Term</v>
      </c>
      <c r="N404" t="str" cm="1">
        <f t="array" ref="N404">_xlfn.IFS(A404="Bad", "Review Required", AND(A404="Good",J404&gt;7000),"VIP Client", AND(A404="Good", J404&lt;=7000),"Standart Client")</f>
        <v>Standart Client</v>
      </c>
    </row>
    <row r="405" spans="1:14" x14ac:dyDescent="0.3">
      <c r="A405" t="s">
        <v>34</v>
      </c>
      <c r="B405" t="s">
        <v>81</v>
      </c>
      <c r="C405" t="s">
        <v>89</v>
      </c>
      <c r="D405" t="s">
        <v>99</v>
      </c>
      <c r="E405" t="s">
        <v>124</v>
      </c>
      <c r="F405" t="s">
        <v>125</v>
      </c>
      <c r="G405" t="s">
        <v>113</v>
      </c>
      <c r="H405" t="s">
        <v>119</v>
      </c>
      <c r="I405">
        <v>12</v>
      </c>
      <c r="J405" s="11">
        <v>1881</v>
      </c>
      <c r="K405">
        <v>44</v>
      </c>
      <c r="L405" t="str" cm="1">
        <f t="array" ref="L405">_xlfn.IFS(J405&gt;5000,"Hight",J405&gt;2000,"Medium",TRUE,"Low")</f>
        <v>Low</v>
      </c>
      <c r="M405" t="str" cm="1">
        <f t="array" ref="M405">_xlfn.IFS(I405&lt;12,"Low-Term",I405&gt;=36,"Long-Term",TRUE,"Medium-Term")</f>
        <v>Medium-Term</v>
      </c>
      <c r="N405" t="str" cm="1">
        <f t="array" ref="N405">_xlfn.IFS(A405="Bad", "Review Required", AND(A405="Good",J405&gt;7000),"VIP Client", AND(A405="Good", J405&lt;=7000),"Standart Client")</f>
        <v>Standart Client</v>
      </c>
    </row>
    <row r="406" spans="1:14" x14ac:dyDescent="0.3">
      <c r="A406" t="s">
        <v>34</v>
      </c>
      <c r="B406" t="s">
        <v>81</v>
      </c>
      <c r="C406" t="s">
        <v>86</v>
      </c>
      <c r="D406" t="s">
        <v>102</v>
      </c>
      <c r="E406" t="s">
        <v>122</v>
      </c>
      <c r="F406" t="s">
        <v>127</v>
      </c>
      <c r="G406" t="s">
        <v>112</v>
      </c>
      <c r="H406" t="s">
        <v>120</v>
      </c>
      <c r="I406">
        <v>6</v>
      </c>
      <c r="J406" s="11">
        <v>709</v>
      </c>
      <c r="K406">
        <v>27</v>
      </c>
      <c r="L406" t="str" cm="1">
        <f t="array" ref="L406">_xlfn.IFS(J406&gt;5000,"Hight",J406&gt;2000,"Medium",TRUE,"Low")</f>
        <v>Low</v>
      </c>
      <c r="M406" t="str" cm="1">
        <f t="array" ref="M406">_xlfn.IFS(I406&lt;12,"Low-Term",I406&gt;=36,"Long-Term",TRUE,"Medium-Term")</f>
        <v>Low-Term</v>
      </c>
      <c r="N406" t="str" cm="1">
        <f t="array" ref="N406">_xlfn.IFS(A406="Bad", "Review Required", AND(A406="Good",J406&gt;7000),"VIP Client", AND(A406="Good", J406&lt;=7000),"Standart Client")</f>
        <v>Standart Client</v>
      </c>
    </row>
    <row r="407" spans="1:14" x14ac:dyDescent="0.3">
      <c r="A407" t="s">
        <v>34</v>
      </c>
      <c r="B407" t="s">
        <v>77</v>
      </c>
      <c r="C407" t="s">
        <v>89</v>
      </c>
      <c r="D407" t="s">
        <v>99</v>
      </c>
      <c r="E407" t="s">
        <v>124</v>
      </c>
      <c r="F407" t="s">
        <v>125</v>
      </c>
      <c r="G407" t="s">
        <v>115</v>
      </c>
      <c r="H407" t="s">
        <v>120</v>
      </c>
      <c r="I407">
        <v>36</v>
      </c>
      <c r="J407" s="11">
        <v>4795</v>
      </c>
      <c r="K407">
        <v>30</v>
      </c>
      <c r="L407" t="str" cm="1">
        <f t="array" ref="L407">_xlfn.IFS(J407&gt;5000,"Hight",J407&gt;2000,"Medium",TRUE,"Low")</f>
        <v>Medium</v>
      </c>
      <c r="M407" t="str" cm="1">
        <f t="array" ref="M407">_xlfn.IFS(I407&lt;12,"Low-Term",I407&gt;=36,"Long-Term",TRUE,"Medium-Term")</f>
        <v>Long-Term</v>
      </c>
      <c r="N407" t="str" cm="1">
        <f t="array" ref="N407">_xlfn.IFS(A407="Bad", "Review Required", AND(A407="Good",J407&gt;7000),"VIP Client", AND(A407="Good", J407&lt;=7000),"Standart Client")</f>
        <v>Standart Client</v>
      </c>
    </row>
    <row r="408" spans="1:14" x14ac:dyDescent="0.3">
      <c r="A408" t="s">
        <v>34</v>
      </c>
      <c r="B408" t="s">
        <v>80</v>
      </c>
      <c r="C408" t="s">
        <v>89</v>
      </c>
      <c r="D408" t="s">
        <v>99</v>
      </c>
      <c r="E408" t="s">
        <v>122</v>
      </c>
      <c r="F408" t="s">
        <v>123</v>
      </c>
      <c r="G408" t="s">
        <v>115</v>
      </c>
      <c r="H408" t="s">
        <v>120</v>
      </c>
      <c r="I408">
        <v>27</v>
      </c>
      <c r="J408" s="11">
        <v>3416</v>
      </c>
      <c r="K408">
        <v>27</v>
      </c>
      <c r="L408" t="str" cm="1">
        <f t="array" ref="L408">_xlfn.IFS(J408&gt;5000,"Hight",J408&gt;2000,"Medium",TRUE,"Low")</f>
        <v>Medium</v>
      </c>
      <c r="M408" t="str" cm="1">
        <f t="array" ref="M408">_xlfn.IFS(I408&lt;12,"Low-Term",I408&gt;=36,"Long-Term",TRUE,"Medium-Term")</f>
        <v>Medium-Term</v>
      </c>
      <c r="N408" t="str" cm="1">
        <f t="array" ref="N408">_xlfn.IFS(A408="Bad", "Review Required", AND(A408="Good",J408&gt;7000),"VIP Client", AND(A408="Good", J408&lt;=7000),"Standart Client")</f>
        <v>Standart Client</v>
      </c>
    </row>
    <row r="409" spans="1:14" x14ac:dyDescent="0.3">
      <c r="A409" t="s">
        <v>34</v>
      </c>
      <c r="B409" t="s">
        <v>78</v>
      </c>
      <c r="C409" t="s">
        <v>88</v>
      </c>
      <c r="D409" t="s">
        <v>99</v>
      </c>
      <c r="E409" t="s">
        <v>124</v>
      </c>
      <c r="F409" t="s">
        <v>125</v>
      </c>
      <c r="G409" t="s">
        <v>114</v>
      </c>
      <c r="H409" t="s">
        <v>120</v>
      </c>
      <c r="I409">
        <v>21</v>
      </c>
      <c r="J409" s="11">
        <v>2288</v>
      </c>
      <c r="K409">
        <v>23</v>
      </c>
      <c r="L409" t="str" cm="1">
        <f t="array" ref="L409">_xlfn.IFS(J409&gt;5000,"Hight",J409&gt;2000,"Medium",TRUE,"Low")</f>
        <v>Medium</v>
      </c>
      <c r="M409" t="str" cm="1">
        <f t="array" ref="M409">_xlfn.IFS(I409&lt;12,"Low-Term",I409&gt;=36,"Long-Term",TRUE,"Medium-Term")</f>
        <v>Medium-Term</v>
      </c>
      <c r="N409" t="str" cm="1">
        <f t="array" ref="N409">_xlfn.IFS(A409="Bad", "Review Required", AND(A409="Good",J409&gt;7000),"VIP Client", AND(A409="Good", J409&lt;=7000),"Standart Client")</f>
        <v>Standart Client</v>
      </c>
    </row>
    <row r="410" spans="1:14" x14ac:dyDescent="0.3">
      <c r="A410" t="s">
        <v>34</v>
      </c>
      <c r="B410" t="s">
        <v>77</v>
      </c>
      <c r="C410" t="s">
        <v>94</v>
      </c>
      <c r="D410" t="s">
        <v>100</v>
      </c>
      <c r="E410" t="s">
        <v>122</v>
      </c>
      <c r="F410" t="s">
        <v>123</v>
      </c>
      <c r="G410" t="s">
        <v>114</v>
      </c>
      <c r="H410" t="s">
        <v>120</v>
      </c>
      <c r="I410">
        <v>48</v>
      </c>
      <c r="J410" s="11">
        <v>3566</v>
      </c>
      <c r="K410">
        <v>30</v>
      </c>
      <c r="L410" t="str" cm="1">
        <f t="array" ref="L410">_xlfn.IFS(J410&gt;5000,"Hight",J410&gt;2000,"Medium",TRUE,"Low")</f>
        <v>Medium</v>
      </c>
      <c r="M410" t="str" cm="1">
        <f t="array" ref="M410">_xlfn.IFS(I410&lt;12,"Low-Term",I410&gt;=36,"Long-Term",TRUE,"Medium-Term")</f>
        <v>Long-Term</v>
      </c>
      <c r="N410" t="str" cm="1">
        <f t="array" ref="N410">_xlfn.IFS(A410="Bad", "Review Required", AND(A410="Good",J410&gt;7000),"VIP Client", AND(A410="Good", J410&lt;=7000),"Standart Client")</f>
        <v>Standart Client</v>
      </c>
    </row>
    <row r="411" spans="1:14" x14ac:dyDescent="0.3">
      <c r="A411" t="s">
        <v>34</v>
      </c>
      <c r="B411" t="s">
        <v>80</v>
      </c>
      <c r="C411" t="s">
        <v>86</v>
      </c>
      <c r="D411" t="s">
        <v>99</v>
      </c>
      <c r="E411" t="s">
        <v>124</v>
      </c>
      <c r="F411" t="s">
        <v>125</v>
      </c>
      <c r="G411" t="s">
        <v>114</v>
      </c>
      <c r="H411" t="s">
        <v>120</v>
      </c>
      <c r="I411">
        <v>6</v>
      </c>
      <c r="J411" s="11">
        <v>860</v>
      </c>
      <c r="K411">
        <v>39</v>
      </c>
      <c r="L411" t="str" cm="1">
        <f t="array" ref="L411">_xlfn.IFS(J411&gt;5000,"Hight",J411&gt;2000,"Medium",TRUE,"Low")</f>
        <v>Low</v>
      </c>
      <c r="M411" t="str" cm="1">
        <f t="array" ref="M411">_xlfn.IFS(I411&lt;12,"Low-Term",I411&gt;=36,"Long-Term",TRUE,"Medium-Term")</f>
        <v>Low-Term</v>
      </c>
      <c r="N411" t="str" cm="1">
        <f t="array" ref="N411">_xlfn.IFS(A411="Bad", "Review Required", AND(A411="Good",J411&gt;7000),"VIP Client", AND(A411="Good", J411&lt;=7000),"Standart Client")</f>
        <v>Standart Client</v>
      </c>
    </row>
    <row r="412" spans="1:14" x14ac:dyDescent="0.3">
      <c r="A412" t="s">
        <v>34</v>
      </c>
      <c r="B412" t="s">
        <v>78</v>
      </c>
      <c r="C412" t="s">
        <v>86</v>
      </c>
      <c r="D412" t="s">
        <v>100</v>
      </c>
      <c r="E412" t="s">
        <v>124</v>
      </c>
      <c r="F412" t="s">
        <v>125</v>
      </c>
      <c r="G412" t="s">
        <v>114</v>
      </c>
      <c r="H412" t="s">
        <v>120</v>
      </c>
      <c r="I412">
        <v>12</v>
      </c>
      <c r="J412" s="11">
        <v>682</v>
      </c>
      <c r="K412">
        <v>51</v>
      </c>
      <c r="L412" t="str" cm="1">
        <f t="array" ref="L412">_xlfn.IFS(J412&gt;5000,"Hight",J412&gt;2000,"Medium",TRUE,"Low")</f>
        <v>Low</v>
      </c>
      <c r="M412" t="str" cm="1">
        <f t="array" ref="M412">_xlfn.IFS(I412&lt;12,"Low-Term",I412&gt;=36,"Long-Term",TRUE,"Medium-Term")</f>
        <v>Medium-Term</v>
      </c>
      <c r="N412" t="str" cm="1">
        <f t="array" ref="N412">_xlfn.IFS(A412="Bad", "Review Required", AND(A412="Good",J412&gt;7000),"VIP Client", AND(A412="Good", J412&lt;=7000),"Standart Client")</f>
        <v>Standart Client</v>
      </c>
    </row>
    <row r="413" spans="1:14" x14ac:dyDescent="0.3">
      <c r="A413" t="s">
        <v>34</v>
      </c>
      <c r="B413" t="s">
        <v>80</v>
      </c>
      <c r="C413" t="s">
        <v>88</v>
      </c>
      <c r="D413" t="s">
        <v>99</v>
      </c>
      <c r="E413" t="s">
        <v>122</v>
      </c>
      <c r="F413" t="s">
        <v>123</v>
      </c>
      <c r="G413" t="s">
        <v>114</v>
      </c>
      <c r="H413" t="s">
        <v>120</v>
      </c>
      <c r="I413">
        <v>36</v>
      </c>
      <c r="J413" s="11">
        <v>5371</v>
      </c>
      <c r="K413">
        <v>28</v>
      </c>
      <c r="L413" t="str" cm="1">
        <f t="array" ref="L413">_xlfn.IFS(J413&gt;5000,"Hight",J413&gt;2000,"Medium",TRUE,"Low")</f>
        <v>Hight</v>
      </c>
      <c r="M413" t="str" cm="1">
        <f t="array" ref="M413">_xlfn.IFS(I413&lt;12,"Low-Term",I413&gt;=36,"Long-Term",TRUE,"Medium-Term")</f>
        <v>Long-Term</v>
      </c>
      <c r="N413" t="str" cm="1">
        <f t="array" ref="N413">_xlfn.IFS(A413="Bad", "Review Required", AND(A413="Good",J413&gt;7000),"VIP Client", AND(A413="Good", J413&lt;=7000),"Standart Client")</f>
        <v>Standart Client</v>
      </c>
    </row>
    <row r="414" spans="1:14" x14ac:dyDescent="0.3">
      <c r="A414" t="s">
        <v>34</v>
      </c>
      <c r="B414" t="s">
        <v>78</v>
      </c>
      <c r="C414" t="s">
        <v>89</v>
      </c>
      <c r="D414" t="s">
        <v>102</v>
      </c>
      <c r="E414" t="s">
        <v>122</v>
      </c>
      <c r="F414" t="s">
        <v>123</v>
      </c>
      <c r="G414" t="s">
        <v>114</v>
      </c>
      <c r="H414" t="s">
        <v>120</v>
      </c>
      <c r="I414">
        <v>18</v>
      </c>
      <c r="J414" s="11">
        <v>1582</v>
      </c>
      <c r="K414">
        <v>46</v>
      </c>
      <c r="L414" t="str" cm="1">
        <f t="array" ref="L414">_xlfn.IFS(J414&gt;5000,"Hight",J414&gt;2000,"Medium",TRUE,"Low")</f>
        <v>Low</v>
      </c>
      <c r="M414" t="str" cm="1">
        <f t="array" ref="M414">_xlfn.IFS(I414&lt;12,"Low-Term",I414&gt;=36,"Long-Term",TRUE,"Medium-Term")</f>
        <v>Medium-Term</v>
      </c>
      <c r="N414" t="str" cm="1">
        <f t="array" ref="N414">_xlfn.IFS(A414="Bad", "Review Required", AND(A414="Good",J414&gt;7000),"VIP Client", AND(A414="Good", J414&lt;=7000),"Standart Client")</f>
        <v>Standart Client</v>
      </c>
    </row>
    <row r="415" spans="1:14" x14ac:dyDescent="0.3">
      <c r="A415" t="s">
        <v>34</v>
      </c>
      <c r="B415" t="s">
        <v>78</v>
      </c>
      <c r="C415" t="s">
        <v>89</v>
      </c>
      <c r="D415" t="s">
        <v>100</v>
      </c>
      <c r="E415" t="s">
        <v>122</v>
      </c>
      <c r="F415" t="s">
        <v>123</v>
      </c>
      <c r="G415" t="s">
        <v>114</v>
      </c>
      <c r="H415" t="s">
        <v>121</v>
      </c>
      <c r="I415">
        <v>6</v>
      </c>
      <c r="J415" s="11">
        <v>1346</v>
      </c>
      <c r="K415">
        <v>42</v>
      </c>
      <c r="L415" t="str" cm="1">
        <f t="array" ref="L415">_xlfn.IFS(J415&gt;5000,"Hight",J415&gt;2000,"Medium",TRUE,"Low")</f>
        <v>Low</v>
      </c>
      <c r="M415" t="str" cm="1">
        <f t="array" ref="M415">_xlfn.IFS(I415&lt;12,"Low-Term",I415&gt;=36,"Long-Term",TRUE,"Medium-Term")</f>
        <v>Low-Term</v>
      </c>
      <c r="N415" t="str" cm="1">
        <f t="array" ref="N415">_xlfn.IFS(A415="Bad", "Review Required", AND(A415="Good",J415&gt;7000),"VIP Client", AND(A415="Good", J415&lt;=7000),"Standart Client")</f>
        <v>Standart Client</v>
      </c>
    </row>
    <row r="416" spans="1:14" x14ac:dyDescent="0.3">
      <c r="A416" t="s">
        <v>34</v>
      </c>
      <c r="B416" t="s">
        <v>78</v>
      </c>
      <c r="C416" t="s">
        <v>89</v>
      </c>
      <c r="D416" t="s">
        <v>99</v>
      </c>
      <c r="E416" t="s">
        <v>122</v>
      </c>
      <c r="F416" t="s">
        <v>123</v>
      </c>
      <c r="G416" t="s">
        <v>114</v>
      </c>
      <c r="H416" t="s">
        <v>120</v>
      </c>
      <c r="I416">
        <v>10</v>
      </c>
      <c r="J416" s="11">
        <v>1924</v>
      </c>
      <c r="K416">
        <v>38</v>
      </c>
      <c r="L416" t="str" cm="1">
        <f t="array" ref="L416">_xlfn.IFS(J416&gt;5000,"Hight",J416&gt;2000,"Medium",TRUE,"Low")</f>
        <v>Low</v>
      </c>
      <c r="M416" t="str" cm="1">
        <f t="array" ref="M416">_xlfn.IFS(I416&lt;12,"Low-Term",I416&gt;=36,"Long-Term",TRUE,"Medium-Term")</f>
        <v>Low-Term</v>
      </c>
      <c r="N416" t="str" cm="1">
        <f t="array" ref="N416">_xlfn.IFS(A416="Bad", "Review Required", AND(A416="Good",J416&gt;7000),"VIP Client", AND(A416="Good", J416&lt;=7000),"Standart Client")</f>
        <v>Standart Client</v>
      </c>
    </row>
    <row r="417" spans="1:14" x14ac:dyDescent="0.3">
      <c r="A417" t="s">
        <v>34</v>
      </c>
      <c r="B417" t="s">
        <v>81</v>
      </c>
      <c r="C417" t="s">
        <v>89</v>
      </c>
      <c r="D417" t="s">
        <v>99</v>
      </c>
      <c r="E417" t="s">
        <v>122</v>
      </c>
      <c r="F417" t="s">
        <v>123</v>
      </c>
      <c r="G417" t="s">
        <v>114</v>
      </c>
      <c r="H417" t="s">
        <v>120</v>
      </c>
      <c r="I417">
        <v>36</v>
      </c>
      <c r="J417" s="11">
        <v>5848</v>
      </c>
      <c r="K417">
        <v>24</v>
      </c>
      <c r="L417" t="str" cm="1">
        <f t="array" ref="L417">_xlfn.IFS(J417&gt;5000,"Hight",J417&gt;2000,"Medium",TRUE,"Low")</f>
        <v>Hight</v>
      </c>
      <c r="M417" t="str" cm="1">
        <f t="array" ref="M417">_xlfn.IFS(I417&lt;12,"Low-Term",I417&gt;=36,"Long-Term",TRUE,"Medium-Term")</f>
        <v>Long-Term</v>
      </c>
      <c r="N417" t="str" cm="1">
        <f t="array" ref="N417">_xlfn.IFS(A417="Bad", "Review Required", AND(A417="Good",J417&gt;7000),"VIP Client", AND(A417="Good", J417&lt;=7000),"Standart Client")</f>
        <v>Standart Client</v>
      </c>
    </row>
    <row r="418" spans="1:14" x14ac:dyDescent="0.3">
      <c r="A418" t="s">
        <v>34</v>
      </c>
      <c r="B418" t="s">
        <v>77</v>
      </c>
      <c r="C418" t="s">
        <v>87</v>
      </c>
      <c r="D418" t="s">
        <v>102</v>
      </c>
      <c r="E418" t="s">
        <v>124</v>
      </c>
      <c r="F418" t="s">
        <v>125</v>
      </c>
      <c r="G418" t="s">
        <v>114</v>
      </c>
      <c r="H418" t="s">
        <v>119</v>
      </c>
      <c r="I418">
        <v>24</v>
      </c>
      <c r="J418" s="11">
        <v>7758</v>
      </c>
      <c r="K418">
        <v>29</v>
      </c>
      <c r="L418" t="str" cm="1">
        <f t="array" ref="L418">_xlfn.IFS(J418&gt;5000,"Hight",J418&gt;2000,"Medium",TRUE,"Low")</f>
        <v>Hight</v>
      </c>
      <c r="M418" t="str" cm="1">
        <f t="array" ref="M418">_xlfn.IFS(I418&lt;12,"Low-Term",I418&gt;=36,"Long-Term",TRUE,"Medium-Term")</f>
        <v>Medium-Term</v>
      </c>
      <c r="N418" t="str" cm="1">
        <f t="array" ref="N418">_xlfn.IFS(A418="Bad", "Review Required", AND(A418="Good",J418&gt;7000),"VIP Client", AND(A418="Good", J418&lt;=7000),"Standart Client")</f>
        <v>VIP Client</v>
      </c>
    </row>
    <row r="419" spans="1:14" x14ac:dyDescent="0.3">
      <c r="A419" t="s">
        <v>34</v>
      </c>
      <c r="B419" t="s">
        <v>77</v>
      </c>
      <c r="C419" t="s">
        <v>94</v>
      </c>
      <c r="D419" t="s">
        <v>100</v>
      </c>
      <c r="E419" t="s">
        <v>122</v>
      </c>
      <c r="F419" t="s">
        <v>123</v>
      </c>
      <c r="G419" t="s">
        <v>115</v>
      </c>
      <c r="H419" t="s">
        <v>119</v>
      </c>
      <c r="I419">
        <v>24</v>
      </c>
      <c r="J419" s="11">
        <v>6967</v>
      </c>
      <c r="K419">
        <v>36</v>
      </c>
      <c r="L419" t="str" cm="1">
        <f t="array" ref="L419">_xlfn.IFS(J419&gt;5000,"Hight",J419&gt;2000,"Medium",TRUE,"Low")</f>
        <v>Hight</v>
      </c>
      <c r="M419" t="str" cm="1">
        <f t="array" ref="M419">_xlfn.IFS(I419&lt;12,"Low-Term",I419&gt;=36,"Long-Term",TRUE,"Medium-Term")</f>
        <v>Medium-Term</v>
      </c>
      <c r="N419" t="str" cm="1">
        <f t="array" ref="N419">_xlfn.IFS(A419="Bad", "Review Required", AND(A419="Good",J419&gt;7000),"VIP Client", AND(A419="Good", J419&lt;=7000),"Standart Client")</f>
        <v>Standart Client</v>
      </c>
    </row>
    <row r="420" spans="1:14" x14ac:dyDescent="0.3">
      <c r="A420" t="s">
        <v>34</v>
      </c>
      <c r="B420" t="s">
        <v>80</v>
      </c>
      <c r="C420" t="s">
        <v>91</v>
      </c>
      <c r="D420" t="s">
        <v>100</v>
      </c>
      <c r="E420" t="s">
        <v>122</v>
      </c>
      <c r="F420" t="s">
        <v>123</v>
      </c>
      <c r="G420" t="s">
        <v>114</v>
      </c>
      <c r="H420" t="s">
        <v>120</v>
      </c>
      <c r="I420">
        <v>9</v>
      </c>
      <c r="J420" s="11">
        <v>1288</v>
      </c>
      <c r="K420">
        <v>48</v>
      </c>
      <c r="L420" t="str" cm="1">
        <f t="array" ref="L420">_xlfn.IFS(J420&gt;5000,"Hight",J420&gt;2000,"Medium",TRUE,"Low")</f>
        <v>Low</v>
      </c>
      <c r="M420" t="str" cm="1">
        <f t="array" ref="M420">_xlfn.IFS(I420&lt;12,"Low-Term",I420&gt;=36,"Long-Term",TRUE,"Medium-Term")</f>
        <v>Low-Term</v>
      </c>
      <c r="N420" t="str" cm="1">
        <f t="array" ref="N420">_xlfn.IFS(A420="Bad", "Review Required", AND(A420="Good",J420&gt;7000),"VIP Client", AND(A420="Good", J420&lt;=7000),"Standart Client")</f>
        <v>Standart Client</v>
      </c>
    </row>
    <row r="421" spans="1:14" x14ac:dyDescent="0.3">
      <c r="A421" t="s">
        <v>34</v>
      </c>
      <c r="B421" t="s">
        <v>80</v>
      </c>
      <c r="C421" t="s">
        <v>93</v>
      </c>
      <c r="D421" t="s">
        <v>99</v>
      </c>
      <c r="E421" t="s">
        <v>122</v>
      </c>
      <c r="F421" t="s">
        <v>127</v>
      </c>
      <c r="G421" t="s">
        <v>113</v>
      </c>
      <c r="H421" t="s">
        <v>120</v>
      </c>
      <c r="I421">
        <v>12</v>
      </c>
      <c r="J421" s="11">
        <v>339</v>
      </c>
      <c r="K421">
        <v>45</v>
      </c>
      <c r="L421" t="str" cm="1">
        <f t="array" ref="L421">_xlfn.IFS(J421&gt;5000,"Hight",J421&gt;2000,"Medium",TRUE,"Low")</f>
        <v>Low</v>
      </c>
      <c r="M421" t="str" cm="1">
        <f t="array" ref="M421">_xlfn.IFS(I421&lt;12,"Low-Term",I421&gt;=36,"Long-Term",TRUE,"Medium-Term")</f>
        <v>Medium-Term</v>
      </c>
      <c r="N421" t="str" cm="1">
        <f t="array" ref="N421">_xlfn.IFS(A421="Bad", "Review Required", AND(A421="Good",J421&gt;7000),"VIP Client", AND(A421="Good", J421&lt;=7000),"Standart Client")</f>
        <v>Standart Client</v>
      </c>
    </row>
    <row r="422" spans="1:14" x14ac:dyDescent="0.3">
      <c r="A422" t="s">
        <v>34</v>
      </c>
      <c r="B422" t="s">
        <v>77</v>
      </c>
      <c r="C422" t="s">
        <v>86</v>
      </c>
      <c r="D422" t="s">
        <v>100</v>
      </c>
      <c r="E422" t="s">
        <v>122</v>
      </c>
      <c r="F422" t="s">
        <v>123</v>
      </c>
      <c r="G422" t="s">
        <v>114</v>
      </c>
      <c r="H422" t="s">
        <v>120</v>
      </c>
      <c r="I422">
        <v>24</v>
      </c>
      <c r="J422" s="11">
        <v>3512</v>
      </c>
      <c r="K422">
        <v>38</v>
      </c>
      <c r="L422" t="str" cm="1">
        <f t="array" ref="L422">_xlfn.IFS(J422&gt;5000,"Hight",J422&gt;2000,"Medium",TRUE,"Low")</f>
        <v>Medium</v>
      </c>
      <c r="M422" t="str" cm="1">
        <f t="array" ref="M422">_xlfn.IFS(I422&lt;12,"Low-Term",I422&gt;=36,"Long-Term",TRUE,"Medium-Term")</f>
        <v>Medium-Term</v>
      </c>
      <c r="N422" t="str" cm="1">
        <f t="array" ref="N422">_xlfn.IFS(A422="Bad", "Review Required", AND(A422="Good",J422&gt;7000),"VIP Client", AND(A422="Good", J422&lt;=7000),"Standart Client")</f>
        <v>Standart Client</v>
      </c>
    </row>
    <row r="423" spans="1:14" x14ac:dyDescent="0.3">
      <c r="A423" t="s">
        <v>34</v>
      </c>
      <c r="B423" t="s">
        <v>78</v>
      </c>
      <c r="C423" t="s">
        <v>89</v>
      </c>
      <c r="D423" t="s">
        <v>78</v>
      </c>
      <c r="E423" t="s">
        <v>122</v>
      </c>
      <c r="F423" t="s">
        <v>123</v>
      </c>
      <c r="G423" t="s">
        <v>113</v>
      </c>
      <c r="H423" t="s">
        <v>120</v>
      </c>
      <c r="I423">
        <v>6</v>
      </c>
      <c r="J423" s="11">
        <v>1898</v>
      </c>
      <c r="K423">
        <v>34</v>
      </c>
      <c r="L423" t="str" cm="1">
        <f t="array" ref="L423">_xlfn.IFS(J423&gt;5000,"Hight",J423&gt;2000,"Medium",TRUE,"Low")</f>
        <v>Low</v>
      </c>
      <c r="M423" t="str" cm="1">
        <f t="array" ref="M423">_xlfn.IFS(I423&lt;12,"Low-Term",I423&gt;=36,"Long-Term",TRUE,"Medium-Term")</f>
        <v>Low-Term</v>
      </c>
      <c r="N423" t="str" cm="1">
        <f t="array" ref="N423">_xlfn.IFS(A423="Bad", "Review Required", AND(A423="Good",J423&gt;7000),"VIP Client", AND(A423="Good", J423&lt;=7000),"Standart Client")</f>
        <v>Standart Client</v>
      </c>
    </row>
    <row r="424" spans="1:14" x14ac:dyDescent="0.3">
      <c r="A424" t="s">
        <v>34</v>
      </c>
      <c r="B424" t="s">
        <v>78</v>
      </c>
      <c r="C424" t="s">
        <v>89</v>
      </c>
      <c r="D424" t="s">
        <v>100</v>
      </c>
      <c r="E424" t="s">
        <v>122</v>
      </c>
      <c r="F424" t="s">
        <v>123</v>
      </c>
      <c r="G424" t="s">
        <v>114</v>
      </c>
      <c r="H424" t="s">
        <v>120</v>
      </c>
      <c r="I424">
        <v>24</v>
      </c>
      <c r="J424" s="11">
        <v>2872</v>
      </c>
      <c r="K424">
        <v>36</v>
      </c>
      <c r="L424" t="str" cm="1">
        <f t="array" ref="L424">_xlfn.IFS(J424&gt;5000,"Hight",J424&gt;2000,"Medium",TRUE,"Low")</f>
        <v>Medium</v>
      </c>
      <c r="M424" t="str" cm="1">
        <f t="array" ref="M424">_xlfn.IFS(I424&lt;12,"Low-Term",I424&gt;=36,"Long-Term",TRUE,"Medium-Term")</f>
        <v>Medium-Term</v>
      </c>
      <c r="N424" t="str" cm="1">
        <f t="array" ref="N424">_xlfn.IFS(A424="Bad", "Review Required", AND(A424="Good",J424&gt;7000),"VIP Client", AND(A424="Good", J424&lt;=7000),"Standart Client")</f>
        <v>Standart Client</v>
      </c>
    </row>
    <row r="425" spans="1:14" x14ac:dyDescent="0.3">
      <c r="A425" t="s">
        <v>34</v>
      </c>
      <c r="B425" t="s">
        <v>78</v>
      </c>
      <c r="C425" t="s">
        <v>86</v>
      </c>
      <c r="D425" t="s">
        <v>99</v>
      </c>
      <c r="E425" t="s">
        <v>124</v>
      </c>
      <c r="F425" t="s">
        <v>125</v>
      </c>
      <c r="G425" t="s">
        <v>114</v>
      </c>
      <c r="H425" t="s">
        <v>120</v>
      </c>
      <c r="I425">
        <v>18</v>
      </c>
      <c r="J425" s="11">
        <v>1055</v>
      </c>
      <c r="K425">
        <v>30</v>
      </c>
      <c r="L425" t="str" cm="1">
        <f t="array" ref="L425">_xlfn.IFS(J425&gt;5000,"Hight",J425&gt;2000,"Medium",TRUE,"Low")</f>
        <v>Low</v>
      </c>
      <c r="M425" t="str" cm="1">
        <f t="array" ref="M425">_xlfn.IFS(I425&lt;12,"Low-Term",I425&gt;=36,"Long-Term",TRUE,"Medium-Term")</f>
        <v>Medium-Term</v>
      </c>
      <c r="N425" t="str" cm="1">
        <f t="array" ref="N425">_xlfn.IFS(A425="Bad", "Review Required", AND(A425="Good",J425&gt;7000),"VIP Client", AND(A425="Good", J425&lt;=7000),"Standart Client")</f>
        <v>Standart Client</v>
      </c>
    </row>
    <row r="426" spans="1:14" x14ac:dyDescent="0.3">
      <c r="A426" t="s">
        <v>34</v>
      </c>
      <c r="B426" t="s">
        <v>78</v>
      </c>
      <c r="C426" t="s">
        <v>90</v>
      </c>
      <c r="D426" t="s">
        <v>101</v>
      </c>
      <c r="E426" t="s">
        <v>122</v>
      </c>
      <c r="F426" t="s">
        <v>123</v>
      </c>
      <c r="G426" t="s">
        <v>114</v>
      </c>
      <c r="H426" t="s">
        <v>120</v>
      </c>
      <c r="I426">
        <v>15</v>
      </c>
      <c r="J426" s="11">
        <v>1262</v>
      </c>
      <c r="K426">
        <v>36</v>
      </c>
      <c r="L426" t="str" cm="1">
        <f t="array" ref="L426">_xlfn.IFS(J426&gt;5000,"Hight",J426&gt;2000,"Medium",TRUE,"Low")</f>
        <v>Low</v>
      </c>
      <c r="M426" t="str" cm="1">
        <f t="array" ref="M426">_xlfn.IFS(I426&lt;12,"Low-Term",I426&gt;=36,"Long-Term",TRUE,"Medium-Term")</f>
        <v>Medium-Term</v>
      </c>
      <c r="N426" t="str" cm="1">
        <f t="array" ref="N426">_xlfn.IFS(A426="Bad", "Review Required", AND(A426="Good",J426&gt;7000),"VIP Client", AND(A426="Good", J426&lt;=7000),"Standart Client")</f>
        <v>Standart Client</v>
      </c>
    </row>
    <row r="427" spans="1:14" x14ac:dyDescent="0.3">
      <c r="A427" t="s">
        <v>34</v>
      </c>
      <c r="B427" t="s">
        <v>77</v>
      </c>
      <c r="C427" t="s">
        <v>86</v>
      </c>
      <c r="D427" t="s">
        <v>99</v>
      </c>
      <c r="E427" t="s">
        <v>122</v>
      </c>
      <c r="F427" t="s">
        <v>123</v>
      </c>
      <c r="G427" t="s">
        <v>115</v>
      </c>
      <c r="H427" t="s">
        <v>121</v>
      </c>
      <c r="I427">
        <v>10</v>
      </c>
      <c r="J427" s="11">
        <v>7308</v>
      </c>
      <c r="K427">
        <v>70</v>
      </c>
      <c r="L427" t="str" cm="1">
        <f t="array" ref="L427">_xlfn.IFS(J427&gt;5000,"Hight",J427&gt;2000,"Medium",TRUE,"Low")</f>
        <v>Hight</v>
      </c>
      <c r="M427" t="str" cm="1">
        <f t="array" ref="M427">_xlfn.IFS(I427&lt;12,"Low-Term",I427&gt;=36,"Long-Term",TRUE,"Medium-Term")</f>
        <v>Low-Term</v>
      </c>
      <c r="N427" t="str" cm="1">
        <f t="array" ref="N427">_xlfn.IFS(A427="Bad", "Review Required", AND(A427="Good",J427&gt;7000),"VIP Client", AND(A427="Good", J427&lt;=7000),"Standart Client")</f>
        <v>VIP Client</v>
      </c>
    </row>
    <row r="428" spans="1:14" x14ac:dyDescent="0.3">
      <c r="A428" t="s">
        <v>34</v>
      </c>
      <c r="B428" t="s">
        <v>78</v>
      </c>
      <c r="C428" t="s">
        <v>86</v>
      </c>
      <c r="D428" t="s">
        <v>101</v>
      </c>
      <c r="E428" t="s">
        <v>122</v>
      </c>
      <c r="F428" t="s">
        <v>123</v>
      </c>
      <c r="G428" t="s">
        <v>114</v>
      </c>
      <c r="H428" t="s">
        <v>120</v>
      </c>
      <c r="I428">
        <v>36</v>
      </c>
      <c r="J428" s="11">
        <v>909</v>
      </c>
      <c r="K428">
        <v>36</v>
      </c>
      <c r="L428" t="str" cm="1">
        <f t="array" ref="L428">_xlfn.IFS(J428&gt;5000,"Hight",J428&gt;2000,"Medium",TRUE,"Low")</f>
        <v>Low</v>
      </c>
      <c r="M428" t="str" cm="1">
        <f t="array" ref="M428">_xlfn.IFS(I428&lt;12,"Low-Term",I428&gt;=36,"Long-Term",TRUE,"Medium-Term")</f>
        <v>Long-Term</v>
      </c>
      <c r="N428" t="str" cm="1">
        <f t="array" ref="N428">_xlfn.IFS(A428="Bad", "Review Required", AND(A428="Good",J428&gt;7000),"VIP Client", AND(A428="Good", J428&lt;=7000),"Standart Client")</f>
        <v>Standart Client</v>
      </c>
    </row>
    <row r="429" spans="1:14" x14ac:dyDescent="0.3">
      <c r="A429" t="s">
        <v>34</v>
      </c>
      <c r="B429" t="s">
        <v>78</v>
      </c>
      <c r="C429" t="s">
        <v>88</v>
      </c>
      <c r="D429" t="s">
        <v>101</v>
      </c>
      <c r="E429" t="s">
        <v>122</v>
      </c>
      <c r="F429" t="s">
        <v>123</v>
      </c>
      <c r="G429" t="s">
        <v>114</v>
      </c>
      <c r="H429" t="s">
        <v>120</v>
      </c>
      <c r="I429">
        <v>6</v>
      </c>
      <c r="J429" s="11">
        <v>2978</v>
      </c>
      <c r="K429">
        <v>32</v>
      </c>
      <c r="L429" t="str" cm="1">
        <f t="array" ref="L429">_xlfn.IFS(J429&gt;5000,"Hight",J429&gt;2000,"Medium",TRUE,"Low")</f>
        <v>Medium</v>
      </c>
      <c r="M429" t="str" cm="1">
        <f t="array" ref="M429">_xlfn.IFS(I429&lt;12,"Low-Term",I429&gt;=36,"Long-Term",TRUE,"Medium-Term")</f>
        <v>Low-Term</v>
      </c>
      <c r="N429" t="str" cm="1">
        <f t="array" ref="N429">_xlfn.IFS(A429="Bad", "Review Required", AND(A429="Good",J429&gt;7000),"VIP Client", AND(A429="Good", J429&lt;=7000),"Standart Client")</f>
        <v>Standart Client</v>
      </c>
    </row>
    <row r="430" spans="1:14" x14ac:dyDescent="0.3">
      <c r="A430" t="s">
        <v>34</v>
      </c>
      <c r="B430" t="s">
        <v>77</v>
      </c>
      <c r="C430" t="s">
        <v>88</v>
      </c>
      <c r="D430" t="s">
        <v>102</v>
      </c>
      <c r="E430" t="s">
        <v>124</v>
      </c>
      <c r="F430" t="s">
        <v>125</v>
      </c>
      <c r="G430" t="s">
        <v>114</v>
      </c>
      <c r="H430" t="s">
        <v>120</v>
      </c>
      <c r="I430">
        <v>11</v>
      </c>
      <c r="J430" s="11">
        <v>1577</v>
      </c>
      <c r="K430">
        <v>20</v>
      </c>
      <c r="L430" t="str" cm="1">
        <f t="array" ref="L430">_xlfn.IFS(J430&gt;5000,"Hight",J430&gt;2000,"Medium",TRUE,"Low")</f>
        <v>Low</v>
      </c>
      <c r="M430" t="str" cm="1">
        <f t="array" ref="M430">_xlfn.IFS(I430&lt;12,"Low-Term",I430&gt;=36,"Long-Term",TRUE,"Medium-Term")</f>
        <v>Low-Term</v>
      </c>
      <c r="N430" t="str" cm="1">
        <f t="array" ref="N430">_xlfn.IFS(A430="Bad", "Review Required", AND(A430="Good",J430&gt;7000),"VIP Client", AND(A430="Good", J430&lt;=7000),"Standart Client")</f>
        <v>Standart Client</v>
      </c>
    </row>
    <row r="431" spans="1:14" x14ac:dyDescent="0.3">
      <c r="A431" t="s">
        <v>34</v>
      </c>
      <c r="B431" t="s">
        <v>78</v>
      </c>
      <c r="C431" t="s">
        <v>88</v>
      </c>
      <c r="D431" t="s">
        <v>99</v>
      </c>
      <c r="E431" t="s">
        <v>124</v>
      </c>
      <c r="F431" t="s">
        <v>125</v>
      </c>
      <c r="G431" t="s">
        <v>114</v>
      </c>
      <c r="H431" t="s">
        <v>119</v>
      </c>
      <c r="I431">
        <v>24</v>
      </c>
      <c r="J431" s="11">
        <v>3972</v>
      </c>
      <c r="K431">
        <v>25</v>
      </c>
      <c r="L431" t="str" cm="1">
        <f t="array" ref="L431">_xlfn.IFS(J431&gt;5000,"Hight",J431&gt;2000,"Medium",TRUE,"Low")</f>
        <v>Medium</v>
      </c>
      <c r="M431" t="str" cm="1">
        <f t="array" ref="M431">_xlfn.IFS(I431&lt;12,"Low-Term",I431&gt;=36,"Long-Term",TRUE,"Medium-Term")</f>
        <v>Medium-Term</v>
      </c>
      <c r="N431" t="str" cm="1">
        <f t="array" ref="N431">_xlfn.IFS(A431="Bad", "Review Required", AND(A431="Good",J431&gt;7000),"VIP Client", AND(A431="Good", J431&lt;=7000),"Standart Client")</f>
        <v>Standart Client</v>
      </c>
    </row>
    <row r="432" spans="1:14" x14ac:dyDescent="0.3">
      <c r="A432" t="s">
        <v>34</v>
      </c>
      <c r="B432" t="s">
        <v>78</v>
      </c>
      <c r="C432" t="s">
        <v>88</v>
      </c>
      <c r="D432" t="s">
        <v>99</v>
      </c>
      <c r="E432" t="s">
        <v>124</v>
      </c>
      <c r="F432" t="s">
        <v>125</v>
      </c>
      <c r="G432" t="s">
        <v>114</v>
      </c>
      <c r="H432" t="s">
        <v>120</v>
      </c>
      <c r="I432">
        <v>12</v>
      </c>
      <c r="J432" s="11">
        <v>763</v>
      </c>
      <c r="K432">
        <v>26</v>
      </c>
      <c r="L432" t="str" cm="1">
        <f t="array" ref="L432">_xlfn.IFS(J432&gt;5000,"Hight",J432&gt;2000,"Medium",TRUE,"Low")</f>
        <v>Low</v>
      </c>
      <c r="M432" t="str" cm="1">
        <f t="array" ref="M432">_xlfn.IFS(I432&lt;12,"Low-Term",I432&gt;=36,"Long-Term",TRUE,"Medium-Term")</f>
        <v>Medium-Term</v>
      </c>
      <c r="N432" t="str" cm="1">
        <f t="array" ref="N432">_xlfn.IFS(A432="Bad", "Review Required", AND(A432="Good",J432&gt;7000),"VIP Client", AND(A432="Good", J432&lt;=7000),"Standart Client")</f>
        <v>Standart Client</v>
      </c>
    </row>
    <row r="433" spans="1:14" x14ac:dyDescent="0.3">
      <c r="A433" t="s">
        <v>34</v>
      </c>
      <c r="B433" t="s">
        <v>77</v>
      </c>
      <c r="C433" t="s">
        <v>89</v>
      </c>
      <c r="D433" t="s">
        <v>99</v>
      </c>
      <c r="E433" t="s">
        <v>122</v>
      </c>
      <c r="F433" t="s">
        <v>123</v>
      </c>
      <c r="G433" t="s">
        <v>114</v>
      </c>
      <c r="H433" t="s">
        <v>120</v>
      </c>
      <c r="I433">
        <v>8</v>
      </c>
      <c r="J433" s="11">
        <v>1414</v>
      </c>
      <c r="K433">
        <v>33</v>
      </c>
      <c r="L433" t="str" cm="1">
        <f t="array" ref="L433">_xlfn.IFS(J433&gt;5000,"Hight",J433&gt;2000,"Medium",TRUE,"Low")</f>
        <v>Low</v>
      </c>
      <c r="M433" t="str" cm="1">
        <f t="array" ref="M433">_xlfn.IFS(I433&lt;12,"Low-Term",I433&gt;=36,"Long-Term",TRUE,"Medium-Term")</f>
        <v>Low-Term</v>
      </c>
      <c r="N433" t="str" cm="1">
        <f t="array" ref="N433">_xlfn.IFS(A433="Bad", "Review Required", AND(A433="Good",J433&gt;7000),"VIP Client", AND(A433="Good", J433&lt;=7000),"Standart Client")</f>
        <v>Standart Client</v>
      </c>
    </row>
    <row r="434" spans="1:14" x14ac:dyDescent="0.3">
      <c r="A434" t="s">
        <v>34</v>
      </c>
      <c r="B434" t="s">
        <v>80</v>
      </c>
      <c r="C434" t="s">
        <v>88</v>
      </c>
      <c r="D434" t="s">
        <v>99</v>
      </c>
      <c r="E434" t="s">
        <v>122</v>
      </c>
      <c r="F434" t="s">
        <v>126</v>
      </c>
      <c r="G434" t="s">
        <v>114</v>
      </c>
      <c r="H434" t="s">
        <v>120</v>
      </c>
      <c r="I434">
        <v>12</v>
      </c>
      <c r="J434" s="11">
        <v>2577</v>
      </c>
      <c r="K434">
        <v>42</v>
      </c>
      <c r="L434" t="str" cm="1">
        <f t="array" ref="L434">_xlfn.IFS(J434&gt;5000,"Hight",J434&gt;2000,"Medium",TRUE,"Low")</f>
        <v>Medium</v>
      </c>
      <c r="M434" t="str" cm="1">
        <f t="array" ref="M434">_xlfn.IFS(I434&lt;12,"Low-Term",I434&gt;=36,"Long-Term",TRUE,"Medium-Term")</f>
        <v>Medium-Term</v>
      </c>
      <c r="N434" t="str" cm="1">
        <f t="array" ref="N434">_xlfn.IFS(A434="Bad", "Review Required", AND(A434="Good",J434&gt;7000),"VIP Client", AND(A434="Good", J434&lt;=7000),"Standart Client")</f>
        <v>Standart Client</v>
      </c>
    </row>
    <row r="435" spans="1:14" x14ac:dyDescent="0.3">
      <c r="A435" t="s">
        <v>34</v>
      </c>
      <c r="B435" t="s">
        <v>80</v>
      </c>
      <c r="C435" t="s">
        <v>89</v>
      </c>
      <c r="D435" t="s">
        <v>101</v>
      </c>
      <c r="E435" t="s">
        <v>122</v>
      </c>
      <c r="F435" t="s">
        <v>123</v>
      </c>
      <c r="G435" t="s">
        <v>114</v>
      </c>
      <c r="H435" t="s">
        <v>120</v>
      </c>
      <c r="I435">
        <v>6</v>
      </c>
      <c r="J435" s="11">
        <v>338</v>
      </c>
      <c r="K435">
        <v>52</v>
      </c>
      <c r="L435" t="str" cm="1">
        <f t="array" ref="L435">_xlfn.IFS(J435&gt;5000,"Hight",J435&gt;2000,"Medium",TRUE,"Low")</f>
        <v>Low</v>
      </c>
      <c r="M435" t="str" cm="1">
        <f t="array" ref="M435">_xlfn.IFS(I435&lt;12,"Low-Term",I435&gt;=36,"Long-Term",TRUE,"Medium-Term")</f>
        <v>Low-Term</v>
      </c>
      <c r="N435" t="str" cm="1">
        <f t="array" ref="N435">_xlfn.IFS(A435="Bad", "Review Required", AND(A435="Good",J435&gt;7000),"VIP Client", AND(A435="Good", J435&lt;=7000),"Standart Client")</f>
        <v>Standart Client</v>
      </c>
    </row>
    <row r="436" spans="1:14" x14ac:dyDescent="0.3">
      <c r="A436" t="s">
        <v>34</v>
      </c>
      <c r="B436" t="s">
        <v>78</v>
      </c>
      <c r="C436" t="s">
        <v>89</v>
      </c>
      <c r="D436" t="s">
        <v>99</v>
      </c>
      <c r="E436" t="s">
        <v>122</v>
      </c>
      <c r="F436" t="s">
        <v>123</v>
      </c>
      <c r="G436" t="s">
        <v>115</v>
      </c>
      <c r="H436" t="s">
        <v>119</v>
      </c>
      <c r="I436">
        <v>12</v>
      </c>
      <c r="J436" s="11">
        <v>1963</v>
      </c>
      <c r="K436">
        <v>31</v>
      </c>
      <c r="L436" t="str" cm="1">
        <f t="array" ref="L436">_xlfn.IFS(J436&gt;5000,"Hight",J436&gt;2000,"Medium",TRUE,"Low")</f>
        <v>Low</v>
      </c>
      <c r="M436" t="str" cm="1">
        <f t="array" ref="M436">_xlfn.IFS(I436&lt;12,"Low-Term",I436&gt;=36,"Long-Term",TRUE,"Medium-Term")</f>
        <v>Medium-Term</v>
      </c>
      <c r="N436" t="str" cm="1">
        <f t="array" ref="N436">_xlfn.IFS(A436="Bad", "Review Required", AND(A436="Good",J436&gt;7000),"VIP Client", AND(A436="Good", J436&lt;=7000),"Standart Client")</f>
        <v>Standart Client</v>
      </c>
    </row>
    <row r="437" spans="1:14" x14ac:dyDescent="0.3">
      <c r="A437" t="s">
        <v>34</v>
      </c>
      <c r="B437" t="s">
        <v>80</v>
      </c>
      <c r="C437" t="s">
        <v>86</v>
      </c>
      <c r="D437" t="s">
        <v>99</v>
      </c>
      <c r="E437" t="s">
        <v>122</v>
      </c>
      <c r="F437" t="s">
        <v>123</v>
      </c>
      <c r="G437" t="s">
        <v>114</v>
      </c>
      <c r="H437" t="s">
        <v>120</v>
      </c>
      <c r="I437">
        <v>21</v>
      </c>
      <c r="J437" s="11">
        <v>571</v>
      </c>
      <c r="K437">
        <v>65</v>
      </c>
      <c r="L437" t="str" cm="1">
        <f t="array" ref="L437">_xlfn.IFS(J437&gt;5000,"Hight",J437&gt;2000,"Medium",TRUE,"Low")</f>
        <v>Low</v>
      </c>
      <c r="M437" t="str" cm="1">
        <f t="array" ref="M437">_xlfn.IFS(I437&lt;12,"Low-Term",I437&gt;=36,"Long-Term",TRUE,"Medium-Term")</f>
        <v>Medium-Term</v>
      </c>
      <c r="N437" t="str" cm="1">
        <f t="array" ref="N437">_xlfn.IFS(A437="Bad", "Review Required", AND(A437="Good",J437&gt;7000),"VIP Client", AND(A437="Good", J437&lt;=7000),"Standart Client")</f>
        <v>Standart Client</v>
      </c>
    </row>
    <row r="438" spans="1:14" x14ac:dyDescent="0.3">
      <c r="A438" t="s">
        <v>34</v>
      </c>
      <c r="B438" t="s">
        <v>78</v>
      </c>
      <c r="C438" t="s">
        <v>88</v>
      </c>
      <c r="D438" t="s">
        <v>102</v>
      </c>
      <c r="E438" t="s">
        <v>122</v>
      </c>
      <c r="F438" t="s">
        <v>123</v>
      </c>
      <c r="G438" t="s">
        <v>114</v>
      </c>
      <c r="H438" t="s">
        <v>120</v>
      </c>
      <c r="I438">
        <v>24</v>
      </c>
      <c r="J438" s="11">
        <v>3777</v>
      </c>
      <c r="K438">
        <v>50</v>
      </c>
      <c r="L438" t="str" cm="1">
        <f t="array" ref="L438">_xlfn.IFS(J438&gt;5000,"Hight",J438&gt;2000,"Medium",TRUE,"Low")</f>
        <v>Medium</v>
      </c>
      <c r="M438" t="str" cm="1">
        <f t="array" ref="M438">_xlfn.IFS(I438&lt;12,"Low-Term",I438&gt;=36,"Long-Term",TRUE,"Medium-Term")</f>
        <v>Medium-Term</v>
      </c>
      <c r="N438" t="str" cm="1">
        <f t="array" ref="N438">_xlfn.IFS(A438="Bad", "Review Required", AND(A438="Good",J438&gt;7000),"VIP Client", AND(A438="Good", J438&lt;=7000),"Standart Client")</f>
        <v>Standart Client</v>
      </c>
    </row>
    <row r="439" spans="1:14" x14ac:dyDescent="0.3">
      <c r="A439" t="s">
        <v>34</v>
      </c>
      <c r="B439" t="s">
        <v>78</v>
      </c>
      <c r="C439" t="s">
        <v>89</v>
      </c>
      <c r="D439" t="s">
        <v>99</v>
      </c>
      <c r="E439" t="s">
        <v>122</v>
      </c>
      <c r="F439" t="s">
        <v>123</v>
      </c>
      <c r="G439" t="s">
        <v>114</v>
      </c>
      <c r="H439" t="s">
        <v>120</v>
      </c>
      <c r="I439">
        <v>15</v>
      </c>
      <c r="J439" s="11">
        <v>1360</v>
      </c>
      <c r="K439">
        <v>31</v>
      </c>
      <c r="L439" t="str" cm="1">
        <f t="array" ref="L439">_xlfn.IFS(J439&gt;5000,"Hight",J439&gt;2000,"Medium",TRUE,"Low")</f>
        <v>Low</v>
      </c>
      <c r="M439" t="str" cm="1">
        <f t="array" ref="M439">_xlfn.IFS(I439&lt;12,"Low-Term",I439&gt;=36,"Long-Term",TRUE,"Medium-Term")</f>
        <v>Medium-Term</v>
      </c>
      <c r="N439" t="str" cm="1">
        <f t="array" ref="N439">_xlfn.IFS(A439="Bad", "Review Required", AND(A439="Good",J439&gt;7000),"VIP Client", AND(A439="Good", J439&lt;=7000),"Standart Client")</f>
        <v>Standart Client</v>
      </c>
    </row>
    <row r="440" spans="1:14" x14ac:dyDescent="0.3">
      <c r="A440" t="s">
        <v>34</v>
      </c>
      <c r="B440" t="s">
        <v>77</v>
      </c>
      <c r="C440" t="s">
        <v>86</v>
      </c>
      <c r="D440" t="s">
        <v>99</v>
      </c>
      <c r="E440" t="s">
        <v>122</v>
      </c>
      <c r="F440" t="s">
        <v>123</v>
      </c>
      <c r="G440" t="s">
        <v>112</v>
      </c>
      <c r="H440" t="s">
        <v>121</v>
      </c>
      <c r="I440">
        <v>16</v>
      </c>
      <c r="J440" s="11">
        <v>1175</v>
      </c>
      <c r="K440">
        <v>68</v>
      </c>
      <c r="L440" t="str" cm="1">
        <f t="array" ref="L440">_xlfn.IFS(J440&gt;5000,"Hight",J440&gt;2000,"Medium",TRUE,"Low")</f>
        <v>Low</v>
      </c>
      <c r="M440" t="str" cm="1">
        <f t="array" ref="M440">_xlfn.IFS(I440&lt;12,"Low-Term",I440&gt;=36,"Long-Term",TRUE,"Medium-Term")</f>
        <v>Medium-Term</v>
      </c>
      <c r="N440" t="str" cm="1">
        <f t="array" ref="N440">_xlfn.IFS(A440="Bad", "Review Required", AND(A440="Good",J440&gt;7000),"VIP Client", AND(A440="Good", J440&lt;=7000),"Standart Client")</f>
        <v>Standart Client</v>
      </c>
    </row>
    <row r="441" spans="1:14" x14ac:dyDescent="0.3">
      <c r="A441" t="s">
        <v>34</v>
      </c>
      <c r="B441" t="s">
        <v>77</v>
      </c>
      <c r="C441" t="s">
        <v>88</v>
      </c>
      <c r="D441" t="s">
        <v>99</v>
      </c>
      <c r="E441" t="s">
        <v>124</v>
      </c>
      <c r="F441" t="s">
        <v>125</v>
      </c>
      <c r="G441" t="s">
        <v>114</v>
      </c>
      <c r="H441" t="s">
        <v>120</v>
      </c>
      <c r="I441">
        <v>18</v>
      </c>
      <c r="J441" s="11">
        <v>3244</v>
      </c>
      <c r="K441">
        <v>33</v>
      </c>
      <c r="L441" t="str" cm="1">
        <f t="array" ref="L441">_xlfn.IFS(J441&gt;5000,"Hight",J441&gt;2000,"Medium",TRUE,"Low")</f>
        <v>Medium</v>
      </c>
      <c r="M441" t="str" cm="1">
        <f t="array" ref="M441">_xlfn.IFS(I441&lt;12,"Low-Term",I441&gt;=36,"Long-Term",TRUE,"Medium-Term")</f>
        <v>Medium-Term</v>
      </c>
      <c r="N441" t="str" cm="1">
        <f t="array" ref="N441">_xlfn.IFS(A441="Bad", "Review Required", AND(A441="Good",J441&gt;7000),"VIP Client", AND(A441="Good", J441&lt;=7000),"Standart Client")</f>
        <v>Standart Client</v>
      </c>
    </row>
    <row r="442" spans="1:14" x14ac:dyDescent="0.3">
      <c r="A442" t="s">
        <v>34</v>
      </c>
      <c r="B442" t="s">
        <v>78</v>
      </c>
      <c r="C442" t="s">
        <v>89</v>
      </c>
      <c r="D442" t="s">
        <v>99</v>
      </c>
      <c r="E442" t="s">
        <v>122</v>
      </c>
      <c r="F442" t="s">
        <v>127</v>
      </c>
      <c r="G442" t="s">
        <v>114</v>
      </c>
      <c r="H442" t="s">
        <v>119</v>
      </c>
      <c r="I442">
        <v>6</v>
      </c>
      <c r="J442" s="11">
        <v>2108</v>
      </c>
      <c r="K442">
        <v>29</v>
      </c>
      <c r="L442" t="str" cm="1">
        <f t="array" ref="L442">_xlfn.IFS(J442&gt;5000,"Hight",J442&gt;2000,"Medium",TRUE,"Low")</f>
        <v>Medium</v>
      </c>
      <c r="M442" t="str" cm="1">
        <f t="array" ref="M442">_xlfn.IFS(I442&lt;12,"Low-Term",I442&gt;=36,"Long-Term",TRUE,"Medium-Term")</f>
        <v>Low-Term</v>
      </c>
      <c r="N442" t="str" cm="1">
        <f t="array" ref="N442">_xlfn.IFS(A442="Bad", "Review Required", AND(A442="Good",J442&gt;7000),"VIP Client", AND(A442="Good", J442&lt;=7000),"Standart Client")</f>
        <v>Standart Client</v>
      </c>
    </row>
    <row r="443" spans="1:14" x14ac:dyDescent="0.3">
      <c r="A443" t="s">
        <v>34</v>
      </c>
      <c r="B443" t="s">
        <v>78</v>
      </c>
      <c r="C443" t="s">
        <v>89</v>
      </c>
      <c r="D443" t="s">
        <v>99</v>
      </c>
      <c r="E443" t="s">
        <v>124</v>
      </c>
      <c r="F443" t="s">
        <v>125</v>
      </c>
      <c r="G443" t="s">
        <v>114</v>
      </c>
      <c r="H443" t="s">
        <v>120</v>
      </c>
      <c r="I443">
        <v>6</v>
      </c>
      <c r="J443" s="11">
        <v>1382</v>
      </c>
      <c r="K443">
        <v>28</v>
      </c>
      <c r="L443" t="str" cm="1">
        <f t="array" ref="L443">_xlfn.IFS(J443&gt;5000,"Hight",J443&gt;2000,"Medium",TRUE,"Low")</f>
        <v>Low</v>
      </c>
      <c r="M443" t="str" cm="1">
        <f t="array" ref="M443">_xlfn.IFS(I443&lt;12,"Low-Term",I443&gt;=36,"Long-Term",TRUE,"Medium-Term")</f>
        <v>Low-Term</v>
      </c>
      <c r="N443" t="str" cm="1">
        <f t="array" ref="N443">_xlfn.IFS(A443="Bad", "Review Required", AND(A443="Good",J443&gt;7000),"VIP Client", AND(A443="Good", J443&lt;=7000),"Standart Client")</f>
        <v>Standart Client</v>
      </c>
    </row>
    <row r="444" spans="1:14" x14ac:dyDescent="0.3">
      <c r="A444" t="s">
        <v>34</v>
      </c>
      <c r="B444" t="s">
        <v>77</v>
      </c>
      <c r="C444" t="s">
        <v>87</v>
      </c>
      <c r="D444" t="s">
        <v>78</v>
      </c>
      <c r="E444" t="s">
        <v>122</v>
      </c>
      <c r="F444" t="s">
        <v>123</v>
      </c>
      <c r="G444" t="s">
        <v>114</v>
      </c>
      <c r="H444" t="s">
        <v>121</v>
      </c>
      <c r="I444">
        <v>24</v>
      </c>
      <c r="J444" s="11">
        <v>2760</v>
      </c>
      <c r="K444">
        <v>36</v>
      </c>
      <c r="L444" t="str" cm="1">
        <f t="array" ref="L444">_xlfn.IFS(J444&gt;5000,"Hight",J444&gt;2000,"Medium",TRUE,"Low")</f>
        <v>Medium</v>
      </c>
      <c r="M444" t="str" cm="1">
        <f t="array" ref="M444">_xlfn.IFS(I444&lt;12,"Low-Term",I444&gt;=36,"Long-Term",TRUE,"Medium-Term")</f>
        <v>Medium-Term</v>
      </c>
      <c r="N444" t="str" cm="1">
        <f t="array" ref="N444">_xlfn.IFS(A444="Bad", "Review Required", AND(A444="Good",J444&gt;7000),"VIP Client", AND(A444="Good", J444&lt;=7000),"Standart Client")</f>
        <v>Standart Client</v>
      </c>
    </row>
    <row r="445" spans="1:14" x14ac:dyDescent="0.3">
      <c r="A445" t="s">
        <v>34</v>
      </c>
      <c r="B445" t="s">
        <v>78</v>
      </c>
      <c r="C445" t="s">
        <v>92</v>
      </c>
      <c r="D445" t="s">
        <v>101</v>
      </c>
      <c r="E445" t="s">
        <v>122</v>
      </c>
      <c r="F445" t="s">
        <v>123</v>
      </c>
      <c r="G445" t="s">
        <v>114</v>
      </c>
      <c r="H445" t="s">
        <v>120</v>
      </c>
      <c r="I445">
        <v>9</v>
      </c>
      <c r="J445" s="11">
        <v>936</v>
      </c>
      <c r="K445">
        <v>52</v>
      </c>
      <c r="L445" t="str" cm="1">
        <f t="array" ref="L445">_xlfn.IFS(J445&gt;5000,"Hight",J445&gt;2000,"Medium",TRUE,"Low")</f>
        <v>Low</v>
      </c>
      <c r="M445" t="str" cm="1">
        <f t="array" ref="M445">_xlfn.IFS(I445&lt;12,"Low-Term",I445&gt;=36,"Long-Term",TRUE,"Medium-Term")</f>
        <v>Low-Term</v>
      </c>
      <c r="N445" t="str" cm="1">
        <f t="array" ref="N445">_xlfn.IFS(A445="Bad", "Review Required", AND(A445="Good",J445&gt;7000),"VIP Client", AND(A445="Good", J445&lt;=7000),"Standart Client")</f>
        <v>Standart Client</v>
      </c>
    </row>
    <row r="446" spans="1:14" x14ac:dyDescent="0.3">
      <c r="A446" t="s">
        <v>34</v>
      </c>
      <c r="B446" t="s">
        <v>80</v>
      </c>
      <c r="C446" t="s">
        <v>86</v>
      </c>
      <c r="D446" t="s">
        <v>99</v>
      </c>
      <c r="E446" t="s">
        <v>122</v>
      </c>
      <c r="F446" t="s">
        <v>127</v>
      </c>
      <c r="G446" t="s">
        <v>113</v>
      </c>
      <c r="H446" t="s">
        <v>120</v>
      </c>
      <c r="I446">
        <v>12</v>
      </c>
      <c r="J446" s="11">
        <v>1168</v>
      </c>
      <c r="K446">
        <v>27</v>
      </c>
      <c r="L446" t="str" cm="1">
        <f t="array" ref="L446">_xlfn.IFS(J446&gt;5000,"Hight",J446&gt;2000,"Medium",TRUE,"Low")</f>
        <v>Low</v>
      </c>
      <c r="M446" t="str" cm="1">
        <f t="array" ref="M446">_xlfn.IFS(I446&lt;12,"Low-Term",I446&gt;=36,"Long-Term",TRUE,"Medium-Term")</f>
        <v>Medium-Term</v>
      </c>
      <c r="N446" t="str" cm="1">
        <f t="array" ref="N446">_xlfn.IFS(A446="Bad", "Review Required", AND(A446="Good",J446&gt;7000),"VIP Client", AND(A446="Good", J446&lt;=7000),"Standart Client")</f>
        <v>Standart Client</v>
      </c>
    </row>
    <row r="447" spans="1:14" x14ac:dyDescent="0.3">
      <c r="A447" t="s">
        <v>34</v>
      </c>
      <c r="B447" t="s">
        <v>78</v>
      </c>
      <c r="C447" t="s">
        <v>94</v>
      </c>
      <c r="D447" t="s">
        <v>99</v>
      </c>
      <c r="E447" t="s">
        <v>122</v>
      </c>
      <c r="F447" t="s">
        <v>123</v>
      </c>
      <c r="G447" t="s">
        <v>114</v>
      </c>
      <c r="H447" t="s">
        <v>120</v>
      </c>
      <c r="I447">
        <v>27</v>
      </c>
      <c r="J447" s="11">
        <v>5117</v>
      </c>
      <c r="K447">
        <v>26</v>
      </c>
      <c r="L447" t="str" cm="1">
        <f t="array" ref="L447">_xlfn.IFS(J447&gt;5000,"Hight",J447&gt;2000,"Medium",TRUE,"Low")</f>
        <v>Hight</v>
      </c>
      <c r="M447" t="str" cm="1">
        <f t="array" ref="M447">_xlfn.IFS(I447&lt;12,"Low-Term",I447&gt;=36,"Long-Term",TRUE,"Medium-Term")</f>
        <v>Medium-Term</v>
      </c>
      <c r="N447" t="str" cm="1">
        <f t="array" ref="N447">_xlfn.IFS(A447="Bad", "Review Required", AND(A447="Good",J447&gt;7000),"VIP Client", AND(A447="Good", J447&lt;=7000),"Standart Client")</f>
        <v>Standart Client</v>
      </c>
    </row>
    <row r="448" spans="1:14" x14ac:dyDescent="0.3">
      <c r="A448" t="s">
        <v>34</v>
      </c>
      <c r="B448" t="s">
        <v>78</v>
      </c>
      <c r="C448" t="s">
        <v>86</v>
      </c>
      <c r="D448" t="s">
        <v>99</v>
      </c>
      <c r="E448" t="s">
        <v>122</v>
      </c>
      <c r="F448" t="s">
        <v>123</v>
      </c>
      <c r="G448" t="s">
        <v>113</v>
      </c>
      <c r="H448" t="s">
        <v>120</v>
      </c>
      <c r="I448">
        <v>12</v>
      </c>
      <c r="J448" s="11">
        <v>1495</v>
      </c>
      <c r="K448">
        <v>38</v>
      </c>
      <c r="L448" t="str" cm="1">
        <f t="array" ref="L448">_xlfn.IFS(J448&gt;5000,"Hight",J448&gt;2000,"Medium",TRUE,"Low")</f>
        <v>Low</v>
      </c>
      <c r="M448" t="str" cm="1">
        <f t="array" ref="M448">_xlfn.IFS(I448&lt;12,"Low-Term",I448&gt;=36,"Long-Term",TRUE,"Medium-Term")</f>
        <v>Medium-Term</v>
      </c>
      <c r="N448" t="str" cm="1">
        <f t="array" ref="N448">_xlfn.IFS(A448="Bad", "Review Required", AND(A448="Good",J448&gt;7000),"VIP Client", AND(A448="Good", J448&lt;=7000),"Standart Client")</f>
        <v>Standart Client</v>
      </c>
    </row>
    <row r="449" spans="1:14" x14ac:dyDescent="0.3">
      <c r="A449" t="s">
        <v>34</v>
      </c>
      <c r="B449" t="s">
        <v>80</v>
      </c>
      <c r="C449" t="s">
        <v>87</v>
      </c>
      <c r="D449" t="s">
        <v>99</v>
      </c>
      <c r="E449" t="s">
        <v>122</v>
      </c>
      <c r="F449" t="s">
        <v>123</v>
      </c>
      <c r="G449" t="s">
        <v>115</v>
      </c>
      <c r="H449" t="s">
        <v>121</v>
      </c>
      <c r="I449">
        <v>30</v>
      </c>
      <c r="J449" s="11">
        <v>10623</v>
      </c>
      <c r="K449">
        <v>38</v>
      </c>
      <c r="L449" t="str" cm="1">
        <f t="array" ref="L449">_xlfn.IFS(J449&gt;5000,"Hight",J449&gt;2000,"Medium",TRUE,"Low")</f>
        <v>Hight</v>
      </c>
      <c r="M449" t="str" cm="1">
        <f t="array" ref="M449">_xlfn.IFS(I449&lt;12,"Low-Term",I449&gt;=36,"Long-Term",TRUE,"Medium-Term")</f>
        <v>Medium-Term</v>
      </c>
      <c r="N449" t="str" cm="1">
        <f t="array" ref="N449">_xlfn.IFS(A449="Bad", "Review Required", AND(A449="Good",J449&gt;7000),"VIP Client", AND(A449="Good", J449&lt;=7000),"Standart Client")</f>
        <v>VIP Client</v>
      </c>
    </row>
    <row r="450" spans="1:14" x14ac:dyDescent="0.3">
      <c r="A450" t="s">
        <v>34</v>
      </c>
      <c r="B450" t="s">
        <v>78</v>
      </c>
      <c r="C450" t="s">
        <v>88</v>
      </c>
      <c r="D450" t="s">
        <v>99</v>
      </c>
      <c r="E450" t="s">
        <v>122</v>
      </c>
      <c r="F450" t="s">
        <v>123</v>
      </c>
      <c r="G450" t="s">
        <v>114</v>
      </c>
      <c r="H450" t="s">
        <v>120</v>
      </c>
      <c r="I450">
        <v>12</v>
      </c>
      <c r="J450" s="11">
        <v>1935</v>
      </c>
      <c r="K450">
        <v>43</v>
      </c>
      <c r="L450" t="str" cm="1">
        <f t="array" ref="L450">_xlfn.IFS(J450&gt;5000,"Hight",J450&gt;2000,"Medium",TRUE,"Low")</f>
        <v>Low</v>
      </c>
      <c r="M450" t="str" cm="1">
        <f t="array" ref="M450">_xlfn.IFS(I450&lt;12,"Low-Term",I450&gt;=36,"Long-Term",TRUE,"Medium-Term")</f>
        <v>Medium-Term</v>
      </c>
      <c r="N450" t="str" cm="1">
        <f t="array" ref="N450">_xlfn.IFS(A450="Bad", "Review Required", AND(A450="Good",J450&gt;7000),"VIP Client", AND(A450="Good", J450&lt;=7000),"Standart Client")</f>
        <v>Standart Client</v>
      </c>
    </row>
    <row r="451" spans="1:14" x14ac:dyDescent="0.3">
      <c r="A451" t="s">
        <v>34</v>
      </c>
      <c r="B451" t="s">
        <v>77</v>
      </c>
      <c r="C451" t="s">
        <v>90</v>
      </c>
      <c r="D451" t="s">
        <v>99</v>
      </c>
      <c r="E451" t="s">
        <v>122</v>
      </c>
      <c r="F451" t="s">
        <v>123</v>
      </c>
      <c r="G451" t="s">
        <v>114</v>
      </c>
      <c r="H451" t="s">
        <v>120</v>
      </c>
      <c r="I451">
        <v>12</v>
      </c>
      <c r="J451" s="11">
        <v>1424</v>
      </c>
      <c r="K451">
        <v>26</v>
      </c>
      <c r="L451" t="str" cm="1">
        <f t="array" ref="L451">_xlfn.IFS(J451&gt;5000,"Hight",J451&gt;2000,"Medium",TRUE,"Low")</f>
        <v>Low</v>
      </c>
      <c r="M451" t="str" cm="1">
        <f t="array" ref="M451">_xlfn.IFS(I451&lt;12,"Low-Term",I451&gt;=36,"Long-Term",TRUE,"Medium-Term")</f>
        <v>Medium-Term</v>
      </c>
      <c r="N451" t="str" cm="1">
        <f t="array" ref="N451">_xlfn.IFS(A451="Bad", "Review Required", AND(A451="Good",J451&gt;7000),"VIP Client", AND(A451="Good", J451&lt;=7000),"Standart Client")</f>
        <v>Standart Client</v>
      </c>
    </row>
    <row r="452" spans="1:14" x14ac:dyDescent="0.3">
      <c r="A452" t="s">
        <v>34</v>
      </c>
      <c r="B452" t="s">
        <v>80</v>
      </c>
      <c r="C452" t="s">
        <v>94</v>
      </c>
      <c r="D452" t="s">
        <v>99</v>
      </c>
      <c r="E452" t="s">
        <v>122</v>
      </c>
      <c r="F452" t="s">
        <v>127</v>
      </c>
      <c r="G452" t="s">
        <v>113</v>
      </c>
      <c r="H452" t="s">
        <v>120</v>
      </c>
      <c r="I452">
        <v>24</v>
      </c>
      <c r="J452" s="11">
        <v>6568</v>
      </c>
      <c r="K452">
        <v>21</v>
      </c>
      <c r="L452" t="str" cm="1">
        <f t="array" ref="L452">_xlfn.IFS(J452&gt;5000,"Hight",J452&gt;2000,"Medium",TRUE,"Low")</f>
        <v>Hight</v>
      </c>
      <c r="M452" t="str" cm="1">
        <f t="array" ref="M452">_xlfn.IFS(I452&lt;12,"Low-Term",I452&gt;=36,"Long-Term",TRUE,"Medium-Term")</f>
        <v>Medium-Term</v>
      </c>
      <c r="N452" t="str" cm="1">
        <f t="array" ref="N452">_xlfn.IFS(A452="Bad", "Review Required", AND(A452="Good",J452&gt;7000),"VIP Client", AND(A452="Good", J452&lt;=7000),"Standart Client")</f>
        <v>Standart Client</v>
      </c>
    </row>
    <row r="453" spans="1:14" x14ac:dyDescent="0.3">
      <c r="A453" t="s">
        <v>34</v>
      </c>
      <c r="B453" t="s">
        <v>78</v>
      </c>
      <c r="C453" t="s">
        <v>87</v>
      </c>
      <c r="D453" t="s">
        <v>102</v>
      </c>
      <c r="E453" t="s">
        <v>122</v>
      </c>
      <c r="F453" t="s">
        <v>123</v>
      </c>
      <c r="G453" t="s">
        <v>114</v>
      </c>
      <c r="H453" t="s">
        <v>120</v>
      </c>
      <c r="I453">
        <v>12</v>
      </c>
      <c r="J453" s="11">
        <v>1413</v>
      </c>
      <c r="K453">
        <v>55</v>
      </c>
      <c r="L453" t="str" cm="1">
        <f t="array" ref="L453">_xlfn.IFS(J453&gt;5000,"Hight",J453&gt;2000,"Medium",TRUE,"Low")</f>
        <v>Low</v>
      </c>
      <c r="M453" t="str" cm="1">
        <f t="array" ref="M453">_xlfn.IFS(I453&lt;12,"Low-Term",I453&gt;=36,"Long-Term",TRUE,"Medium-Term")</f>
        <v>Medium-Term</v>
      </c>
      <c r="N453" t="str" cm="1">
        <f t="array" ref="N453">_xlfn.IFS(A453="Bad", "Review Required", AND(A453="Good",J453&gt;7000),"VIP Client", AND(A453="Good", J453&lt;=7000),"Standart Client")</f>
        <v>Standart Client</v>
      </c>
    </row>
    <row r="454" spans="1:14" x14ac:dyDescent="0.3">
      <c r="A454" t="s">
        <v>34</v>
      </c>
      <c r="B454" t="s">
        <v>78</v>
      </c>
      <c r="C454" t="s">
        <v>89</v>
      </c>
      <c r="D454" t="s">
        <v>78</v>
      </c>
      <c r="E454" t="s">
        <v>122</v>
      </c>
      <c r="F454" t="s">
        <v>123</v>
      </c>
      <c r="G454" t="s">
        <v>114</v>
      </c>
      <c r="H454" t="s">
        <v>120</v>
      </c>
      <c r="I454">
        <v>9</v>
      </c>
      <c r="J454" s="11">
        <v>3074</v>
      </c>
      <c r="K454">
        <v>33</v>
      </c>
      <c r="L454" t="str" cm="1">
        <f t="array" ref="L454">_xlfn.IFS(J454&gt;5000,"Hight",J454&gt;2000,"Medium",TRUE,"Low")</f>
        <v>Medium</v>
      </c>
      <c r="M454" t="str" cm="1">
        <f t="array" ref="M454">_xlfn.IFS(I454&lt;12,"Low-Term",I454&gt;=36,"Long-Term",TRUE,"Medium-Term")</f>
        <v>Low-Term</v>
      </c>
      <c r="N454" t="str" cm="1">
        <f t="array" ref="N454">_xlfn.IFS(A454="Bad", "Review Required", AND(A454="Good",J454&gt;7000),"VIP Client", AND(A454="Good", J454&lt;=7000),"Standart Client")</f>
        <v>Standart Client</v>
      </c>
    </row>
    <row r="455" spans="1:14" x14ac:dyDescent="0.3">
      <c r="A455" t="s">
        <v>34</v>
      </c>
      <c r="B455" t="s">
        <v>78</v>
      </c>
      <c r="C455" t="s">
        <v>89</v>
      </c>
      <c r="D455" t="s">
        <v>78</v>
      </c>
      <c r="E455" t="s">
        <v>124</v>
      </c>
      <c r="F455" t="s">
        <v>125</v>
      </c>
      <c r="G455" t="s">
        <v>113</v>
      </c>
      <c r="H455" t="s">
        <v>120</v>
      </c>
      <c r="I455">
        <v>36</v>
      </c>
      <c r="J455" s="11">
        <v>3835</v>
      </c>
      <c r="K455">
        <v>45</v>
      </c>
      <c r="L455" t="str" cm="1">
        <f t="array" ref="L455">_xlfn.IFS(J455&gt;5000,"Hight",J455&gt;2000,"Medium",TRUE,"Low")</f>
        <v>Medium</v>
      </c>
      <c r="M455" t="str" cm="1">
        <f t="array" ref="M455">_xlfn.IFS(I455&lt;12,"Low-Term",I455&gt;=36,"Long-Term",TRUE,"Medium-Term")</f>
        <v>Long-Term</v>
      </c>
      <c r="N455" t="str" cm="1">
        <f t="array" ref="N455">_xlfn.IFS(A455="Bad", "Review Required", AND(A455="Good",J455&gt;7000),"VIP Client", AND(A455="Good", J455&lt;=7000),"Standart Client")</f>
        <v>Standart Client</v>
      </c>
    </row>
    <row r="456" spans="1:14" x14ac:dyDescent="0.3">
      <c r="A456" t="s">
        <v>34</v>
      </c>
      <c r="B456" t="s">
        <v>78</v>
      </c>
      <c r="C456" t="s">
        <v>89</v>
      </c>
      <c r="D456" t="s">
        <v>78</v>
      </c>
      <c r="E456" t="s">
        <v>122</v>
      </c>
      <c r="F456" t="s">
        <v>123</v>
      </c>
      <c r="G456" t="s">
        <v>114</v>
      </c>
      <c r="H456" t="s">
        <v>120</v>
      </c>
      <c r="I456">
        <v>36</v>
      </c>
      <c r="J456" s="11">
        <v>3342</v>
      </c>
      <c r="K456">
        <v>51</v>
      </c>
      <c r="L456" t="str" cm="1">
        <f t="array" ref="L456">_xlfn.IFS(J456&gt;5000,"Hight",J456&gt;2000,"Medium",TRUE,"Low")</f>
        <v>Medium</v>
      </c>
      <c r="M456" t="str" cm="1">
        <f t="array" ref="M456">_xlfn.IFS(I456&lt;12,"Low-Term",I456&gt;=36,"Long-Term",TRUE,"Medium-Term")</f>
        <v>Long-Term</v>
      </c>
      <c r="N456" t="str" cm="1">
        <f t="array" ref="N456">_xlfn.IFS(A456="Bad", "Review Required", AND(A456="Good",J456&gt;7000),"VIP Client", AND(A456="Good", J456&lt;=7000),"Standart Client")</f>
        <v>Standart Client</v>
      </c>
    </row>
    <row r="457" spans="1:14" x14ac:dyDescent="0.3">
      <c r="A457" t="s">
        <v>34</v>
      </c>
      <c r="B457" t="s">
        <v>77</v>
      </c>
      <c r="C457" t="s">
        <v>93</v>
      </c>
      <c r="D457" t="s">
        <v>78</v>
      </c>
      <c r="E457" t="s">
        <v>124</v>
      </c>
      <c r="F457" t="s">
        <v>125</v>
      </c>
      <c r="G457" t="s">
        <v>113</v>
      </c>
      <c r="H457" t="s">
        <v>120</v>
      </c>
      <c r="I457">
        <v>6</v>
      </c>
      <c r="J457" s="11">
        <v>932</v>
      </c>
      <c r="K457">
        <v>39</v>
      </c>
      <c r="L457" t="str" cm="1">
        <f t="array" ref="L457">_xlfn.IFS(J457&gt;5000,"Hight",J457&gt;2000,"Medium",TRUE,"Low")</f>
        <v>Low</v>
      </c>
      <c r="M457" t="str" cm="1">
        <f t="array" ref="M457">_xlfn.IFS(I457&lt;12,"Low-Term",I457&gt;=36,"Long-Term",TRUE,"Medium-Term")</f>
        <v>Low-Term</v>
      </c>
      <c r="N457" t="str" cm="1">
        <f t="array" ref="N457">_xlfn.IFS(A457="Bad", "Review Required", AND(A457="Good",J457&gt;7000),"VIP Client", AND(A457="Good", J457&lt;=7000),"Standart Client")</f>
        <v>Standart Client</v>
      </c>
    </row>
    <row r="458" spans="1:14" x14ac:dyDescent="0.3">
      <c r="A458" t="s">
        <v>34</v>
      </c>
      <c r="B458" t="s">
        <v>80</v>
      </c>
      <c r="C458" t="s">
        <v>94</v>
      </c>
      <c r="D458" t="s">
        <v>99</v>
      </c>
      <c r="E458" t="s">
        <v>122</v>
      </c>
      <c r="F458" t="s">
        <v>123</v>
      </c>
      <c r="G458" t="s">
        <v>114</v>
      </c>
      <c r="H458" t="s">
        <v>120</v>
      </c>
      <c r="I458">
        <v>18</v>
      </c>
      <c r="J458" s="11">
        <v>3104</v>
      </c>
      <c r="K458">
        <v>31</v>
      </c>
      <c r="L458" t="str" cm="1">
        <f t="array" ref="L458">_xlfn.IFS(J458&gt;5000,"Hight",J458&gt;2000,"Medium",TRUE,"Low")</f>
        <v>Medium</v>
      </c>
      <c r="M458" t="str" cm="1">
        <f t="array" ref="M458">_xlfn.IFS(I458&lt;12,"Low-Term",I458&gt;=36,"Long-Term",TRUE,"Medium-Term")</f>
        <v>Medium-Term</v>
      </c>
      <c r="N458" t="str" cm="1">
        <f t="array" ref="N458">_xlfn.IFS(A458="Bad", "Review Required", AND(A458="Good",J458&gt;7000),"VIP Client", AND(A458="Good", J458&lt;=7000),"Standart Client")</f>
        <v>Standart Client</v>
      </c>
    </row>
    <row r="459" spans="1:14" x14ac:dyDescent="0.3">
      <c r="A459" t="s">
        <v>34</v>
      </c>
      <c r="B459" t="s">
        <v>81</v>
      </c>
      <c r="C459" t="s">
        <v>89</v>
      </c>
      <c r="D459" t="s">
        <v>99</v>
      </c>
      <c r="E459" t="s">
        <v>122</v>
      </c>
      <c r="F459" t="s">
        <v>123</v>
      </c>
      <c r="G459" t="s">
        <v>114</v>
      </c>
      <c r="H459" t="s">
        <v>120</v>
      </c>
      <c r="I459">
        <v>36</v>
      </c>
      <c r="J459" s="11">
        <v>3913</v>
      </c>
      <c r="K459">
        <v>23</v>
      </c>
      <c r="L459" t="str" cm="1">
        <f t="array" ref="L459">_xlfn.IFS(J459&gt;5000,"Hight",J459&gt;2000,"Medium",TRUE,"Low")</f>
        <v>Medium</v>
      </c>
      <c r="M459" t="str" cm="1">
        <f t="array" ref="M459">_xlfn.IFS(I459&lt;12,"Low-Term",I459&gt;=36,"Long-Term",TRUE,"Medium-Term")</f>
        <v>Long-Term</v>
      </c>
      <c r="N459" t="str" cm="1">
        <f t="array" ref="N459">_xlfn.IFS(A459="Bad", "Review Required", AND(A459="Good",J459&gt;7000),"VIP Client", AND(A459="Good", J459&lt;=7000),"Standart Client")</f>
        <v>Standart Client</v>
      </c>
    </row>
    <row r="460" spans="1:14" x14ac:dyDescent="0.3">
      <c r="A460" t="s">
        <v>34</v>
      </c>
      <c r="B460" t="s">
        <v>80</v>
      </c>
      <c r="C460" t="s">
        <v>88</v>
      </c>
      <c r="D460" t="s">
        <v>99</v>
      </c>
      <c r="E460" t="s">
        <v>122</v>
      </c>
      <c r="F460" t="s">
        <v>126</v>
      </c>
      <c r="G460" t="s">
        <v>113</v>
      </c>
      <c r="H460" t="s">
        <v>119</v>
      </c>
      <c r="I460">
        <v>24</v>
      </c>
      <c r="J460" s="11">
        <v>3021</v>
      </c>
      <c r="K460">
        <v>24</v>
      </c>
      <c r="L460" t="str" cm="1">
        <f t="array" ref="L460">_xlfn.IFS(J460&gt;5000,"Hight",J460&gt;2000,"Medium",TRUE,"Low")</f>
        <v>Medium</v>
      </c>
      <c r="M460" t="str" cm="1">
        <f t="array" ref="M460">_xlfn.IFS(I460&lt;12,"Low-Term",I460&gt;=36,"Long-Term",TRUE,"Medium-Term")</f>
        <v>Medium-Term</v>
      </c>
      <c r="N460" t="str" cm="1">
        <f t="array" ref="N460">_xlfn.IFS(A460="Bad", "Review Required", AND(A460="Good",J460&gt;7000),"VIP Client", AND(A460="Good", J460&lt;=7000),"Standart Client")</f>
        <v>Standart Client</v>
      </c>
    </row>
    <row r="461" spans="1:14" x14ac:dyDescent="0.3">
      <c r="A461" t="s">
        <v>34</v>
      </c>
      <c r="B461" t="s">
        <v>78</v>
      </c>
      <c r="C461" t="s">
        <v>86</v>
      </c>
      <c r="D461" t="s">
        <v>99</v>
      </c>
      <c r="E461" t="s">
        <v>124</v>
      </c>
      <c r="F461" t="s">
        <v>125</v>
      </c>
      <c r="G461" t="s">
        <v>114</v>
      </c>
      <c r="H461" t="s">
        <v>120</v>
      </c>
      <c r="I461">
        <v>10</v>
      </c>
      <c r="J461" s="11">
        <v>1364</v>
      </c>
      <c r="K461">
        <v>64</v>
      </c>
      <c r="L461" t="str" cm="1">
        <f t="array" ref="L461">_xlfn.IFS(J461&gt;5000,"Hight",J461&gt;2000,"Medium",TRUE,"Low")</f>
        <v>Low</v>
      </c>
      <c r="M461" t="str" cm="1">
        <f t="array" ref="M461">_xlfn.IFS(I461&lt;12,"Low-Term",I461&gt;=36,"Long-Term",TRUE,"Medium-Term")</f>
        <v>Low-Term</v>
      </c>
      <c r="N461" t="str" cm="1">
        <f t="array" ref="N461">_xlfn.IFS(A461="Bad", "Review Required", AND(A461="Good",J461&gt;7000),"VIP Client", AND(A461="Good", J461&lt;=7000),"Standart Client")</f>
        <v>Standart Client</v>
      </c>
    </row>
    <row r="462" spans="1:14" x14ac:dyDescent="0.3">
      <c r="A462" t="s">
        <v>34</v>
      </c>
      <c r="B462" t="s">
        <v>77</v>
      </c>
      <c r="C462" t="s">
        <v>89</v>
      </c>
      <c r="D462" t="s">
        <v>99</v>
      </c>
      <c r="E462" t="s">
        <v>122</v>
      </c>
      <c r="F462" t="s">
        <v>127</v>
      </c>
      <c r="G462" t="s">
        <v>113</v>
      </c>
      <c r="H462" t="s">
        <v>120</v>
      </c>
      <c r="I462">
        <v>12</v>
      </c>
      <c r="J462" s="11">
        <v>625</v>
      </c>
      <c r="K462">
        <v>26</v>
      </c>
      <c r="L462" t="str" cm="1">
        <f t="array" ref="L462">_xlfn.IFS(J462&gt;5000,"Hight",J462&gt;2000,"Medium",TRUE,"Low")</f>
        <v>Low</v>
      </c>
      <c r="M462" t="str" cm="1">
        <f t="array" ref="M462">_xlfn.IFS(I462&lt;12,"Low-Term",I462&gt;=36,"Long-Term",TRUE,"Medium-Term")</f>
        <v>Medium-Term</v>
      </c>
      <c r="N462" t="str" cm="1">
        <f t="array" ref="N462">_xlfn.IFS(A462="Bad", "Review Required", AND(A462="Good",J462&gt;7000),"VIP Client", AND(A462="Good", J462&lt;=7000),"Standart Client")</f>
        <v>Standart Client</v>
      </c>
    </row>
    <row r="463" spans="1:14" x14ac:dyDescent="0.3">
      <c r="A463" t="s">
        <v>34</v>
      </c>
      <c r="B463" t="s">
        <v>80</v>
      </c>
      <c r="C463" t="s">
        <v>92</v>
      </c>
      <c r="D463" t="s">
        <v>78</v>
      </c>
      <c r="E463" t="s">
        <v>124</v>
      </c>
      <c r="F463" t="s">
        <v>125</v>
      </c>
      <c r="G463" t="s">
        <v>114</v>
      </c>
      <c r="H463" t="s">
        <v>119</v>
      </c>
      <c r="I463">
        <v>12</v>
      </c>
      <c r="J463" s="11">
        <v>1200</v>
      </c>
      <c r="K463">
        <v>23</v>
      </c>
      <c r="L463" t="str" cm="1">
        <f t="array" ref="L463">_xlfn.IFS(J463&gt;5000,"Hight",J463&gt;2000,"Medium",TRUE,"Low")</f>
        <v>Low</v>
      </c>
      <c r="M463" t="str" cm="1">
        <f t="array" ref="M463">_xlfn.IFS(I463&lt;12,"Low-Term",I463&gt;=36,"Long-Term",TRUE,"Medium-Term")</f>
        <v>Medium-Term</v>
      </c>
      <c r="N463" t="str" cm="1">
        <f t="array" ref="N463">_xlfn.IFS(A463="Bad", "Review Required", AND(A463="Good",J463&gt;7000),"VIP Client", AND(A463="Good", J463&lt;=7000),"Standart Client")</f>
        <v>Standart Client</v>
      </c>
    </row>
    <row r="464" spans="1:14" x14ac:dyDescent="0.3">
      <c r="A464" t="s">
        <v>34</v>
      </c>
      <c r="B464" t="s">
        <v>78</v>
      </c>
      <c r="C464" t="s">
        <v>89</v>
      </c>
      <c r="D464" t="s">
        <v>99</v>
      </c>
      <c r="E464" t="s">
        <v>122</v>
      </c>
      <c r="F464" t="s">
        <v>123</v>
      </c>
      <c r="G464" t="s">
        <v>114</v>
      </c>
      <c r="H464" t="s">
        <v>120</v>
      </c>
      <c r="I464">
        <v>12</v>
      </c>
      <c r="J464" s="11">
        <v>707</v>
      </c>
      <c r="K464">
        <v>30</v>
      </c>
      <c r="L464" t="str" cm="1">
        <f t="array" ref="L464">_xlfn.IFS(J464&gt;5000,"Hight",J464&gt;2000,"Medium",TRUE,"Low")</f>
        <v>Low</v>
      </c>
      <c r="M464" t="str" cm="1">
        <f t="array" ref="M464">_xlfn.IFS(I464&lt;12,"Low-Term",I464&gt;=36,"Long-Term",TRUE,"Medium-Term")</f>
        <v>Medium-Term</v>
      </c>
      <c r="N464" t="str" cm="1">
        <f t="array" ref="N464">_xlfn.IFS(A464="Bad", "Review Required", AND(A464="Good",J464&gt;7000),"VIP Client", AND(A464="Good", J464&lt;=7000),"Standart Client")</f>
        <v>Standart Client</v>
      </c>
    </row>
    <row r="465" spans="1:14" x14ac:dyDescent="0.3">
      <c r="A465" t="s">
        <v>34</v>
      </c>
      <c r="B465" t="s">
        <v>78</v>
      </c>
      <c r="C465" t="s">
        <v>94</v>
      </c>
      <c r="D465" t="s">
        <v>78</v>
      </c>
      <c r="E465" t="s">
        <v>122</v>
      </c>
      <c r="F465" t="s">
        <v>123</v>
      </c>
      <c r="G465" t="s">
        <v>114</v>
      </c>
      <c r="H465" t="s">
        <v>120</v>
      </c>
      <c r="I465">
        <v>24</v>
      </c>
      <c r="J465" s="11">
        <v>2978</v>
      </c>
      <c r="K465">
        <v>32</v>
      </c>
      <c r="L465" t="str" cm="1">
        <f t="array" ref="L465">_xlfn.IFS(J465&gt;5000,"Hight",J465&gt;2000,"Medium",TRUE,"Low")</f>
        <v>Medium</v>
      </c>
      <c r="M465" t="str" cm="1">
        <f t="array" ref="M465">_xlfn.IFS(I465&lt;12,"Low-Term",I465&gt;=36,"Long-Term",TRUE,"Medium-Term")</f>
        <v>Medium-Term</v>
      </c>
      <c r="N465" t="str" cm="1">
        <f t="array" ref="N465">_xlfn.IFS(A465="Bad", "Review Required", AND(A465="Good",J465&gt;7000),"VIP Client", AND(A465="Good", J465&lt;=7000),"Standart Client")</f>
        <v>Standart Client</v>
      </c>
    </row>
    <row r="466" spans="1:14" x14ac:dyDescent="0.3">
      <c r="A466" t="s">
        <v>34</v>
      </c>
      <c r="B466" t="s">
        <v>78</v>
      </c>
      <c r="C466" t="s">
        <v>87</v>
      </c>
      <c r="D466" t="s">
        <v>99</v>
      </c>
      <c r="E466" t="s">
        <v>122</v>
      </c>
      <c r="F466" t="s">
        <v>123</v>
      </c>
      <c r="G466" t="s">
        <v>114</v>
      </c>
      <c r="H466" t="s">
        <v>120</v>
      </c>
      <c r="I466">
        <v>15</v>
      </c>
      <c r="J466" s="11">
        <v>4657</v>
      </c>
      <c r="K466">
        <v>30</v>
      </c>
      <c r="L466" t="str" cm="1">
        <f t="array" ref="L466">_xlfn.IFS(J466&gt;5000,"Hight",J466&gt;2000,"Medium",TRUE,"Low")</f>
        <v>Medium</v>
      </c>
      <c r="M466" t="str" cm="1">
        <f t="array" ref="M466">_xlfn.IFS(I466&lt;12,"Low-Term",I466&gt;=36,"Long-Term",TRUE,"Medium-Term")</f>
        <v>Medium-Term</v>
      </c>
      <c r="N466" t="str" cm="1">
        <f t="array" ref="N466">_xlfn.IFS(A466="Bad", "Review Required", AND(A466="Good",J466&gt;7000),"VIP Client", AND(A466="Good", J466&lt;=7000),"Standart Client")</f>
        <v>Standart Client</v>
      </c>
    </row>
    <row r="467" spans="1:14" x14ac:dyDescent="0.3">
      <c r="A467" t="s">
        <v>34</v>
      </c>
      <c r="B467" t="s">
        <v>78</v>
      </c>
      <c r="C467" t="s">
        <v>91</v>
      </c>
      <c r="D467" t="s">
        <v>99</v>
      </c>
      <c r="E467" t="s">
        <v>122</v>
      </c>
      <c r="F467" t="s">
        <v>123</v>
      </c>
      <c r="G467" t="s">
        <v>114</v>
      </c>
      <c r="H467" t="s">
        <v>120</v>
      </c>
      <c r="I467">
        <v>36</v>
      </c>
      <c r="J467" s="11">
        <v>2613</v>
      </c>
      <c r="K467">
        <v>27</v>
      </c>
      <c r="L467" t="str" cm="1">
        <f t="array" ref="L467">_xlfn.IFS(J467&gt;5000,"Hight",J467&gt;2000,"Medium",TRUE,"Low")</f>
        <v>Medium</v>
      </c>
      <c r="M467" t="str" cm="1">
        <f t="array" ref="M467">_xlfn.IFS(I467&lt;12,"Low-Term",I467&gt;=36,"Long-Term",TRUE,"Medium-Term")</f>
        <v>Long-Term</v>
      </c>
      <c r="N467" t="str" cm="1">
        <f t="array" ref="N467">_xlfn.IFS(A467="Bad", "Review Required", AND(A467="Good",J467&gt;7000),"VIP Client", AND(A467="Good", J467&lt;=7000),"Standart Client")</f>
        <v>Standart Client</v>
      </c>
    </row>
    <row r="468" spans="1:14" x14ac:dyDescent="0.3">
      <c r="A468" t="s">
        <v>34</v>
      </c>
      <c r="B468" t="s">
        <v>80</v>
      </c>
      <c r="C468" t="s">
        <v>88</v>
      </c>
      <c r="D468" t="s">
        <v>99</v>
      </c>
      <c r="E468" t="s">
        <v>122</v>
      </c>
      <c r="F468" t="s">
        <v>123</v>
      </c>
      <c r="G468" t="s">
        <v>114</v>
      </c>
      <c r="H468" t="s">
        <v>121</v>
      </c>
      <c r="I468">
        <v>24</v>
      </c>
      <c r="J468" s="11">
        <v>3149</v>
      </c>
      <c r="K468">
        <v>22</v>
      </c>
      <c r="L468" t="str" cm="1">
        <f t="array" ref="L468">_xlfn.IFS(J468&gt;5000,"Hight",J468&gt;2000,"Medium",TRUE,"Low")</f>
        <v>Medium</v>
      </c>
      <c r="M468" t="str" cm="1">
        <f t="array" ref="M468">_xlfn.IFS(I468&lt;12,"Low-Term",I468&gt;=36,"Long-Term",TRUE,"Medium-Term")</f>
        <v>Medium-Term</v>
      </c>
      <c r="N468" t="str" cm="1">
        <f t="array" ref="N468">_xlfn.IFS(A468="Bad", "Review Required", AND(A468="Good",J468&gt;7000),"VIP Client", AND(A468="Good", J468&lt;=7000),"Standart Client")</f>
        <v>Standart Client</v>
      </c>
    </row>
    <row r="469" spans="1:14" x14ac:dyDescent="0.3">
      <c r="A469" t="s">
        <v>34</v>
      </c>
      <c r="B469" t="s">
        <v>78</v>
      </c>
      <c r="C469" t="s">
        <v>86</v>
      </c>
      <c r="D469" t="s">
        <v>101</v>
      </c>
      <c r="E469" t="s">
        <v>122</v>
      </c>
      <c r="F469" t="s">
        <v>123</v>
      </c>
      <c r="G469" t="s">
        <v>113</v>
      </c>
      <c r="H469" t="s">
        <v>121</v>
      </c>
      <c r="I469">
        <v>9</v>
      </c>
      <c r="J469" s="11">
        <v>2507</v>
      </c>
      <c r="K469">
        <v>51</v>
      </c>
      <c r="L469" t="str" cm="1">
        <f t="array" ref="L469">_xlfn.IFS(J469&gt;5000,"Hight",J469&gt;2000,"Medium",TRUE,"Low")</f>
        <v>Medium</v>
      </c>
      <c r="M469" t="str" cm="1">
        <f t="array" ref="M469">_xlfn.IFS(I469&lt;12,"Low-Term",I469&gt;=36,"Long-Term",TRUE,"Medium-Term")</f>
        <v>Low-Term</v>
      </c>
      <c r="N469" t="str" cm="1">
        <f t="array" ref="N469">_xlfn.IFS(A469="Bad", "Review Required", AND(A469="Good",J469&gt;7000),"VIP Client", AND(A469="Good", J469&lt;=7000),"Standart Client")</f>
        <v>Standart Client</v>
      </c>
    </row>
    <row r="470" spans="1:14" x14ac:dyDescent="0.3">
      <c r="A470" t="s">
        <v>34</v>
      </c>
      <c r="B470" t="s">
        <v>78</v>
      </c>
      <c r="C470" t="s">
        <v>89</v>
      </c>
      <c r="D470" t="s">
        <v>100</v>
      </c>
      <c r="E470" t="s">
        <v>122</v>
      </c>
      <c r="F470" t="s">
        <v>123</v>
      </c>
      <c r="G470" t="s">
        <v>114</v>
      </c>
      <c r="H470" t="s">
        <v>120</v>
      </c>
      <c r="I470">
        <v>12</v>
      </c>
      <c r="J470" s="11">
        <v>2141</v>
      </c>
      <c r="K470">
        <v>35</v>
      </c>
      <c r="L470" t="str" cm="1">
        <f t="array" ref="L470">_xlfn.IFS(J470&gt;5000,"Hight",J470&gt;2000,"Medium",TRUE,"Low")</f>
        <v>Medium</v>
      </c>
      <c r="M470" t="str" cm="1">
        <f t="array" ref="M470">_xlfn.IFS(I470&lt;12,"Low-Term",I470&gt;=36,"Long-Term",TRUE,"Medium-Term")</f>
        <v>Medium-Term</v>
      </c>
      <c r="N470" t="str" cm="1">
        <f t="array" ref="N470">_xlfn.IFS(A470="Bad", "Review Required", AND(A470="Good",J470&gt;7000),"VIP Client", AND(A470="Good", J470&lt;=7000),"Standart Client")</f>
        <v>Standart Client</v>
      </c>
    </row>
    <row r="471" spans="1:14" x14ac:dyDescent="0.3">
      <c r="A471" t="s">
        <v>34</v>
      </c>
      <c r="B471" t="s">
        <v>77</v>
      </c>
      <c r="C471" t="s">
        <v>89</v>
      </c>
      <c r="D471" t="s">
        <v>99</v>
      </c>
      <c r="E471" t="s">
        <v>122</v>
      </c>
      <c r="F471" t="s">
        <v>127</v>
      </c>
      <c r="G471" t="s">
        <v>113</v>
      </c>
      <c r="H471" t="s">
        <v>120</v>
      </c>
      <c r="I471">
        <v>18</v>
      </c>
      <c r="J471" s="11">
        <v>866</v>
      </c>
      <c r="K471">
        <v>25</v>
      </c>
      <c r="L471" t="str" cm="1">
        <f t="array" ref="L471">_xlfn.IFS(J471&gt;5000,"Hight",J471&gt;2000,"Medium",TRUE,"Low")</f>
        <v>Low</v>
      </c>
      <c r="M471" t="str" cm="1">
        <f t="array" ref="M471">_xlfn.IFS(I471&lt;12,"Low-Term",I471&gt;=36,"Long-Term",TRUE,"Medium-Term")</f>
        <v>Medium-Term</v>
      </c>
      <c r="N471" t="str" cm="1">
        <f t="array" ref="N471">_xlfn.IFS(A471="Bad", "Review Required", AND(A471="Good",J471&gt;7000),"VIP Client", AND(A471="Good", J471&lt;=7000),"Standart Client")</f>
        <v>Standart Client</v>
      </c>
    </row>
    <row r="472" spans="1:14" x14ac:dyDescent="0.3">
      <c r="A472" t="s">
        <v>34</v>
      </c>
      <c r="B472" t="s">
        <v>78</v>
      </c>
      <c r="C472" t="s">
        <v>89</v>
      </c>
      <c r="D472" t="s">
        <v>99</v>
      </c>
      <c r="E472" t="s">
        <v>122</v>
      </c>
      <c r="F472" t="s">
        <v>123</v>
      </c>
      <c r="G472" t="s">
        <v>113</v>
      </c>
      <c r="H472" t="s">
        <v>120</v>
      </c>
      <c r="I472">
        <v>4</v>
      </c>
      <c r="J472" s="11">
        <v>1544</v>
      </c>
      <c r="K472">
        <v>42</v>
      </c>
      <c r="L472" t="str" cm="1">
        <f t="array" ref="L472">_xlfn.IFS(J472&gt;5000,"Hight",J472&gt;2000,"Medium",TRUE,"Low")</f>
        <v>Low</v>
      </c>
      <c r="M472" t="str" cm="1">
        <f t="array" ref="M472">_xlfn.IFS(I472&lt;12,"Low-Term",I472&gt;=36,"Long-Term",TRUE,"Medium-Term")</f>
        <v>Low-Term</v>
      </c>
      <c r="N472" t="str" cm="1">
        <f t="array" ref="N472">_xlfn.IFS(A472="Bad", "Review Required", AND(A472="Good",J472&gt;7000),"VIP Client", AND(A472="Good", J472&lt;=7000),"Standart Client")</f>
        <v>Standart Client</v>
      </c>
    </row>
    <row r="473" spans="1:14" x14ac:dyDescent="0.3">
      <c r="A473" t="s">
        <v>34</v>
      </c>
      <c r="B473" t="s">
        <v>78</v>
      </c>
      <c r="C473" t="s">
        <v>89</v>
      </c>
      <c r="D473" t="s">
        <v>99</v>
      </c>
      <c r="E473" t="s">
        <v>124</v>
      </c>
      <c r="F473" t="s">
        <v>125</v>
      </c>
      <c r="G473" t="s">
        <v>114</v>
      </c>
      <c r="H473" t="s">
        <v>120</v>
      </c>
      <c r="I473">
        <v>12</v>
      </c>
      <c r="J473" s="11">
        <v>1291</v>
      </c>
      <c r="K473">
        <v>35</v>
      </c>
      <c r="L473" t="str" cm="1">
        <f t="array" ref="L473">_xlfn.IFS(J473&gt;5000,"Hight",J473&gt;2000,"Medium",TRUE,"Low")</f>
        <v>Low</v>
      </c>
      <c r="M473" t="str" cm="1">
        <f t="array" ref="M473">_xlfn.IFS(I473&lt;12,"Low-Term",I473&gt;=36,"Long-Term",TRUE,"Medium-Term")</f>
        <v>Medium-Term</v>
      </c>
      <c r="N473" t="str" cm="1">
        <f t="array" ref="N473">_xlfn.IFS(A473="Bad", "Review Required", AND(A473="Good",J473&gt;7000),"VIP Client", AND(A473="Good", J473&lt;=7000),"Standart Client")</f>
        <v>Standart Client</v>
      </c>
    </row>
    <row r="474" spans="1:14" x14ac:dyDescent="0.3">
      <c r="A474" t="s">
        <v>34</v>
      </c>
      <c r="B474" t="s">
        <v>80</v>
      </c>
      <c r="C474" t="s">
        <v>89</v>
      </c>
      <c r="D474" t="s">
        <v>99</v>
      </c>
      <c r="E474" t="s">
        <v>122</v>
      </c>
      <c r="F474" t="s">
        <v>123</v>
      </c>
      <c r="G474" t="s">
        <v>114</v>
      </c>
      <c r="H474" t="s">
        <v>120</v>
      </c>
      <c r="I474">
        <v>30</v>
      </c>
      <c r="J474" s="11">
        <v>2522</v>
      </c>
      <c r="K474">
        <v>39</v>
      </c>
      <c r="L474" t="str" cm="1">
        <f t="array" ref="L474">_xlfn.IFS(J474&gt;5000,"Hight",J474&gt;2000,"Medium",TRUE,"Low")</f>
        <v>Medium</v>
      </c>
      <c r="M474" t="str" cm="1">
        <f t="array" ref="M474">_xlfn.IFS(I474&lt;12,"Low-Term",I474&gt;=36,"Long-Term",TRUE,"Medium-Term")</f>
        <v>Medium-Term</v>
      </c>
      <c r="N474" t="str" cm="1">
        <f t="array" ref="N474">_xlfn.IFS(A474="Bad", "Review Required", AND(A474="Good",J474&gt;7000),"VIP Client", AND(A474="Good", J474&lt;=7000),"Standart Client")</f>
        <v>Standart Client</v>
      </c>
    </row>
    <row r="475" spans="1:14" x14ac:dyDescent="0.3">
      <c r="A475" t="s">
        <v>34</v>
      </c>
      <c r="B475" t="s">
        <v>78</v>
      </c>
      <c r="C475" t="s">
        <v>89</v>
      </c>
      <c r="D475" t="s">
        <v>99</v>
      </c>
      <c r="E475" t="s">
        <v>122</v>
      </c>
      <c r="F475" t="s">
        <v>123</v>
      </c>
      <c r="G475" t="s">
        <v>114</v>
      </c>
      <c r="H475" t="s">
        <v>120</v>
      </c>
      <c r="I475">
        <v>6</v>
      </c>
      <c r="J475" s="11">
        <v>1595</v>
      </c>
      <c r="K475">
        <v>51</v>
      </c>
      <c r="L475" t="str" cm="1">
        <f t="array" ref="L475">_xlfn.IFS(J475&gt;5000,"Hight",J475&gt;2000,"Medium",TRUE,"Low")</f>
        <v>Low</v>
      </c>
      <c r="M475" t="str" cm="1">
        <f t="array" ref="M475">_xlfn.IFS(I475&lt;12,"Low-Term",I475&gt;=36,"Long-Term",TRUE,"Medium-Term")</f>
        <v>Low-Term</v>
      </c>
      <c r="N475" t="str" cm="1">
        <f t="array" ref="N475">_xlfn.IFS(A475="Bad", "Review Required", AND(A475="Good",J475&gt;7000),"VIP Client", AND(A475="Good", J475&lt;=7000),"Standart Client")</f>
        <v>Standart Client</v>
      </c>
    </row>
    <row r="476" spans="1:14" x14ac:dyDescent="0.3">
      <c r="A476" t="s">
        <v>34</v>
      </c>
      <c r="B476" t="s">
        <v>78</v>
      </c>
      <c r="C476" t="s">
        <v>94</v>
      </c>
      <c r="D476" t="s">
        <v>99</v>
      </c>
      <c r="E476" t="s">
        <v>124</v>
      </c>
      <c r="F476" t="s">
        <v>125</v>
      </c>
      <c r="G476" t="s">
        <v>114</v>
      </c>
      <c r="H476" t="s">
        <v>120</v>
      </c>
      <c r="I476">
        <v>12</v>
      </c>
      <c r="J476" s="11">
        <v>1185</v>
      </c>
      <c r="K476">
        <v>27</v>
      </c>
      <c r="L476" t="str" cm="1">
        <f t="array" ref="L476">_xlfn.IFS(J476&gt;5000,"Hight",J476&gt;2000,"Medium",TRUE,"Low")</f>
        <v>Low</v>
      </c>
      <c r="M476" t="str" cm="1">
        <f t="array" ref="M476">_xlfn.IFS(I476&lt;12,"Low-Term",I476&gt;=36,"Long-Term",TRUE,"Medium-Term")</f>
        <v>Medium-Term</v>
      </c>
      <c r="N476" t="str" cm="1">
        <f t="array" ref="N476">_xlfn.IFS(A476="Bad", "Review Required", AND(A476="Good",J476&gt;7000),"VIP Client", AND(A476="Good", J476&lt;=7000),"Standart Client")</f>
        <v>Standart Client</v>
      </c>
    </row>
    <row r="477" spans="1:14" x14ac:dyDescent="0.3">
      <c r="A477" t="s">
        <v>34</v>
      </c>
      <c r="B477" t="s">
        <v>78</v>
      </c>
      <c r="C477" t="s">
        <v>93</v>
      </c>
      <c r="D477" t="s">
        <v>101</v>
      </c>
      <c r="E477" t="s">
        <v>124</v>
      </c>
      <c r="F477" t="s">
        <v>125</v>
      </c>
      <c r="G477" t="s">
        <v>113</v>
      </c>
      <c r="H477" t="s">
        <v>120</v>
      </c>
      <c r="I477">
        <v>12</v>
      </c>
      <c r="J477" s="11">
        <v>3447</v>
      </c>
      <c r="K477">
        <v>35</v>
      </c>
      <c r="L477" t="str" cm="1">
        <f t="array" ref="L477">_xlfn.IFS(J477&gt;5000,"Hight",J477&gt;2000,"Medium",TRUE,"Low")</f>
        <v>Medium</v>
      </c>
      <c r="M477" t="str" cm="1">
        <f t="array" ref="M477">_xlfn.IFS(I477&lt;12,"Low-Term",I477&gt;=36,"Long-Term",TRUE,"Medium-Term")</f>
        <v>Medium-Term</v>
      </c>
      <c r="N477" t="str" cm="1">
        <f t="array" ref="N477">_xlfn.IFS(A477="Bad", "Review Required", AND(A477="Good",J477&gt;7000),"VIP Client", AND(A477="Good", J477&lt;=7000),"Standart Client")</f>
        <v>Standart Client</v>
      </c>
    </row>
    <row r="478" spans="1:14" x14ac:dyDescent="0.3">
      <c r="A478" t="s">
        <v>34</v>
      </c>
      <c r="B478" t="s">
        <v>78</v>
      </c>
      <c r="C478" t="s">
        <v>94</v>
      </c>
      <c r="D478" t="s">
        <v>99</v>
      </c>
      <c r="E478" t="s">
        <v>122</v>
      </c>
      <c r="F478" t="s">
        <v>123</v>
      </c>
      <c r="G478" t="s">
        <v>114</v>
      </c>
      <c r="H478" t="s">
        <v>120</v>
      </c>
      <c r="I478">
        <v>24</v>
      </c>
      <c r="J478" s="11">
        <v>1258</v>
      </c>
      <c r="K478">
        <v>25</v>
      </c>
      <c r="L478" t="str" cm="1">
        <f t="array" ref="L478">_xlfn.IFS(J478&gt;5000,"Hight",J478&gt;2000,"Medium",TRUE,"Low")</f>
        <v>Low</v>
      </c>
      <c r="M478" t="str" cm="1">
        <f t="array" ref="M478">_xlfn.IFS(I478&lt;12,"Low-Term",I478&gt;=36,"Long-Term",TRUE,"Medium-Term")</f>
        <v>Medium-Term</v>
      </c>
      <c r="N478" t="str" cm="1">
        <f t="array" ref="N478">_xlfn.IFS(A478="Bad", "Review Required", AND(A478="Good",J478&gt;7000),"VIP Client", AND(A478="Good", J478&lt;=7000),"Standart Client")</f>
        <v>Standart Client</v>
      </c>
    </row>
    <row r="479" spans="1:14" x14ac:dyDescent="0.3">
      <c r="A479" t="s">
        <v>34</v>
      </c>
      <c r="B479" t="s">
        <v>78</v>
      </c>
      <c r="C479" t="s">
        <v>89</v>
      </c>
      <c r="D479" t="s">
        <v>99</v>
      </c>
      <c r="E479" t="s">
        <v>122</v>
      </c>
      <c r="F479" t="s">
        <v>123</v>
      </c>
      <c r="G479" t="s">
        <v>114</v>
      </c>
      <c r="H479" t="s">
        <v>120</v>
      </c>
      <c r="I479">
        <v>12</v>
      </c>
      <c r="J479" s="11">
        <v>717</v>
      </c>
      <c r="K479">
        <v>52</v>
      </c>
      <c r="L479" t="str" cm="1">
        <f t="array" ref="L479">_xlfn.IFS(J479&gt;5000,"Hight",J479&gt;2000,"Medium",TRUE,"Low")</f>
        <v>Low</v>
      </c>
      <c r="M479" t="str" cm="1">
        <f t="array" ref="M479">_xlfn.IFS(I479&lt;12,"Low-Term",I479&gt;=36,"Long-Term",TRUE,"Medium-Term")</f>
        <v>Medium-Term</v>
      </c>
      <c r="N479" t="str" cm="1">
        <f t="array" ref="N479">_xlfn.IFS(A479="Bad", "Review Required", AND(A479="Good",J479&gt;7000),"VIP Client", AND(A479="Good", J479&lt;=7000),"Standart Client")</f>
        <v>Standart Client</v>
      </c>
    </row>
    <row r="480" spans="1:14" x14ac:dyDescent="0.3">
      <c r="A480" t="s">
        <v>34</v>
      </c>
      <c r="B480" t="s">
        <v>78</v>
      </c>
      <c r="C480" t="s">
        <v>86</v>
      </c>
      <c r="D480" t="s">
        <v>100</v>
      </c>
      <c r="E480" t="s">
        <v>122</v>
      </c>
      <c r="F480" t="s">
        <v>123</v>
      </c>
      <c r="G480" t="s">
        <v>114</v>
      </c>
      <c r="H480" t="s">
        <v>119</v>
      </c>
      <c r="I480">
        <v>6</v>
      </c>
      <c r="J480" s="11">
        <v>1204</v>
      </c>
      <c r="K480">
        <v>35</v>
      </c>
      <c r="L480" t="str" cm="1">
        <f t="array" ref="L480">_xlfn.IFS(J480&gt;5000,"Hight",J480&gt;2000,"Medium",TRUE,"Low")</f>
        <v>Low</v>
      </c>
      <c r="M480" t="str" cm="1">
        <f t="array" ref="M480">_xlfn.IFS(I480&lt;12,"Low-Term",I480&gt;=36,"Long-Term",TRUE,"Medium-Term")</f>
        <v>Low-Term</v>
      </c>
      <c r="N480" t="str" cm="1">
        <f t="array" ref="N480">_xlfn.IFS(A480="Bad", "Review Required", AND(A480="Good",J480&gt;7000),"VIP Client", AND(A480="Good", J480&lt;=7000),"Standart Client")</f>
        <v>Standart Client</v>
      </c>
    </row>
    <row r="481" spans="1:14" x14ac:dyDescent="0.3">
      <c r="A481" t="s">
        <v>34</v>
      </c>
      <c r="B481" t="s">
        <v>81</v>
      </c>
      <c r="C481" t="s">
        <v>88</v>
      </c>
      <c r="D481" t="s">
        <v>99</v>
      </c>
      <c r="E481" t="s">
        <v>122</v>
      </c>
      <c r="F481" t="s">
        <v>123</v>
      </c>
      <c r="G481" t="s">
        <v>114</v>
      </c>
      <c r="H481" t="s">
        <v>120</v>
      </c>
      <c r="I481">
        <v>24</v>
      </c>
      <c r="J481" s="11">
        <v>1925</v>
      </c>
      <c r="K481">
        <v>26</v>
      </c>
      <c r="L481" t="str" cm="1">
        <f t="array" ref="L481">_xlfn.IFS(J481&gt;5000,"Hight",J481&gt;2000,"Medium",TRUE,"Low")</f>
        <v>Low</v>
      </c>
      <c r="M481" t="str" cm="1">
        <f t="array" ref="M481">_xlfn.IFS(I481&lt;12,"Low-Term",I481&gt;=36,"Long-Term",TRUE,"Medium-Term")</f>
        <v>Medium-Term</v>
      </c>
      <c r="N481" t="str" cm="1">
        <f t="array" ref="N481">_xlfn.IFS(A481="Bad", "Review Required", AND(A481="Good",J481&gt;7000),"VIP Client", AND(A481="Good", J481&lt;=7000),"Standart Client")</f>
        <v>Standart Client</v>
      </c>
    </row>
    <row r="482" spans="1:14" x14ac:dyDescent="0.3">
      <c r="A482" t="s">
        <v>34</v>
      </c>
      <c r="B482" t="s">
        <v>80</v>
      </c>
      <c r="C482" t="s">
        <v>86</v>
      </c>
      <c r="D482" t="s">
        <v>102</v>
      </c>
      <c r="E482" t="s">
        <v>124</v>
      </c>
      <c r="F482" t="s">
        <v>125</v>
      </c>
      <c r="G482" t="s">
        <v>113</v>
      </c>
      <c r="H482" t="s">
        <v>120</v>
      </c>
      <c r="I482">
        <v>6</v>
      </c>
      <c r="J482" s="11">
        <v>666</v>
      </c>
      <c r="K482">
        <v>39</v>
      </c>
      <c r="L482" t="str" cm="1">
        <f t="array" ref="L482">_xlfn.IFS(J482&gt;5000,"Hight",J482&gt;2000,"Medium",TRUE,"Low")</f>
        <v>Low</v>
      </c>
      <c r="M482" t="str" cm="1">
        <f t="array" ref="M482">_xlfn.IFS(I482&lt;12,"Low-Term",I482&gt;=36,"Long-Term",TRUE,"Medium-Term")</f>
        <v>Low-Term</v>
      </c>
      <c r="N482" t="str" cm="1">
        <f t="array" ref="N482">_xlfn.IFS(A482="Bad", "Review Required", AND(A482="Good",J482&gt;7000),"VIP Client", AND(A482="Good", J482&lt;=7000),"Standart Client")</f>
        <v>Standart Client</v>
      </c>
    </row>
    <row r="483" spans="1:14" x14ac:dyDescent="0.3">
      <c r="A483" t="s">
        <v>34</v>
      </c>
      <c r="B483" t="s">
        <v>81</v>
      </c>
      <c r="C483" t="s">
        <v>88</v>
      </c>
      <c r="D483" t="s">
        <v>99</v>
      </c>
      <c r="E483" t="s">
        <v>124</v>
      </c>
      <c r="F483" t="s">
        <v>125</v>
      </c>
      <c r="G483" t="s">
        <v>113</v>
      </c>
      <c r="H483" t="s">
        <v>120</v>
      </c>
      <c r="I483">
        <v>12</v>
      </c>
      <c r="J483" s="11">
        <v>2251</v>
      </c>
      <c r="K483">
        <v>46</v>
      </c>
      <c r="L483" t="str" cm="1">
        <f t="array" ref="L483">_xlfn.IFS(J483&gt;5000,"Hight",J483&gt;2000,"Medium",TRUE,"Low")</f>
        <v>Medium</v>
      </c>
      <c r="M483" t="str" cm="1">
        <f t="array" ref="M483">_xlfn.IFS(I483&lt;12,"Low-Term",I483&gt;=36,"Long-Term",TRUE,"Medium-Term")</f>
        <v>Medium-Term</v>
      </c>
      <c r="N483" t="str" cm="1">
        <f t="array" ref="N483">_xlfn.IFS(A483="Bad", "Review Required", AND(A483="Good",J483&gt;7000),"VIP Client", AND(A483="Good", J483&lt;=7000),"Standart Client")</f>
        <v>Standart Client</v>
      </c>
    </row>
    <row r="484" spans="1:14" x14ac:dyDescent="0.3">
      <c r="A484" t="s">
        <v>34</v>
      </c>
      <c r="B484" t="s">
        <v>78</v>
      </c>
      <c r="C484" t="s">
        <v>88</v>
      </c>
      <c r="D484" t="s">
        <v>100</v>
      </c>
      <c r="E484" t="s">
        <v>122</v>
      </c>
      <c r="F484" t="s">
        <v>123</v>
      </c>
      <c r="G484" t="s">
        <v>114</v>
      </c>
      <c r="H484" t="s">
        <v>120</v>
      </c>
      <c r="I484">
        <v>24</v>
      </c>
      <c r="J484" s="11">
        <v>4151</v>
      </c>
      <c r="K484">
        <v>35</v>
      </c>
      <c r="L484" t="str" cm="1">
        <f t="array" ref="L484">_xlfn.IFS(J484&gt;5000,"Hight",J484&gt;2000,"Medium",TRUE,"Low")</f>
        <v>Medium</v>
      </c>
      <c r="M484" t="str" cm="1">
        <f t="array" ref="M484">_xlfn.IFS(I484&lt;12,"Low-Term",I484&gt;=36,"Long-Term",TRUE,"Medium-Term")</f>
        <v>Medium-Term</v>
      </c>
      <c r="N484" t="str" cm="1">
        <f t="array" ref="N484">_xlfn.IFS(A484="Bad", "Review Required", AND(A484="Good",J484&gt;7000),"VIP Client", AND(A484="Good", J484&lt;=7000),"Standart Client")</f>
        <v>Standart Client</v>
      </c>
    </row>
    <row r="485" spans="1:14" x14ac:dyDescent="0.3">
      <c r="A485" t="s">
        <v>34</v>
      </c>
      <c r="B485" t="s">
        <v>77</v>
      </c>
      <c r="C485" t="s">
        <v>88</v>
      </c>
      <c r="D485" t="s">
        <v>78</v>
      </c>
      <c r="E485" t="s">
        <v>122</v>
      </c>
      <c r="F485" t="s">
        <v>123</v>
      </c>
      <c r="G485" t="s">
        <v>114</v>
      </c>
      <c r="H485" t="s">
        <v>120</v>
      </c>
      <c r="I485">
        <v>9</v>
      </c>
      <c r="J485" s="11">
        <v>2030</v>
      </c>
      <c r="K485">
        <v>24</v>
      </c>
      <c r="L485" t="str" cm="1">
        <f t="array" ref="L485">_xlfn.IFS(J485&gt;5000,"Hight",J485&gt;2000,"Medium",TRUE,"Low")</f>
        <v>Medium</v>
      </c>
      <c r="M485" t="str" cm="1">
        <f t="array" ref="M485">_xlfn.IFS(I485&lt;12,"Low-Term",I485&gt;=36,"Long-Term",TRUE,"Medium-Term")</f>
        <v>Low-Term</v>
      </c>
      <c r="N485" t="str" cm="1">
        <f t="array" ref="N485">_xlfn.IFS(A485="Bad", "Review Required", AND(A485="Good",J485&gt;7000),"VIP Client", AND(A485="Good", J485&lt;=7000),"Standart Client")</f>
        <v>Standart Client</v>
      </c>
    </row>
    <row r="486" spans="1:14" x14ac:dyDescent="0.3">
      <c r="A486" t="s">
        <v>34</v>
      </c>
      <c r="B486" t="s">
        <v>77</v>
      </c>
      <c r="C486" t="s">
        <v>89</v>
      </c>
      <c r="D486" t="s">
        <v>78</v>
      </c>
      <c r="E486" t="s">
        <v>122</v>
      </c>
      <c r="F486" t="s">
        <v>123</v>
      </c>
      <c r="G486" t="s">
        <v>113</v>
      </c>
      <c r="H486" t="s">
        <v>120</v>
      </c>
      <c r="I486">
        <v>60</v>
      </c>
      <c r="J486" s="11">
        <v>7418</v>
      </c>
      <c r="K486">
        <v>27</v>
      </c>
      <c r="L486" t="str" cm="1">
        <f t="array" ref="L486">_xlfn.IFS(J486&gt;5000,"Hight",J486&gt;2000,"Medium",TRUE,"Low")</f>
        <v>Hight</v>
      </c>
      <c r="M486" t="str" cm="1">
        <f t="array" ref="M486">_xlfn.IFS(I486&lt;12,"Low-Term",I486&gt;=36,"Long-Term",TRUE,"Medium-Term")</f>
        <v>Long-Term</v>
      </c>
      <c r="N486" t="str" cm="1">
        <f t="array" ref="N486">_xlfn.IFS(A486="Bad", "Review Required", AND(A486="Good",J486&gt;7000),"VIP Client", AND(A486="Good", J486&lt;=7000),"Standart Client")</f>
        <v>VIP Client</v>
      </c>
    </row>
    <row r="487" spans="1:14" x14ac:dyDescent="0.3">
      <c r="A487" t="s">
        <v>34</v>
      </c>
      <c r="B487" t="s">
        <v>78</v>
      </c>
      <c r="C487" t="s">
        <v>89</v>
      </c>
      <c r="D487" t="s">
        <v>99</v>
      </c>
      <c r="E487" t="s">
        <v>122</v>
      </c>
      <c r="F487" t="s">
        <v>123</v>
      </c>
      <c r="G487" t="s">
        <v>113</v>
      </c>
      <c r="H487" t="s">
        <v>120</v>
      </c>
      <c r="I487">
        <v>24</v>
      </c>
      <c r="J487" s="11">
        <v>2684</v>
      </c>
      <c r="K487">
        <v>35</v>
      </c>
      <c r="L487" t="str" cm="1">
        <f t="array" ref="L487">_xlfn.IFS(J487&gt;5000,"Hight",J487&gt;2000,"Medium",TRUE,"Low")</f>
        <v>Medium</v>
      </c>
      <c r="M487" t="str" cm="1">
        <f t="array" ref="M487">_xlfn.IFS(I487&lt;12,"Low-Term",I487&gt;=36,"Long-Term",TRUE,"Medium-Term")</f>
        <v>Medium-Term</v>
      </c>
      <c r="N487" t="str" cm="1">
        <f t="array" ref="N487">_xlfn.IFS(A487="Bad", "Review Required", AND(A487="Good",J487&gt;7000),"VIP Client", AND(A487="Good", J487&lt;=7000),"Standart Client")</f>
        <v>Standart Client</v>
      </c>
    </row>
    <row r="488" spans="1:14" x14ac:dyDescent="0.3">
      <c r="A488" t="s">
        <v>34</v>
      </c>
      <c r="B488" t="s">
        <v>78</v>
      </c>
      <c r="C488" t="s">
        <v>87</v>
      </c>
      <c r="D488" t="s">
        <v>100</v>
      </c>
      <c r="E488" t="s">
        <v>124</v>
      </c>
      <c r="F488" t="s">
        <v>125</v>
      </c>
      <c r="G488" t="s">
        <v>114</v>
      </c>
      <c r="H488" t="s">
        <v>120</v>
      </c>
      <c r="I488">
        <v>15</v>
      </c>
      <c r="J488" s="11">
        <v>3812</v>
      </c>
      <c r="K488">
        <v>23</v>
      </c>
      <c r="L488" t="str" cm="1">
        <f t="array" ref="L488">_xlfn.IFS(J488&gt;5000,"Hight",J488&gt;2000,"Medium",TRUE,"Low")</f>
        <v>Medium</v>
      </c>
      <c r="M488" t="str" cm="1">
        <f t="array" ref="M488">_xlfn.IFS(I488&lt;12,"Low-Term",I488&gt;=36,"Long-Term",TRUE,"Medium-Term")</f>
        <v>Medium-Term</v>
      </c>
      <c r="N488" t="str" cm="1">
        <f t="array" ref="N488">_xlfn.IFS(A488="Bad", "Review Required", AND(A488="Good",J488&gt;7000),"VIP Client", AND(A488="Good", J488&lt;=7000),"Standart Client")</f>
        <v>Standart Client</v>
      </c>
    </row>
    <row r="489" spans="1:14" x14ac:dyDescent="0.3">
      <c r="A489" t="s">
        <v>34</v>
      </c>
      <c r="B489" t="s">
        <v>78</v>
      </c>
      <c r="C489" t="s">
        <v>89</v>
      </c>
      <c r="D489" t="s">
        <v>100</v>
      </c>
      <c r="E489" t="s">
        <v>124</v>
      </c>
      <c r="F489" t="s">
        <v>125</v>
      </c>
      <c r="G489" t="s">
        <v>113</v>
      </c>
      <c r="H489" t="s">
        <v>120</v>
      </c>
      <c r="I489">
        <v>11</v>
      </c>
      <c r="J489" s="11">
        <v>1154</v>
      </c>
      <c r="K489">
        <v>57</v>
      </c>
      <c r="L489" t="str" cm="1">
        <f t="array" ref="L489">_xlfn.IFS(J489&gt;5000,"Hight",J489&gt;2000,"Medium",TRUE,"Low")</f>
        <v>Low</v>
      </c>
      <c r="M489" t="str" cm="1">
        <f t="array" ref="M489">_xlfn.IFS(I489&lt;12,"Low-Term",I489&gt;=36,"Long-Term",TRUE,"Medium-Term")</f>
        <v>Low-Term</v>
      </c>
      <c r="N489" t="str" cm="1">
        <f t="array" ref="N489">_xlfn.IFS(A489="Bad", "Review Required", AND(A489="Good",J489&gt;7000),"VIP Client", AND(A489="Good", J489&lt;=7000),"Standart Client")</f>
        <v>Standart Client</v>
      </c>
    </row>
    <row r="490" spans="1:14" x14ac:dyDescent="0.3">
      <c r="A490" t="s">
        <v>34</v>
      </c>
      <c r="B490" t="s">
        <v>80</v>
      </c>
      <c r="C490" t="s">
        <v>88</v>
      </c>
      <c r="D490" t="s">
        <v>99</v>
      </c>
      <c r="E490" t="s">
        <v>122</v>
      </c>
      <c r="F490" t="s">
        <v>123</v>
      </c>
      <c r="G490" t="s">
        <v>114</v>
      </c>
      <c r="H490" t="s">
        <v>120</v>
      </c>
      <c r="I490">
        <v>12</v>
      </c>
      <c r="J490" s="11">
        <v>1657</v>
      </c>
      <c r="K490">
        <v>27</v>
      </c>
      <c r="L490" t="str" cm="1">
        <f t="array" ref="L490">_xlfn.IFS(J490&gt;5000,"Hight",J490&gt;2000,"Medium",TRUE,"Low")</f>
        <v>Low</v>
      </c>
      <c r="M490" t="str" cm="1">
        <f t="array" ref="M490">_xlfn.IFS(I490&lt;12,"Low-Term",I490&gt;=36,"Long-Term",TRUE,"Medium-Term")</f>
        <v>Medium-Term</v>
      </c>
      <c r="N490" t="str" cm="1">
        <f t="array" ref="N490">_xlfn.IFS(A490="Bad", "Review Required", AND(A490="Good",J490&gt;7000),"VIP Client", AND(A490="Good", J490&lt;=7000),"Standart Client")</f>
        <v>Standart Client</v>
      </c>
    </row>
    <row r="491" spans="1:14" x14ac:dyDescent="0.3">
      <c r="A491" t="s">
        <v>34</v>
      </c>
      <c r="B491" t="s">
        <v>80</v>
      </c>
      <c r="C491" t="s">
        <v>89</v>
      </c>
      <c r="D491" t="s">
        <v>99</v>
      </c>
      <c r="E491" t="s">
        <v>124</v>
      </c>
      <c r="F491" t="s">
        <v>125</v>
      </c>
      <c r="G491" t="s">
        <v>114</v>
      </c>
      <c r="H491" t="s">
        <v>120</v>
      </c>
      <c r="I491">
        <v>24</v>
      </c>
      <c r="J491" s="11">
        <v>1603</v>
      </c>
      <c r="K491">
        <v>55</v>
      </c>
      <c r="L491" t="str" cm="1">
        <f t="array" ref="L491">_xlfn.IFS(J491&gt;5000,"Hight",J491&gt;2000,"Medium",TRUE,"Low")</f>
        <v>Low</v>
      </c>
      <c r="M491" t="str" cm="1">
        <f t="array" ref="M491">_xlfn.IFS(I491&lt;12,"Low-Term",I491&gt;=36,"Long-Term",TRUE,"Medium-Term")</f>
        <v>Medium-Term</v>
      </c>
      <c r="N491" t="str" cm="1">
        <f t="array" ref="N491">_xlfn.IFS(A491="Bad", "Review Required", AND(A491="Good",J491&gt;7000),"VIP Client", AND(A491="Good", J491&lt;=7000),"Standart Client")</f>
        <v>Standart Client</v>
      </c>
    </row>
    <row r="492" spans="1:14" x14ac:dyDescent="0.3">
      <c r="A492" t="s">
        <v>34</v>
      </c>
      <c r="B492" t="s">
        <v>80</v>
      </c>
      <c r="C492" t="s">
        <v>86</v>
      </c>
      <c r="D492" t="s">
        <v>99</v>
      </c>
      <c r="E492" t="s">
        <v>122</v>
      </c>
      <c r="F492" t="s">
        <v>123</v>
      </c>
      <c r="G492" t="s">
        <v>115</v>
      </c>
      <c r="H492" t="s">
        <v>121</v>
      </c>
      <c r="I492">
        <v>18</v>
      </c>
      <c r="J492" s="11">
        <v>5302</v>
      </c>
      <c r="K492">
        <v>36</v>
      </c>
      <c r="L492" t="str" cm="1">
        <f t="array" ref="L492">_xlfn.IFS(J492&gt;5000,"Hight",J492&gt;2000,"Medium",TRUE,"Low")</f>
        <v>Hight</v>
      </c>
      <c r="M492" t="str" cm="1">
        <f t="array" ref="M492">_xlfn.IFS(I492&lt;12,"Low-Term",I492&gt;=36,"Long-Term",TRUE,"Medium-Term")</f>
        <v>Medium-Term</v>
      </c>
      <c r="N492" t="str" cm="1">
        <f t="array" ref="N492">_xlfn.IFS(A492="Bad", "Review Required", AND(A492="Good",J492&gt;7000),"VIP Client", AND(A492="Good", J492&lt;=7000),"Standart Client")</f>
        <v>Standart Client</v>
      </c>
    </row>
    <row r="493" spans="1:14" x14ac:dyDescent="0.3">
      <c r="A493" t="s">
        <v>34</v>
      </c>
      <c r="B493" t="s">
        <v>78</v>
      </c>
      <c r="C493" t="s">
        <v>92</v>
      </c>
      <c r="D493" t="s">
        <v>99</v>
      </c>
      <c r="E493" t="s">
        <v>124</v>
      </c>
      <c r="F493" t="s">
        <v>125</v>
      </c>
      <c r="G493" t="s">
        <v>113</v>
      </c>
      <c r="H493" t="s">
        <v>121</v>
      </c>
      <c r="I493">
        <v>12</v>
      </c>
      <c r="J493" s="11">
        <v>2748</v>
      </c>
      <c r="K493">
        <v>57</v>
      </c>
      <c r="L493" t="str" cm="1">
        <f t="array" ref="L493">_xlfn.IFS(J493&gt;5000,"Hight",J493&gt;2000,"Medium",TRUE,"Low")</f>
        <v>Medium</v>
      </c>
      <c r="M493" t="str" cm="1">
        <f t="array" ref="M493">_xlfn.IFS(I493&lt;12,"Low-Term",I493&gt;=36,"Long-Term",TRUE,"Medium-Term")</f>
        <v>Medium-Term</v>
      </c>
      <c r="N493" t="str" cm="1">
        <f t="array" ref="N493">_xlfn.IFS(A493="Bad", "Review Required", AND(A493="Good",J493&gt;7000),"VIP Client", AND(A493="Good", J493&lt;=7000),"Standart Client")</f>
        <v>Standart Client</v>
      </c>
    </row>
    <row r="494" spans="1:14" x14ac:dyDescent="0.3">
      <c r="A494" t="s">
        <v>34</v>
      </c>
      <c r="B494" t="s">
        <v>78</v>
      </c>
      <c r="C494" t="s">
        <v>86</v>
      </c>
      <c r="D494" t="s">
        <v>99</v>
      </c>
      <c r="E494" t="s">
        <v>122</v>
      </c>
      <c r="F494" t="s">
        <v>123</v>
      </c>
      <c r="G494" t="s">
        <v>113</v>
      </c>
      <c r="H494" t="s">
        <v>120</v>
      </c>
      <c r="I494">
        <v>10</v>
      </c>
      <c r="J494" s="11">
        <v>1231</v>
      </c>
      <c r="K494">
        <v>32</v>
      </c>
      <c r="L494" t="str" cm="1">
        <f t="array" ref="L494">_xlfn.IFS(J494&gt;5000,"Hight",J494&gt;2000,"Medium",TRUE,"Low")</f>
        <v>Low</v>
      </c>
      <c r="M494" t="str" cm="1">
        <f t="array" ref="M494">_xlfn.IFS(I494&lt;12,"Low-Term",I494&gt;=36,"Long-Term",TRUE,"Medium-Term")</f>
        <v>Low-Term</v>
      </c>
      <c r="N494" t="str" cm="1">
        <f t="array" ref="N494">_xlfn.IFS(A494="Bad", "Review Required", AND(A494="Good",J494&gt;7000),"VIP Client", AND(A494="Good", J494&lt;=7000),"Standart Client")</f>
        <v>Standart Client</v>
      </c>
    </row>
    <row r="495" spans="1:14" x14ac:dyDescent="0.3">
      <c r="A495" t="s">
        <v>34</v>
      </c>
      <c r="B495" t="s">
        <v>78</v>
      </c>
      <c r="C495" t="s">
        <v>94</v>
      </c>
      <c r="D495" t="s">
        <v>78</v>
      </c>
      <c r="E495" t="s">
        <v>122</v>
      </c>
      <c r="F495" t="s">
        <v>123</v>
      </c>
      <c r="G495" t="s">
        <v>114</v>
      </c>
      <c r="H495" t="s">
        <v>120</v>
      </c>
      <c r="I495">
        <v>36</v>
      </c>
      <c r="J495" s="11">
        <v>6304</v>
      </c>
      <c r="K495">
        <v>36</v>
      </c>
      <c r="L495" t="str" cm="1">
        <f t="array" ref="L495">_xlfn.IFS(J495&gt;5000,"Hight",J495&gt;2000,"Medium",TRUE,"Low")</f>
        <v>Hight</v>
      </c>
      <c r="M495" t="str" cm="1">
        <f t="array" ref="M495">_xlfn.IFS(I495&lt;12,"Low-Term",I495&gt;=36,"Long-Term",TRUE,"Medium-Term")</f>
        <v>Long-Term</v>
      </c>
      <c r="N495" t="str" cm="1">
        <f t="array" ref="N495">_xlfn.IFS(A495="Bad", "Review Required", AND(A495="Good",J495&gt;7000),"VIP Client", AND(A495="Good", J495&lt;=7000),"Standart Client")</f>
        <v>Standart Client</v>
      </c>
    </row>
    <row r="496" spans="1:14" x14ac:dyDescent="0.3">
      <c r="A496" t="s">
        <v>34</v>
      </c>
      <c r="B496" t="s">
        <v>78</v>
      </c>
      <c r="C496" t="s">
        <v>89</v>
      </c>
      <c r="D496" t="s">
        <v>99</v>
      </c>
      <c r="E496" t="s">
        <v>124</v>
      </c>
      <c r="F496" t="s">
        <v>125</v>
      </c>
      <c r="G496" t="s">
        <v>114</v>
      </c>
      <c r="H496" t="s">
        <v>120</v>
      </c>
      <c r="I496">
        <v>24</v>
      </c>
      <c r="J496" s="11">
        <v>1533</v>
      </c>
      <c r="K496">
        <v>38</v>
      </c>
      <c r="L496" t="str" cm="1">
        <f t="array" ref="L496">_xlfn.IFS(J496&gt;5000,"Hight",J496&gt;2000,"Medium",TRUE,"Low")</f>
        <v>Low</v>
      </c>
      <c r="M496" t="str" cm="1">
        <f t="array" ref="M496">_xlfn.IFS(I496&lt;12,"Low-Term",I496&gt;=36,"Long-Term",TRUE,"Medium-Term")</f>
        <v>Medium-Term</v>
      </c>
      <c r="N496" t="str" cm="1">
        <f t="array" ref="N496">_xlfn.IFS(A496="Bad", "Review Required", AND(A496="Good",J496&gt;7000),"VIP Client", AND(A496="Good", J496&lt;=7000),"Standart Client")</f>
        <v>Standart Client</v>
      </c>
    </row>
    <row r="497" spans="1:14" x14ac:dyDescent="0.3">
      <c r="A497" t="s">
        <v>34</v>
      </c>
      <c r="B497" t="s">
        <v>78</v>
      </c>
      <c r="C497" t="s">
        <v>89</v>
      </c>
      <c r="D497" t="s">
        <v>78</v>
      </c>
      <c r="E497" t="s">
        <v>122</v>
      </c>
      <c r="F497" t="s">
        <v>123</v>
      </c>
      <c r="G497" t="s">
        <v>114</v>
      </c>
      <c r="H497" t="s">
        <v>120</v>
      </c>
      <c r="I497">
        <v>24</v>
      </c>
      <c r="J497" s="11">
        <v>999</v>
      </c>
      <c r="K497">
        <v>25</v>
      </c>
      <c r="L497" t="str" cm="1">
        <f t="array" ref="L497">_xlfn.IFS(J497&gt;5000,"Hight",J497&gt;2000,"Medium",TRUE,"Low")</f>
        <v>Low</v>
      </c>
      <c r="M497" t="str" cm="1">
        <f t="array" ref="M497">_xlfn.IFS(I497&lt;12,"Low-Term",I497&gt;=36,"Long-Term",TRUE,"Medium-Term")</f>
        <v>Medium-Term</v>
      </c>
      <c r="N497" t="str" cm="1">
        <f t="array" ref="N497">_xlfn.IFS(A497="Bad", "Review Required", AND(A497="Good",J497&gt;7000),"VIP Client", AND(A497="Good", J497&lt;=7000),"Standart Client")</f>
        <v>Standart Client</v>
      </c>
    </row>
    <row r="498" spans="1:14" x14ac:dyDescent="0.3">
      <c r="A498" t="s">
        <v>34</v>
      </c>
      <c r="B498" t="s">
        <v>78</v>
      </c>
      <c r="C498" t="s">
        <v>86</v>
      </c>
      <c r="D498" t="s">
        <v>78</v>
      </c>
      <c r="E498" t="s">
        <v>122</v>
      </c>
      <c r="F498" t="s">
        <v>123</v>
      </c>
      <c r="G498" t="s">
        <v>114</v>
      </c>
      <c r="H498" t="s">
        <v>120</v>
      </c>
      <c r="I498">
        <v>18</v>
      </c>
      <c r="J498" s="11">
        <v>2662</v>
      </c>
      <c r="K498">
        <v>32</v>
      </c>
      <c r="L498" t="str" cm="1">
        <f t="array" ref="L498">_xlfn.IFS(J498&gt;5000,"Hight",J498&gt;2000,"Medium",TRUE,"Low")</f>
        <v>Medium</v>
      </c>
      <c r="M498" t="str" cm="1">
        <f t="array" ref="M498">_xlfn.IFS(I498&lt;12,"Low-Term",I498&gt;=36,"Long-Term",TRUE,"Medium-Term")</f>
        <v>Medium-Term</v>
      </c>
      <c r="N498" t="str" cm="1">
        <f t="array" ref="N498">_xlfn.IFS(A498="Bad", "Review Required", AND(A498="Good",J498&gt;7000),"VIP Client", AND(A498="Good", J498&lt;=7000),"Standart Client")</f>
        <v>Standart Client</v>
      </c>
    </row>
    <row r="499" spans="1:14" x14ac:dyDescent="0.3">
      <c r="A499" t="s">
        <v>34</v>
      </c>
      <c r="B499" t="s">
        <v>78</v>
      </c>
      <c r="C499" t="s">
        <v>88</v>
      </c>
      <c r="D499" t="s">
        <v>101</v>
      </c>
      <c r="E499" t="s">
        <v>124</v>
      </c>
      <c r="F499" t="s">
        <v>125</v>
      </c>
      <c r="G499" t="s">
        <v>114</v>
      </c>
      <c r="H499" t="s">
        <v>119</v>
      </c>
      <c r="I499">
        <v>12</v>
      </c>
      <c r="J499" s="11">
        <v>1402</v>
      </c>
      <c r="K499">
        <v>37</v>
      </c>
      <c r="L499" t="str" cm="1">
        <f t="array" ref="L499">_xlfn.IFS(J499&gt;5000,"Hight",J499&gt;2000,"Medium",TRUE,"Low")</f>
        <v>Low</v>
      </c>
      <c r="M499" t="str" cm="1">
        <f t="array" ref="M499">_xlfn.IFS(I499&lt;12,"Low-Term",I499&gt;=36,"Long-Term",TRUE,"Medium-Term")</f>
        <v>Medium-Term</v>
      </c>
      <c r="N499" t="str" cm="1">
        <f t="array" ref="N499">_xlfn.IFS(A499="Bad", "Review Required", AND(A499="Good",J499&gt;7000),"VIP Client", AND(A499="Good", J499&lt;=7000),"Standart Client")</f>
        <v>Standart Client</v>
      </c>
    </row>
    <row r="500" spans="1:14" x14ac:dyDescent="0.3">
      <c r="A500" t="s">
        <v>34</v>
      </c>
      <c r="B500" t="s">
        <v>77</v>
      </c>
      <c r="C500" t="s">
        <v>86</v>
      </c>
      <c r="D500" t="s">
        <v>78</v>
      </c>
      <c r="E500" t="s">
        <v>122</v>
      </c>
      <c r="F500" t="s">
        <v>123</v>
      </c>
      <c r="G500" t="s">
        <v>115</v>
      </c>
      <c r="H500" t="s">
        <v>121</v>
      </c>
      <c r="I500">
        <v>48</v>
      </c>
      <c r="J500" s="11">
        <v>12169</v>
      </c>
      <c r="K500">
        <v>36</v>
      </c>
      <c r="L500" t="str" cm="1">
        <f t="array" ref="L500">_xlfn.IFS(J500&gt;5000,"Hight",J500&gt;2000,"Medium",TRUE,"Low")</f>
        <v>Hight</v>
      </c>
      <c r="M500" t="str" cm="1">
        <f t="array" ref="M500">_xlfn.IFS(I500&lt;12,"Low-Term",I500&gt;=36,"Long-Term",TRUE,"Medium-Term")</f>
        <v>Long-Term</v>
      </c>
      <c r="N500" t="str" cm="1">
        <f t="array" ref="N500">_xlfn.IFS(A500="Bad", "Review Required", AND(A500="Good",J500&gt;7000),"VIP Client", AND(A500="Good", J500&lt;=7000),"Standart Client")</f>
        <v>VIP Client</v>
      </c>
    </row>
    <row r="501" spans="1:14" x14ac:dyDescent="0.3">
      <c r="A501" t="s">
        <v>34</v>
      </c>
      <c r="B501" t="s">
        <v>78</v>
      </c>
      <c r="C501" t="s">
        <v>89</v>
      </c>
      <c r="D501" t="s">
        <v>99</v>
      </c>
      <c r="E501" t="s">
        <v>122</v>
      </c>
      <c r="F501" t="s">
        <v>123</v>
      </c>
      <c r="G501" t="s">
        <v>114</v>
      </c>
      <c r="H501" t="s">
        <v>120</v>
      </c>
      <c r="I501">
        <v>9</v>
      </c>
      <c r="J501" s="11">
        <v>2697</v>
      </c>
      <c r="K501">
        <v>32</v>
      </c>
      <c r="L501" t="str" cm="1">
        <f t="array" ref="L501">_xlfn.IFS(J501&gt;5000,"Hight",J501&gt;2000,"Medium",TRUE,"Low")</f>
        <v>Medium</v>
      </c>
      <c r="M501" t="str" cm="1">
        <f t="array" ref="M501">_xlfn.IFS(I501&lt;12,"Low-Term",I501&gt;=36,"Long-Term",TRUE,"Medium-Term")</f>
        <v>Low-Term</v>
      </c>
      <c r="N501" t="str" cm="1">
        <f t="array" ref="N501">_xlfn.IFS(A501="Bad", "Review Required", AND(A501="Good",J501&gt;7000),"VIP Client", AND(A501="Good", J501&lt;=7000),"Standart Client")</f>
        <v>Standart Client</v>
      </c>
    </row>
    <row r="502" spans="1:14" x14ac:dyDescent="0.3">
      <c r="A502" t="s">
        <v>34</v>
      </c>
      <c r="B502" t="s">
        <v>78</v>
      </c>
      <c r="C502" t="s">
        <v>89</v>
      </c>
      <c r="D502" t="s">
        <v>99</v>
      </c>
      <c r="E502" t="s">
        <v>124</v>
      </c>
      <c r="F502" t="s">
        <v>125</v>
      </c>
      <c r="G502" t="s">
        <v>114</v>
      </c>
      <c r="H502" t="s">
        <v>120</v>
      </c>
      <c r="I502">
        <v>18</v>
      </c>
      <c r="J502" s="11">
        <v>2404</v>
      </c>
      <c r="K502">
        <v>26</v>
      </c>
      <c r="L502" t="str" cm="1">
        <f t="array" ref="L502">_xlfn.IFS(J502&gt;5000,"Hight",J502&gt;2000,"Medium",TRUE,"Low")</f>
        <v>Medium</v>
      </c>
      <c r="M502" t="str" cm="1">
        <f t="array" ref="M502">_xlfn.IFS(I502&lt;12,"Low-Term",I502&gt;=36,"Long-Term",TRUE,"Medium-Term")</f>
        <v>Medium-Term</v>
      </c>
      <c r="N502" t="str" cm="1">
        <f t="array" ref="N502">_xlfn.IFS(A502="Bad", "Review Required", AND(A502="Good",J502&gt;7000),"VIP Client", AND(A502="Good", J502&lt;=7000),"Standart Client")</f>
        <v>Standart Client</v>
      </c>
    </row>
    <row r="503" spans="1:14" x14ac:dyDescent="0.3">
      <c r="A503" t="s">
        <v>34</v>
      </c>
      <c r="B503" t="s">
        <v>80</v>
      </c>
      <c r="C503" t="s">
        <v>88</v>
      </c>
      <c r="D503" t="s">
        <v>78</v>
      </c>
      <c r="E503" t="s">
        <v>122</v>
      </c>
      <c r="F503" t="s">
        <v>126</v>
      </c>
      <c r="G503" t="s">
        <v>113</v>
      </c>
      <c r="H503" t="s">
        <v>120</v>
      </c>
      <c r="I503">
        <v>12</v>
      </c>
      <c r="J503" s="11">
        <v>1262</v>
      </c>
      <c r="K503">
        <v>49</v>
      </c>
      <c r="L503" t="str" cm="1">
        <f t="array" ref="L503">_xlfn.IFS(J503&gt;5000,"Hight",J503&gt;2000,"Medium",TRUE,"Low")</f>
        <v>Low</v>
      </c>
      <c r="M503" t="str" cm="1">
        <f t="array" ref="M503">_xlfn.IFS(I503&lt;12,"Low-Term",I503&gt;=36,"Long-Term",TRUE,"Medium-Term")</f>
        <v>Medium-Term</v>
      </c>
      <c r="N503" t="str" cm="1">
        <f t="array" ref="N503">_xlfn.IFS(A503="Bad", "Review Required", AND(A503="Good",J503&gt;7000),"VIP Client", AND(A503="Good", J503&lt;=7000),"Standart Client")</f>
        <v>Standart Client</v>
      </c>
    </row>
    <row r="504" spans="1:14" x14ac:dyDescent="0.3">
      <c r="A504" t="s">
        <v>34</v>
      </c>
      <c r="B504" t="s">
        <v>78</v>
      </c>
      <c r="C504" t="s">
        <v>89</v>
      </c>
      <c r="D504" t="s">
        <v>100</v>
      </c>
      <c r="E504" t="s">
        <v>122</v>
      </c>
      <c r="F504" t="s">
        <v>123</v>
      </c>
      <c r="G504" t="s">
        <v>115</v>
      </c>
      <c r="H504" t="s">
        <v>119</v>
      </c>
      <c r="I504">
        <v>24</v>
      </c>
      <c r="J504" s="11">
        <v>1901</v>
      </c>
      <c r="K504">
        <v>29</v>
      </c>
      <c r="L504" t="str" cm="1">
        <f t="array" ref="L504">_xlfn.IFS(J504&gt;5000,"Hight",J504&gt;2000,"Medium",TRUE,"Low")</f>
        <v>Low</v>
      </c>
      <c r="M504" t="str" cm="1">
        <f t="array" ref="M504">_xlfn.IFS(I504&lt;12,"Low-Term",I504&gt;=36,"Long-Term",TRUE,"Medium-Term")</f>
        <v>Medium-Term</v>
      </c>
      <c r="N504" t="str" cm="1">
        <f t="array" ref="N504">_xlfn.IFS(A504="Bad", "Review Required", AND(A504="Good",J504&gt;7000),"VIP Client", AND(A504="Good", J504&lt;=7000),"Standart Client")</f>
        <v>Standart Client</v>
      </c>
    </row>
    <row r="505" spans="1:14" x14ac:dyDescent="0.3">
      <c r="A505" t="s">
        <v>34</v>
      </c>
      <c r="B505" t="s">
        <v>78</v>
      </c>
      <c r="C505" t="s">
        <v>87</v>
      </c>
      <c r="D505" t="s">
        <v>102</v>
      </c>
      <c r="E505" t="s">
        <v>122</v>
      </c>
      <c r="F505" t="s">
        <v>123</v>
      </c>
      <c r="G505" t="s">
        <v>114</v>
      </c>
      <c r="H505" t="s">
        <v>119</v>
      </c>
      <c r="I505">
        <v>15</v>
      </c>
      <c r="J505" s="11">
        <v>3368</v>
      </c>
      <c r="K505">
        <v>23</v>
      </c>
      <c r="L505" t="str" cm="1">
        <f t="array" ref="L505">_xlfn.IFS(J505&gt;5000,"Hight",J505&gt;2000,"Medium",TRUE,"Low")</f>
        <v>Medium</v>
      </c>
      <c r="M505" t="str" cm="1">
        <f t="array" ref="M505">_xlfn.IFS(I505&lt;12,"Low-Term",I505&gt;=36,"Long-Term",TRUE,"Medium-Term")</f>
        <v>Medium-Term</v>
      </c>
      <c r="N505" t="str" cm="1">
        <f t="array" ref="N505">_xlfn.IFS(A505="Bad", "Review Required", AND(A505="Good",J505&gt;7000),"VIP Client", AND(A505="Good", J505&lt;=7000),"Standart Client")</f>
        <v>Standart Client</v>
      </c>
    </row>
    <row r="506" spans="1:14" x14ac:dyDescent="0.3">
      <c r="A506" t="s">
        <v>34</v>
      </c>
      <c r="B506" t="s">
        <v>78</v>
      </c>
      <c r="C506" t="s">
        <v>88</v>
      </c>
      <c r="D506" t="s">
        <v>99</v>
      </c>
      <c r="E506" t="s">
        <v>122</v>
      </c>
      <c r="F506" t="s">
        <v>123</v>
      </c>
      <c r="G506" t="s">
        <v>114</v>
      </c>
      <c r="H506" t="s">
        <v>120</v>
      </c>
      <c r="I506">
        <v>12</v>
      </c>
      <c r="J506" s="11">
        <v>1574</v>
      </c>
      <c r="K506">
        <v>50</v>
      </c>
      <c r="L506" t="str" cm="1">
        <f t="array" ref="L506">_xlfn.IFS(J506&gt;5000,"Hight",J506&gt;2000,"Medium",TRUE,"Low")</f>
        <v>Low</v>
      </c>
      <c r="M506" t="str" cm="1">
        <f t="array" ref="M506">_xlfn.IFS(I506&lt;12,"Low-Term",I506&gt;=36,"Long-Term",TRUE,"Medium-Term")</f>
        <v>Medium-Term</v>
      </c>
      <c r="N506" t="str" cm="1">
        <f t="array" ref="N506">_xlfn.IFS(A506="Bad", "Review Required", AND(A506="Good",J506&gt;7000),"VIP Client", AND(A506="Good", J506&lt;=7000),"Standart Client")</f>
        <v>Standart Client</v>
      </c>
    </row>
    <row r="507" spans="1:14" x14ac:dyDescent="0.3">
      <c r="A507" t="s">
        <v>34</v>
      </c>
      <c r="B507" t="s">
        <v>81</v>
      </c>
      <c r="C507" t="s">
        <v>89</v>
      </c>
      <c r="D507" t="s">
        <v>78</v>
      </c>
      <c r="E507" t="s">
        <v>122</v>
      </c>
      <c r="F507" t="s">
        <v>123</v>
      </c>
      <c r="G507" t="s">
        <v>113</v>
      </c>
      <c r="H507" t="s">
        <v>120</v>
      </c>
      <c r="I507">
        <v>18</v>
      </c>
      <c r="J507" s="11">
        <v>1445</v>
      </c>
      <c r="K507">
        <v>49</v>
      </c>
      <c r="L507" t="str" cm="1">
        <f t="array" ref="L507">_xlfn.IFS(J507&gt;5000,"Hight",J507&gt;2000,"Medium",TRUE,"Low")</f>
        <v>Low</v>
      </c>
      <c r="M507" t="str" cm="1">
        <f t="array" ref="M507">_xlfn.IFS(I507&lt;12,"Low-Term",I507&gt;=36,"Long-Term",TRUE,"Medium-Term")</f>
        <v>Medium-Term</v>
      </c>
      <c r="N507" t="str" cm="1">
        <f t="array" ref="N507">_xlfn.IFS(A507="Bad", "Review Required", AND(A507="Good",J507&gt;7000),"VIP Client", AND(A507="Good", J507&lt;=7000),"Standart Client")</f>
        <v>Standart Client</v>
      </c>
    </row>
    <row r="508" spans="1:14" x14ac:dyDescent="0.3">
      <c r="A508" t="s">
        <v>34</v>
      </c>
      <c r="B508" t="s">
        <v>78</v>
      </c>
      <c r="C508" t="s">
        <v>88</v>
      </c>
      <c r="D508" t="s">
        <v>78</v>
      </c>
      <c r="E508" t="s">
        <v>122</v>
      </c>
      <c r="F508" t="s">
        <v>123</v>
      </c>
      <c r="G508" t="s">
        <v>114</v>
      </c>
      <c r="H508" t="s">
        <v>120</v>
      </c>
      <c r="I508">
        <v>15</v>
      </c>
      <c r="J508" s="11">
        <v>1520</v>
      </c>
      <c r="K508">
        <v>63</v>
      </c>
      <c r="L508" t="str" cm="1">
        <f t="array" ref="L508">_xlfn.IFS(J508&gt;5000,"Hight",J508&gt;2000,"Medium",TRUE,"Low")</f>
        <v>Low</v>
      </c>
      <c r="M508" t="str" cm="1">
        <f t="array" ref="M508">_xlfn.IFS(I508&lt;12,"Low-Term",I508&gt;=36,"Long-Term",TRUE,"Medium-Term")</f>
        <v>Medium-Term</v>
      </c>
      <c r="N508" t="str" cm="1">
        <f t="array" ref="N508">_xlfn.IFS(A508="Bad", "Review Required", AND(A508="Good",J508&gt;7000),"VIP Client", AND(A508="Good", J508&lt;=7000),"Standart Client")</f>
        <v>Standart Client</v>
      </c>
    </row>
    <row r="509" spans="1:14" x14ac:dyDescent="0.3">
      <c r="A509" t="s">
        <v>34</v>
      </c>
      <c r="B509" t="s">
        <v>77</v>
      </c>
      <c r="C509" t="s">
        <v>86</v>
      </c>
      <c r="D509" t="s">
        <v>100</v>
      </c>
      <c r="E509" t="s">
        <v>122</v>
      </c>
      <c r="F509" t="s">
        <v>126</v>
      </c>
      <c r="G509" t="s">
        <v>114</v>
      </c>
      <c r="H509" t="s">
        <v>120</v>
      </c>
      <c r="I509">
        <v>24</v>
      </c>
      <c r="J509" s="11">
        <v>3878</v>
      </c>
      <c r="K509">
        <v>37</v>
      </c>
      <c r="L509" t="str" cm="1">
        <f t="array" ref="L509">_xlfn.IFS(J509&gt;5000,"Hight",J509&gt;2000,"Medium",TRUE,"Low")</f>
        <v>Medium</v>
      </c>
      <c r="M509" t="str" cm="1">
        <f t="array" ref="M509">_xlfn.IFS(I509&lt;12,"Low-Term",I509&gt;=36,"Long-Term",TRUE,"Medium-Term")</f>
        <v>Medium-Term</v>
      </c>
      <c r="N509" t="str" cm="1">
        <f t="array" ref="N509">_xlfn.IFS(A509="Bad", "Review Required", AND(A509="Good",J509&gt;7000),"VIP Client", AND(A509="Good", J509&lt;=7000),"Standart Client")</f>
        <v>Standart Client</v>
      </c>
    </row>
    <row r="510" spans="1:14" x14ac:dyDescent="0.3">
      <c r="A510" t="s">
        <v>34</v>
      </c>
      <c r="B510" t="s">
        <v>80</v>
      </c>
      <c r="C510" t="s">
        <v>86</v>
      </c>
      <c r="D510" t="s">
        <v>99</v>
      </c>
      <c r="E510" t="s">
        <v>124</v>
      </c>
      <c r="F510" t="s">
        <v>125</v>
      </c>
      <c r="G510" t="s">
        <v>113</v>
      </c>
      <c r="H510" t="s">
        <v>120</v>
      </c>
      <c r="I510">
        <v>47</v>
      </c>
      <c r="J510" s="11">
        <v>10722</v>
      </c>
      <c r="K510">
        <v>35</v>
      </c>
      <c r="L510" t="str" cm="1">
        <f t="array" ref="L510">_xlfn.IFS(J510&gt;5000,"Hight",J510&gt;2000,"Medium",TRUE,"Low")</f>
        <v>Hight</v>
      </c>
      <c r="M510" t="str" cm="1">
        <f t="array" ref="M510">_xlfn.IFS(I510&lt;12,"Low-Term",I510&gt;=36,"Long-Term",TRUE,"Medium-Term")</f>
        <v>Long-Term</v>
      </c>
      <c r="N510" t="str" cm="1">
        <f t="array" ref="N510">_xlfn.IFS(A510="Bad", "Review Required", AND(A510="Good",J510&gt;7000),"VIP Client", AND(A510="Good", J510&lt;=7000),"Standart Client")</f>
        <v>VIP Client</v>
      </c>
    </row>
    <row r="511" spans="1:14" x14ac:dyDescent="0.3">
      <c r="A511" t="s">
        <v>34</v>
      </c>
      <c r="B511" t="s">
        <v>80</v>
      </c>
      <c r="C511" t="s">
        <v>87</v>
      </c>
      <c r="D511" t="s">
        <v>99</v>
      </c>
      <c r="E511" t="s">
        <v>122</v>
      </c>
      <c r="F511" t="s">
        <v>123</v>
      </c>
      <c r="G511" t="s">
        <v>114</v>
      </c>
      <c r="H511" t="s">
        <v>120</v>
      </c>
      <c r="I511">
        <v>48</v>
      </c>
      <c r="J511" s="11">
        <v>4788</v>
      </c>
      <c r="K511">
        <v>26</v>
      </c>
      <c r="L511" t="str" cm="1">
        <f t="array" ref="L511">_xlfn.IFS(J511&gt;5000,"Hight",J511&gt;2000,"Medium",TRUE,"Low")</f>
        <v>Medium</v>
      </c>
      <c r="M511" t="str" cm="1">
        <f t="array" ref="M511">_xlfn.IFS(I511&lt;12,"Low-Term",I511&gt;=36,"Long-Term",TRUE,"Medium-Term")</f>
        <v>Long-Term</v>
      </c>
      <c r="N511" t="str" cm="1">
        <f t="array" ref="N511">_xlfn.IFS(A511="Bad", "Review Required", AND(A511="Good",J511&gt;7000),"VIP Client", AND(A511="Good", J511&lt;=7000),"Standart Client")</f>
        <v>Standart Client</v>
      </c>
    </row>
    <row r="512" spans="1:14" x14ac:dyDescent="0.3">
      <c r="A512" t="s">
        <v>34</v>
      </c>
      <c r="B512" t="s">
        <v>77</v>
      </c>
      <c r="C512" t="s">
        <v>95</v>
      </c>
      <c r="D512" t="s">
        <v>100</v>
      </c>
      <c r="E512" t="s">
        <v>122</v>
      </c>
      <c r="F512" t="s">
        <v>123</v>
      </c>
      <c r="G512" t="s">
        <v>115</v>
      </c>
      <c r="H512" t="s">
        <v>121</v>
      </c>
      <c r="I512">
        <v>48</v>
      </c>
      <c r="J512" s="11">
        <v>7582</v>
      </c>
      <c r="K512">
        <v>31</v>
      </c>
      <c r="L512" t="str" cm="1">
        <f t="array" ref="L512">_xlfn.IFS(J512&gt;5000,"Hight",J512&gt;2000,"Medium",TRUE,"Low")</f>
        <v>Hight</v>
      </c>
      <c r="M512" t="str" cm="1">
        <f t="array" ref="M512">_xlfn.IFS(I512&lt;12,"Low-Term",I512&gt;=36,"Long-Term",TRUE,"Medium-Term")</f>
        <v>Long-Term</v>
      </c>
      <c r="N512" t="str" cm="1">
        <f t="array" ref="N512">_xlfn.IFS(A512="Bad", "Review Required", AND(A512="Good",J512&gt;7000),"VIP Client", AND(A512="Good", J512&lt;=7000),"Standart Client")</f>
        <v>VIP Client</v>
      </c>
    </row>
    <row r="513" spans="1:14" x14ac:dyDescent="0.3">
      <c r="A513" t="s">
        <v>34</v>
      </c>
      <c r="B513" t="s">
        <v>77</v>
      </c>
      <c r="C513" t="s">
        <v>89</v>
      </c>
      <c r="D513" t="s">
        <v>99</v>
      </c>
      <c r="E513" t="s">
        <v>124</v>
      </c>
      <c r="F513" t="s">
        <v>125</v>
      </c>
      <c r="G513" t="s">
        <v>114</v>
      </c>
      <c r="H513" t="s">
        <v>120</v>
      </c>
      <c r="I513">
        <v>12</v>
      </c>
      <c r="J513" s="11">
        <v>1092</v>
      </c>
      <c r="K513">
        <v>49</v>
      </c>
      <c r="L513" t="str" cm="1">
        <f t="array" ref="L513">_xlfn.IFS(J513&gt;5000,"Hight",J513&gt;2000,"Medium",TRUE,"Low")</f>
        <v>Low</v>
      </c>
      <c r="M513" t="str" cm="1">
        <f t="array" ref="M513">_xlfn.IFS(I513&lt;12,"Low-Term",I513&gt;=36,"Long-Term",TRUE,"Medium-Term")</f>
        <v>Medium-Term</v>
      </c>
      <c r="N513" t="str" cm="1">
        <f t="array" ref="N513">_xlfn.IFS(A513="Bad", "Review Required", AND(A513="Good",J513&gt;7000),"VIP Client", AND(A513="Good", J513&lt;=7000),"Standart Client")</f>
        <v>Standart Client</v>
      </c>
    </row>
    <row r="514" spans="1:14" x14ac:dyDescent="0.3">
      <c r="A514" t="s">
        <v>34</v>
      </c>
      <c r="B514" t="s">
        <v>78</v>
      </c>
      <c r="C514" t="s">
        <v>94</v>
      </c>
      <c r="D514" t="s">
        <v>99</v>
      </c>
      <c r="E514" t="s">
        <v>122</v>
      </c>
      <c r="F514" t="s">
        <v>127</v>
      </c>
      <c r="G514" t="s">
        <v>114</v>
      </c>
      <c r="H514" t="s">
        <v>120</v>
      </c>
      <c r="I514">
        <v>12</v>
      </c>
      <c r="J514" s="11">
        <v>1076</v>
      </c>
      <c r="K514">
        <v>26</v>
      </c>
      <c r="L514" t="str" cm="1">
        <f t="array" ref="L514">_xlfn.IFS(J514&gt;5000,"Hight",J514&gt;2000,"Medium",TRUE,"Low")</f>
        <v>Low</v>
      </c>
      <c r="M514" t="str" cm="1">
        <f t="array" ref="M514">_xlfn.IFS(I514&lt;12,"Low-Term",I514&gt;=36,"Long-Term",TRUE,"Medium-Term")</f>
        <v>Medium-Term</v>
      </c>
      <c r="N514" t="str" cm="1">
        <f t="array" ref="N514">_xlfn.IFS(A514="Bad", "Review Required", AND(A514="Good",J514&gt;7000),"VIP Client", AND(A514="Good", J514&lt;=7000),"Standart Client")</f>
        <v>Standart Client</v>
      </c>
    </row>
    <row r="515" spans="1:14" x14ac:dyDescent="0.3">
      <c r="A515" t="s">
        <v>34</v>
      </c>
      <c r="B515" t="s">
        <v>80</v>
      </c>
      <c r="C515" t="s">
        <v>87</v>
      </c>
      <c r="D515" t="s">
        <v>99</v>
      </c>
      <c r="E515" t="s">
        <v>124</v>
      </c>
      <c r="F515" t="s">
        <v>125</v>
      </c>
      <c r="G515" t="s">
        <v>115</v>
      </c>
      <c r="H515" t="s">
        <v>121</v>
      </c>
      <c r="I515">
        <v>24</v>
      </c>
      <c r="J515" s="11">
        <v>6419</v>
      </c>
      <c r="K515">
        <v>44</v>
      </c>
      <c r="L515" t="str" cm="1">
        <f t="array" ref="L515">_xlfn.IFS(J515&gt;5000,"Hight",J515&gt;2000,"Medium",TRUE,"Low")</f>
        <v>Hight</v>
      </c>
      <c r="M515" t="str" cm="1">
        <f t="array" ref="M515">_xlfn.IFS(I515&lt;12,"Low-Term",I515&gt;=36,"Long-Term",TRUE,"Medium-Term")</f>
        <v>Medium-Term</v>
      </c>
      <c r="N515" t="str" cm="1">
        <f t="array" ref="N515">_xlfn.IFS(A515="Bad", "Review Required", AND(A515="Good",J515&gt;7000),"VIP Client", AND(A515="Good", J515&lt;=7000),"Standart Client")</f>
        <v>Standart Client</v>
      </c>
    </row>
    <row r="516" spans="1:14" x14ac:dyDescent="0.3">
      <c r="A516" t="s">
        <v>34</v>
      </c>
      <c r="B516" t="s">
        <v>81</v>
      </c>
      <c r="C516" t="s">
        <v>87</v>
      </c>
      <c r="D516" t="s">
        <v>99</v>
      </c>
      <c r="E516" t="s">
        <v>122</v>
      </c>
      <c r="F516" t="s">
        <v>123</v>
      </c>
      <c r="G516" t="s">
        <v>114</v>
      </c>
      <c r="H516" t="s">
        <v>121</v>
      </c>
      <c r="I516">
        <v>42</v>
      </c>
      <c r="J516" s="11">
        <v>4796</v>
      </c>
      <c r="K516">
        <v>56</v>
      </c>
      <c r="L516" t="str" cm="1">
        <f t="array" ref="L516">_xlfn.IFS(J516&gt;5000,"Hight",J516&gt;2000,"Medium",TRUE,"Low")</f>
        <v>Medium</v>
      </c>
      <c r="M516" t="str" cm="1">
        <f t="array" ref="M516">_xlfn.IFS(I516&lt;12,"Low-Term",I516&gt;=36,"Long-Term",TRUE,"Medium-Term")</f>
        <v>Long-Term</v>
      </c>
      <c r="N516" t="str" cm="1">
        <f t="array" ref="N516">_xlfn.IFS(A516="Bad", "Review Required", AND(A516="Good",J516&gt;7000),"VIP Client", AND(A516="Good", J516&lt;=7000),"Standart Client")</f>
        <v>Standart Client</v>
      </c>
    </row>
    <row r="517" spans="1:14" x14ac:dyDescent="0.3">
      <c r="A517" t="s">
        <v>34</v>
      </c>
      <c r="B517" t="s">
        <v>78</v>
      </c>
      <c r="C517" t="s">
        <v>94</v>
      </c>
      <c r="D517" t="s">
        <v>78</v>
      </c>
      <c r="E517" t="s">
        <v>122</v>
      </c>
      <c r="F517" t="s">
        <v>126</v>
      </c>
      <c r="G517" t="s">
        <v>115</v>
      </c>
      <c r="H517" t="s">
        <v>120</v>
      </c>
      <c r="I517">
        <v>48</v>
      </c>
      <c r="J517" s="11">
        <v>7629</v>
      </c>
      <c r="K517">
        <v>46</v>
      </c>
      <c r="L517" t="str" cm="1">
        <f t="array" ref="L517">_xlfn.IFS(J517&gt;5000,"Hight",J517&gt;2000,"Medium",TRUE,"Low")</f>
        <v>Hight</v>
      </c>
      <c r="M517" t="str" cm="1">
        <f t="array" ref="M517">_xlfn.IFS(I517&lt;12,"Low-Term",I517&gt;=36,"Long-Term",TRUE,"Medium-Term")</f>
        <v>Long-Term</v>
      </c>
      <c r="N517" t="str" cm="1">
        <f t="array" ref="N517">_xlfn.IFS(A517="Bad", "Review Required", AND(A517="Good",J517&gt;7000),"VIP Client", AND(A517="Good", J517&lt;=7000),"Standart Client")</f>
        <v>VIP Client</v>
      </c>
    </row>
    <row r="518" spans="1:14" x14ac:dyDescent="0.3">
      <c r="A518" t="s">
        <v>34</v>
      </c>
      <c r="B518" t="s">
        <v>78</v>
      </c>
      <c r="C518" t="s">
        <v>87</v>
      </c>
      <c r="D518" t="s">
        <v>78</v>
      </c>
      <c r="E518" t="s">
        <v>124</v>
      </c>
      <c r="F518" t="s">
        <v>125</v>
      </c>
      <c r="G518" t="s">
        <v>114</v>
      </c>
      <c r="H518" t="s">
        <v>119</v>
      </c>
      <c r="I518">
        <v>12</v>
      </c>
      <c r="J518" s="11">
        <v>4675</v>
      </c>
      <c r="K518">
        <v>20</v>
      </c>
      <c r="L518" t="str" cm="1">
        <f t="array" ref="L518">_xlfn.IFS(J518&gt;5000,"Hight",J518&gt;2000,"Medium",TRUE,"Low")</f>
        <v>Medium</v>
      </c>
      <c r="M518" t="str" cm="1">
        <f t="array" ref="M518">_xlfn.IFS(I518&lt;12,"Low-Term",I518&gt;=36,"Long-Term",TRUE,"Medium-Term")</f>
        <v>Medium-Term</v>
      </c>
      <c r="N518" t="str" cm="1">
        <f t="array" ref="N518">_xlfn.IFS(A518="Bad", "Review Required", AND(A518="Good",J518&gt;7000),"VIP Client", AND(A518="Good", J518&lt;=7000),"Standart Client")</f>
        <v>Standart Client</v>
      </c>
    </row>
    <row r="519" spans="1:14" x14ac:dyDescent="0.3">
      <c r="A519" t="s">
        <v>34</v>
      </c>
      <c r="B519" t="s">
        <v>78</v>
      </c>
      <c r="C519" t="s">
        <v>86</v>
      </c>
      <c r="D519" t="s">
        <v>78</v>
      </c>
      <c r="E519" t="s">
        <v>122</v>
      </c>
      <c r="F519" t="s">
        <v>123</v>
      </c>
      <c r="G519" t="s">
        <v>113</v>
      </c>
      <c r="H519" t="s">
        <v>120</v>
      </c>
      <c r="I519">
        <v>10</v>
      </c>
      <c r="J519" s="11">
        <v>1287</v>
      </c>
      <c r="K519">
        <v>45</v>
      </c>
      <c r="L519" t="str" cm="1">
        <f t="array" ref="L519">_xlfn.IFS(J519&gt;5000,"Hight",J519&gt;2000,"Medium",TRUE,"Low")</f>
        <v>Low</v>
      </c>
      <c r="M519" t="str" cm="1">
        <f t="array" ref="M519">_xlfn.IFS(I519&lt;12,"Low-Term",I519&gt;=36,"Long-Term",TRUE,"Medium-Term")</f>
        <v>Low-Term</v>
      </c>
      <c r="N519" t="str" cm="1">
        <f t="array" ref="N519">_xlfn.IFS(A519="Bad", "Review Required", AND(A519="Good",J519&gt;7000),"VIP Client", AND(A519="Good", J519&lt;=7000),"Standart Client")</f>
        <v>Standart Client</v>
      </c>
    </row>
    <row r="520" spans="1:14" x14ac:dyDescent="0.3">
      <c r="A520" t="s">
        <v>34</v>
      </c>
      <c r="B520" t="s">
        <v>78</v>
      </c>
      <c r="C520" t="s">
        <v>88</v>
      </c>
      <c r="D520" t="s">
        <v>99</v>
      </c>
      <c r="E520" t="s">
        <v>122</v>
      </c>
      <c r="F520" t="s">
        <v>123</v>
      </c>
      <c r="G520" t="s">
        <v>114</v>
      </c>
      <c r="H520" t="s">
        <v>120</v>
      </c>
      <c r="I520">
        <v>18</v>
      </c>
      <c r="J520" s="11">
        <v>2515</v>
      </c>
      <c r="K520">
        <v>43</v>
      </c>
      <c r="L520" t="str" cm="1">
        <f t="array" ref="L520">_xlfn.IFS(J520&gt;5000,"Hight",J520&gt;2000,"Medium",TRUE,"Low")</f>
        <v>Medium</v>
      </c>
      <c r="M520" t="str" cm="1">
        <f t="array" ref="M520">_xlfn.IFS(I520&lt;12,"Low-Term",I520&gt;=36,"Long-Term",TRUE,"Medium-Term")</f>
        <v>Medium-Term</v>
      </c>
      <c r="N520" t="str" cm="1">
        <f t="array" ref="N520">_xlfn.IFS(A520="Bad", "Review Required", AND(A520="Good",J520&gt;7000),"VIP Client", AND(A520="Good", J520&lt;=7000),"Standart Client")</f>
        <v>Standart Client</v>
      </c>
    </row>
    <row r="521" spans="1:14" x14ac:dyDescent="0.3">
      <c r="A521" t="s">
        <v>34</v>
      </c>
      <c r="B521" t="s">
        <v>77</v>
      </c>
      <c r="C521" t="s">
        <v>88</v>
      </c>
      <c r="D521" t="s">
        <v>102</v>
      </c>
      <c r="E521" t="s">
        <v>122</v>
      </c>
      <c r="F521" t="s">
        <v>123</v>
      </c>
      <c r="G521" t="s">
        <v>114</v>
      </c>
      <c r="H521" t="s">
        <v>120</v>
      </c>
      <c r="I521">
        <v>21</v>
      </c>
      <c r="J521" s="11">
        <v>2745</v>
      </c>
      <c r="K521">
        <v>32</v>
      </c>
      <c r="L521" t="str" cm="1">
        <f t="array" ref="L521">_xlfn.IFS(J521&gt;5000,"Hight",J521&gt;2000,"Medium",TRUE,"Low")</f>
        <v>Medium</v>
      </c>
      <c r="M521" t="str" cm="1">
        <f t="array" ref="M521">_xlfn.IFS(I521&lt;12,"Low-Term",I521&gt;=36,"Long-Term",TRUE,"Medium-Term")</f>
        <v>Medium-Term</v>
      </c>
      <c r="N521" t="str" cm="1">
        <f t="array" ref="N521">_xlfn.IFS(A521="Bad", "Review Required", AND(A521="Good",J521&gt;7000),"VIP Client", AND(A521="Good", J521&lt;=7000),"Standart Client")</f>
        <v>Standart Client</v>
      </c>
    </row>
    <row r="522" spans="1:14" x14ac:dyDescent="0.3">
      <c r="A522" t="s">
        <v>34</v>
      </c>
      <c r="B522" t="s">
        <v>78</v>
      </c>
      <c r="C522" t="s">
        <v>86</v>
      </c>
      <c r="D522" t="s">
        <v>99</v>
      </c>
      <c r="E522" t="s">
        <v>124</v>
      </c>
      <c r="F522" t="s">
        <v>125</v>
      </c>
      <c r="G522" t="s">
        <v>112</v>
      </c>
      <c r="H522" t="s">
        <v>120</v>
      </c>
      <c r="I522">
        <v>6</v>
      </c>
      <c r="J522" s="11">
        <v>672</v>
      </c>
      <c r="K522">
        <v>54</v>
      </c>
      <c r="L522" t="str" cm="1">
        <f t="array" ref="L522">_xlfn.IFS(J522&gt;5000,"Hight",J522&gt;2000,"Medium",TRUE,"Low")</f>
        <v>Low</v>
      </c>
      <c r="M522" t="str" cm="1">
        <f t="array" ref="M522">_xlfn.IFS(I522&lt;12,"Low-Term",I522&gt;=36,"Long-Term",TRUE,"Medium-Term")</f>
        <v>Low-Term</v>
      </c>
      <c r="N522" t="str" cm="1">
        <f t="array" ref="N522">_xlfn.IFS(A522="Bad", "Review Required", AND(A522="Good",J522&gt;7000),"VIP Client", AND(A522="Good", J522&lt;=7000),"Standart Client")</f>
        <v>Standart Client</v>
      </c>
    </row>
    <row r="523" spans="1:14" x14ac:dyDescent="0.3">
      <c r="A523" t="s">
        <v>34</v>
      </c>
      <c r="B523" t="s">
        <v>80</v>
      </c>
      <c r="C523" t="s">
        <v>86</v>
      </c>
      <c r="D523" t="s">
        <v>99</v>
      </c>
      <c r="E523" t="s">
        <v>122</v>
      </c>
      <c r="F523" t="s">
        <v>123</v>
      </c>
      <c r="G523" t="s">
        <v>114</v>
      </c>
      <c r="H523" t="s">
        <v>120</v>
      </c>
      <c r="I523">
        <v>10</v>
      </c>
      <c r="J523" s="11">
        <v>1038</v>
      </c>
      <c r="K523">
        <v>49</v>
      </c>
      <c r="L523" t="str" cm="1">
        <f t="array" ref="L523">_xlfn.IFS(J523&gt;5000,"Hight",J523&gt;2000,"Medium",TRUE,"Low")</f>
        <v>Low</v>
      </c>
      <c r="M523" t="str" cm="1">
        <f t="array" ref="M523">_xlfn.IFS(I523&lt;12,"Low-Term",I523&gt;=36,"Long-Term",TRUE,"Medium-Term")</f>
        <v>Low-Term</v>
      </c>
      <c r="N523" t="str" cm="1">
        <f t="array" ref="N523">_xlfn.IFS(A523="Bad", "Review Required", AND(A523="Good",J523&gt;7000),"VIP Client", AND(A523="Good", J523&lt;=7000),"Standart Client")</f>
        <v>Standart Client</v>
      </c>
    </row>
    <row r="524" spans="1:14" x14ac:dyDescent="0.3">
      <c r="A524" t="s">
        <v>34</v>
      </c>
      <c r="B524" t="s">
        <v>78</v>
      </c>
      <c r="C524" t="s">
        <v>88</v>
      </c>
      <c r="D524" t="s">
        <v>102</v>
      </c>
      <c r="E524" t="s">
        <v>122</v>
      </c>
      <c r="F524" t="s">
        <v>126</v>
      </c>
      <c r="G524" t="s">
        <v>114</v>
      </c>
      <c r="H524" t="s">
        <v>120</v>
      </c>
      <c r="I524">
        <v>6</v>
      </c>
      <c r="J524" s="11">
        <v>1543</v>
      </c>
      <c r="K524">
        <v>33</v>
      </c>
      <c r="L524" t="str" cm="1">
        <f t="array" ref="L524">_xlfn.IFS(J524&gt;5000,"Hight",J524&gt;2000,"Medium",TRUE,"Low")</f>
        <v>Low</v>
      </c>
      <c r="M524" t="str" cm="1">
        <f t="array" ref="M524">_xlfn.IFS(I524&lt;12,"Low-Term",I524&gt;=36,"Long-Term",TRUE,"Medium-Term")</f>
        <v>Low-Term</v>
      </c>
      <c r="N524" t="str" cm="1">
        <f t="array" ref="N524">_xlfn.IFS(A524="Bad", "Review Required", AND(A524="Good",J524&gt;7000),"VIP Client", AND(A524="Good", J524&lt;=7000),"Standart Client")</f>
        <v>Standart Client</v>
      </c>
    </row>
    <row r="525" spans="1:14" x14ac:dyDescent="0.3">
      <c r="A525" t="s">
        <v>34</v>
      </c>
      <c r="B525" t="s">
        <v>78</v>
      </c>
      <c r="C525" t="s">
        <v>87</v>
      </c>
      <c r="D525" t="s">
        <v>78</v>
      </c>
      <c r="E525" t="s">
        <v>124</v>
      </c>
      <c r="F525" t="s">
        <v>125</v>
      </c>
      <c r="G525" t="s">
        <v>113</v>
      </c>
      <c r="H525" t="s">
        <v>119</v>
      </c>
      <c r="I525">
        <v>30</v>
      </c>
      <c r="J525" s="11">
        <v>4811</v>
      </c>
      <c r="K525">
        <v>24</v>
      </c>
      <c r="L525" t="str" cm="1">
        <f t="array" ref="L525">_xlfn.IFS(J525&gt;5000,"Hight",J525&gt;2000,"Medium",TRUE,"Low")</f>
        <v>Medium</v>
      </c>
      <c r="M525" t="str" cm="1">
        <f t="array" ref="M525">_xlfn.IFS(I525&lt;12,"Low-Term",I525&gt;=36,"Long-Term",TRUE,"Medium-Term")</f>
        <v>Medium-Term</v>
      </c>
      <c r="N525" t="str" cm="1">
        <f t="array" ref="N525">_xlfn.IFS(A525="Bad", "Review Required", AND(A525="Good",J525&gt;7000),"VIP Client", AND(A525="Good", J525&lt;=7000),"Standart Client")</f>
        <v>Standart Client</v>
      </c>
    </row>
    <row r="526" spans="1:14" x14ac:dyDescent="0.3">
      <c r="A526" t="s">
        <v>34</v>
      </c>
      <c r="B526" t="s">
        <v>77</v>
      </c>
      <c r="C526" t="s">
        <v>86</v>
      </c>
      <c r="D526" t="s">
        <v>99</v>
      </c>
      <c r="E526" t="s">
        <v>122</v>
      </c>
      <c r="F526" t="s">
        <v>127</v>
      </c>
      <c r="G526" t="s">
        <v>113</v>
      </c>
      <c r="H526" t="s">
        <v>119</v>
      </c>
      <c r="I526">
        <v>9</v>
      </c>
      <c r="J526" s="11">
        <v>276</v>
      </c>
      <c r="K526">
        <v>22</v>
      </c>
      <c r="L526" t="str" cm="1">
        <f t="array" ref="L526">_xlfn.IFS(J526&gt;5000,"Hight",J526&gt;2000,"Medium",TRUE,"Low")</f>
        <v>Low</v>
      </c>
      <c r="M526" t="str" cm="1">
        <f t="array" ref="M526">_xlfn.IFS(I526&lt;12,"Low-Term",I526&gt;=36,"Long-Term",TRUE,"Medium-Term")</f>
        <v>Low-Term</v>
      </c>
      <c r="N526" t="str" cm="1">
        <f t="array" ref="N526">_xlfn.IFS(A526="Bad", "Review Required", AND(A526="Good",J526&gt;7000),"VIP Client", AND(A526="Good", J526&lt;=7000),"Standart Client")</f>
        <v>Standart Client</v>
      </c>
    </row>
    <row r="527" spans="1:14" x14ac:dyDescent="0.3">
      <c r="A527" t="s">
        <v>34</v>
      </c>
      <c r="B527" t="s">
        <v>77</v>
      </c>
      <c r="C527" t="s">
        <v>95</v>
      </c>
      <c r="D527" t="s">
        <v>78</v>
      </c>
      <c r="E527" t="s">
        <v>122</v>
      </c>
      <c r="F527" t="s">
        <v>123</v>
      </c>
      <c r="G527" t="s">
        <v>112</v>
      </c>
      <c r="H527" t="s">
        <v>121</v>
      </c>
      <c r="I527">
        <v>48</v>
      </c>
      <c r="J527" s="11">
        <v>5381</v>
      </c>
      <c r="K527">
        <v>40</v>
      </c>
      <c r="L527" t="str" cm="1">
        <f t="array" ref="L527">_xlfn.IFS(J527&gt;5000,"Hight",J527&gt;2000,"Medium",TRUE,"Low")</f>
        <v>Hight</v>
      </c>
      <c r="M527" t="str" cm="1">
        <f t="array" ref="M527">_xlfn.IFS(I527&lt;12,"Low-Term",I527&gt;=36,"Long-Term",TRUE,"Medium-Term")</f>
        <v>Long-Term</v>
      </c>
      <c r="N527" t="str" cm="1">
        <f t="array" ref="N527">_xlfn.IFS(A527="Bad", "Review Required", AND(A527="Good",J527&gt;7000),"VIP Client", AND(A527="Good", J527&lt;=7000),"Standart Client")</f>
        <v>Standart Client</v>
      </c>
    </row>
    <row r="528" spans="1:14" x14ac:dyDescent="0.3">
      <c r="A528" t="s">
        <v>34</v>
      </c>
      <c r="B528" t="s">
        <v>78</v>
      </c>
      <c r="C528" t="s">
        <v>88</v>
      </c>
      <c r="D528" t="s">
        <v>100</v>
      </c>
      <c r="E528" t="s">
        <v>122</v>
      </c>
      <c r="F528" t="s">
        <v>123</v>
      </c>
      <c r="G528" t="s">
        <v>114</v>
      </c>
      <c r="H528" t="s">
        <v>120</v>
      </c>
      <c r="I528">
        <v>24</v>
      </c>
      <c r="J528" s="11">
        <v>5511</v>
      </c>
      <c r="K528">
        <v>25</v>
      </c>
      <c r="L528" t="str" cm="1">
        <f t="array" ref="L528">_xlfn.IFS(J528&gt;5000,"Hight",J528&gt;2000,"Medium",TRUE,"Low")</f>
        <v>Hight</v>
      </c>
      <c r="M528" t="str" cm="1">
        <f t="array" ref="M528">_xlfn.IFS(I528&lt;12,"Low-Term",I528&gt;=36,"Long-Term",TRUE,"Medium-Term")</f>
        <v>Medium-Term</v>
      </c>
      <c r="N528" t="str" cm="1">
        <f t="array" ref="N528">_xlfn.IFS(A528="Bad", "Review Required", AND(A528="Good",J528&gt;7000),"VIP Client", AND(A528="Good", J528&lt;=7000),"Standart Client")</f>
        <v>Standart Client</v>
      </c>
    </row>
    <row r="529" spans="1:14" x14ac:dyDescent="0.3">
      <c r="A529" t="s">
        <v>34</v>
      </c>
      <c r="B529" t="s">
        <v>81</v>
      </c>
      <c r="C529" t="s">
        <v>88</v>
      </c>
      <c r="D529" t="s">
        <v>99</v>
      </c>
      <c r="E529" t="s">
        <v>124</v>
      </c>
      <c r="F529" t="s">
        <v>125</v>
      </c>
      <c r="G529" t="s">
        <v>114</v>
      </c>
      <c r="H529" t="s">
        <v>120</v>
      </c>
      <c r="I529">
        <v>24</v>
      </c>
      <c r="J529" s="11">
        <v>3749</v>
      </c>
      <c r="K529">
        <v>26</v>
      </c>
      <c r="L529" t="str" cm="1">
        <f t="array" ref="L529">_xlfn.IFS(J529&gt;5000,"Hight",J529&gt;2000,"Medium",TRUE,"Low")</f>
        <v>Medium</v>
      </c>
      <c r="M529" t="str" cm="1">
        <f t="array" ref="M529">_xlfn.IFS(I529&lt;12,"Low-Term",I529&gt;=36,"Long-Term",TRUE,"Medium-Term")</f>
        <v>Medium-Term</v>
      </c>
      <c r="N529" t="str" cm="1">
        <f t="array" ref="N529">_xlfn.IFS(A529="Bad", "Review Required", AND(A529="Good",J529&gt;7000),"VIP Client", AND(A529="Good", J529&lt;=7000),"Standart Client")</f>
        <v>Standart Client</v>
      </c>
    </row>
    <row r="530" spans="1:14" x14ac:dyDescent="0.3">
      <c r="A530" t="s">
        <v>34</v>
      </c>
      <c r="B530" t="s">
        <v>81</v>
      </c>
      <c r="C530" t="s">
        <v>86</v>
      </c>
      <c r="D530" t="s">
        <v>78</v>
      </c>
      <c r="E530" t="s">
        <v>122</v>
      </c>
      <c r="F530" t="s">
        <v>123</v>
      </c>
      <c r="G530" t="s">
        <v>113</v>
      </c>
      <c r="H530" t="s">
        <v>120</v>
      </c>
      <c r="I530">
        <v>4</v>
      </c>
      <c r="J530" s="11">
        <v>1494</v>
      </c>
      <c r="K530">
        <v>29</v>
      </c>
      <c r="L530" t="str" cm="1">
        <f t="array" ref="L530">_xlfn.IFS(J530&gt;5000,"Hight",J530&gt;2000,"Medium",TRUE,"Low")</f>
        <v>Low</v>
      </c>
      <c r="M530" t="str" cm="1">
        <f t="array" ref="M530">_xlfn.IFS(I530&lt;12,"Low-Term",I530&gt;=36,"Long-Term",TRUE,"Medium-Term")</f>
        <v>Low-Term</v>
      </c>
      <c r="N530" t="str" cm="1">
        <f t="array" ref="N530">_xlfn.IFS(A530="Bad", "Review Required", AND(A530="Good",J530&gt;7000),"VIP Client", AND(A530="Good", J530&lt;=7000),"Standart Client")</f>
        <v>Standart Client</v>
      </c>
    </row>
    <row r="531" spans="1:14" x14ac:dyDescent="0.3">
      <c r="A531" t="s">
        <v>34</v>
      </c>
      <c r="B531" t="s">
        <v>80</v>
      </c>
      <c r="C531" t="s">
        <v>88</v>
      </c>
      <c r="D531" t="s">
        <v>99</v>
      </c>
      <c r="E531" t="s">
        <v>122</v>
      </c>
      <c r="F531" t="s">
        <v>123</v>
      </c>
      <c r="G531" t="s">
        <v>113</v>
      </c>
      <c r="H531" t="s">
        <v>120</v>
      </c>
      <c r="I531">
        <v>12</v>
      </c>
      <c r="J531" s="11">
        <v>708</v>
      </c>
      <c r="K531">
        <v>38</v>
      </c>
      <c r="L531" t="str" cm="1">
        <f t="array" ref="L531">_xlfn.IFS(J531&gt;5000,"Hight",J531&gt;2000,"Medium",TRUE,"Low")</f>
        <v>Low</v>
      </c>
      <c r="M531" t="str" cm="1">
        <f t="array" ref="M531">_xlfn.IFS(I531&lt;12,"Low-Term",I531&gt;=36,"Long-Term",TRUE,"Medium-Term")</f>
        <v>Medium-Term</v>
      </c>
      <c r="N531" t="str" cm="1">
        <f t="array" ref="N531">_xlfn.IFS(A531="Bad", "Review Required", AND(A531="Good",J531&gt;7000),"VIP Client", AND(A531="Good", J531&lt;=7000),"Standart Client")</f>
        <v>Standart Client</v>
      </c>
    </row>
    <row r="532" spans="1:14" x14ac:dyDescent="0.3">
      <c r="A532" t="s">
        <v>34</v>
      </c>
      <c r="B532" t="s">
        <v>77</v>
      </c>
      <c r="C532" t="s">
        <v>88</v>
      </c>
      <c r="D532" t="s">
        <v>78</v>
      </c>
      <c r="E532" t="s">
        <v>124</v>
      </c>
      <c r="F532" t="s">
        <v>125</v>
      </c>
      <c r="G532" t="s">
        <v>113</v>
      </c>
      <c r="H532" t="s">
        <v>120</v>
      </c>
      <c r="I532">
        <v>24</v>
      </c>
      <c r="J532" s="11">
        <v>4351</v>
      </c>
      <c r="K532">
        <v>48</v>
      </c>
      <c r="L532" t="str" cm="1">
        <f t="array" ref="L532">_xlfn.IFS(J532&gt;5000,"Hight",J532&gt;2000,"Medium",TRUE,"Low")</f>
        <v>Medium</v>
      </c>
      <c r="M532" t="str" cm="1">
        <f t="array" ref="M532">_xlfn.IFS(I532&lt;12,"Low-Term",I532&gt;=36,"Long-Term",TRUE,"Medium-Term")</f>
        <v>Medium-Term</v>
      </c>
      <c r="N532" t="str" cm="1">
        <f t="array" ref="N532">_xlfn.IFS(A532="Bad", "Review Required", AND(A532="Good",J532&gt;7000),"VIP Client", AND(A532="Good", J532&lt;=7000),"Standart Client")</f>
        <v>Standart Client</v>
      </c>
    </row>
    <row r="533" spans="1:14" x14ac:dyDescent="0.3">
      <c r="A533" t="s">
        <v>34</v>
      </c>
      <c r="B533" t="s">
        <v>78</v>
      </c>
      <c r="C533" t="s">
        <v>92</v>
      </c>
      <c r="D533" t="s">
        <v>99</v>
      </c>
      <c r="E533" t="s">
        <v>122</v>
      </c>
      <c r="F533" t="s">
        <v>123</v>
      </c>
      <c r="G533" t="s">
        <v>114</v>
      </c>
      <c r="H533" t="s">
        <v>120</v>
      </c>
      <c r="I533">
        <v>12</v>
      </c>
      <c r="J533" s="11">
        <v>701</v>
      </c>
      <c r="K533">
        <v>32</v>
      </c>
      <c r="L533" t="str" cm="1">
        <f t="array" ref="L533">_xlfn.IFS(J533&gt;5000,"Hight",J533&gt;2000,"Medium",TRUE,"Low")</f>
        <v>Low</v>
      </c>
      <c r="M533" t="str" cm="1">
        <f t="array" ref="M533">_xlfn.IFS(I533&lt;12,"Low-Term",I533&gt;=36,"Long-Term",TRUE,"Medium-Term")</f>
        <v>Medium-Term</v>
      </c>
      <c r="N533" t="str" cm="1">
        <f t="array" ref="N533">_xlfn.IFS(A533="Bad", "Review Required", AND(A533="Good",J533&gt;7000),"VIP Client", AND(A533="Good", J533&lt;=7000),"Standart Client")</f>
        <v>Standart Client</v>
      </c>
    </row>
    <row r="534" spans="1:14" x14ac:dyDescent="0.3">
      <c r="A534" t="s">
        <v>34</v>
      </c>
      <c r="B534" t="s">
        <v>80</v>
      </c>
      <c r="C534" t="s">
        <v>88</v>
      </c>
      <c r="D534" t="s">
        <v>99</v>
      </c>
      <c r="E534" t="s">
        <v>124</v>
      </c>
      <c r="F534" t="s">
        <v>125</v>
      </c>
      <c r="G534" t="s">
        <v>113</v>
      </c>
      <c r="H534" t="s">
        <v>120</v>
      </c>
      <c r="I534">
        <v>15</v>
      </c>
      <c r="J534" s="11">
        <v>3643</v>
      </c>
      <c r="K534">
        <v>27</v>
      </c>
      <c r="L534" t="str" cm="1">
        <f t="array" ref="L534">_xlfn.IFS(J534&gt;5000,"Hight",J534&gt;2000,"Medium",TRUE,"Low")</f>
        <v>Medium</v>
      </c>
      <c r="M534" t="str" cm="1">
        <f t="array" ref="M534">_xlfn.IFS(I534&lt;12,"Low-Term",I534&gt;=36,"Long-Term",TRUE,"Medium-Term")</f>
        <v>Medium-Term</v>
      </c>
      <c r="N534" t="str" cm="1">
        <f t="array" ref="N534">_xlfn.IFS(A534="Bad", "Review Required", AND(A534="Good",J534&gt;7000),"VIP Client", AND(A534="Good", J534&lt;=7000),"Standart Client")</f>
        <v>Standart Client</v>
      </c>
    </row>
    <row r="535" spans="1:14" x14ac:dyDescent="0.3">
      <c r="A535" t="s">
        <v>34</v>
      </c>
      <c r="B535" t="s">
        <v>80</v>
      </c>
      <c r="C535" t="s">
        <v>87</v>
      </c>
      <c r="D535" t="s">
        <v>99</v>
      </c>
      <c r="E535" t="s">
        <v>122</v>
      </c>
      <c r="F535" t="s">
        <v>123</v>
      </c>
      <c r="G535" t="s">
        <v>115</v>
      </c>
      <c r="H535" t="s">
        <v>121</v>
      </c>
      <c r="I535">
        <v>24</v>
      </c>
      <c r="J535" s="11">
        <v>2910</v>
      </c>
      <c r="K535">
        <v>34</v>
      </c>
      <c r="L535" t="str" cm="1">
        <f t="array" ref="L535">_xlfn.IFS(J535&gt;5000,"Hight",J535&gt;2000,"Medium",TRUE,"Low")</f>
        <v>Medium</v>
      </c>
      <c r="M535" t="str" cm="1">
        <f t="array" ref="M535">_xlfn.IFS(I535&lt;12,"Low-Term",I535&gt;=36,"Long-Term",TRUE,"Medium-Term")</f>
        <v>Medium-Term</v>
      </c>
      <c r="N535" t="str" cm="1">
        <f t="array" ref="N535">_xlfn.IFS(A535="Bad", "Review Required", AND(A535="Good",J535&gt;7000),"VIP Client", AND(A535="Good", J535&lt;=7000),"Standart Client")</f>
        <v>Standart Client</v>
      </c>
    </row>
    <row r="536" spans="1:14" x14ac:dyDescent="0.3">
      <c r="A536" t="s">
        <v>34</v>
      </c>
      <c r="B536" t="s">
        <v>80</v>
      </c>
      <c r="C536" t="s">
        <v>88</v>
      </c>
      <c r="D536" t="s">
        <v>102</v>
      </c>
      <c r="E536" t="s">
        <v>122</v>
      </c>
      <c r="F536" t="s">
        <v>123</v>
      </c>
      <c r="G536" t="s">
        <v>114</v>
      </c>
      <c r="H536" t="s">
        <v>120</v>
      </c>
      <c r="I536">
        <v>18</v>
      </c>
      <c r="J536" s="11">
        <v>2659</v>
      </c>
      <c r="K536">
        <v>28</v>
      </c>
      <c r="L536" t="str" cm="1">
        <f t="array" ref="L536">_xlfn.IFS(J536&gt;5000,"Hight",J536&gt;2000,"Medium",TRUE,"Low")</f>
        <v>Medium</v>
      </c>
      <c r="M536" t="str" cm="1">
        <f t="array" ref="M536">_xlfn.IFS(I536&lt;12,"Low-Term",I536&gt;=36,"Long-Term",TRUE,"Medium-Term")</f>
        <v>Medium-Term</v>
      </c>
      <c r="N536" t="str" cm="1">
        <f t="array" ref="N536">_xlfn.IFS(A536="Bad", "Review Required", AND(A536="Good",J536&gt;7000),"VIP Client", AND(A536="Good", J536&lt;=7000),"Standart Client")</f>
        <v>Standart Client</v>
      </c>
    </row>
    <row r="537" spans="1:14" x14ac:dyDescent="0.3">
      <c r="A537" t="s">
        <v>34</v>
      </c>
      <c r="B537" t="s">
        <v>78</v>
      </c>
      <c r="C537" t="s">
        <v>86</v>
      </c>
      <c r="D537" t="s">
        <v>99</v>
      </c>
      <c r="E537" t="s">
        <v>124</v>
      </c>
      <c r="F537" t="s">
        <v>125</v>
      </c>
      <c r="G537" t="s">
        <v>114</v>
      </c>
      <c r="H537" t="s">
        <v>120</v>
      </c>
      <c r="I537">
        <v>18</v>
      </c>
      <c r="J537" s="11">
        <v>1028</v>
      </c>
      <c r="K537">
        <v>36</v>
      </c>
      <c r="L537" t="str" cm="1">
        <f t="array" ref="L537">_xlfn.IFS(J537&gt;5000,"Hight",J537&gt;2000,"Medium",TRUE,"Low")</f>
        <v>Low</v>
      </c>
      <c r="M537" t="str" cm="1">
        <f t="array" ref="M537">_xlfn.IFS(I537&lt;12,"Low-Term",I537&gt;=36,"Long-Term",TRUE,"Medium-Term")</f>
        <v>Medium-Term</v>
      </c>
      <c r="N537" t="str" cm="1">
        <f t="array" ref="N537">_xlfn.IFS(A537="Bad", "Review Required", AND(A537="Good",J537&gt;7000),"VIP Client", AND(A537="Good", J537&lt;=7000),"Standart Client")</f>
        <v>Standart Client</v>
      </c>
    </row>
    <row r="538" spans="1:14" x14ac:dyDescent="0.3">
      <c r="A538" t="s">
        <v>34</v>
      </c>
      <c r="B538" t="s">
        <v>80</v>
      </c>
      <c r="C538" t="s">
        <v>86</v>
      </c>
      <c r="D538" t="s">
        <v>99</v>
      </c>
      <c r="E538" t="s">
        <v>122</v>
      </c>
      <c r="F538" t="s">
        <v>123</v>
      </c>
      <c r="G538" t="s">
        <v>113</v>
      </c>
      <c r="H538" t="s">
        <v>120</v>
      </c>
      <c r="I538">
        <v>8</v>
      </c>
      <c r="J538" s="11">
        <v>3398</v>
      </c>
      <c r="K538">
        <v>39</v>
      </c>
      <c r="L538" t="str" cm="1">
        <f t="array" ref="L538">_xlfn.IFS(J538&gt;5000,"Hight",J538&gt;2000,"Medium",TRUE,"Low")</f>
        <v>Medium</v>
      </c>
      <c r="M538" t="str" cm="1">
        <f t="array" ref="M538">_xlfn.IFS(I538&lt;12,"Low-Term",I538&gt;=36,"Long-Term",TRUE,"Medium-Term")</f>
        <v>Low-Term</v>
      </c>
      <c r="N538" t="str" cm="1">
        <f t="array" ref="N538">_xlfn.IFS(A538="Bad", "Review Required", AND(A538="Good",J538&gt;7000),"VIP Client", AND(A538="Good", J538&lt;=7000),"Standart Client")</f>
        <v>Standart Client</v>
      </c>
    </row>
    <row r="539" spans="1:14" x14ac:dyDescent="0.3">
      <c r="A539" t="s">
        <v>34</v>
      </c>
      <c r="B539" t="s">
        <v>78</v>
      </c>
      <c r="C539" t="s">
        <v>88</v>
      </c>
      <c r="D539" t="s">
        <v>78</v>
      </c>
      <c r="E539" t="s">
        <v>122</v>
      </c>
      <c r="F539" t="s">
        <v>123</v>
      </c>
      <c r="G539" t="s">
        <v>114</v>
      </c>
      <c r="H539" t="s">
        <v>119</v>
      </c>
      <c r="I539">
        <v>12</v>
      </c>
      <c r="J539" s="11">
        <v>5801</v>
      </c>
      <c r="K539">
        <v>49</v>
      </c>
      <c r="L539" t="str" cm="1">
        <f t="array" ref="L539">_xlfn.IFS(J539&gt;5000,"Hight",J539&gt;2000,"Medium",TRUE,"Low")</f>
        <v>Hight</v>
      </c>
      <c r="M539" t="str" cm="1">
        <f t="array" ref="M539">_xlfn.IFS(I539&lt;12,"Low-Term",I539&gt;=36,"Long-Term",TRUE,"Medium-Term")</f>
        <v>Medium-Term</v>
      </c>
      <c r="N539" t="str" cm="1">
        <f t="array" ref="N539">_xlfn.IFS(A539="Bad", "Review Required", AND(A539="Good",J539&gt;7000),"VIP Client", AND(A539="Good", J539&lt;=7000),"Standart Client")</f>
        <v>Standart Client</v>
      </c>
    </row>
    <row r="540" spans="1:14" x14ac:dyDescent="0.3">
      <c r="A540" t="s">
        <v>34</v>
      </c>
      <c r="B540" t="s">
        <v>78</v>
      </c>
      <c r="C540" t="s">
        <v>86</v>
      </c>
      <c r="D540" t="s">
        <v>102</v>
      </c>
      <c r="E540" t="s">
        <v>124</v>
      </c>
      <c r="F540" t="s">
        <v>125</v>
      </c>
      <c r="G540" t="s">
        <v>114</v>
      </c>
      <c r="H540" t="s">
        <v>120</v>
      </c>
      <c r="I540">
        <v>24</v>
      </c>
      <c r="J540" s="11">
        <v>1525</v>
      </c>
      <c r="K540">
        <v>34</v>
      </c>
      <c r="L540" t="str" cm="1">
        <f t="array" ref="L540">_xlfn.IFS(J540&gt;5000,"Hight",J540&gt;2000,"Medium",TRUE,"Low")</f>
        <v>Low</v>
      </c>
      <c r="M540" t="str" cm="1">
        <f t="array" ref="M540">_xlfn.IFS(I540&lt;12,"Low-Term",I540&gt;=36,"Long-Term",TRUE,"Medium-Term")</f>
        <v>Medium-Term</v>
      </c>
      <c r="N540" t="str" cm="1">
        <f t="array" ref="N540">_xlfn.IFS(A540="Bad", "Review Required", AND(A540="Good",J540&gt;7000),"VIP Client", AND(A540="Good", J540&lt;=7000),"Standart Client")</f>
        <v>Standart Client</v>
      </c>
    </row>
    <row r="541" spans="1:14" x14ac:dyDescent="0.3">
      <c r="A541" t="s">
        <v>34</v>
      </c>
      <c r="B541" t="s">
        <v>81</v>
      </c>
      <c r="C541" t="s">
        <v>89</v>
      </c>
      <c r="D541" t="s">
        <v>99</v>
      </c>
      <c r="E541" t="s">
        <v>122</v>
      </c>
      <c r="F541" t="s">
        <v>123</v>
      </c>
      <c r="G541" t="s">
        <v>114</v>
      </c>
      <c r="H541" t="s">
        <v>120</v>
      </c>
      <c r="I541">
        <v>36</v>
      </c>
      <c r="J541" s="11">
        <v>4473</v>
      </c>
      <c r="K541">
        <v>31</v>
      </c>
      <c r="L541" t="str" cm="1">
        <f t="array" ref="L541">_xlfn.IFS(J541&gt;5000,"Hight",J541&gt;2000,"Medium",TRUE,"Low")</f>
        <v>Medium</v>
      </c>
      <c r="M541" t="str" cm="1">
        <f t="array" ref="M541">_xlfn.IFS(I541&lt;12,"Low-Term",I541&gt;=36,"Long-Term",TRUE,"Medium-Term")</f>
        <v>Long-Term</v>
      </c>
      <c r="N541" t="str" cm="1">
        <f t="array" ref="N541">_xlfn.IFS(A541="Bad", "Review Required", AND(A541="Good",J541&gt;7000),"VIP Client", AND(A541="Good", J541&lt;=7000),"Standart Client")</f>
        <v>Standart Client</v>
      </c>
    </row>
    <row r="542" spans="1:14" x14ac:dyDescent="0.3">
      <c r="A542" t="s">
        <v>34</v>
      </c>
      <c r="B542" t="s">
        <v>77</v>
      </c>
      <c r="C542" t="s">
        <v>89</v>
      </c>
      <c r="D542" t="s">
        <v>99</v>
      </c>
      <c r="E542" t="s">
        <v>122</v>
      </c>
      <c r="F542" t="s">
        <v>123</v>
      </c>
      <c r="G542" t="s">
        <v>114</v>
      </c>
      <c r="H542" t="s">
        <v>120</v>
      </c>
      <c r="I542">
        <v>6</v>
      </c>
      <c r="J542" s="11">
        <v>1068</v>
      </c>
      <c r="K542">
        <v>28</v>
      </c>
      <c r="L542" t="str" cm="1">
        <f t="array" ref="L542">_xlfn.IFS(J542&gt;5000,"Hight",J542&gt;2000,"Medium",TRUE,"Low")</f>
        <v>Low</v>
      </c>
      <c r="M542" t="str" cm="1">
        <f t="array" ref="M542">_xlfn.IFS(I542&lt;12,"Low-Term",I542&gt;=36,"Long-Term",TRUE,"Medium-Term")</f>
        <v>Low-Term</v>
      </c>
      <c r="N542" t="str" cm="1">
        <f t="array" ref="N542">_xlfn.IFS(A542="Bad", "Review Required", AND(A542="Good",J542&gt;7000),"VIP Client", AND(A542="Good", J542&lt;=7000),"Standart Client")</f>
        <v>Standart Client</v>
      </c>
    </row>
    <row r="543" spans="1:14" x14ac:dyDescent="0.3">
      <c r="A543" t="s">
        <v>34</v>
      </c>
      <c r="B543" t="s">
        <v>80</v>
      </c>
      <c r="C543" t="s">
        <v>87</v>
      </c>
      <c r="D543" t="s">
        <v>99</v>
      </c>
      <c r="E543" t="s">
        <v>122</v>
      </c>
      <c r="F543" t="s">
        <v>123</v>
      </c>
      <c r="G543" t="s">
        <v>115</v>
      </c>
      <c r="H543" t="s">
        <v>121</v>
      </c>
      <c r="I543">
        <v>24</v>
      </c>
      <c r="J543" s="11">
        <v>6615</v>
      </c>
      <c r="K543">
        <v>75</v>
      </c>
      <c r="L543" t="str" cm="1">
        <f t="array" ref="L543">_xlfn.IFS(J543&gt;5000,"Hight",J543&gt;2000,"Medium",TRUE,"Low")</f>
        <v>Hight</v>
      </c>
      <c r="M543" t="str" cm="1">
        <f t="array" ref="M543">_xlfn.IFS(I543&lt;12,"Low-Term",I543&gt;=36,"Long-Term",TRUE,"Medium-Term")</f>
        <v>Medium-Term</v>
      </c>
      <c r="N543" t="str" cm="1">
        <f t="array" ref="N543">_xlfn.IFS(A543="Bad", "Review Required", AND(A543="Good",J543&gt;7000),"VIP Client", AND(A543="Good", J543&lt;=7000),"Standart Client")</f>
        <v>Standart Client</v>
      </c>
    </row>
    <row r="544" spans="1:14" x14ac:dyDescent="0.3">
      <c r="A544" t="s">
        <v>34</v>
      </c>
      <c r="B544" t="s">
        <v>77</v>
      </c>
      <c r="C544" t="s">
        <v>89</v>
      </c>
      <c r="D544" t="s">
        <v>99</v>
      </c>
      <c r="E544" t="s">
        <v>124</v>
      </c>
      <c r="F544" t="s">
        <v>125</v>
      </c>
      <c r="G544" t="s">
        <v>113</v>
      </c>
      <c r="H544" t="s">
        <v>120</v>
      </c>
      <c r="I544">
        <v>13</v>
      </c>
      <c r="J544" s="11">
        <v>2101</v>
      </c>
      <c r="K544">
        <v>23</v>
      </c>
      <c r="L544" t="str" cm="1">
        <f t="array" ref="L544">_xlfn.IFS(J544&gt;5000,"Hight",J544&gt;2000,"Medium",TRUE,"Low")</f>
        <v>Medium</v>
      </c>
      <c r="M544" t="str" cm="1">
        <f t="array" ref="M544">_xlfn.IFS(I544&lt;12,"Low-Term",I544&gt;=36,"Long-Term",TRUE,"Medium-Term")</f>
        <v>Medium-Term</v>
      </c>
      <c r="N544" t="str" cm="1">
        <f t="array" ref="N544">_xlfn.IFS(A544="Bad", "Review Required", AND(A544="Good",J544&gt;7000),"VIP Client", AND(A544="Good", J544&lt;=7000),"Standart Client")</f>
        <v>Standart Client</v>
      </c>
    </row>
    <row r="545" spans="1:14" x14ac:dyDescent="0.3">
      <c r="A545" t="s">
        <v>34</v>
      </c>
      <c r="B545" t="s">
        <v>80</v>
      </c>
      <c r="C545" t="s">
        <v>88</v>
      </c>
      <c r="D545" t="s">
        <v>99</v>
      </c>
      <c r="E545" t="s">
        <v>122</v>
      </c>
      <c r="F545" t="s">
        <v>123</v>
      </c>
      <c r="G545" t="s">
        <v>114</v>
      </c>
      <c r="H545" t="s">
        <v>120</v>
      </c>
      <c r="I545">
        <v>24</v>
      </c>
      <c r="J545" s="11">
        <v>4169</v>
      </c>
      <c r="K545">
        <v>28</v>
      </c>
      <c r="L545" t="str" cm="1">
        <f t="array" ref="L545">_xlfn.IFS(J545&gt;5000,"Hight",J545&gt;2000,"Medium",TRUE,"Low")</f>
        <v>Medium</v>
      </c>
      <c r="M545" t="str" cm="1">
        <f t="array" ref="M545">_xlfn.IFS(I545&lt;12,"Low-Term",I545&gt;=36,"Long-Term",TRUE,"Medium-Term")</f>
        <v>Medium-Term</v>
      </c>
      <c r="N545" t="str" cm="1">
        <f t="array" ref="N545">_xlfn.IFS(A545="Bad", "Review Required", AND(A545="Good",J545&gt;7000),"VIP Client", AND(A545="Good", J545&lt;=7000),"Standart Client")</f>
        <v>Standart Client</v>
      </c>
    </row>
    <row r="546" spans="1:14" x14ac:dyDescent="0.3">
      <c r="A546" t="s">
        <v>34</v>
      </c>
      <c r="B546" t="s">
        <v>77</v>
      </c>
      <c r="C546" t="s">
        <v>88</v>
      </c>
      <c r="D546" t="s">
        <v>99</v>
      </c>
      <c r="E546" t="s">
        <v>122</v>
      </c>
      <c r="F546" t="s">
        <v>126</v>
      </c>
      <c r="G546" t="s">
        <v>113</v>
      </c>
      <c r="H546" t="s">
        <v>120</v>
      </c>
      <c r="I546">
        <v>10</v>
      </c>
      <c r="J546" s="11">
        <v>1521</v>
      </c>
      <c r="K546">
        <v>31</v>
      </c>
      <c r="L546" t="str" cm="1">
        <f t="array" ref="L546">_xlfn.IFS(J546&gt;5000,"Hight",J546&gt;2000,"Medium",TRUE,"Low")</f>
        <v>Low</v>
      </c>
      <c r="M546" t="str" cm="1">
        <f t="array" ref="M546">_xlfn.IFS(I546&lt;12,"Low-Term",I546&gt;=36,"Long-Term",TRUE,"Medium-Term")</f>
        <v>Low-Term</v>
      </c>
      <c r="N546" t="str" cm="1">
        <f t="array" ref="N546">_xlfn.IFS(A546="Bad", "Review Required", AND(A546="Good",J546&gt;7000),"VIP Client", AND(A546="Good", J546&lt;=7000),"Standart Client")</f>
        <v>Standart Client</v>
      </c>
    </row>
    <row r="547" spans="1:14" x14ac:dyDescent="0.3">
      <c r="A547" t="s">
        <v>34</v>
      </c>
      <c r="B547" t="s">
        <v>77</v>
      </c>
      <c r="C547" t="s">
        <v>92</v>
      </c>
      <c r="D547" t="s">
        <v>99</v>
      </c>
      <c r="E547" t="s">
        <v>124</v>
      </c>
      <c r="F547" t="s">
        <v>125</v>
      </c>
      <c r="G547" t="s">
        <v>114</v>
      </c>
      <c r="H547" t="s">
        <v>121</v>
      </c>
      <c r="I547">
        <v>24</v>
      </c>
      <c r="J547" s="11">
        <v>5743</v>
      </c>
      <c r="K547">
        <v>24</v>
      </c>
      <c r="L547" t="str" cm="1">
        <f t="array" ref="L547">_xlfn.IFS(J547&gt;5000,"Hight",J547&gt;2000,"Medium",TRUE,"Low")</f>
        <v>Hight</v>
      </c>
      <c r="M547" t="str" cm="1">
        <f t="array" ref="M547">_xlfn.IFS(I547&lt;12,"Low-Term",I547&gt;=36,"Long-Term",TRUE,"Medium-Term")</f>
        <v>Medium-Term</v>
      </c>
      <c r="N547" t="str" cm="1">
        <f t="array" ref="N547">_xlfn.IFS(A547="Bad", "Review Required", AND(A547="Good",J547&gt;7000),"VIP Client", AND(A547="Good", J547&lt;=7000),"Standart Client")</f>
        <v>Standart Client</v>
      </c>
    </row>
    <row r="548" spans="1:14" x14ac:dyDescent="0.3">
      <c r="A548" t="s">
        <v>34</v>
      </c>
      <c r="B548" t="s">
        <v>80</v>
      </c>
      <c r="C548" t="s">
        <v>88</v>
      </c>
      <c r="D548" t="s">
        <v>99</v>
      </c>
      <c r="E548" t="s">
        <v>124</v>
      </c>
      <c r="F548" t="s">
        <v>125</v>
      </c>
      <c r="G548" t="s">
        <v>113</v>
      </c>
      <c r="H548" t="s">
        <v>119</v>
      </c>
      <c r="I548">
        <v>21</v>
      </c>
      <c r="J548" s="11">
        <v>3599</v>
      </c>
      <c r="K548">
        <v>26</v>
      </c>
      <c r="L548" t="str" cm="1">
        <f t="array" ref="L548">_xlfn.IFS(J548&gt;5000,"Hight",J548&gt;2000,"Medium",TRUE,"Low")</f>
        <v>Medium</v>
      </c>
      <c r="M548" t="str" cm="1">
        <f t="array" ref="M548">_xlfn.IFS(I548&lt;12,"Low-Term",I548&gt;=36,"Long-Term",TRUE,"Medium-Term")</f>
        <v>Medium-Term</v>
      </c>
      <c r="N548" t="str" cm="1">
        <f t="array" ref="N548">_xlfn.IFS(A548="Bad", "Review Required", AND(A548="Good",J548&gt;7000),"VIP Client", AND(A548="Good", J548&lt;=7000),"Standart Client")</f>
        <v>Standart Client</v>
      </c>
    </row>
    <row r="549" spans="1:14" x14ac:dyDescent="0.3">
      <c r="A549" t="s">
        <v>34</v>
      </c>
      <c r="B549" t="s">
        <v>77</v>
      </c>
      <c r="C549" t="s">
        <v>89</v>
      </c>
      <c r="D549" t="s">
        <v>101</v>
      </c>
      <c r="E549" t="s">
        <v>122</v>
      </c>
      <c r="F549" t="s">
        <v>127</v>
      </c>
      <c r="G549" t="s">
        <v>114</v>
      </c>
      <c r="H549" t="s">
        <v>119</v>
      </c>
      <c r="I549">
        <v>18</v>
      </c>
      <c r="J549" s="11">
        <v>3213</v>
      </c>
      <c r="K549">
        <v>25</v>
      </c>
      <c r="L549" t="str" cm="1">
        <f t="array" ref="L549">_xlfn.IFS(J549&gt;5000,"Hight",J549&gt;2000,"Medium",TRUE,"Low")</f>
        <v>Medium</v>
      </c>
      <c r="M549" t="str" cm="1">
        <f t="array" ref="M549">_xlfn.IFS(I549&lt;12,"Low-Term",I549&gt;=36,"Long-Term",TRUE,"Medium-Term")</f>
        <v>Medium-Term</v>
      </c>
      <c r="N549" t="str" cm="1">
        <f t="array" ref="N549">_xlfn.IFS(A549="Bad", "Review Required", AND(A549="Good",J549&gt;7000),"VIP Client", AND(A549="Good", J549&lt;=7000),"Standart Client")</f>
        <v>Standart Client</v>
      </c>
    </row>
    <row r="550" spans="1:14" x14ac:dyDescent="0.3">
      <c r="A550" t="s">
        <v>34</v>
      </c>
      <c r="B550" t="s">
        <v>77</v>
      </c>
      <c r="C550" t="s">
        <v>94</v>
      </c>
      <c r="D550" t="s">
        <v>99</v>
      </c>
      <c r="E550" t="s">
        <v>122</v>
      </c>
      <c r="F550" t="s">
        <v>123</v>
      </c>
      <c r="G550" t="s">
        <v>115</v>
      </c>
      <c r="H550" t="s">
        <v>120</v>
      </c>
      <c r="I550">
        <v>18</v>
      </c>
      <c r="J550" s="11">
        <v>4439</v>
      </c>
      <c r="K550">
        <v>33</v>
      </c>
      <c r="L550" t="str" cm="1">
        <f t="array" ref="L550">_xlfn.IFS(J550&gt;5000,"Hight",J550&gt;2000,"Medium",TRUE,"Low")</f>
        <v>Medium</v>
      </c>
      <c r="M550" t="str" cm="1">
        <f t="array" ref="M550">_xlfn.IFS(I550&lt;12,"Low-Term",I550&gt;=36,"Long-Term",TRUE,"Medium-Term")</f>
        <v>Medium-Term</v>
      </c>
      <c r="N550" t="str" cm="1">
        <f t="array" ref="N550">_xlfn.IFS(A550="Bad", "Review Required", AND(A550="Good",J550&gt;7000),"VIP Client", AND(A550="Good", J550&lt;=7000),"Standart Client")</f>
        <v>Standart Client</v>
      </c>
    </row>
    <row r="551" spans="1:14" x14ac:dyDescent="0.3">
      <c r="A551" t="s">
        <v>34</v>
      </c>
      <c r="B551" t="s">
        <v>81</v>
      </c>
      <c r="C551" t="s">
        <v>86</v>
      </c>
      <c r="D551" t="s">
        <v>99</v>
      </c>
      <c r="E551" t="s">
        <v>122</v>
      </c>
      <c r="F551" t="s">
        <v>123</v>
      </c>
      <c r="G551" t="s">
        <v>113</v>
      </c>
      <c r="H551" t="s">
        <v>120</v>
      </c>
      <c r="I551">
        <v>10</v>
      </c>
      <c r="J551" s="11">
        <v>3949</v>
      </c>
      <c r="K551">
        <v>37</v>
      </c>
      <c r="L551" t="str" cm="1">
        <f t="array" ref="L551">_xlfn.IFS(J551&gt;5000,"Hight",J551&gt;2000,"Medium",TRUE,"Low")</f>
        <v>Medium</v>
      </c>
      <c r="M551" t="str" cm="1">
        <f t="array" ref="M551">_xlfn.IFS(I551&lt;12,"Low-Term",I551&gt;=36,"Long-Term",TRUE,"Medium-Term")</f>
        <v>Low-Term</v>
      </c>
      <c r="N551" t="str" cm="1">
        <f t="array" ref="N551">_xlfn.IFS(A551="Bad", "Review Required", AND(A551="Good",J551&gt;7000),"VIP Client", AND(A551="Good", J551&lt;=7000),"Standart Client")</f>
        <v>Standart Client</v>
      </c>
    </row>
    <row r="552" spans="1:14" x14ac:dyDescent="0.3">
      <c r="A552" t="s">
        <v>34</v>
      </c>
      <c r="B552" t="s">
        <v>78</v>
      </c>
      <c r="C552" t="s">
        <v>89</v>
      </c>
      <c r="D552" t="s">
        <v>99</v>
      </c>
      <c r="E552" t="s">
        <v>124</v>
      </c>
      <c r="F552" t="s">
        <v>125</v>
      </c>
      <c r="G552" t="s">
        <v>113</v>
      </c>
      <c r="H552" t="s">
        <v>120</v>
      </c>
      <c r="I552">
        <v>15</v>
      </c>
      <c r="J552" s="11">
        <v>1459</v>
      </c>
      <c r="K552">
        <v>43</v>
      </c>
      <c r="L552" t="str" cm="1">
        <f t="array" ref="L552">_xlfn.IFS(J552&gt;5000,"Hight",J552&gt;2000,"Medium",TRUE,"Low")</f>
        <v>Low</v>
      </c>
      <c r="M552" t="str" cm="1">
        <f t="array" ref="M552">_xlfn.IFS(I552&lt;12,"Low-Term",I552&gt;=36,"Long-Term",TRUE,"Medium-Term")</f>
        <v>Medium-Term</v>
      </c>
      <c r="N552" t="str" cm="1">
        <f t="array" ref="N552">_xlfn.IFS(A552="Bad", "Review Required", AND(A552="Good",J552&gt;7000),"VIP Client", AND(A552="Good", J552&lt;=7000),"Standart Client")</f>
        <v>Standart Client</v>
      </c>
    </row>
    <row r="553" spans="1:14" x14ac:dyDescent="0.3">
      <c r="A553" t="s">
        <v>34</v>
      </c>
      <c r="B553" t="s">
        <v>77</v>
      </c>
      <c r="C553" t="s">
        <v>89</v>
      </c>
      <c r="D553" t="s">
        <v>99</v>
      </c>
      <c r="E553" t="s">
        <v>122</v>
      </c>
      <c r="F553" t="s">
        <v>123</v>
      </c>
      <c r="G553" t="s">
        <v>114</v>
      </c>
      <c r="H553" t="s">
        <v>120</v>
      </c>
      <c r="I553">
        <v>13</v>
      </c>
      <c r="J553" s="11">
        <v>882</v>
      </c>
      <c r="K553">
        <v>23</v>
      </c>
      <c r="L553" t="str" cm="1">
        <f t="array" ref="L553">_xlfn.IFS(J553&gt;5000,"Hight",J553&gt;2000,"Medium",TRUE,"Low")</f>
        <v>Low</v>
      </c>
      <c r="M553" t="str" cm="1">
        <f t="array" ref="M553">_xlfn.IFS(I553&lt;12,"Low-Term",I553&gt;=36,"Long-Term",TRUE,"Medium-Term")</f>
        <v>Medium-Term</v>
      </c>
      <c r="N553" t="str" cm="1">
        <f t="array" ref="N553">_xlfn.IFS(A553="Bad", "Review Required", AND(A553="Good",J553&gt;7000),"VIP Client", AND(A553="Good", J553&lt;=7000),"Standart Client")</f>
        <v>Standart Client</v>
      </c>
    </row>
    <row r="554" spans="1:14" x14ac:dyDescent="0.3">
      <c r="A554" t="s">
        <v>34</v>
      </c>
      <c r="B554" t="s">
        <v>77</v>
      </c>
      <c r="C554" t="s">
        <v>89</v>
      </c>
      <c r="D554" t="s">
        <v>101</v>
      </c>
      <c r="E554" t="s">
        <v>124</v>
      </c>
      <c r="F554" t="s">
        <v>125</v>
      </c>
      <c r="G554" t="s">
        <v>112</v>
      </c>
      <c r="H554" t="s">
        <v>119</v>
      </c>
      <c r="I554">
        <v>24</v>
      </c>
      <c r="J554" s="11">
        <v>3758</v>
      </c>
      <c r="K554">
        <v>23</v>
      </c>
      <c r="L554" t="str" cm="1">
        <f t="array" ref="L554">_xlfn.IFS(J554&gt;5000,"Hight",J554&gt;2000,"Medium",TRUE,"Low")</f>
        <v>Medium</v>
      </c>
      <c r="M554" t="str" cm="1">
        <f t="array" ref="M554">_xlfn.IFS(I554&lt;12,"Low-Term",I554&gt;=36,"Long-Term",TRUE,"Medium-Term")</f>
        <v>Medium-Term</v>
      </c>
      <c r="N554" t="str" cm="1">
        <f t="array" ref="N554">_xlfn.IFS(A554="Bad", "Review Required", AND(A554="Good",J554&gt;7000),"VIP Client", AND(A554="Good", J554&lt;=7000),"Standart Client")</f>
        <v>Standart Client</v>
      </c>
    </row>
    <row r="555" spans="1:14" x14ac:dyDescent="0.3">
      <c r="A555" t="s">
        <v>34</v>
      </c>
      <c r="B555" t="s">
        <v>78</v>
      </c>
      <c r="C555" t="s">
        <v>94</v>
      </c>
      <c r="D555" t="s">
        <v>100</v>
      </c>
      <c r="E555" t="s">
        <v>122</v>
      </c>
      <c r="F555" t="s">
        <v>123</v>
      </c>
      <c r="G555" t="s">
        <v>113</v>
      </c>
      <c r="H555" t="s">
        <v>120</v>
      </c>
      <c r="I555">
        <v>6</v>
      </c>
      <c r="J555" s="11">
        <v>1743</v>
      </c>
      <c r="K555">
        <v>34</v>
      </c>
      <c r="L555" t="str" cm="1">
        <f t="array" ref="L555">_xlfn.IFS(J555&gt;5000,"Hight",J555&gt;2000,"Medium",TRUE,"Low")</f>
        <v>Low</v>
      </c>
      <c r="M555" t="str" cm="1">
        <f t="array" ref="M555">_xlfn.IFS(I555&lt;12,"Low-Term",I555&gt;=36,"Long-Term",TRUE,"Medium-Term")</f>
        <v>Low-Term</v>
      </c>
      <c r="N555" t="str" cm="1">
        <f t="array" ref="N555">_xlfn.IFS(A555="Bad", "Review Required", AND(A555="Good",J555&gt;7000),"VIP Client", AND(A555="Good", J555&lt;=7000),"Standart Client")</f>
        <v>Standart Client</v>
      </c>
    </row>
    <row r="556" spans="1:14" x14ac:dyDescent="0.3">
      <c r="A556" t="s">
        <v>34</v>
      </c>
      <c r="B556" t="s">
        <v>78</v>
      </c>
      <c r="C556" t="s">
        <v>90</v>
      </c>
      <c r="D556" t="s">
        <v>99</v>
      </c>
      <c r="E556" t="s">
        <v>124</v>
      </c>
      <c r="F556" t="s">
        <v>125</v>
      </c>
      <c r="G556" t="s">
        <v>114</v>
      </c>
      <c r="H556" t="s">
        <v>119</v>
      </c>
      <c r="I556">
        <v>9</v>
      </c>
      <c r="J556" s="11">
        <v>1236</v>
      </c>
      <c r="K556">
        <v>23</v>
      </c>
      <c r="L556" t="str" cm="1">
        <f t="array" ref="L556">_xlfn.IFS(J556&gt;5000,"Hight",J556&gt;2000,"Medium",TRUE,"Low")</f>
        <v>Low</v>
      </c>
      <c r="M556" t="str" cm="1">
        <f t="array" ref="M556">_xlfn.IFS(I556&lt;12,"Low-Term",I556&gt;=36,"Long-Term",TRUE,"Medium-Term")</f>
        <v>Low-Term</v>
      </c>
      <c r="N556" t="str" cm="1">
        <f t="array" ref="N556">_xlfn.IFS(A556="Bad", "Review Required", AND(A556="Good",J556&gt;7000),"VIP Client", AND(A556="Good", J556&lt;=7000),"Standart Client")</f>
        <v>Standart Client</v>
      </c>
    </row>
    <row r="557" spans="1:14" x14ac:dyDescent="0.3">
      <c r="A557" t="s">
        <v>34</v>
      </c>
      <c r="B557" t="s">
        <v>78</v>
      </c>
      <c r="C557" t="s">
        <v>87</v>
      </c>
      <c r="D557" t="s">
        <v>78</v>
      </c>
      <c r="E557" t="s">
        <v>122</v>
      </c>
      <c r="F557" t="s">
        <v>123</v>
      </c>
      <c r="G557" t="s">
        <v>115</v>
      </c>
      <c r="H557" t="s">
        <v>120</v>
      </c>
      <c r="I557">
        <v>18</v>
      </c>
      <c r="J557" s="11">
        <v>3229</v>
      </c>
      <c r="K557">
        <v>38</v>
      </c>
      <c r="L557" t="str" cm="1">
        <f t="array" ref="L557">_xlfn.IFS(J557&gt;5000,"Hight",J557&gt;2000,"Medium",TRUE,"Low")</f>
        <v>Medium</v>
      </c>
      <c r="M557" t="str" cm="1">
        <f t="array" ref="M557">_xlfn.IFS(I557&lt;12,"Low-Term",I557&gt;=36,"Long-Term",TRUE,"Medium-Term")</f>
        <v>Medium-Term</v>
      </c>
      <c r="N557" t="str" cm="1">
        <f t="array" ref="N557">_xlfn.IFS(A557="Bad", "Review Required", AND(A557="Good",J557&gt;7000),"VIP Client", AND(A557="Good", J557&lt;=7000),"Standart Client")</f>
        <v>Standart Client</v>
      </c>
    </row>
    <row r="558" spans="1:14" x14ac:dyDescent="0.3">
      <c r="A558" t="s">
        <v>34</v>
      </c>
      <c r="B558" t="s">
        <v>78</v>
      </c>
      <c r="C558" t="s">
        <v>92</v>
      </c>
      <c r="D558" t="s">
        <v>101</v>
      </c>
      <c r="E558" t="s">
        <v>122</v>
      </c>
      <c r="F558" t="s">
        <v>123</v>
      </c>
      <c r="G558" t="s">
        <v>114</v>
      </c>
      <c r="H558" t="s">
        <v>121</v>
      </c>
      <c r="I558">
        <v>10</v>
      </c>
      <c r="J558" s="11">
        <v>727</v>
      </c>
      <c r="K558">
        <v>46</v>
      </c>
      <c r="L558" t="str" cm="1">
        <f t="array" ref="L558">_xlfn.IFS(J558&gt;5000,"Hight",J558&gt;2000,"Medium",TRUE,"Low")</f>
        <v>Low</v>
      </c>
      <c r="M558" t="str" cm="1">
        <f t="array" ref="M558">_xlfn.IFS(I558&lt;12,"Low-Term",I558&gt;=36,"Long-Term",TRUE,"Medium-Term")</f>
        <v>Low-Term</v>
      </c>
      <c r="N558" t="str" cm="1">
        <f t="array" ref="N558">_xlfn.IFS(A558="Bad", "Review Required", AND(A558="Good",J558&gt;7000),"VIP Client", AND(A558="Good", J558&lt;=7000),"Standart Client")</f>
        <v>Standart Client</v>
      </c>
    </row>
    <row r="559" spans="1:14" x14ac:dyDescent="0.3">
      <c r="A559" t="s">
        <v>34</v>
      </c>
      <c r="B559" t="s">
        <v>78</v>
      </c>
      <c r="C559" t="s">
        <v>89</v>
      </c>
      <c r="D559" t="s">
        <v>78</v>
      </c>
      <c r="E559" t="s">
        <v>122</v>
      </c>
      <c r="F559" t="s">
        <v>123</v>
      </c>
      <c r="G559" t="s">
        <v>114</v>
      </c>
      <c r="H559" t="s">
        <v>120</v>
      </c>
      <c r="I559">
        <v>12</v>
      </c>
      <c r="J559" s="11">
        <v>2331</v>
      </c>
      <c r="K559">
        <v>49</v>
      </c>
      <c r="L559" t="str" cm="1">
        <f t="array" ref="L559">_xlfn.IFS(J559&gt;5000,"Hight",J559&gt;2000,"Medium",TRUE,"Low")</f>
        <v>Medium</v>
      </c>
      <c r="M559" t="str" cm="1">
        <f t="array" ref="M559">_xlfn.IFS(I559&lt;12,"Low-Term",I559&gt;=36,"Long-Term",TRUE,"Medium-Term")</f>
        <v>Medium-Term</v>
      </c>
      <c r="N559" t="str" cm="1">
        <f t="array" ref="N559">_xlfn.IFS(A559="Bad", "Review Required", AND(A559="Good",J559&gt;7000),"VIP Client", AND(A559="Good", J559&lt;=7000),"Standart Client")</f>
        <v>Standart Client</v>
      </c>
    </row>
    <row r="560" spans="1:14" x14ac:dyDescent="0.3">
      <c r="A560" t="s">
        <v>34</v>
      </c>
      <c r="B560" t="s">
        <v>78</v>
      </c>
      <c r="C560" t="s">
        <v>89</v>
      </c>
      <c r="D560" t="s">
        <v>99</v>
      </c>
      <c r="E560" t="s">
        <v>122</v>
      </c>
      <c r="F560" t="s">
        <v>127</v>
      </c>
      <c r="G560" t="s">
        <v>114</v>
      </c>
      <c r="H560" t="s">
        <v>120</v>
      </c>
      <c r="I560">
        <v>12</v>
      </c>
      <c r="J560" s="11">
        <v>776</v>
      </c>
      <c r="K560">
        <v>28</v>
      </c>
      <c r="L560" t="str" cm="1">
        <f t="array" ref="L560">_xlfn.IFS(J560&gt;5000,"Hight",J560&gt;2000,"Medium",TRUE,"Low")</f>
        <v>Low</v>
      </c>
      <c r="M560" t="str" cm="1">
        <f t="array" ref="M560">_xlfn.IFS(I560&lt;12,"Low-Term",I560&gt;=36,"Long-Term",TRUE,"Medium-Term")</f>
        <v>Medium-Term</v>
      </c>
      <c r="N560" t="str" cm="1">
        <f t="array" ref="N560">_xlfn.IFS(A560="Bad", "Review Required", AND(A560="Good",J560&gt;7000),"VIP Client", AND(A560="Good", J560&lt;=7000),"Standart Client")</f>
        <v>Standart Client</v>
      </c>
    </row>
    <row r="561" spans="1:14" x14ac:dyDescent="0.3">
      <c r="A561" t="s">
        <v>34</v>
      </c>
      <c r="B561" t="s">
        <v>77</v>
      </c>
      <c r="C561" t="s">
        <v>92</v>
      </c>
      <c r="D561" t="s">
        <v>78</v>
      </c>
      <c r="E561" t="s">
        <v>122</v>
      </c>
      <c r="F561" t="s">
        <v>123</v>
      </c>
      <c r="G561" t="s">
        <v>114</v>
      </c>
      <c r="H561" t="s">
        <v>121</v>
      </c>
      <c r="I561">
        <v>18</v>
      </c>
      <c r="J561" s="11">
        <v>1239</v>
      </c>
      <c r="K561">
        <v>61</v>
      </c>
      <c r="L561" t="str" cm="1">
        <f t="array" ref="L561">_xlfn.IFS(J561&gt;5000,"Hight",J561&gt;2000,"Medium",TRUE,"Low")</f>
        <v>Low</v>
      </c>
      <c r="M561" t="str" cm="1">
        <f t="array" ref="M561">_xlfn.IFS(I561&lt;12,"Low-Term",I561&gt;=36,"Long-Term",TRUE,"Medium-Term")</f>
        <v>Medium-Term</v>
      </c>
      <c r="N561" t="str" cm="1">
        <f t="array" ref="N561">_xlfn.IFS(A561="Bad", "Review Required", AND(A561="Good",J561&gt;7000),"VIP Client", AND(A561="Good", J561&lt;=7000),"Standart Client")</f>
        <v>Standart Client</v>
      </c>
    </row>
    <row r="562" spans="1:14" x14ac:dyDescent="0.3">
      <c r="A562" t="s">
        <v>34</v>
      </c>
      <c r="B562" t="s">
        <v>81</v>
      </c>
      <c r="C562" t="s">
        <v>89</v>
      </c>
      <c r="D562" t="s">
        <v>78</v>
      </c>
      <c r="E562" t="s">
        <v>122</v>
      </c>
      <c r="F562" t="s">
        <v>123</v>
      </c>
      <c r="G562" t="s">
        <v>115</v>
      </c>
      <c r="H562" t="s">
        <v>120</v>
      </c>
      <c r="I562">
        <v>12</v>
      </c>
      <c r="J562" s="11">
        <v>3399</v>
      </c>
      <c r="K562">
        <v>37</v>
      </c>
      <c r="L562" t="str" cm="1">
        <f t="array" ref="L562">_xlfn.IFS(J562&gt;5000,"Hight",J562&gt;2000,"Medium",TRUE,"Low")</f>
        <v>Medium</v>
      </c>
      <c r="M562" t="str" cm="1">
        <f t="array" ref="M562">_xlfn.IFS(I562&lt;12,"Low-Term",I562&gt;=36,"Long-Term",TRUE,"Medium-Term")</f>
        <v>Medium-Term</v>
      </c>
      <c r="N562" t="str" cm="1">
        <f t="array" ref="N562">_xlfn.IFS(A562="Bad", "Review Required", AND(A562="Good",J562&gt;7000),"VIP Client", AND(A562="Good", J562&lt;=7000),"Standart Client")</f>
        <v>Standart Client</v>
      </c>
    </row>
    <row r="563" spans="1:14" x14ac:dyDescent="0.3">
      <c r="A563" t="s">
        <v>34</v>
      </c>
      <c r="B563" t="s">
        <v>81</v>
      </c>
      <c r="C563" t="s">
        <v>86</v>
      </c>
      <c r="D563" t="s">
        <v>99</v>
      </c>
      <c r="E563" t="s">
        <v>124</v>
      </c>
      <c r="F563" t="s">
        <v>125</v>
      </c>
      <c r="G563" t="s">
        <v>114</v>
      </c>
      <c r="H563" t="s">
        <v>120</v>
      </c>
      <c r="I563">
        <v>12</v>
      </c>
      <c r="J563" s="11">
        <v>2247</v>
      </c>
      <c r="K563">
        <v>36</v>
      </c>
      <c r="L563" t="str" cm="1">
        <f t="array" ref="L563">_xlfn.IFS(J563&gt;5000,"Hight",J563&gt;2000,"Medium",TRUE,"Low")</f>
        <v>Medium</v>
      </c>
      <c r="M563" t="str" cm="1">
        <f t="array" ref="M563">_xlfn.IFS(I563&lt;12,"Low-Term",I563&gt;=36,"Long-Term",TRUE,"Medium-Term")</f>
        <v>Medium-Term</v>
      </c>
      <c r="N563" t="str" cm="1">
        <f t="array" ref="N563">_xlfn.IFS(A563="Bad", "Review Required", AND(A563="Good",J563&gt;7000),"VIP Client", AND(A563="Good", J563&lt;=7000),"Standart Client")</f>
        <v>Standart Client</v>
      </c>
    </row>
    <row r="564" spans="1:14" x14ac:dyDescent="0.3">
      <c r="A564" t="s">
        <v>34</v>
      </c>
      <c r="B564" t="s">
        <v>78</v>
      </c>
      <c r="C564" t="s">
        <v>88</v>
      </c>
      <c r="D564" t="s">
        <v>99</v>
      </c>
      <c r="E564" t="s">
        <v>122</v>
      </c>
      <c r="F564" t="s">
        <v>127</v>
      </c>
      <c r="G564" t="s">
        <v>114</v>
      </c>
      <c r="H564" t="s">
        <v>119</v>
      </c>
      <c r="I564">
        <v>6</v>
      </c>
      <c r="J564" s="11">
        <v>1766</v>
      </c>
      <c r="K564">
        <v>21</v>
      </c>
      <c r="L564" t="str" cm="1">
        <f t="array" ref="L564">_xlfn.IFS(J564&gt;5000,"Hight",J564&gt;2000,"Medium",TRUE,"Low")</f>
        <v>Low</v>
      </c>
      <c r="M564" t="str" cm="1">
        <f t="array" ref="M564">_xlfn.IFS(I564&lt;12,"Low-Term",I564&gt;=36,"Long-Term",TRUE,"Medium-Term")</f>
        <v>Low-Term</v>
      </c>
      <c r="N564" t="str" cm="1">
        <f t="array" ref="N564">_xlfn.IFS(A564="Bad", "Review Required", AND(A564="Good",J564&gt;7000),"VIP Client", AND(A564="Good", J564&lt;=7000),"Standart Client")</f>
        <v>Standart Client</v>
      </c>
    </row>
    <row r="565" spans="1:14" x14ac:dyDescent="0.3">
      <c r="A565" t="s">
        <v>34</v>
      </c>
      <c r="B565" t="s">
        <v>78</v>
      </c>
      <c r="C565" t="s">
        <v>94</v>
      </c>
      <c r="D565" t="s">
        <v>99</v>
      </c>
      <c r="E565" t="s">
        <v>122</v>
      </c>
      <c r="F565" t="s">
        <v>123</v>
      </c>
      <c r="G565" t="s">
        <v>114</v>
      </c>
      <c r="H565" t="s">
        <v>120</v>
      </c>
      <c r="I565">
        <v>12</v>
      </c>
      <c r="J565" s="11">
        <v>1542</v>
      </c>
      <c r="K565">
        <v>36</v>
      </c>
      <c r="L565" t="str" cm="1">
        <f t="array" ref="L565">_xlfn.IFS(J565&gt;5000,"Hight",J565&gt;2000,"Medium",TRUE,"Low")</f>
        <v>Low</v>
      </c>
      <c r="M565" t="str" cm="1">
        <f t="array" ref="M565">_xlfn.IFS(I565&lt;12,"Low-Term",I565&gt;=36,"Long-Term",TRUE,"Medium-Term")</f>
        <v>Medium-Term</v>
      </c>
      <c r="N565" t="str" cm="1">
        <f t="array" ref="N565">_xlfn.IFS(A565="Bad", "Review Required", AND(A565="Good",J565&gt;7000),"VIP Client", AND(A565="Good", J565&lt;=7000),"Standart Client")</f>
        <v>Standart Client</v>
      </c>
    </row>
    <row r="566" spans="1:14" x14ac:dyDescent="0.3">
      <c r="A566" t="s">
        <v>34</v>
      </c>
      <c r="B566" t="s">
        <v>78</v>
      </c>
      <c r="C566" t="s">
        <v>87</v>
      </c>
      <c r="D566" t="s">
        <v>99</v>
      </c>
      <c r="E566" t="s">
        <v>122</v>
      </c>
      <c r="F566" t="s">
        <v>123</v>
      </c>
      <c r="G566" t="s">
        <v>114</v>
      </c>
      <c r="H566" t="s">
        <v>120</v>
      </c>
      <c r="I566">
        <v>18</v>
      </c>
      <c r="J566" s="11">
        <v>3850</v>
      </c>
      <c r="K566">
        <v>27</v>
      </c>
      <c r="L566" t="str" cm="1">
        <f t="array" ref="L566">_xlfn.IFS(J566&gt;5000,"Hight",J566&gt;2000,"Medium",TRUE,"Low")</f>
        <v>Medium</v>
      </c>
      <c r="M566" t="str" cm="1">
        <f t="array" ref="M566">_xlfn.IFS(I566&lt;12,"Low-Term",I566&gt;=36,"Long-Term",TRUE,"Medium-Term")</f>
        <v>Medium-Term</v>
      </c>
      <c r="N566" t="str" cm="1">
        <f t="array" ref="N566">_xlfn.IFS(A566="Bad", "Review Required", AND(A566="Good",J566&gt;7000),"VIP Client", AND(A566="Good", J566&lt;=7000),"Standart Client")</f>
        <v>Standart Client</v>
      </c>
    </row>
    <row r="567" spans="1:14" x14ac:dyDescent="0.3">
      <c r="A567" t="s">
        <v>34</v>
      </c>
      <c r="B567" t="s">
        <v>80</v>
      </c>
      <c r="C567" t="s">
        <v>88</v>
      </c>
      <c r="D567" t="s">
        <v>99</v>
      </c>
      <c r="E567" t="s">
        <v>124</v>
      </c>
      <c r="F567" t="s">
        <v>125</v>
      </c>
      <c r="G567" t="s">
        <v>114</v>
      </c>
      <c r="H567" t="s">
        <v>119</v>
      </c>
      <c r="I567">
        <v>18</v>
      </c>
      <c r="J567" s="11">
        <v>3650</v>
      </c>
      <c r="K567">
        <v>22</v>
      </c>
      <c r="L567" t="str" cm="1">
        <f t="array" ref="L567">_xlfn.IFS(J567&gt;5000,"Hight",J567&gt;2000,"Medium",TRUE,"Low")</f>
        <v>Medium</v>
      </c>
      <c r="M567" t="str" cm="1">
        <f t="array" ref="M567">_xlfn.IFS(I567&lt;12,"Low-Term",I567&gt;=36,"Long-Term",TRUE,"Medium-Term")</f>
        <v>Medium-Term</v>
      </c>
      <c r="N567" t="str" cm="1">
        <f t="array" ref="N567">_xlfn.IFS(A567="Bad", "Review Required", AND(A567="Good",J567&gt;7000),"VIP Client", AND(A567="Good", J567&lt;=7000),"Standart Client")</f>
        <v>Standart Client</v>
      </c>
    </row>
    <row r="568" spans="1:14" x14ac:dyDescent="0.3">
      <c r="A568" t="s">
        <v>34</v>
      </c>
      <c r="B568" t="s">
        <v>77</v>
      </c>
      <c r="C568" t="s">
        <v>88</v>
      </c>
      <c r="D568" t="s">
        <v>99</v>
      </c>
      <c r="E568" t="s">
        <v>124</v>
      </c>
      <c r="F568" t="s">
        <v>125</v>
      </c>
      <c r="G568" t="s">
        <v>114</v>
      </c>
      <c r="H568" t="s">
        <v>119</v>
      </c>
      <c r="I568">
        <v>18</v>
      </c>
      <c r="J568" s="11">
        <v>3001</v>
      </c>
      <c r="K568">
        <v>40</v>
      </c>
      <c r="L568" t="str" cm="1">
        <f t="array" ref="L568">_xlfn.IFS(J568&gt;5000,"Hight",J568&gt;2000,"Medium",TRUE,"Low")</f>
        <v>Medium</v>
      </c>
      <c r="M568" t="str" cm="1">
        <f t="array" ref="M568">_xlfn.IFS(I568&lt;12,"Low-Term",I568&gt;=36,"Long-Term",TRUE,"Medium-Term")</f>
        <v>Medium-Term</v>
      </c>
      <c r="N568" t="str" cm="1">
        <f t="array" ref="N568">_xlfn.IFS(A568="Bad", "Review Required", AND(A568="Good",J568&gt;7000),"VIP Client", AND(A568="Good", J568&lt;=7000),"Standart Client")</f>
        <v>Standart Client</v>
      </c>
    </row>
    <row r="569" spans="1:14" x14ac:dyDescent="0.3">
      <c r="A569" t="s">
        <v>34</v>
      </c>
      <c r="B569" t="s">
        <v>78</v>
      </c>
      <c r="C569" t="s">
        <v>86</v>
      </c>
      <c r="D569" t="s">
        <v>78</v>
      </c>
      <c r="E569" t="s">
        <v>122</v>
      </c>
      <c r="F569" t="s">
        <v>123</v>
      </c>
      <c r="G569" t="s">
        <v>114</v>
      </c>
      <c r="H569" t="s">
        <v>120</v>
      </c>
      <c r="I569">
        <v>36</v>
      </c>
      <c r="J569" s="11">
        <v>3079</v>
      </c>
      <c r="K569">
        <v>36</v>
      </c>
      <c r="L569" t="str" cm="1">
        <f t="array" ref="L569">_xlfn.IFS(J569&gt;5000,"Hight",J569&gt;2000,"Medium",TRUE,"Low")</f>
        <v>Medium</v>
      </c>
      <c r="M569" t="str" cm="1">
        <f t="array" ref="M569">_xlfn.IFS(I569&lt;12,"Low-Term",I569&gt;=36,"Long-Term",TRUE,"Medium-Term")</f>
        <v>Long-Term</v>
      </c>
      <c r="N569" t="str" cm="1">
        <f t="array" ref="N569">_xlfn.IFS(A569="Bad", "Review Required", AND(A569="Good",J569&gt;7000),"VIP Client", AND(A569="Good", J569&lt;=7000),"Standart Client")</f>
        <v>Standart Client</v>
      </c>
    </row>
    <row r="570" spans="1:14" x14ac:dyDescent="0.3">
      <c r="A570" t="s">
        <v>34</v>
      </c>
      <c r="B570" t="s">
        <v>78</v>
      </c>
      <c r="C570" t="s">
        <v>89</v>
      </c>
      <c r="D570" t="s">
        <v>99</v>
      </c>
      <c r="E570" t="s">
        <v>122</v>
      </c>
      <c r="F570" t="s">
        <v>123</v>
      </c>
      <c r="G570" t="s">
        <v>114</v>
      </c>
      <c r="H570" t="s">
        <v>120</v>
      </c>
      <c r="I570">
        <v>18</v>
      </c>
      <c r="J570" s="11">
        <v>6070</v>
      </c>
      <c r="K570">
        <v>33</v>
      </c>
      <c r="L570" t="str" cm="1">
        <f t="array" ref="L570">_xlfn.IFS(J570&gt;5000,"Hight",J570&gt;2000,"Medium",TRUE,"Low")</f>
        <v>Hight</v>
      </c>
      <c r="M570" t="str" cm="1">
        <f t="array" ref="M570">_xlfn.IFS(I570&lt;12,"Low-Term",I570&gt;=36,"Long-Term",TRUE,"Medium-Term")</f>
        <v>Medium-Term</v>
      </c>
      <c r="N570" t="str" cm="1">
        <f t="array" ref="N570">_xlfn.IFS(A570="Bad", "Review Required", AND(A570="Good",J570&gt;7000),"VIP Client", AND(A570="Good", J570&lt;=7000),"Standart Client")</f>
        <v>Standart Client</v>
      </c>
    </row>
    <row r="571" spans="1:14" x14ac:dyDescent="0.3">
      <c r="A571" t="s">
        <v>34</v>
      </c>
      <c r="B571" t="s">
        <v>78</v>
      </c>
      <c r="C571" t="s">
        <v>88</v>
      </c>
      <c r="D571" t="s">
        <v>99</v>
      </c>
      <c r="E571" t="s">
        <v>124</v>
      </c>
      <c r="F571" t="s">
        <v>125</v>
      </c>
      <c r="G571" t="s">
        <v>114</v>
      </c>
      <c r="H571" t="s">
        <v>119</v>
      </c>
      <c r="I571">
        <v>10</v>
      </c>
      <c r="J571" s="11">
        <v>2146</v>
      </c>
      <c r="K571">
        <v>23</v>
      </c>
      <c r="L571" t="str" cm="1">
        <f t="array" ref="L571">_xlfn.IFS(J571&gt;5000,"Hight",J571&gt;2000,"Medium",TRUE,"Low")</f>
        <v>Medium</v>
      </c>
      <c r="M571" t="str" cm="1">
        <f t="array" ref="M571">_xlfn.IFS(I571&lt;12,"Low-Term",I571&gt;=36,"Long-Term",TRUE,"Medium-Term")</f>
        <v>Low-Term</v>
      </c>
      <c r="N571" t="str" cm="1">
        <f t="array" ref="N571">_xlfn.IFS(A571="Bad", "Review Required", AND(A571="Good",J571&gt;7000),"VIP Client", AND(A571="Good", J571&lt;=7000),"Standart Client")</f>
        <v>Standart Client</v>
      </c>
    </row>
    <row r="572" spans="1:14" x14ac:dyDescent="0.3">
      <c r="A572" t="s">
        <v>34</v>
      </c>
      <c r="B572" t="s">
        <v>78</v>
      </c>
      <c r="C572" t="s">
        <v>86</v>
      </c>
      <c r="D572" t="s">
        <v>78</v>
      </c>
      <c r="E572" t="s">
        <v>122</v>
      </c>
      <c r="F572" t="s">
        <v>123</v>
      </c>
      <c r="G572" t="s">
        <v>115</v>
      </c>
      <c r="H572" t="s">
        <v>121</v>
      </c>
      <c r="I572">
        <v>60</v>
      </c>
      <c r="J572" s="11">
        <v>13756</v>
      </c>
      <c r="K572">
        <v>63</v>
      </c>
      <c r="L572" t="str" cm="1">
        <f t="array" ref="L572">_xlfn.IFS(J572&gt;5000,"Hight",J572&gt;2000,"Medium",TRUE,"Low")</f>
        <v>Hight</v>
      </c>
      <c r="M572" t="str" cm="1">
        <f t="array" ref="M572">_xlfn.IFS(I572&lt;12,"Low-Term",I572&gt;=36,"Long-Term",TRUE,"Medium-Term")</f>
        <v>Long-Term</v>
      </c>
      <c r="N572" t="str" cm="1">
        <f t="array" ref="N572">_xlfn.IFS(A572="Bad", "Review Required", AND(A572="Good",J572&gt;7000),"VIP Client", AND(A572="Good", J572&lt;=7000),"Standart Client")</f>
        <v>VIP Client</v>
      </c>
    </row>
    <row r="573" spans="1:14" x14ac:dyDescent="0.3">
      <c r="A573" t="s">
        <v>34</v>
      </c>
      <c r="B573" t="s">
        <v>78</v>
      </c>
      <c r="C573" t="s">
        <v>89</v>
      </c>
      <c r="D573" t="s">
        <v>99</v>
      </c>
      <c r="E573" t="s">
        <v>122</v>
      </c>
      <c r="F573" t="s">
        <v>127</v>
      </c>
      <c r="G573" t="s">
        <v>114</v>
      </c>
      <c r="H573" t="s">
        <v>120</v>
      </c>
      <c r="I573">
        <v>18</v>
      </c>
      <c r="J573" s="11">
        <v>2320</v>
      </c>
      <c r="K573">
        <v>34</v>
      </c>
      <c r="L573" t="str" cm="1">
        <f t="array" ref="L573">_xlfn.IFS(J573&gt;5000,"Hight",J573&gt;2000,"Medium",TRUE,"Low")</f>
        <v>Medium</v>
      </c>
      <c r="M573" t="str" cm="1">
        <f t="array" ref="M573">_xlfn.IFS(I573&lt;12,"Low-Term",I573&gt;=36,"Long-Term",TRUE,"Medium-Term")</f>
        <v>Medium-Term</v>
      </c>
      <c r="N573" t="str" cm="1">
        <f t="array" ref="N573">_xlfn.IFS(A573="Bad", "Review Required", AND(A573="Good",J573&gt;7000),"VIP Client", AND(A573="Good", J573&lt;=7000),"Standart Client")</f>
        <v>Standart Client</v>
      </c>
    </row>
    <row r="574" spans="1:14" x14ac:dyDescent="0.3">
      <c r="A574" t="s">
        <v>34</v>
      </c>
      <c r="B574" t="s">
        <v>78</v>
      </c>
      <c r="C574" t="s">
        <v>89</v>
      </c>
      <c r="D574" t="s">
        <v>78</v>
      </c>
      <c r="E574" t="s">
        <v>122</v>
      </c>
      <c r="F574" t="s">
        <v>123</v>
      </c>
      <c r="G574" t="s">
        <v>114</v>
      </c>
      <c r="H574" t="s">
        <v>121</v>
      </c>
      <c r="I574">
        <v>7</v>
      </c>
      <c r="J574" s="11">
        <v>846</v>
      </c>
      <c r="K574">
        <v>36</v>
      </c>
      <c r="L574" t="str" cm="1">
        <f t="array" ref="L574">_xlfn.IFS(J574&gt;5000,"Hight",J574&gt;2000,"Medium",TRUE,"Low")</f>
        <v>Low</v>
      </c>
      <c r="M574" t="str" cm="1">
        <f t="array" ref="M574">_xlfn.IFS(I574&lt;12,"Low-Term",I574&gt;=36,"Long-Term",TRUE,"Medium-Term")</f>
        <v>Low-Term</v>
      </c>
      <c r="N574" t="str" cm="1">
        <f t="array" ref="N574">_xlfn.IFS(A574="Bad", "Review Required", AND(A574="Good",J574&gt;7000),"VIP Client", AND(A574="Good", J574&lt;=7000),"Standart Client")</f>
        <v>Standart Client</v>
      </c>
    </row>
    <row r="575" spans="1:14" x14ac:dyDescent="0.3">
      <c r="A575" t="s">
        <v>34</v>
      </c>
      <c r="B575" t="s">
        <v>78</v>
      </c>
      <c r="C575" t="s">
        <v>86</v>
      </c>
      <c r="D575" t="s">
        <v>100</v>
      </c>
      <c r="E575" t="s">
        <v>124</v>
      </c>
      <c r="F575" t="s">
        <v>125</v>
      </c>
      <c r="G575" t="s">
        <v>113</v>
      </c>
      <c r="H575" t="s">
        <v>120</v>
      </c>
      <c r="I575">
        <v>6</v>
      </c>
      <c r="J575" s="11">
        <v>362</v>
      </c>
      <c r="K575">
        <v>52</v>
      </c>
      <c r="L575" t="str" cm="1">
        <f t="array" ref="L575">_xlfn.IFS(J575&gt;5000,"Hight",J575&gt;2000,"Medium",TRUE,"Low")</f>
        <v>Low</v>
      </c>
      <c r="M575" t="str" cm="1">
        <f t="array" ref="M575">_xlfn.IFS(I575&lt;12,"Low-Term",I575&gt;=36,"Long-Term",TRUE,"Medium-Term")</f>
        <v>Low-Term</v>
      </c>
      <c r="N575" t="str" cm="1">
        <f t="array" ref="N575">_xlfn.IFS(A575="Bad", "Review Required", AND(A575="Good",J575&gt;7000),"VIP Client", AND(A575="Good", J575&lt;=7000),"Standart Client")</f>
        <v>Standart Client</v>
      </c>
    </row>
    <row r="576" spans="1:14" x14ac:dyDescent="0.3">
      <c r="A576" t="s">
        <v>34</v>
      </c>
      <c r="B576" t="s">
        <v>80</v>
      </c>
      <c r="C576" t="s">
        <v>88</v>
      </c>
      <c r="D576" t="s">
        <v>78</v>
      </c>
      <c r="E576" t="s">
        <v>122</v>
      </c>
      <c r="F576" t="s">
        <v>123</v>
      </c>
      <c r="G576" t="s">
        <v>114</v>
      </c>
      <c r="H576" t="s">
        <v>120</v>
      </c>
      <c r="I576">
        <v>20</v>
      </c>
      <c r="J576" s="11">
        <v>2212</v>
      </c>
      <c r="K576">
        <v>39</v>
      </c>
      <c r="L576" t="str" cm="1">
        <f t="array" ref="L576">_xlfn.IFS(J576&gt;5000,"Hight",J576&gt;2000,"Medium",TRUE,"Low")</f>
        <v>Medium</v>
      </c>
      <c r="M576" t="str" cm="1">
        <f t="array" ref="M576">_xlfn.IFS(I576&lt;12,"Low-Term",I576&gt;=36,"Long-Term",TRUE,"Medium-Term")</f>
        <v>Medium-Term</v>
      </c>
      <c r="N576" t="str" cm="1">
        <f t="array" ref="N576">_xlfn.IFS(A576="Bad", "Review Required", AND(A576="Good",J576&gt;7000),"VIP Client", AND(A576="Good", J576&lt;=7000),"Standart Client")</f>
        <v>Standart Client</v>
      </c>
    </row>
    <row r="577" spans="1:14" x14ac:dyDescent="0.3">
      <c r="A577" t="s">
        <v>34</v>
      </c>
      <c r="B577" t="s">
        <v>78</v>
      </c>
      <c r="C577" t="s">
        <v>86</v>
      </c>
      <c r="D577" t="s">
        <v>78</v>
      </c>
      <c r="E577" t="s">
        <v>124</v>
      </c>
      <c r="F577" t="s">
        <v>125</v>
      </c>
      <c r="G577" t="s">
        <v>114</v>
      </c>
      <c r="H577" t="s">
        <v>119</v>
      </c>
      <c r="I577">
        <v>22</v>
      </c>
      <c r="J577" s="11">
        <v>1283</v>
      </c>
      <c r="K577">
        <v>25</v>
      </c>
      <c r="L577" t="str" cm="1">
        <f t="array" ref="L577">_xlfn.IFS(J577&gt;5000,"Hight",J577&gt;2000,"Medium",TRUE,"Low")</f>
        <v>Low</v>
      </c>
      <c r="M577" t="str" cm="1">
        <f t="array" ref="M577">_xlfn.IFS(I577&lt;12,"Low-Term",I577&gt;=36,"Long-Term",TRUE,"Medium-Term")</f>
        <v>Medium-Term</v>
      </c>
      <c r="N577" t="str" cm="1">
        <f t="array" ref="N577">_xlfn.IFS(A577="Bad", "Review Required", AND(A577="Good",J577&gt;7000),"VIP Client", AND(A577="Good", J577&lt;=7000),"Standart Client")</f>
        <v>Standart Client</v>
      </c>
    </row>
    <row r="578" spans="1:14" x14ac:dyDescent="0.3">
      <c r="A578" t="s">
        <v>34</v>
      </c>
      <c r="B578" t="s">
        <v>81</v>
      </c>
      <c r="C578" t="s">
        <v>86</v>
      </c>
      <c r="D578" t="s">
        <v>99</v>
      </c>
      <c r="E578" t="s">
        <v>122</v>
      </c>
      <c r="F578" t="s">
        <v>123</v>
      </c>
      <c r="G578" t="s">
        <v>114</v>
      </c>
      <c r="H578" t="s">
        <v>120</v>
      </c>
      <c r="I578">
        <v>12</v>
      </c>
      <c r="J578" s="11">
        <v>1330</v>
      </c>
      <c r="K578">
        <v>26</v>
      </c>
      <c r="L578" t="str" cm="1">
        <f t="array" ref="L578">_xlfn.IFS(J578&gt;5000,"Hight",J578&gt;2000,"Medium",TRUE,"Low")</f>
        <v>Low</v>
      </c>
      <c r="M578" t="str" cm="1">
        <f t="array" ref="M578">_xlfn.IFS(I578&lt;12,"Low-Term",I578&gt;=36,"Long-Term",TRUE,"Medium-Term")</f>
        <v>Medium-Term</v>
      </c>
      <c r="N578" t="str" cm="1">
        <f t="array" ref="N578">_xlfn.IFS(A578="Bad", "Review Required", AND(A578="Good",J578&gt;7000),"VIP Client", AND(A578="Good", J578&lt;=7000),"Standart Client")</f>
        <v>Standart Client</v>
      </c>
    </row>
    <row r="579" spans="1:14" x14ac:dyDescent="0.3">
      <c r="A579" t="s">
        <v>34</v>
      </c>
      <c r="B579" t="s">
        <v>78</v>
      </c>
      <c r="C579" t="s">
        <v>94</v>
      </c>
      <c r="D579" t="s">
        <v>100</v>
      </c>
      <c r="E579" t="s">
        <v>122</v>
      </c>
      <c r="F579" t="s">
        <v>123</v>
      </c>
      <c r="G579" t="s">
        <v>113</v>
      </c>
      <c r="H579" t="s">
        <v>120</v>
      </c>
      <c r="I579">
        <v>30</v>
      </c>
      <c r="J579" s="11">
        <v>4272</v>
      </c>
      <c r="K579">
        <v>26</v>
      </c>
      <c r="L579" t="str" cm="1">
        <f t="array" ref="L579">_xlfn.IFS(J579&gt;5000,"Hight",J579&gt;2000,"Medium",TRUE,"Low")</f>
        <v>Medium</v>
      </c>
      <c r="M579" t="str" cm="1">
        <f t="array" ref="M579">_xlfn.IFS(I579&lt;12,"Low-Term",I579&gt;=36,"Long-Term",TRUE,"Medium-Term")</f>
        <v>Medium-Term</v>
      </c>
      <c r="N579" t="str" cm="1">
        <f t="array" ref="N579">_xlfn.IFS(A579="Bad", "Review Required", AND(A579="Good",J579&gt;7000),"VIP Client", AND(A579="Good", J579&lt;=7000),"Standart Client")</f>
        <v>Standart Client</v>
      </c>
    </row>
    <row r="580" spans="1:14" x14ac:dyDescent="0.3">
      <c r="A580" t="s">
        <v>34</v>
      </c>
      <c r="B580" t="s">
        <v>78</v>
      </c>
      <c r="C580" t="s">
        <v>89</v>
      </c>
      <c r="D580" t="s">
        <v>99</v>
      </c>
      <c r="E580" t="s">
        <v>124</v>
      </c>
      <c r="F580" t="s">
        <v>125</v>
      </c>
      <c r="G580" t="s">
        <v>114</v>
      </c>
      <c r="H580" t="s">
        <v>120</v>
      </c>
      <c r="I580">
        <v>18</v>
      </c>
      <c r="J580" s="11">
        <v>2238</v>
      </c>
      <c r="K580">
        <v>25</v>
      </c>
      <c r="L580" t="str" cm="1">
        <f t="array" ref="L580">_xlfn.IFS(J580&gt;5000,"Hight",J580&gt;2000,"Medium",TRUE,"Low")</f>
        <v>Medium</v>
      </c>
      <c r="M580" t="str" cm="1">
        <f t="array" ref="M580">_xlfn.IFS(I580&lt;12,"Low-Term",I580&gt;=36,"Long-Term",TRUE,"Medium-Term")</f>
        <v>Medium-Term</v>
      </c>
      <c r="N580" t="str" cm="1">
        <f t="array" ref="N580">_xlfn.IFS(A580="Bad", "Review Required", AND(A580="Good",J580&gt;7000),"VIP Client", AND(A580="Good", J580&lt;=7000),"Standart Client")</f>
        <v>Standart Client</v>
      </c>
    </row>
    <row r="581" spans="1:14" x14ac:dyDescent="0.3">
      <c r="A581" t="s">
        <v>34</v>
      </c>
      <c r="B581" t="s">
        <v>78</v>
      </c>
      <c r="C581" t="s">
        <v>89</v>
      </c>
      <c r="D581" t="s">
        <v>78</v>
      </c>
      <c r="E581" t="s">
        <v>124</v>
      </c>
      <c r="F581" t="s">
        <v>125</v>
      </c>
      <c r="G581" t="s">
        <v>114</v>
      </c>
      <c r="H581" t="s">
        <v>119</v>
      </c>
      <c r="I581">
        <v>18</v>
      </c>
      <c r="J581" s="11">
        <v>1126</v>
      </c>
      <c r="K581">
        <v>21</v>
      </c>
      <c r="L581" t="str" cm="1">
        <f t="array" ref="L581">_xlfn.IFS(J581&gt;5000,"Hight",J581&gt;2000,"Medium",TRUE,"Low")</f>
        <v>Low</v>
      </c>
      <c r="M581" t="str" cm="1">
        <f t="array" ref="M581">_xlfn.IFS(I581&lt;12,"Low-Term",I581&gt;=36,"Long-Term",TRUE,"Medium-Term")</f>
        <v>Medium-Term</v>
      </c>
      <c r="N581" t="str" cm="1">
        <f t="array" ref="N581">_xlfn.IFS(A581="Bad", "Review Required", AND(A581="Good",J581&gt;7000),"VIP Client", AND(A581="Good", J581&lt;=7000),"Standart Client")</f>
        <v>Standart Client</v>
      </c>
    </row>
    <row r="582" spans="1:14" x14ac:dyDescent="0.3">
      <c r="A582" t="s">
        <v>34</v>
      </c>
      <c r="B582" t="s">
        <v>77</v>
      </c>
      <c r="C582" t="s">
        <v>88</v>
      </c>
      <c r="D582" t="s">
        <v>99</v>
      </c>
      <c r="E582" t="s">
        <v>122</v>
      </c>
      <c r="F582" t="s">
        <v>123</v>
      </c>
      <c r="G582" t="s">
        <v>115</v>
      </c>
      <c r="H582" t="s">
        <v>120</v>
      </c>
      <c r="I582">
        <v>18</v>
      </c>
      <c r="J582" s="11">
        <v>7374</v>
      </c>
      <c r="K582">
        <v>40</v>
      </c>
      <c r="L582" t="str" cm="1">
        <f t="array" ref="L582">_xlfn.IFS(J582&gt;5000,"Hight",J582&gt;2000,"Medium",TRUE,"Low")</f>
        <v>Hight</v>
      </c>
      <c r="M582" t="str" cm="1">
        <f t="array" ref="M582">_xlfn.IFS(I582&lt;12,"Low-Term",I582&gt;=36,"Long-Term",TRUE,"Medium-Term")</f>
        <v>Medium-Term</v>
      </c>
      <c r="N582" t="str" cm="1">
        <f t="array" ref="N582">_xlfn.IFS(A582="Bad", "Review Required", AND(A582="Good",J582&gt;7000),"VIP Client", AND(A582="Good", J582&lt;=7000),"Standart Client")</f>
        <v>VIP Client</v>
      </c>
    </row>
    <row r="583" spans="1:14" x14ac:dyDescent="0.3">
      <c r="A583" t="s">
        <v>34</v>
      </c>
      <c r="B583" t="s">
        <v>77</v>
      </c>
      <c r="C583" t="s">
        <v>94</v>
      </c>
      <c r="D583" t="s">
        <v>101</v>
      </c>
      <c r="E583" t="s">
        <v>122</v>
      </c>
      <c r="F583" t="s">
        <v>123</v>
      </c>
      <c r="G583" t="s">
        <v>114</v>
      </c>
      <c r="H583" t="s">
        <v>120</v>
      </c>
      <c r="I583">
        <v>15</v>
      </c>
      <c r="J583" s="11">
        <v>2326</v>
      </c>
      <c r="K583">
        <v>27</v>
      </c>
      <c r="L583" t="str" cm="1">
        <f t="array" ref="L583">_xlfn.IFS(J583&gt;5000,"Hight",J583&gt;2000,"Medium",TRUE,"Low")</f>
        <v>Medium</v>
      </c>
      <c r="M583" t="str" cm="1">
        <f t="array" ref="M583">_xlfn.IFS(I583&lt;12,"Low-Term",I583&gt;=36,"Long-Term",TRUE,"Medium-Term")</f>
        <v>Medium-Term</v>
      </c>
      <c r="N583" t="str" cm="1">
        <f t="array" ref="N583">_xlfn.IFS(A583="Bad", "Review Required", AND(A583="Good",J583&gt;7000),"VIP Client", AND(A583="Good", J583&lt;=7000),"Standart Client")</f>
        <v>Standart Client</v>
      </c>
    </row>
    <row r="584" spans="1:14" x14ac:dyDescent="0.3">
      <c r="A584" t="s">
        <v>34</v>
      </c>
      <c r="B584" t="s">
        <v>78</v>
      </c>
      <c r="C584" t="s">
        <v>94</v>
      </c>
      <c r="D584" t="s">
        <v>99</v>
      </c>
      <c r="E584" t="s">
        <v>124</v>
      </c>
      <c r="F584" t="s">
        <v>125</v>
      </c>
      <c r="G584" t="s">
        <v>114</v>
      </c>
      <c r="H584" t="s">
        <v>120</v>
      </c>
      <c r="I584">
        <v>9</v>
      </c>
      <c r="J584" s="11">
        <v>1449</v>
      </c>
      <c r="K584">
        <v>27</v>
      </c>
      <c r="L584" t="str" cm="1">
        <f t="array" ref="L584">_xlfn.IFS(J584&gt;5000,"Hight",J584&gt;2000,"Medium",TRUE,"Low")</f>
        <v>Low</v>
      </c>
      <c r="M584" t="str" cm="1">
        <f t="array" ref="M584">_xlfn.IFS(I584&lt;12,"Low-Term",I584&gt;=36,"Long-Term",TRUE,"Medium-Term")</f>
        <v>Low-Term</v>
      </c>
      <c r="N584" t="str" cm="1">
        <f t="array" ref="N584">_xlfn.IFS(A584="Bad", "Review Required", AND(A584="Good",J584&gt;7000),"VIP Client", AND(A584="Good", J584&lt;=7000),"Standart Client")</f>
        <v>Standart Client</v>
      </c>
    </row>
    <row r="585" spans="1:14" x14ac:dyDescent="0.3">
      <c r="A585" t="s">
        <v>34</v>
      </c>
      <c r="B585" t="s">
        <v>78</v>
      </c>
      <c r="C585" t="s">
        <v>86</v>
      </c>
      <c r="D585" t="s">
        <v>99</v>
      </c>
      <c r="E585" t="s">
        <v>122</v>
      </c>
      <c r="F585" t="s">
        <v>127</v>
      </c>
      <c r="G585" t="s">
        <v>115</v>
      </c>
      <c r="H585" t="s">
        <v>120</v>
      </c>
      <c r="I585">
        <v>18</v>
      </c>
      <c r="J585" s="11">
        <v>1820</v>
      </c>
      <c r="K585">
        <v>30</v>
      </c>
      <c r="L585" t="str" cm="1">
        <f t="array" ref="L585">_xlfn.IFS(J585&gt;5000,"Hight",J585&gt;2000,"Medium",TRUE,"Low")</f>
        <v>Low</v>
      </c>
      <c r="M585" t="str" cm="1">
        <f t="array" ref="M585">_xlfn.IFS(I585&lt;12,"Low-Term",I585&gt;=36,"Long-Term",TRUE,"Medium-Term")</f>
        <v>Medium-Term</v>
      </c>
      <c r="N585" t="str" cm="1">
        <f t="array" ref="N585">_xlfn.IFS(A585="Bad", "Review Required", AND(A585="Good",J585&gt;7000),"VIP Client", AND(A585="Good", J585&lt;=7000),"Standart Client")</f>
        <v>Standart Client</v>
      </c>
    </row>
    <row r="586" spans="1:14" x14ac:dyDescent="0.3">
      <c r="A586" t="s">
        <v>34</v>
      </c>
      <c r="B586" t="s">
        <v>77</v>
      </c>
      <c r="C586" t="s">
        <v>88</v>
      </c>
      <c r="D586" t="s">
        <v>102</v>
      </c>
      <c r="E586" t="s">
        <v>124</v>
      </c>
      <c r="F586" t="s">
        <v>125</v>
      </c>
      <c r="G586" t="s">
        <v>113</v>
      </c>
      <c r="H586" t="s">
        <v>119</v>
      </c>
      <c r="I586">
        <v>12</v>
      </c>
      <c r="J586" s="11">
        <v>983</v>
      </c>
      <c r="K586">
        <v>19</v>
      </c>
      <c r="L586" t="str" cm="1">
        <f t="array" ref="L586">_xlfn.IFS(J586&gt;5000,"Hight",J586&gt;2000,"Medium",TRUE,"Low")</f>
        <v>Low</v>
      </c>
      <c r="M586" t="str" cm="1">
        <f t="array" ref="M586">_xlfn.IFS(I586&lt;12,"Low-Term",I586&gt;=36,"Long-Term",TRUE,"Medium-Term")</f>
        <v>Medium-Term</v>
      </c>
      <c r="N586" t="str" cm="1">
        <f t="array" ref="N586">_xlfn.IFS(A586="Bad", "Review Required", AND(A586="Good",J586&gt;7000),"VIP Client", AND(A586="Good", J586&lt;=7000),"Standart Client")</f>
        <v>Standart Client</v>
      </c>
    </row>
    <row r="587" spans="1:14" x14ac:dyDescent="0.3">
      <c r="A587" t="s">
        <v>34</v>
      </c>
      <c r="B587" t="s">
        <v>80</v>
      </c>
      <c r="C587" t="s">
        <v>86</v>
      </c>
      <c r="D587" t="s">
        <v>99</v>
      </c>
      <c r="E587" t="s">
        <v>122</v>
      </c>
      <c r="F587" t="s">
        <v>123</v>
      </c>
      <c r="G587" t="s">
        <v>115</v>
      </c>
      <c r="H587" t="s">
        <v>121</v>
      </c>
      <c r="I587">
        <v>36</v>
      </c>
      <c r="J587" s="11">
        <v>3249</v>
      </c>
      <c r="K587">
        <v>39</v>
      </c>
      <c r="L587" t="str" cm="1">
        <f t="array" ref="L587">_xlfn.IFS(J587&gt;5000,"Hight",J587&gt;2000,"Medium",TRUE,"Low")</f>
        <v>Medium</v>
      </c>
      <c r="M587" t="str" cm="1">
        <f t="array" ref="M587">_xlfn.IFS(I587&lt;12,"Low-Term",I587&gt;=36,"Long-Term",TRUE,"Medium-Term")</f>
        <v>Long-Term</v>
      </c>
      <c r="N587" t="str" cm="1">
        <f t="array" ref="N587">_xlfn.IFS(A587="Bad", "Review Required", AND(A587="Good",J587&gt;7000),"VIP Client", AND(A587="Good", J587&lt;=7000),"Standart Client")</f>
        <v>Standart Client</v>
      </c>
    </row>
    <row r="588" spans="1:14" x14ac:dyDescent="0.3">
      <c r="A588" t="s">
        <v>34</v>
      </c>
      <c r="B588" t="s">
        <v>80</v>
      </c>
      <c r="C588" t="s">
        <v>89</v>
      </c>
      <c r="D588" t="s">
        <v>99</v>
      </c>
      <c r="E588" t="s">
        <v>124</v>
      </c>
      <c r="F588" t="s">
        <v>125</v>
      </c>
      <c r="G588" t="s">
        <v>114</v>
      </c>
      <c r="H588" t="s">
        <v>120</v>
      </c>
      <c r="I588">
        <v>6</v>
      </c>
      <c r="J588" s="11">
        <v>1957</v>
      </c>
      <c r="K588">
        <v>31</v>
      </c>
      <c r="L588" t="str" cm="1">
        <f t="array" ref="L588">_xlfn.IFS(J588&gt;5000,"Hight",J588&gt;2000,"Medium",TRUE,"Low")</f>
        <v>Low</v>
      </c>
      <c r="M588" t="str" cm="1">
        <f t="array" ref="M588">_xlfn.IFS(I588&lt;12,"Low-Term",I588&gt;=36,"Long-Term",TRUE,"Medium-Term")</f>
        <v>Low-Term</v>
      </c>
      <c r="N588" t="str" cm="1">
        <f t="array" ref="N588">_xlfn.IFS(A588="Bad", "Review Required", AND(A588="Good",J588&gt;7000),"VIP Client", AND(A588="Good", J588&lt;=7000),"Standart Client")</f>
        <v>Standart Client</v>
      </c>
    </row>
    <row r="589" spans="1:14" x14ac:dyDescent="0.3">
      <c r="A589" t="s">
        <v>34</v>
      </c>
      <c r="B589" t="s">
        <v>78</v>
      </c>
      <c r="C589" t="s">
        <v>88</v>
      </c>
      <c r="D589" t="s">
        <v>99</v>
      </c>
      <c r="E589" t="s">
        <v>122</v>
      </c>
      <c r="F589" t="s">
        <v>123</v>
      </c>
      <c r="G589" t="s">
        <v>115</v>
      </c>
      <c r="H589" t="s">
        <v>120</v>
      </c>
      <c r="I589">
        <v>9</v>
      </c>
      <c r="J589" s="11">
        <v>2406</v>
      </c>
      <c r="K589">
        <v>31</v>
      </c>
      <c r="L589" t="str" cm="1">
        <f t="array" ref="L589">_xlfn.IFS(J589&gt;5000,"Hight",J589&gt;2000,"Medium",TRUE,"Low")</f>
        <v>Medium</v>
      </c>
      <c r="M589" t="str" cm="1">
        <f t="array" ref="M589">_xlfn.IFS(I589&lt;12,"Low-Term",I589&gt;=36,"Long-Term",TRUE,"Medium-Term")</f>
        <v>Low-Term</v>
      </c>
      <c r="N589" t="str" cm="1">
        <f t="array" ref="N589">_xlfn.IFS(A589="Bad", "Review Required", AND(A589="Good",J589&gt;7000),"VIP Client", AND(A589="Good", J589&lt;=7000),"Standart Client")</f>
        <v>Standart Client</v>
      </c>
    </row>
    <row r="590" spans="1:14" x14ac:dyDescent="0.3">
      <c r="A590" t="s">
        <v>34</v>
      </c>
      <c r="B590" t="s">
        <v>77</v>
      </c>
      <c r="C590" t="s">
        <v>92</v>
      </c>
      <c r="D590" t="s">
        <v>100</v>
      </c>
      <c r="E590" t="s">
        <v>122</v>
      </c>
      <c r="F590" t="s">
        <v>123</v>
      </c>
      <c r="G590" t="s">
        <v>114</v>
      </c>
      <c r="H590" t="s">
        <v>119</v>
      </c>
      <c r="I590">
        <v>39</v>
      </c>
      <c r="J590" s="11">
        <v>11760</v>
      </c>
      <c r="K590">
        <v>32</v>
      </c>
      <c r="L590" t="str" cm="1">
        <f t="array" ref="L590">_xlfn.IFS(J590&gt;5000,"Hight",J590&gt;2000,"Medium",TRUE,"Low")</f>
        <v>Hight</v>
      </c>
      <c r="M590" t="str" cm="1">
        <f t="array" ref="M590">_xlfn.IFS(I590&lt;12,"Low-Term",I590&gt;=36,"Long-Term",TRUE,"Medium-Term")</f>
        <v>Long-Term</v>
      </c>
      <c r="N590" t="str" cm="1">
        <f t="array" ref="N590">_xlfn.IFS(A590="Bad", "Review Required", AND(A590="Good",J590&gt;7000),"VIP Client", AND(A590="Good", J590&lt;=7000),"Standart Client")</f>
        <v>VIP Client</v>
      </c>
    </row>
    <row r="591" spans="1:14" x14ac:dyDescent="0.3">
      <c r="A591" t="s">
        <v>34</v>
      </c>
      <c r="B591" t="s">
        <v>80</v>
      </c>
      <c r="C591" t="s">
        <v>88</v>
      </c>
      <c r="D591" t="s">
        <v>99</v>
      </c>
      <c r="E591" t="s">
        <v>124</v>
      </c>
      <c r="F591" t="s">
        <v>125</v>
      </c>
      <c r="G591" t="s">
        <v>115</v>
      </c>
      <c r="H591" t="s">
        <v>121</v>
      </c>
      <c r="I591">
        <v>12</v>
      </c>
      <c r="J591" s="11">
        <v>2578</v>
      </c>
      <c r="K591">
        <v>55</v>
      </c>
      <c r="L591" t="str" cm="1">
        <f t="array" ref="L591">_xlfn.IFS(J591&gt;5000,"Hight",J591&gt;2000,"Medium",TRUE,"Low")</f>
        <v>Medium</v>
      </c>
      <c r="M591" t="str" cm="1">
        <f t="array" ref="M591">_xlfn.IFS(I591&lt;12,"Low-Term",I591&gt;=36,"Long-Term",TRUE,"Medium-Term")</f>
        <v>Medium-Term</v>
      </c>
      <c r="N591" t="str" cm="1">
        <f t="array" ref="N591">_xlfn.IFS(A591="Bad", "Review Required", AND(A591="Good",J591&gt;7000),"VIP Client", AND(A591="Good", J591&lt;=7000),"Standart Client")</f>
        <v>Standart Client</v>
      </c>
    </row>
    <row r="592" spans="1:14" x14ac:dyDescent="0.3">
      <c r="A592" t="s">
        <v>34</v>
      </c>
      <c r="B592" t="s">
        <v>80</v>
      </c>
      <c r="C592" t="s">
        <v>88</v>
      </c>
      <c r="D592" t="s">
        <v>99</v>
      </c>
      <c r="E592" t="s">
        <v>122</v>
      </c>
      <c r="F592" t="s">
        <v>127</v>
      </c>
      <c r="G592" t="s">
        <v>114</v>
      </c>
      <c r="H592" t="s">
        <v>120</v>
      </c>
      <c r="I592">
        <v>36</v>
      </c>
      <c r="J592" s="11">
        <v>2348</v>
      </c>
      <c r="K592">
        <v>46</v>
      </c>
      <c r="L592" t="str" cm="1">
        <f t="array" ref="L592">_xlfn.IFS(J592&gt;5000,"Hight",J592&gt;2000,"Medium",TRUE,"Low")</f>
        <v>Medium</v>
      </c>
      <c r="M592" t="str" cm="1">
        <f t="array" ref="M592">_xlfn.IFS(I592&lt;12,"Low-Term",I592&gt;=36,"Long-Term",TRUE,"Medium-Term")</f>
        <v>Long-Term</v>
      </c>
      <c r="N592" t="str" cm="1">
        <f t="array" ref="N592">_xlfn.IFS(A592="Bad", "Review Required", AND(A592="Good",J592&gt;7000),"VIP Client", AND(A592="Good", J592&lt;=7000),"Standart Client")</f>
        <v>Standart Client</v>
      </c>
    </row>
    <row r="593" spans="1:14" x14ac:dyDescent="0.3">
      <c r="A593" t="s">
        <v>34</v>
      </c>
      <c r="B593" t="s">
        <v>78</v>
      </c>
      <c r="C593" t="s">
        <v>89</v>
      </c>
      <c r="D593" t="s">
        <v>102</v>
      </c>
      <c r="E593" t="s">
        <v>124</v>
      </c>
      <c r="F593" t="s">
        <v>125</v>
      </c>
      <c r="G593" t="s">
        <v>113</v>
      </c>
      <c r="H593" t="s">
        <v>120</v>
      </c>
      <c r="I593">
        <v>24</v>
      </c>
      <c r="J593" s="11">
        <v>1516</v>
      </c>
      <c r="K593">
        <v>43</v>
      </c>
      <c r="L593" t="str" cm="1">
        <f t="array" ref="L593">_xlfn.IFS(J593&gt;5000,"Hight",J593&gt;2000,"Medium",TRUE,"Low")</f>
        <v>Low</v>
      </c>
      <c r="M593" t="str" cm="1">
        <f t="array" ref="M593">_xlfn.IFS(I593&lt;12,"Low-Term",I593&gt;=36,"Long-Term",TRUE,"Medium-Term")</f>
        <v>Medium-Term</v>
      </c>
      <c r="N593" t="str" cm="1">
        <f t="array" ref="N593">_xlfn.IFS(A593="Bad", "Review Required", AND(A593="Good",J593&gt;7000),"VIP Client", AND(A593="Good", J593&lt;=7000),"Standart Client")</f>
        <v>Standart Client</v>
      </c>
    </row>
    <row r="594" spans="1:14" x14ac:dyDescent="0.3">
      <c r="A594" t="s">
        <v>34</v>
      </c>
      <c r="B594" t="s">
        <v>78</v>
      </c>
      <c r="C594" t="s">
        <v>89</v>
      </c>
      <c r="D594" t="s">
        <v>99</v>
      </c>
      <c r="E594" t="s">
        <v>122</v>
      </c>
      <c r="F594" t="s">
        <v>127</v>
      </c>
      <c r="G594" t="s">
        <v>114</v>
      </c>
      <c r="H594" t="s">
        <v>120</v>
      </c>
      <c r="I594">
        <v>18</v>
      </c>
      <c r="J594" s="11">
        <v>1473</v>
      </c>
      <c r="K594">
        <v>39</v>
      </c>
      <c r="L594" t="str" cm="1">
        <f t="array" ref="L594">_xlfn.IFS(J594&gt;5000,"Hight",J594&gt;2000,"Medium",TRUE,"Low")</f>
        <v>Low</v>
      </c>
      <c r="M594" t="str" cm="1">
        <f t="array" ref="M594">_xlfn.IFS(I594&lt;12,"Low-Term",I594&gt;=36,"Long-Term",TRUE,"Medium-Term")</f>
        <v>Medium-Term</v>
      </c>
      <c r="N594" t="str" cm="1">
        <f t="array" ref="N594">_xlfn.IFS(A594="Bad", "Review Required", AND(A594="Good",J594&gt;7000),"VIP Client", AND(A594="Good", J594&lt;=7000),"Standart Client")</f>
        <v>Standart Client</v>
      </c>
    </row>
    <row r="595" spans="1:14" x14ac:dyDescent="0.3">
      <c r="A595" t="s">
        <v>34</v>
      </c>
      <c r="B595" t="s">
        <v>77</v>
      </c>
      <c r="C595" t="s">
        <v>94</v>
      </c>
      <c r="D595" t="s">
        <v>78</v>
      </c>
      <c r="E595" t="s">
        <v>122</v>
      </c>
      <c r="F595" t="s">
        <v>127</v>
      </c>
      <c r="G595" t="s">
        <v>114</v>
      </c>
      <c r="H595" t="s">
        <v>120</v>
      </c>
      <c r="I595">
        <v>18</v>
      </c>
      <c r="J595" s="11">
        <v>1887</v>
      </c>
      <c r="K595">
        <v>28</v>
      </c>
      <c r="L595" t="str" cm="1">
        <f t="array" ref="L595">_xlfn.IFS(J595&gt;5000,"Hight",J595&gt;2000,"Medium",TRUE,"Low")</f>
        <v>Low</v>
      </c>
      <c r="M595" t="str" cm="1">
        <f t="array" ref="M595">_xlfn.IFS(I595&lt;12,"Low-Term",I595&gt;=36,"Long-Term",TRUE,"Medium-Term")</f>
        <v>Medium-Term</v>
      </c>
      <c r="N595" t="str" cm="1">
        <f t="array" ref="N595">_xlfn.IFS(A595="Bad", "Review Required", AND(A595="Good",J595&gt;7000),"VIP Client", AND(A595="Good", J595&lt;=7000),"Standart Client")</f>
        <v>Standart Client</v>
      </c>
    </row>
    <row r="596" spans="1:14" x14ac:dyDescent="0.3">
      <c r="A596" t="s">
        <v>34</v>
      </c>
      <c r="B596" t="s">
        <v>78</v>
      </c>
      <c r="C596" t="s">
        <v>86</v>
      </c>
      <c r="D596" t="s">
        <v>99</v>
      </c>
      <c r="E596" t="s">
        <v>122</v>
      </c>
      <c r="F596" t="s">
        <v>123</v>
      </c>
      <c r="G596" t="s">
        <v>113</v>
      </c>
      <c r="H596" t="s">
        <v>120</v>
      </c>
      <c r="I596">
        <v>14</v>
      </c>
      <c r="J596" s="11">
        <v>802</v>
      </c>
      <c r="K596">
        <v>27</v>
      </c>
      <c r="L596" t="str" cm="1">
        <f t="array" ref="L596">_xlfn.IFS(J596&gt;5000,"Hight",J596&gt;2000,"Medium",TRUE,"Low")</f>
        <v>Low</v>
      </c>
      <c r="M596" t="str" cm="1">
        <f t="array" ref="M596">_xlfn.IFS(I596&lt;12,"Low-Term",I596&gt;=36,"Long-Term",TRUE,"Medium-Term")</f>
        <v>Medium-Term</v>
      </c>
      <c r="N596" t="str" cm="1">
        <f t="array" ref="N596">_xlfn.IFS(A596="Bad", "Review Required", AND(A596="Good",J596&gt;7000),"VIP Client", AND(A596="Good", J596&lt;=7000),"Standart Client")</f>
        <v>Standart Client</v>
      </c>
    </row>
    <row r="597" spans="1:14" x14ac:dyDescent="0.3">
      <c r="A597" t="s">
        <v>34</v>
      </c>
      <c r="B597" t="s">
        <v>77</v>
      </c>
      <c r="C597" t="s">
        <v>86</v>
      </c>
      <c r="D597" t="s">
        <v>78</v>
      </c>
      <c r="E597" t="s">
        <v>122</v>
      </c>
      <c r="F597" t="s">
        <v>123</v>
      </c>
      <c r="G597" t="s">
        <v>114</v>
      </c>
      <c r="H597" t="s">
        <v>120</v>
      </c>
      <c r="I597">
        <v>18</v>
      </c>
      <c r="J597" s="11">
        <v>2899</v>
      </c>
      <c r="K597">
        <v>43</v>
      </c>
      <c r="L597" t="str" cm="1">
        <f t="array" ref="L597">_xlfn.IFS(J597&gt;5000,"Hight",J597&gt;2000,"Medium",TRUE,"Low")</f>
        <v>Medium</v>
      </c>
      <c r="M597" t="str" cm="1">
        <f t="array" ref="M597">_xlfn.IFS(I597&lt;12,"Low-Term",I597&gt;=36,"Long-Term",TRUE,"Medium-Term")</f>
        <v>Medium-Term</v>
      </c>
      <c r="N597" t="str" cm="1">
        <f t="array" ref="N597">_xlfn.IFS(A597="Bad", "Review Required", AND(A597="Good",J597&gt;7000),"VIP Client", AND(A597="Good", J597&lt;=7000),"Standart Client")</f>
        <v>Standart Client</v>
      </c>
    </row>
    <row r="598" spans="1:14" x14ac:dyDescent="0.3">
      <c r="A598" t="s">
        <v>34</v>
      </c>
      <c r="B598" t="s">
        <v>78</v>
      </c>
      <c r="C598" t="s">
        <v>87</v>
      </c>
      <c r="D598" t="s">
        <v>78</v>
      </c>
      <c r="E598" t="s">
        <v>122</v>
      </c>
      <c r="F598" t="s">
        <v>123</v>
      </c>
      <c r="G598" t="s">
        <v>114</v>
      </c>
      <c r="H598" t="s">
        <v>120</v>
      </c>
      <c r="I598">
        <v>24</v>
      </c>
      <c r="J598" s="11">
        <v>2197</v>
      </c>
      <c r="K598">
        <v>43</v>
      </c>
      <c r="L598" t="str" cm="1">
        <f t="array" ref="L598">_xlfn.IFS(J598&gt;5000,"Hight",J598&gt;2000,"Medium",TRUE,"Low")</f>
        <v>Medium</v>
      </c>
      <c r="M598" t="str" cm="1">
        <f t="array" ref="M598">_xlfn.IFS(I598&lt;12,"Low-Term",I598&gt;=36,"Long-Term",TRUE,"Medium-Term")</f>
        <v>Medium-Term</v>
      </c>
      <c r="N598" t="str" cm="1">
        <f t="array" ref="N598">_xlfn.IFS(A598="Bad", "Review Required", AND(A598="Good",J598&gt;7000),"VIP Client", AND(A598="Good", J598&lt;=7000),"Standart Client")</f>
        <v>Standart Client</v>
      </c>
    </row>
    <row r="599" spans="1:14" x14ac:dyDescent="0.3">
      <c r="A599" t="s">
        <v>34</v>
      </c>
      <c r="B599" t="s">
        <v>80</v>
      </c>
      <c r="C599" t="s">
        <v>89</v>
      </c>
      <c r="D599" t="s">
        <v>99</v>
      </c>
      <c r="E599" t="s">
        <v>122</v>
      </c>
      <c r="F599" t="s">
        <v>127</v>
      </c>
      <c r="G599" t="s">
        <v>114</v>
      </c>
      <c r="H599" t="s">
        <v>120</v>
      </c>
      <c r="I599">
        <v>15</v>
      </c>
      <c r="J599" s="11">
        <v>1053</v>
      </c>
      <c r="K599">
        <v>27</v>
      </c>
      <c r="L599" t="str" cm="1">
        <f t="array" ref="L599">_xlfn.IFS(J599&gt;5000,"Hight",J599&gt;2000,"Medium",TRUE,"Low")</f>
        <v>Low</v>
      </c>
      <c r="M599" t="str" cm="1">
        <f t="array" ref="M599">_xlfn.IFS(I599&lt;12,"Low-Term",I599&gt;=36,"Long-Term",TRUE,"Medium-Term")</f>
        <v>Medium-Term</v>
      </c>
      <c r="N599" t="str" cm="1">
        <f t="array" ref="N599">_xlfn.IFS(A599="Bad", "Review Required", AND(A599="Good",J599&gt;7000),"VIP Client", AND(A599="Good", J599&lt;=7000),"Standart Client")</f>
        <v>Standart Client</v>
      </c>
    </row>
    <row r="600" spans="1:14" x14ac:dyDescent="0.3">
      <c r="A600" t="s">
        <v>34</v>
      </c>
      <c r="B600" t="s">
        <v>78</v>
      </c>
      <c r="C600" t="s">
        <v>89</v>
      </c>
      <c r="D600" t="s">
        <v>101</v>
      </c>
      <c r="E600" t="s">
        <v>122</v>
      </c>
      <c r="F600" t="s">
        <v>126</v>
      </c>
      <c r="G600" t="s">
        <v>115</v>
      </c>
      <c r="H600" t="s">
        <v>120</v>
      </c>
      <c r="I600">
        <v>24</v>
      </c>
      <c r="J600" s="11">
        <v>3235</v>
      </c>
      <c r="K600">
        <v>26</v>
      </c>
      <c r="L600" t="str" cm="1">
        <f t="array" ref="L600">_xlfn.IFS(J600&gt;5000,"Hight",J600&gt;2000,"Medium",TRUE,"Low")</f>
        <v>Medium</v>
      </c>
      <c r="M600" t="str" cm="1">
        <f t="array" ref="M600">_xlfn.IFS(I600&lt;12,"Low-Term",I600&gt;=36,"Long-Term",TRUE,"Medium-Term")</f>
        <v>Medium-Term</v>
      </c>
      <c r="N600" t="str" cm="1">
        <f t="array" ref="N600">_xlfn.IFS(A600="Bad", "Review Required", AND(A600="Good",J600&gt;7000),"VIP Client", AND(A600="Good", J600&lt;=7000),"Standart Client")</f>
        <v>Standart Client</v>
      </c>
    </row>
    <row r="601" spans="1:14" x14ac:dyDescent="0.3">
      <c r="A601" t="s">
        <v>34</v>
      </c>
      <c r="B601" t="s">
        <v>77</v>
      </c>
      <c r="C601" t="s">
        <v>89</v>
      </c>
      <c r="D601" t="s">
        <v>99</v>
      </c>
      <c r="E601" t="s">
        <v>124</v>
      </c>
      <c r="F601" t="s">
        <v>125</v>
      </c>
      <c r="G601" t="s">
        <v>114</v>
      </c>
      <c r="H601" t="s">
        <v>120</v>
      </c>
      <c r="I601">
        <v>24</v>
      </c>
      <c r="J601" s="11">
        <v>1967</v>
      </c>
      <c r="K601">
        <v>20</v>
      </c>
      <c r="L601" t="str" cm="1">
        <f t="array" ref="L601">_xlfn.IFS(J601&gt;5000,"Hight",J601&gt;2000,"Medium",TRUE,"Low")</f>
        <v>Low</v>
      </c>
      <c r="M601" t="str" cm="1">
        <f t="array" ref="M601">_xlfn.IFS(I601&lt;12,"Low-Term",I601&gt;=36,"Long-Term",TRUE,"Medium-Term")</f>
        <v>Medium-Term</v>
      </c>
      <c r="N601" t="str" cm="1">
        <f t="array" ref="N601">_xlfn.IFS(A601="Bad", "Review Required", AND(A601="Good",J601&gt;7000),"VIP Client", AND(A601="Good", J601&lt;=7000),"Standart Client")</f>
        <v>Standart Client</v>
      </c>
    </row>
    <row r="602" spans="1:14" x14ac:dyDescent="0.3">
      <c r="A602" t="s">
        <v>34</v>
      </c>
      <c r="B602" t="s">
        <v>78</v>
      </c>
      <c r="C602" t="s">
        <v>87</v>
      </c>
      <c r="D602" t="s">
        <v>99</v>
      </c>
      <c r="E602" t="s">
        <v>122</v>
      </c>
      <c r="F602" t="s">
        <v>123</v>
      </c>
      <c r="G602" t="s">
        <v>115</v>
      </c>
      <c r="H602" t="s">
        <v>120</v>
      </c>
      <c r="I602">
        <v>33</v>
      </c>
      <c r="J602" s="11">
        <v>7253</v>
      </c>
      <c r="K602">
        <v>35</v>
      </c>
      <c r="L602" t="str" cm="1">
        <f t="array" ref="L602">_xlfn.IFS(J602&gt;5000,"Hight",J602&gt;2000,"Medium",TRUE,"Low")</f>
        <v>Hight</v>
      </c>
      <c r="M602" t="str" cm="1">
        <f t="array" ref="M602">_xlfn.IFS(I602&lt;12,"Low-Term",I602&gt;=36,"Long-Term",TRUE,"Medium-Term")</f>
        <v>Medium-Term</v>
      </c>
      <c r="N602" t="str" cm="1">
        <f t="array" ref="N602">_xlfn.IFS(A602="Bad", "Review Required", AND(A602="Good",J602&gt;7000),"VIP Client", AND(A602="Good", J602&lt;=7000),"Standart Client")</f>
        <v>VIP Client</v>
      </c>
    </row>
    <row r="603" spans="1:14" x14ac:dyDescent="0.3">
      <c r="A603" t="s">
        <v>34</v>
      </c>
      <c r="B603" t="s">
        <v>78</v>
      </c>
      <c r="C603" t="s">
        <v>86</v>
      </c>
      <c r="D603" t="s">
        <v>101</v>
      </c>
      <c r="E603" t="s">
        <v>122</v>
      </c>
      <c r="F603" t="s">
        <v>123</v>
      </c>
      <c r="G603" t="s">
        <v>113</v>
      </c>
      <c r="H603" t="s">
        <v>119</v>
      </c>
      <c r="I603">
        <v>10</v>
      </c>
      <c r="J603" s="11">
        <v>1597</v>
      </c>
      <c r="K603">
        <v>40</v>
      </c>
      <c r="L603" t="str" cm="1">
        <f t="array" ref="L603">_xlfn.IFS(J603&gt;5000,"Hight",J603&gt;2000,"Medium",TRUE,"Low")</f>
        <v>Low</v>
      </c>
      <c r="M603" t="str" cm="1">
        <f t="array" ref="M603">_xlfn.IFS(I603&lt;12,"Low-Term",I603&gt;=36,"Long-Term",TRUE,"Medium-Term")</f>
        <v>Low-Term</v>
      </c>
      <c r="N603" t="str" cm="1">
        <f t="array" ref="N603">_xlfn.IFS(A603="Bad", "Review Required", AND(A603="Good",J603&gt;7000),"VIP Client", AND(A603="Good", J603&lt;=7000),"Standart Client")</f>
        <v>Standart Client</v>
      </c>
    </row>
    <row r="604" spans="1:14" x14ac:dyDescent="0.3">
      <c r="A604" t="s">
        <v>34</v>
      </c>
      <c r="B604" t="s">
        <v>78</v>
      </c>
      <c r="C604" t="s">
        <v>87</v>
      </c>
      <c r="D604" t="s">
        <v>99</v>
      </c>
      <c r="E604" t="s">
        <v>122</v>
      </c>
      <c r="F604" t="s">
        <v>123</v>
      </c>
      <c r="G604" t="s">
        <v>114</v>
      </c>
      <c r="H604" t="s">
        <v>120</v>
      </c>
      <c r="I604">
        <v>36</v>
      </c>
      <c r="J604" s="11">
        <v>5842</v>
      </c>
      <c r="K604">
        <v>35</v>
      </c>
      <c r="L604" t="str" cm="1">
        <f t="array" ref="L604">_xlfn.IFS(J604&gt;5000,"Hight",J604&gt;2000,"Medium",TRUE,"Low")</f>
        <v>Hight</v>
      </c>
      <c r="M604" t="str" cm="1">
        <f t="array" ref="M604">_xlfn.IFS(I604&lt;12,"Low-Term",I604&gt;=36,"Long-Term",TRUE,"Medium-Term")</f>
        <v>Long-Term</v>
      </c>
      <c r="N604" t="str" cm="1">
        <f t="array" ref="N604">_xlfn.IFS(A604="Bad", "Review Required", AND(A604="Good",J604&gt;7000),"VIP Client", AND(A604="Good", J604&lt;=7000),"Standart Client")</f>
        <v>Standart Client</v>
      </c>
    </row>
    <row r="605" spans="1:14" x14ac:dyDescent="0.3">
      <c r="A605" t="s">
        <v>34</v>
      </c>
      <c r="B605" t="s">
        <v>80</v>
      </c>
      <c r="C605" t="s">
        <v>92</v>
      </c>
      <c r="D605" t="s">
        <v>78</v>
      </c>
      <c r="E605" t="s">
        <v>124</v>
      </c>
      <c r="F605" t="s">
        <v>125</v>
      </c>
      <c r="G605" t="s">
        <v>114</v>
      </c>
      <c r="H605" t="s">
        <v>119</v>
      </c>
      <c r="I605">
        <v>18</v>
      </c>
      <c r="J605" s="11">
        <v>8471</v>
      </c>
      <c r="K605">
        <v>23</v>
      </c>
      <c r="L605" t="str" cm="1">
        <f t="array" ref="L605">_xlfn.IFS(J605&gt;5000,"Hight",J605&gt;2000,"Medium",TRUE,"Low")</f>
        <v>Hight</v>
      </c>
      <c r="M605" t="str" cm="1">
        <f t="array" ref="M605">_xlfn.IFS(I605&lt;12,"Low-Term",I605&gt;=36,"Long-Term",TRUE,"Medium-Term")</f>
        <v>Medium-Term</v>
      </c>
      <c r="N605" t="str" cm="1">
        <f t="array" ref="N605">_xlfn.IFS(A605="Bad", "Review Required", AND(A605="Good",J605&gt;7000),"VIP Client", AND(A605="Good", J605&lt;=7000),"Standart Client")</f>
        <v>VIP Client</v>
      </c>
    </row>
    <row r="606" spans="1:14" x14ac:dyDescent="0.3">
      <c r="A606" t="s">
        <v>34</v>
      </c>
      <c r="B606" t="s">
        <v>78</v>
      </c>
      <c r="C606" t="s">
        <v>86</v>
      </c>
      <c r="D606" t="s">
        <v>101</v>
      </c>
      <c r="E606" t="s">
        <v>124</v>
      </c>
      <c r="F606" t="s">
        <v>125</v>
      </c>
      <c r="G606" t="s">
        <v>115</v>
      </c>
      <c r="H606" t="s">
        <v>120</v>
      </c>
      <c r="I606">
        <v>21</v>
      </c>
      <c r="J606" s="11">
        <v>2782</v>
      </c>
      <c r="K606">
        <v>31</v>
      </c>
      <c r="L606" t="str" cm="1">
        <f t="array" ref="L606">_xlfn.IFS(J606&gt;5000,"Hight",J606&gt;2000,"Medium",TRUE,"Low")</f>
        <v>Medium</v>
      </c>
      <c r="M606" t="str" cm="1">
        <f t="array" ref="M606">_xlfn.IFS(I606&lt;12,"Low-Term",I606&gt;=36,"Long-Term",TRUE,"Medium-Term")</f>
        <v>Medium-Term</v>
      </c>
      <c r="N606" t="str" cm="1">
        <f t="array" ref="N606">_xlfn.IFS(A606="Bad", "Review Required", AND(A606="Good",J606&gt;7000),"VIP Client", AND(A606="Good", J606&lt;=7000),"Standart Client")</f>
        <v>Standart Client</v>
      </c>
    </row>
    <row r="607" spans="1:14" x14ac:dyDescent="0.3">
      <c r="A607" t="s">
        <v>34</v>
      </c>
      <c r="B607" t="s">
        <v>78</v>
      </c>
      <c r="C607" t="s">
        <v>86</v>
      </c>
      <c r="D607" t="s">
        <v>102</v>
      </c>
      <c r="E607" t="s">
        <v>124</v>
      </c>
      <c r="F607" t="s">
        <v>125</v>
      </c>
      <c r="G607" t="s">
        <v>114</v>
      </c>
      <c r="H607" t="s">
        <v>119</v>
      </c>
      <c r="I607">
        <v>15</v>
      </c>
      <c r="J607" s="11">
        <v>3186</v>
      </c>
      <c r="K607">
        <v>20</v>
      </c>
      <c r="L607" t="str" cm="1">
        <f t="array" ref="L607">_xlfn.IFS(J607&gt;5000,"Hight",J607&gt;2000,"Medium",TRUE,"Low")</f>
        <v>Medium</v>
      </c>
      <c r="M607" t="str" cm="1">
        <f t="array" ref="M607">_xlfn.IFS(I607&lt;12,"Low-Term",I607&gt;=36,"Long-Term",TRUE,"Medium-Term")</f>
        <v>Medium-Term</v>
      </c>
      <c r="N607" t="str" cm="1">
        <f t="array" ref="N607">_xlfn.IFS(A607="Bad", "Review Required", AND(A607="Good",J607&gt;7000),"VIP Client", AND(A607="Good", J607&lt;=7000),"Standart Client")</f>
        <v>Standart Client</v>
      </c>
    </row>
    <row r="608" spans="1:14" x14ac:dyDescent="0.3">
      <c r="A608" t="s">
        <v>34</v>
      </c>
      <c r="B608" t="s">
        <v>77</v>
      </c>
      <c r="C608" t="s">
        <v>87</v>
      </c>
      <c r="D608" t="s">
        <v>78</v>
      </c>
      <c r="E608" t="s">
        <v>122</v>
      </c>
      <c r="F608" t="s">
        <v>123</v>
      </c>
      <c r="G608" t="s">
        <v>114</v>
      </c>
      <c r="H608" t="s">
        <v>120</v>
      </c>
      <c r="I608">
        <v>12</v>
      </c>
      <c r="J608" s="11">
        <v>2028</v>
      </c>
      <c r="K608">
        <v>30</v>
      </c>
      <c r="L608" t="str" cm="1">
        <f t="array" ref="L608">_xlfn.IFS(J608&gt;5000,"Hight",J608&gt;2000,"Medium",TRUE,"Low")</f>
        <v>Medium</v>
      </c>
      <c r="M608" t="str" cm="1">
        <f t="array" ref="M608">_xlfn.IFS(I608&lt;12,"Low-Term",I608&gt;=36,"Long-Term",TRUE,"Medium-Term")</f>
        <v>Medium-Term</v>
      </c>
      <c r="N608" t="str" cm="1">
        <f t="array" ref="N608">_xlfn.IFS(A608="Bad", "Review Required", AND(A608="Good",J608&gt;7000),"VIP Client", AND(A608="Good", J608&lt;=7000),"Standart Client")</f>
        <v>Standart Client</v>
      </c>
    </row>
    <row r="609" spans="1:14" x14ac:dyDescent="0.3">
      <c r="A609" t="s">
        <v>34</v>
      </c>
      <c r="B609" t="s">
        <v>77</v>
      </c>
      <c r="C609" t="s">
        <v>86</v>
      </c>
      <c r="D609" t="s">
        <v>99</v>
      </c>
      <c r="E609" t="s">
        <v>122</v>
      </c>
      <c r="F609" t="s">
        <v>123</v>
      </c>
      <c r="G609" t="s">
        <v>113</v>
      </c>
      <c r="H609" t="s">
        <v>120</v>
      </c>
      <c r="I609">
        <v>12</v>
      </c>
      <c r="J609" s="11">
        <v>958</v>
      </c>
      <c r="K609">
        <v>47</v>
      </c>
      <c r="L609" t="str" cm="1">
        <f t="array" ref="L609">_xlfn.IFS(J609&gt;5000,"Hight",J609&gt;2000,"Medium",TRUE,"Low")</f>
        <v>Low</v>
      </c>
      <c r="M609" t="str" cm="1">
        <f t="array" ref="M609">_xlfn.IFS(I609&lt;12,"Low-Term",I609&gt;=36,"Long-Term",TRUE,"Medium-Term")</f>
        <v>Medium-Term</v>
      </c>
      <c r="N609" t="str" cm="1">
        <f t="array" ref="N609">_xlfn.IFS(A609="Bad", "Review Required", AND(A609="Good",J609&gt;7000),"VIP Client", AND(A609="Good", J609&lt;=7000),"Standart Client")</f>
        <v>Standart Client</v>
      </c>
    </row>
    <row r="610" spans="1:14" x14ac:dyDescent="0.3">
      <c r="A610" t="s">
        <v>34</v>
      </c>
      <c r="B610" t="s">
        <v>78</v>
      </c>
      <c r="C610" t="s">
        <v>88</v>
      </c>
      <c r="D610" t="s">
        <v>100</v>
      </c>
      <c r="E610" t="s">
        <v>122</v>
      </c>
      <c r="F610" t="s">
        <v>123</v>
      </c>
      <c r="G610" t="s">
        <v>115</v>
      </c>
      <c r="H610" t="s">
        <v>120</v>
      </c>
      <c r="I610">
        <v>21</v>
      </c>
      <c r="J610" s="11">
        <v>1591</v>
      </c>
      <c r="K610">
        <v>34</v>
      </c>
      <c r="L610" t="str" cm="1">
        <f t="array" ref="L610">_xlfn.IFS(J610&gt;5000,"Hight",J610&gt;2000,"Medium",TRUE,"Low")</f>
        <v>Low</v>
      </c>
      <c r="M610" t="str" cm="1">
        <f t="array" ref="M610">_xlfn.IFS(I610&lt;12,"Low-Term",I610&gt;=36,"Long-Term",TRUE,"Medium-Term")</f>
        <v>Medium-Term</v>
      </c>
      <c r="N610" t="str" cm="1">
        <f t="array" ref="N610">_xlfn.IFS(A610="Bad", "Review Required", AND(A610="Good",J610&gt;7000),"VIP Client", AND(A610="Good", J610&lt;=7000),"Standart Client")</f>
        <v>Standart Client</v>
      </c>
    </row>
    <row r="611" spans="1:14" x14ac:dyDescent="0.3">
      <c r="A611" t="s">
        <v>34</v>
      </c>
      <c r="B611" t="s">
        <v>77</v>
      </c>
      <c r="C611" t="s">
        <v>87</v>
      </c>
      <c r="D611" t="s">
        <v>99</v>
      </c>
      <c r="E611" t="s">
        <v>122</v>
      </c>
      <c r="F611" t="s">
        <v>127</v>
      </c>
      <c r="G611" t="s">
        <v>114</v>
      </c>
      <c r="H611" t="s">
        <v>119</v>
      </c>
      <c r="I611">
        <v>18</v>
      </c>
      <c r="J611" s="11">
        <v>2779</v>
      </c>
      <c r="K611">
        <v>21</v>
      </c>
      <c r="L611" t="str" cm="1">
        <f t="array" ref="L611">_xlfn.IFS(J611&gt;5000,"Hight",J611&gt;2000,"Medium",TRUE,"Low")</f>
        <v>Medium</v>
      </c>
      <c r="M611" t="str" cm="1">
        <f t="array" ref="M611">_xlfn.IFS(I611&lt;12,"Low-Term",I611&gt;=36,"Long-Term",TRUE,"Medium-Term")</f>
        <v>Medium-Term</v>
      </c>
      <c r="N611" t="str" cm="1">
        <f t="array" ref="N611">_xlfn.IFS(A611="Bad", "Review Required", AND(A611="Good",J611&gt;7000),"VIP Client", AND(A611="Good", J611&lt;=7000),"Standart Client")</f>
        <v>Standart Client</v>
      </c>
    </row>
    <row r="612" spans="1:14" x14ac:dyDescent="0.3">
      <c r="A612" t="s">
        <v>34</v>
      </c>
      <c r="B612" t="s">
        <v>78</v>
      </c>
      <c r="C612" t="s">
        <v>89</v>
      </c>
      <c r="D612" t="s">
        <v>99</v>
      </c>
      <c r="E612" t="s">
        <v>122</v>
      </c>
      <c r="F612" t="s">
        <v>123</v>
      </c>
      <c r="G612" t="s">
        <v>114</v>
      </c>
      <c r="H612" t="s">
        <v>120</v>
      </c>
      <c r="I612">
        <v>28</v>
      </c>
      <c r="J612" s="11">
        <v>2743</v>
      </c>
      <c r="K612">
        <v>29</v>
      </c>
      <c r="L612" t="str" cm="1">
        <f t="array" ref="L612">_xlfn.IFS(J612&gt;5000,"Hight",J612&gt;2000,"Medium",TRUE,"Low")</f>
        <v>Medium</v>
      </c>
      <c r="M612" t="str" cm="1">
        <f t="array" ref="M612">_xlfn.IFS(I612&lt;12,"Low-Term",I612&gt;=36,"Long-Term",TRUE,"Medium-Term")</f>
        <v>Medium-Term</v>
      </c>
      <c r="N612" t="str" cm="1">
        <f t="array" ref="N612">_xlfn.IFS(A612="Bad", "Review Required", AND(A612="Good",J612&gt;7000),"VIP Client", AND(A612="Good", J612&lt;=7000),"Standart Client")</f>
        <v>Standart Client</v>
      </c>
    </row>
    <row r="613" spans="1:14" x14ac:dyDescent="0.3">
      <c r="A613" t="s">
        <v>34</v>
      </c>
      <c r="B613" t="s">
        <v>78</v>
      </c>
      <c r="C613" t="s">
        <v>89</v>
      </c>
      <c r="D613" t="s">
        <v>102</v>
      </c>
      <c r="E613" t="s">
        <v>122</v>
      </c>
      <c r="F613" t="s">
        <v>123</v>
      </c>
      <c r="G613" t="s">
        <v>114</v>
      </c>
      <c r="H613" t="s">
        <v>120</v>
      </c>
      <c r="I613">
        <v>18</v>
      </c>
      <c r="J613" s="11">
        <v>1149</v>
      </c>
      <c r="K613">
        <v>46</v>
      </c>
      <c r="L613" t="str" cm="1">
        <f t="array" ref="L613">_xlfn.IFS(J613&gt;5000,"Hight",J613&gt;2000,"Medium",TRUE,"Low")</f>
        <v>Low</v>
      </c>
      <c r="M613" t="str" cm="1">
        <f t="array" ref="M613">_xlfn.IFS(I613&lt;12,"Low-Term",I613&gt;=36,"Long-Term",TRUE,"Medium-Term")</f>
        <v>Medium-Term</v>
      </c>
      <c r="N613" t="str" cm="1">
        <f t="array" ref="N613">_xlfn.IFS(A613="Bad", "Review Required", AND(A613="Good",J613&gt;7000),"VIP Client", AND(A613="Good", J613&lt;=7000),"Standart Client")</f>
        <v>Standart Client</v>
      </c>
    </row>
    <row r="614" spans="1:14" x14ac:dyDescent="0.3">
      <c r="A614" t="s">
        <v>34</v>
      </c>
      <c r="B614" t="s">
        <v>78</v>
      </c>
      <c r="C614" t="s">
        <v>88</v>
      </c>
      <c r="D614" t="s">
        <v>99</v>
      </c>
      <c r="E614" t="s">
        <v>122</v>
      </c>
      <c r="F614" t="s">
        <v>123</v>
      </c>
      <c r="G614" t="s">
        <v>114</v>
      </c>
      <c r="H614" t="s">
        <v>120</v>
      </c>
      <c r="I614">
        <v>9</v>
      </c>
      <c r="J614" s="11">
        <v>1313</v>
      </c>
      <c r="K614">
        <v>20</v>
      </c>
      <c r="L614" t="str" cm="1">
        <f t="array" ref="L614">_xlfn.IFS(J614&gt;5000,"Hight",J614&gt;2000,"Medium",TRUE,"Low")</f>
        <v>Low</v>
      </c>
      <c r="M614" t="str" cm="1">
        <f t="array" ref="M614">_xlfn.IFS(I614&lt;12,"Low-Term",I614&gt;=36,"Long-Term",TRUE,"Medium-Term")</f>
        <v>Low-Term</v>
      </c>
      <c r="N614" t="str" cm="1">
        <f t="array" ref="N614">_xlfn.IFS(A614="Bad", "Review Required", AND(A614="Good",J614&gt;7000),"VIP Client", AND(A614="Good", J614&lt;=7000),"Standart Client")</f>
        <v>Standart Client</v>
      </c>
    </row>
    <row r="615" spans="1:14" x14ac:dyDescent="0.3">
      <c r="A615" t="s">
        <v>34</v>
      </c>
      <c r="B615" t="s">
        <v>78</v>
      </c>
      <c r="C615" t="s">
        <v>94</v>
      </c>
      <c r="D615" t="s">
        <v>99</v>
      </c>
      <c r="E615" t="s">
        <v>122</v>
      </c>
      <c r="F615" t="s">
        <v>123</v>
      </c>
      <c r="G615" t="s">
        <v>113</v>
      </c>
      <c r="H615" t="s">
        <v>120</v>
      </c>
      <c r="I615">
        <v>5</v>
      </c>
      <c r="J615" s="11">
        <v>3448</v>
      </c>
      <c r="K615">
        <v>74</v>
      </c>
      <c r="L615" t="str" cm="1">
        <f t="array" ref="L615">_xlfn.IFS(J615&gt;5000,"Hight",J615&gt;2000,"Medium",TRUE,"Low")</f>
        <v>Medium</v>
      </c>
      <c r="M615" t="str" cm="1">
        <f t="array" ref="M615">_xlfn.IFS(I615&lt;12,"Low-Term",I615&gt;=36,"Long-Term",TRUE,"Medium-Term")</f>
        <v>Low-Term</v>
      </c>
      <c r="N615" t="str" cm="1">
        <f t="array" ref="N615">_xlfn.IFS(A615="Bad", "Review Required", AND(A615="Good",J615&gt;7000),"VIP Client", AND(A615="Good", J615&lt;=7000),"Standart Client")</f>
        <v>Standart Client</v>
      </c>
    </row>
    <row r="616" spans="1:14" x14ac:dyDescent="0.3">
      <c r="A616" t="s">
        <v>34</v>
      </c>
      <c r="B616" t="s">
        <v>80</v>
      </c>
      <c r="C616" t="s">
        <v>88</v>
      </c>
      <c r="D616" t="s">
        <v>99</v>
      </c>
      <c r="E616" t="s">
        <v>122</v>
      </c>
      <c r="F616" t="s">
        <v>123</v>
      </c>
      <c r="G616" t="s">
        <v>115</v>
      </c>
      <c r="H616" t="s">
        <v>121</v>
      </c>
      <c r="I616">
        <v>6</v>
      </c>
      <c r="J616" s="11">
        <v>1872</v>
      </c>
      <c r="K616">
        <v>36</v>
      </c>
      <c r="L616" t="str" cm="1">
        <f t="array" ref="L616">_xlfn.IFS(J616&gt;5000,"Hight",J616&gt;2000,"Medium",TRUE,"Low")</f>
        <v>Low</v>
      </c>
      <c r="M616" t="str" cm="1">
        <f t="array" ref="M616">_xlfn.IFS(I616&lt;12,"Low-Term",I616&gt;=36,"Long-Term",TRUE,"Medium-Term")</f>
        <v>Low-Term</v>
      </c>
      <c r="N616" t="str" cm="1">
        <f t="array" ref="N616">_xlfn.IFS(A616="Bad", "Review Required", AND(A616="Good",J616&gt;7000),"VIP Client", AND(A616="Good", J616&lt;=7000),"Standart Client")</f>
        <v>Standart Client</v>
      </c>
    </row>
    <row r="617" spans="1:14" x14ac:dyDescent="0.3">
      <c r="A617" t="s">
        <v>34</v>
      </c>
      <c r="B617" t="s">
        <v>78</v>
      </c>
      <c r="C617" t="s">
        <v>91</v>
      </c>
      <c r="D617" t="s">
        <v>99</v>
      </c>
      <c r="E617" t="s">
        <v>122</v>
      </c>
      <c r="F617" t="s">
        <v>126</v>
      </c>
      <c r="G617" t="s">
        <v>114</v>
      </c>
      <c r="H617" t="s">
        <v>120</v>
      </c>
      <c r="I617">
        <v>24</v>
      </c>
      <c r="J617" s="11">
        <v>2058</v>
      </c>
      <c r="K617">
        <v>33</v>
      </c>
      <c r="L617" t="str" cm="1">
        <f t="array" ref="L617">_xlfn.IFS(J617&gt;5000,"Hight",J617&gt;2000,"Medium",TRUE,"Low")</f>
        <v>Medium</v>
      </c>
      <c r="M617" t="str" cm="1">
        <f t="array" ref="M617">_xlfn.IFS(I617&lt;12,"Low-Term",I617&gt;=36,"Long-Term",TRUE,"Medium-Term")</f>
        <v>Medium-Term</v>
      </c>
      <c r="N617" t="str" cm="1">
        <f t="array" ref="N617">_xlfn.IFS(A617="Bad", "Review Required", AND(A617="Good",J617&gt;7000),"VIP Client", AND(A617="Good", J617&lt;=7000),"Standart Client")</f>
        <v>Standart Client</v>
      </c>
    </row>
    <row r="618" spans="1:14" x14ac:dyDescent="0.3">
      <c r="A618" t="s">
        <v>34</v>
      </c>
      <c r="B618" t="s">
        <v>80</v>
      </c>
      <c r="C618" t="s">
        <v>88</v>
      </c>
      <c r="D618" t="s">
        <v>99</v>
      </c>
      <c r="E618" t="s">
        <v>122</v>
      </c>
      <c r="F618" t="s">
        <v>123</v>
      </c>
      <c r="G618" t="s">
        <v>114</v>
      </c>
      <c r="H618" t="s">
        <v>120</v>
      </c>
      <c r="I618">
        <v>9</v>
      </c>
      <c r="J618" s="11">
        <v>2136</v>
      </c>
      <c r="K618">
        <v>25</v>
      </c>
      <c r="L618" t="str" cm="1">
        <f t="array" ref="L618">_xlfn.IFS(J618&gt;5000,"Hight",J618&gt;2000,"Medium",TRUE,"Low")</f>
        <v>Medium</v>
      </c>
      <c r="M618" t="str" cm="1">
        <f t="array" ref="M618">_xlfn.IFS(I618&lt;12,"Low-Term",I618&gt;=36,"Long-Term",TRUE,"Medium-Term")</f>
        <v>Low-Term</v>
      </c>
      <c r="N618" t="str" cm="1">
        <f t="array" ref="N618">_xlfn.IFS(A618="Bad", "Review Required", AND(A618="Good",J618&gt;7000),"VIP Client", AND(A618="Good", J618&lt;=7000),"Standart Client")</f>
        <v>Standart Client</v>
      </c>
    </row>
    <row r="619" spans="1:14" x14ac:dyDescent="0.3">
      <c r="A619" t="s">
        <v>34</v>
      </c>
      <c r="B619" t="s">
        <v>78</v>
      </c>
      <c r="C619" t="s">
        <v>91</v>
      </c>
      <c r="D619" t="s">
        <v>101</v>
      </c>
      <c r="E619" t="s">
        <v>122</v>
      </c>
      <c r="F619" t="s">
        <v>127</v>
      </c>
      <c r="G619" t="s">
        <v>113</v>
      </c>
      <c r="H619" t="s">
        <v>119</v>
      </c>
      <c r="I619">
        <v>6</v>
      </c>
      <c r="J619" s="11">
        <v>660</v>
      </c>
      <c r="K619">
        <v>23</v>
      </c>
      <c r="L619" t="str" cm="1">
        <f t="array" ref="L619">_xlfn.IFS(J619&gt;5000,"Hight",J619&gt;2000,"Medium",TRUE,"Low")</f>
        <v>Low</v>
      </c>
      <c r="M619" t="str" cm="1">
        <f t="array" ref="M619">_xlfn.IFS(I619&lt;12,"Low-Term",I619&gt;=36,"Long-Term",TRUE,"Medium-Term")</f>
        <v>Low-Term</v>
      </c>
      <c r="N619" t="str" cm="1">
        <f t="array" ref="N619">_xlfn.IFS(A619="Bad", "Review Required", AND(A619="Good",J619&gt;7000),"VIP Client", AND(A619="Good", J619&lt;=7000),"Standart Client")</f>
        <v>Standart Client</v>
      </c>
    </row>
    <row r="620" spans="1:14" x14ac:dyDescent="0.3">
      <c r="A620" t="s">
        <v>34</v>
      </c>
      <c r="B620" t="s">
        <v>78</v>
      </c>
      <c r="C620" t="s">
        <v>86</v>
      </c>
      <c r="D620" t="s">
        <v>102</v>
      </c>
      <c r="E620" t="s">
        <v>124</v>
      </c>
      <c r="F620" t="s">
        <v>125</v>
      </c>
      <c r="G620" t="s">
        <v>114</v>
      </c>
      <c r="H620" t="s">
        <v>120</v>
      </c>
      <c r="I620">
        <v>24</v>
      </c>
      <c r="J620" s="11">
        <v>1287</v>
      </c>
      <c r="K620">
        <v>37</v>
      </c>
      <c r="L620" t="str" cm="1">
        <f t="array" ref="L620">_xlfn.IFS(J620&gt;5000,"Hight",J620&gt;2000,"Medium",TRUE,"Low")</f>
        <v>Low</v>
      </c>
      <c r="M620" t="str" cm="1">
        <f t="array" ref="M620">_xlfn.IFS(I620&lt;12,"Low-Term",I620&gt;=36,"Long-Term",TRUE,"Medium-Term")</f>
        <v>Medium-Term</v>
      </c>
      <c r="N620" t="str" cm="1">
        <f t="array" ref="N620">_xlfn.IFS(A620="Bad", "Review Required", AND(A620="Good",J620&gt;7000),"VIP Client", AND(A620="Good", J620&lt;=7000),"Standart Client")</f>
        <v>Standart Client</v>
      </c>
    </row>
    <row r="621" spans="1:14" x14ac:dyDescent="0.3">
      <c r="A621" t="s">
        <v>34</v>
      </c>
      <c r="B621" t="s">
        <v>80</v>
      </c>
      <c r="C621" t="s">
        <v>91</v>
      </c>
      <c r="D621" t="s">
        <v>99</v>
      </c>
      <c r="E621" t="s">
        <v>122</v>
      </c>
      <c r="F621" t="s">
        <v>123</v>
      </c>
      <c r="G621" t="s">
        <v>112</v>
      </c>
      <c r="H621" t="s">
        <v>120</v>
      </c>
      <c r="I621">
        <v>42</v>
      </c>
      <c r="J621" s="11">
        <v>3394</v>
      </c>
      <c r="K621">
        <v>65</v>
      </c>
      <c r="L621" t="str" cm="1">
        <f t="array" ref="L621">_xlfn.IFS(J621&gt;5000,"Hight",J621&gt;2000,"Medium",TRUE,"Low")</f>
        <v>Medium</v>
      </c>
      <c r="M621" t="str" cm="1">
        <f t="array" ref="M621">_xlfn.IFS(I621&lt;12,"Low-Term",I621&gt;=36,"Long-Term",TRUE,"Medium-Term")</f>
        <v>Long-Term</v>
      </c>
      <c r="N621" t="str" cm="1">
        <f t="array" ref="N621">_xlfn.IFS(A621="Bad", "Review Required", AND(A621="Good",J621&gt;7000),"VIP Client", AND(A621="Good", J621&lt;=7000),"Standart Client")</f>
        <v>Standart Client</v>
      </c>
    </row>
    <row r="622" spans="1:14" x14ac:dyDescent="0.3">
      <c r="A622" t="s">
        <v>34</v>
      </c>
      <c r="B622" t="s">
        <v>78</v>
      </c>
      <c r="C622" t="s">
        <v>86</v>
      </c>
      <c r="D622" t="s">
        <v>99</v>
      </c>
      <c r="E622" t="s">
        <v>122</v>
      </c>
      <c r="F622" t="s">
        <v>123</v>
      </c>
      <c r="G622" t="s">
        <v>115</v>
      </c>
      <c r="H622" t="s">
        <v>120</v>
      </c>
      <c r="I622">
        <v>12</v>
      </c>
      <c r="J622" s="11">
        <v>1884</v>
      </c>
      <c r="K622">
        <v>39</v>
      </c>
      <c r="L622" t="str" cm="1">
        <f t="array" ref="L622">_xlfn.IFS(J622&gt;5000,"Hight",J622&gt;2000,"Medium",TRUE,"Low")</f>
        <v>Low</v>
      </c>
      <c r="M622" t="str" cm="1">
        <f t="array" ref="M622">_xlfn.IFS(I622&lt;12,"Low-Term",I622&gt;=36,"Long-Term",TRUE,"Medium-Term")</f>
        <v>Medium-Term</v>
      </c>
      <c r="N622" t="str" cm="1">
        <f t="array" ref="N622">_xlfn.IFS(A622="Bad", "Review Required", AND(A622="Good",J622&gt;7000),"VIP Client", AND(A622="Good", J622&lt;=7000),"Standart Client")</f>
        <v>Standart Client</v>
      </c>
    </row>
    <row r="623" spans="1:14" x14ac:dyDescent="0.3">
      <c r="A623" t="s">
        <v>34</v>
      </c>
      <c r="B623" t="s">
        <v>80</v>
      </c>
      <c r="C623" t="s">
        <v>88</v>
      </c>
      <c r="D623" t="s">
        <v>99</v>
      </c>
      <c r="E623" t="s">
        <v>124</v>
      </c>
      <c r="F623" t="s">
        <v>125</v>
      </c>
      <c r="G623" t="s">
        <v>114</v>
      </c>
      <c r="H623" t="s">
        <v>120</v>
      </c>
      <c r="I623">
        <v>12</v>
      </c>
      <c r="J623" s="11">
        <v>1620</v>
      </c>
      <c r="K623">
        <v>30</v>
      </c>
      <c r="L623" t="str" cm="1">
        <f t="array" ref="L623">_xlfn.IFS(J623&gt;5000,"Hight",J623&gt;2000,"Medium",TRUE,"Low")</f>
        <v>Low</v>
      </c>
      <c r="M623" t="str" cm="1">
        <f t="array" ref="M623">_xlfn.IFS(I623&lt;12,"Low-Term",I623&gt;=36,"Long-Term",TRUE,"Medium-Term")</f>
        <v>Medium-Term</v>
      </c>
      <c r="N623" t="str" cm="1">
        <f t="array" ref="N623">_xlfn.IFS(A623="Bad", "Review Required", AND(A623="Good",J623&gt;7000),"VIP Client", AND(A623="Good", J623&lt;=7000),"Standart Client")</f>
        <v>Standart Client</v>
      </c>
    </row>
    <row r="624" spans="1:14" x14ac:dyDescent="0.3">
      <c r="A624" t="s">
        <v>34</v>
      </c>
      <c r="B624" t="s">
        <v>77</v>
      </c>
      <c r="C624" t="s">
        <v>95</v>
      </c>
      <c r="D624" t="s">
        <v>99</v>
      </c>
      <c r="E624" t="s">
        <v>122</v>
      </c>
      <c r="F624" t="s">
        <v>123</v>
      </c>
      <c r="G624" t="s">
        <v>114</v>
      </c>
      <c r="H624" t="s">
        <v>120</v>
      </c>
      <c r="I624">
        <v>20</v>
      </c>
      <c r="J624" s="11">
        <v>2629</v>
      </c>
      <c r="K624">
        <v>29</v>
      </c>
      <c r="L624" t="str" cm="1">
        <f t="array" ref="L624">_xlfn.IFS(J624&gt;5000,"Hight",J624&gt;2000,"Medium",TRUE,"Low")</f>
        <v>Medium</v>
      </c>
      <c r="M624" t="str" cm="1">
        <f t="array" ref="M624">_xlfn.IFS(I624&lt;12,"Low-Term",I624&gt;=36,"Long-Term",TRUE,"Medium-Term")</f>
        <v>Medium-Term</v>
      </c>
      <c r="N624" t="str" cm="1">
        <f t="array" ref="N624">_xlfn.IFS(A624="Bad", "Review Required", AND(A624="Good",J624&gt;7000),"VIP Client", AND(A624="Good", J624&lt;=7000),"Standart Client")</f>
        <v>Standart Client</v>
      </c>
    </row>
    <row r="625" spans="1:14" x14ac:dyDescent="0.3">
      <c r="A625" t="s">
        <v>34</v>
      </c>
      <c r="B625" t="s">
        <v>78</v>
      </c>
      <c r="C625" t="s">
        <v>92</v>
      </c>
      <c r="D625" t="s">
        <v>78</v>
      </c>
      <c r="E625" t="s">
        <v>124</v>
      </c>
      <c r="F625" t="s">
        <v>125</v>
      </c>
      <c r="G625" t="s">
        <v>113</v>
      </c>
      <c r="H625" t="s">
        <v>119</v>
      </c>
      <c r="I625">
        <v>9</v>
      </c>
      <c r="J625" s="11">
        <v>1244</v>
      </c>
      <c r="K625">
        <v>41</v>
      </c>
      <c r="L625" t="str" cm="1">
        <f t="array" ref="L625">_xlfn.IFS(J625&gt;5000,"Hight",J625&gt;2000,"Medium",TRUE,"Low")</f>
        <v>Low</v>
      </c>
      <c r="M625" t="str" cm="1">
        <f t="array" ref="M625">_xlfn.IFS(I625&lt;12,"Low-Term",I625&gt;=36,"Long-Term",TRUE,"Medium-Term")</f>
        <v>Low-Term</v>
      </c>
      <c r="N625" t="str" cm="1">
        <f t="array" ref="N625">_xlfn.IFS(A625="Bad", "Review Required", AND(A625="Good",J625&gt;7000),"VIP Client", AND(A625="Good", J625&lt;=7000),"Standart Client")</f>
        <v>Standart Client</v>
      </c>
    </row>
    <row r="626" spans="1:14" x14ac:dyDescent="0.3">
      <c r="A626" t="s">
        <v>34</v>
      </c>
      <c r="B626" t="s">
        <v>77</v>
      </c>
      <c r="C626" t="s">
        <v>89</v>
      </c>
      <c r="D626" t="s">
        <v>99</v>
      </c>
      <c r="E626" t="s">
        <v>122</v>
      </c>
      <c r="F626" t="s">
        <v>123</v>
      </c>
      <c r="G626" t="s">
        <v>114</v>
      </c>
      <c r="H626" t="s">
        <v>120</v>
      </c>
      <c r="I626">
        <v>7</v>
      </c>
      <c r="J626" s="11">
        <v>2576</v>
      </c>
      <c r="K626">
        <v>35</v>
      </c>
      <c r="L626" t="str" cm="1">
        <f t="array" ref="L626">_xlfn.IFS(J626&gt;5000,"Hight",J626&gt;2000,"Medium",TRUE,"Low")</f>
        <v>Medium</v>
      </c>
      <c r="M626" t="str" cm="1">
        <f t="array" ref="M626">_xlfn.IFS(I626&lt;12,"Low-Term",I626&gt;=36,"Long-Term",TRUE,"Medium-Term")</f>
        <v>Low-Term</v>
      </c>
      <c r="N626" t="str" cm="1">
        <f t="array" ref="N626">_xlfn.IFS(A626="Bad", "Review Required", AND(A626="Good",J626&gt;7000),"VIP Client", AND(A626="Good", J626&lt;=7000),"Standart Client")</f>
        <v>Standart Client</v>
      </c>
    </row>
    <row r="627" spans="1:14" x14ac:dyDescent="0.3">
      <c r="A627" t="s">
        <v>34</v>
      </c>
      <c r="B627" t="s">
        <v>81</v>
      </c>
      <c r="C627" t="s">
        <v>88</v>
      </c>
      <c r="D627" t="s">
        <v>78</v>
      </c>
      <c r="E627" t="s">
        <v>124</v>
      </c>
      <c r="F627" t="s">
        <v>125</v>
      </c>
      <c r="G627" t="s">
        <v>115</v>
      </c>
      <c r="H627" t="s">
        <v>120</v>
      </c>
      <c r="I627">
        <v>12</v>
      </c>
      <c r="J627" s="11">
        <v>1424</v>
      </c>
      <c r="K627">
        <v>55</v>
      </c>
      <c r="L627" t="str" cm="1">
        <f t="array" ref="L627">_xlfn.IFS(J627&gt;5000,"Hight",J627&gt;2000,"Medium",TRUE,"Low")</f>
        <v>Low</v>
      </c>
      <c r="M627" t="str" cm="1">
        <f t="array" ref="M627">_xlfn.IFS(I627&lt;12,"Low-Term",I627&gt;=36,"Long-Term",TRUE,"Medium-Term")</f>
        <v>Medium-Term</v>
      </c>
      <c r="N627" t="str" cm="1">
        <f t="array" ref="N627">_xlfn.IFS(A627="Bad", "Review Required", AND(A627="Good",J627&gt;7000),"VIP Client", AND(A627="Good", J627&lt;=7000),"Standart Client")</f>
        <v>Standart Client</v>
      </c>
    </row>
    <row r="628" spans="1:14" x14ac:dyDescent="0.3">
      <c r="A628" t="s">
        <v>34</v>
      </c>
      <c r="B628" t="s">
        <v>78</v>
      </c>
      <c r="C628" t="s">
        <v>87</v>
      </c>
      <c r="D628" t="s">
        <v>78</v>
      </c>
      <c r="E628" t="s">
        <v>122</v>
      </c>
      <c r="F628" t="s">
        <v>123</v>
      </c>
      <c r="G628" t="s">
        <v>115</v>
      </c>
      <c r="H628" t="s">
        <v>120</v>
      </c>
      <c r="I628">
        <v>36</v>
      </c>
      <c r="J628" s="11">
        <v>11054</v>
      </c>
      <c r="K628">
        <v>30</v>
      </c>
      <c r="L628" t="str" cm="1">
        <f t="array" ref="L628">_xlfn.IFS(J628&gt;5000,"Hight",J628&gt;2000,"Medium",TRUE,"Low")</f>
        <v>Hight</v>
      </c>
      <c r="M628" t="str" cm="1">
        <f t="array" ref="M628">_xlfn.IFS(I628&lt;12,"Low-Term",I628&gt;=36,"Long-Term",TRUE,"Medium-Term")</f>
        <v>Long-Term</v>
      </c>
      <c r="N628" t="str" cm="1">
        <f t="array" ref="N628">_xlfn.IFS(A628="Bad", "Review Required", AND(A628="Good",J628&gt;7000),"VIP Client", AND(A628="Good", J628&lt;=7000),"Standart Client")</f>
        <v>VIP Client</v>
      </c>
    </row>
    <row r="629" spans="1:14" x14ac:dyDescent="0.3">
      <c r="A629" t="s">
        <v>34</v>
      </c>
      <c r="B629" t="s">
        <v>78</v>
      </c>
      <c r="C629" t="s">
        <v>89</v>
      </c>
      <c r="D629" t="s">
        <v>99</v>
      </c>
      <c r="E629" t="s">
        <v>124</v>
      </c>
      <c r="F629" t="s">
        <v>125</v>
      </c>
      <c r="G629" t="s">
        <v>114</v>
      </c>
      <c r="H629" t="s">
        <v>120</v>
      </c>
      <c r="I629">
        <v>6</v>
      </c>
      <c r="J629" s="11">
        <v>518</v>
      </c>
      <c r="K629">
        <v>29</v>
      </c>
      <c r="L629" t="str" cm="1">
        <f t="array" ref="L629">_xlfn.IFS(J629&gt;5000,"Hight",J629&gt;2000,"Medium",TRUE,"Low")</f>
        <v>Low</v>
      </c>
      <c r="M629" t="str" cm="1">
        <f t="array" ref="M629">_xlfn.IFS(I629&lt;12,"Low-Term",I629&gt;=36,"Long-Term",TRUE,"Medium-Term")</f>
        <v>Low-Term</v>
      </c>
      <c r="N629" t="str" cm="1">
        <f t="array" ref="N629">_xlfn.IFS(A629="Bad", "Review Required", AND(A629="Good",J629&gt;7000),"VIP Client", AND(A629="Good", J629&lt;=7000),"Standart Client")</f>
        <v>Standart Client</v>
      </c>
    </row>
    <row r="630" spans="1:14" x14ac:dyDescent="0.3">
      <c r="A630" t="s">
        <v>34</v>
      </c>
      <c r="B630" t="s">
        <v>78</v>
      </c>
      <c r="C630" t="s">
        <v>88</v>
      </c>
      <c r="D630" t="s">
        <v>99</v>
      </c>
      <c r="E630" t="s">
        <v>122</v>
      </c>
      <c r="F630" t="s">
        <v>123</v>
      </c>
      <c r="G630" t="s">
        <v>114</v>
      </c>
      <c r="H630" t="s">
        <v>120</v>
      </c>
      <c r="I630">
        <v>12</v>
      </c>
      <c r="J630" s="11">
        <v>2759</v>
      </c>
      <c r="K630">
        <v>34</v>
      </c>
      <c r="L630" t="str" cm="1">
        <f t="array" ref="L630">_xlfn.IFS(J630&gt;5000,"Hight",J630&gt;2000,"Medium",TRUE,"Low")</f>
        <v>Medium</v>
      </c>
      <c r="M630" t="str" cm="1">
        <f t="array" ref="M630">_xlfn.IFS(I630&lt;12,"Low-Term",I630&gt;=36,"Long-Term",TRUE,"Medium-Term")</f>
        <v>Medium-Term</v>
      </c>
      <c r="N630" t="str" cm="1">
        <f t="array" ref="N630">_xlfn.IFS(A630="Bad", "Review Required", AND(A630="Good",J630&gt;7000),"VIP Client", AND(A630="Good", J630&lt;=7000),"Standart Client")</f>
        <v>Standart Client</v>
      </c>
    </row>
    <row r="631" spans="1:14" x14ac:dyDescent="0.3">
      <c r="A631" t="s">
        <v>34</v>
      </c>
      <c r="B631" t="s">
        <v>78</v>
      </c>
      <c r="C631" t="s">
        <v>87</v>
      </c>
      <c r="D631" t="s">
        <v>99</v>
      </c>
      <c r="E631" t="s">
        <v>122</v>
      </c>
      <c r="F631" t="s">
        <v>123</v>
      </c>
      <c r="G631" t="s">
        <v>115</v>
      </c>
      <c r="H631" t="s">
        <v>120</v>
      </c>
      <c r="I631">
        <v>24</v>
      </c>
      <c r="J631" s="11">
        <v>2670</v>
      </c>
      <c r="K631">
        <v>35</v>
      </c>
      <c r="L631" t="str" cm="1">
        <f t="array" ref="L631">_xlfn.IFS(J631&gt;5000,"Hight",J631&gt;2000,"Medium",TRUE,"Low")</f>
        <v>Medium</v>
      </c>
      <c r="M631" t="str" cm="1">
        <f t="array" ref="M631">_xlfn.IFS(I631&lt;12,"Low-Term",I631&gt;=36,"Long-Term",TRUE,"Medium-Term")</f>
        <v>Medium-Term</v>
      </c>
      <c r="N631" t="str" cm="1">
        <f t="array" ref="N631">_xlfn.IFS(A631="Bad", "Review Required", AND(A631="Good",J631&gt;7000),"VIP Client", AND(A631="Good", J631&lt;=7000),"Standart Client")</f>
        <v>Standart Client</v>
      </c>
    </row>
    <row r="632" spans="1:14" x14ac:dyDescent="0.3">
      <c r="A632" t="s">
        <v>34</v>
      </c>
      <c r="B632" t="s">
        <v>78</v>
      </c>
      <c r="C632" t="s">
        <v>87</v>
      </c>
      <c r="D632" t="s">
        <v>99</v>
      </c>
      <c r="E632" t="s">
        <v>124</v>
      </c>
      <c r="F632" t="s">
        <v>125</v>
      </c>
      <c r="G632" t="s">
        <v>115</v>
      </c>
      <c r="H632" t="s">
        <v>120</v>
      </c>
      <c r="I632">
        <v>24</v>
      </c>
      <c r="J632" s="11">
        <v>2679</v>
      </c>
      <c r="K632">
        <v>29</v>
      </c>
      <c r="L632" t="str" cm="1">
        <f t="array" ref="L632">_xlfn.IFS(J632&gt;5000,"Hight",J632&gt;2000,"Medium",TRUE,"Low")</f>
        <v>Medium</v>
      </c>
      <c r="M632" t="str" cm="1">
        <f t="array" ref="M632">_xlfn.IFS(I632&lt;12,"Low-Term",I632&gt;=36,"Long-Term",TRUE,"Medium-Term")</f>
        <v>Medium-Term</v>
      </c>
      <c r="N632" t="str" cm="1">
        <f t="array" ref="N632">_xlfn.IFS(A632="Bad", "Review Required", AND(A632="Good",J632&gt;7000),"VIP Client", AND(A632="Good", J632&lt;=7000),"Standart Client")</f>
        <v>Standart Client</v>
      </c>
    </row>
    <row r="633" spans="1:14" x14ac:dyDescent="0.3">
      <c r="A633" t="s">
        <v>34</v>
      </c>
      <c r="B633" t="s">
        <v>80</v>
      </c>
      <c r="C633" t="s">
        <v>86</v>
      </c>
      <c r="D633" t="s">
        <v>99</v>
      </c>
      <c r="E633" t="s">
        <v>122</v>
      </c>
      <c r="F633" t="s">
        <v>123</v>
      </c>
      <c r="G633" t="s">
        <v>114</v>
      </c>
      <c r="H633" t="s">
        <v>119</v>
      </c>
      <c r="I633">
        <v>11</v>
      </c>
      <c r="J633" s="11">
        <v>3905</v>
      </c>
      <c r="K633">
        <v>36</v>
      </c>
      <c r="L633" t="str" cm="1">
        <f t="array" ref="L633">_xlfn.IFS(J633&gt;5000,"Hight",J633&gt;2000,"Medium",TRUE,"Low")</f>
        <v>Medium</v>
      </c>
      <c r="M633" t="str" cm="1">
        <f t="array" ref="M633">_xlfn.IFS(I633&lt;12,"Low-Term",I633&gt;=36,"Long-Term",TRUE,"Medium-Term")</f>
        <v>Low-Term</v>
      </c>
      <c r="N633" t="str" cm="1">
        <f t="array" ref="N633">_xlfn.IFS(A633="Bad", "Review Required", AND(A633="Good",J633&gt;7000),"VIP Client", AND(A633="Good", J633&lt;=7000),"Standart Client")</f>
        <v>Standart Client</v>
      </c>
    </row>
    <row r="634" spans="1:14" x14ac:dyDescent="0.3">
      <c r="A634" t="s">
        <v>34</v>
      </c>
      <c r="B634" t="s">
        <v>80</v>
      </c>
      <c r="C634" t="s">
        <v>90</v>
      </c>
      <c r="D634" t="s">
        <v>99</v>
      </c>
      <c r="E634" t="s">
        <v>124</v>
      </c>
      <c r="F634" t="s">
        <v>125</v>
      </c>
      <c r="G634" t="s">
        <v>114</v>
      </c>
      <c r="H634" t="s">
        <v>120</v>
      </c>
      <c r="I634">
        <v>6</v>
      </c>
      <c r="J634" s="11">
        <v>343</v>
      </c>
      <c r="K634">
        <v>27</v>
      </c>
      <c r="L634" t="str" cm="1">
        <f t="array" ref="L634">_xlfn.IFS(J634&gt;5000,"Hight",J634&gt;2000,"Medium",TRUE,"Low")</f>
        <v>Low</v>
      </c>
      <c r="M634" t="str" cm="1">
        <f t="array" ref="M634">_xlfn.IFS(I634&lt;12,"Low-Term",I634&gt;=36,"Long-Term",TRUE,"Medium-Term")</f>
        <v>Low-Term</v>
      </c>
      <c r="N634" t="str" cm="1">
        <f t="array" ref="N634">_xlfn.IFS(A634="Bad", "Review Required", AND(A634="Good",J634&gt;7000),"VIP Client", AND(A634="Good", J634&lt;=7000),"Standart Client")</f>
        <v>Standart Client</v>
      </c>
    </row>
    <row r="635" spans="1:14" x14ac:dyDescent="0.3">
      <c r="A635" t="s">
        <v>34</v>
      </c>
      <c r="B635" t="s">
        <v>78</v>
      </c>
      <c r="C635" t="s">
        <v>89</v>
      </c>
      <c r="D635" t="s">
        <v>99</v>
      </c>
      <c r="E635" t="s">
        <v>122</v>
      </c>
      <c r="F635" t="s">
        <v>123</v>
      </c>
      <c r="G635" t="s">
        <v>114</v>
      </c>
      <c r="H635" t="s">
        <v>120</v>
      </c>
      <c r="I635">
        <v>18</v>
      </c>
      <c r="J635" s="11">
        <v>4594</v>
      </c>
      <c r="K635">
        <v>32</v>
      </c>
      <c r="L635" t="str" cm="1">
        <f t="array" ref="L635">_xlfn.IFS(J635&gt;5000,"Hight",J635&gt;2000,"Medium",TRUE,"Low")</f>
        <v>Medium</v>
      </c>
      <c r="M635" t="str" cm="1">
        <f t="array" ref="M635">_xlfn.IFS(I635&lt;12,"Low-Term",I635&gt;=36,"Long-Term",TRUE,"Medium-Term")</f>
        <v>Medium-Term</v>
      </c>
      <c r="N635" t="str" cm="1">
        <f t="array" ref="N635">_xlfn.IFS(A635="Bad", "Review Required", AND(A635="Good",J635&gt;7000),"VIP Client", AND(A635="Good", J635&lt;=7000),"Standart Client")</f>
        <v>Standart Client</v>
      </c>
    </row>
    <row r="636" spans="1:14" x14ac:dyDescent="0.3">
      <c r="A636" t="s">
        <v>34</v>
      </c>
      <c r="B636" t="s">
        <v>80</v>
      </c>
      <c r="C636" t="s">
        <v>88</v>
      </c>
      <c r="D636" t="s">
        <v>99</v>
      </c>
      <c r="E636" t="s">
        <v>122</v>
      </c>
      <c r="F636" t="s">
        <v>123</v>
      </c>
      <c r="G636" t="s">
        <v>114</v>
      </c>
      <c r="H636" t="s">
        <v>120</v>
      </c>
      <c r="I636">
        <v>36</v>
      </c>
      <c r="J636" s="11">
        <v>3620</v>
      </c>
      <c r="K636">
        <v>37</v>
      </c>
      <c r="L636" t="str" cm="1">
        <f t="array" ref="L636">_xlfn.IFS(J636&gt;5000,"Hight",J636&gt;2000,"Medium",TRUE,"Low")</f>
        <v>Medium</v>
      </c>
      <c r="M636" t="str" cm="1">
        <f t="array" ref="M636">_xlfn.IFS(I636&lt;12,"Low-Term",I636&gt;=36,"Long-Term",TRUE,"Medium-Term")</f>
        <v>Long-Term</v>
      </c>
      <c r="N636" t="str" cm="1">
        <f t="array" ref="N636">_xlfn.IFS(A636="Bad", "Review Required", AND(A636="Good",J636&gt;7000),"VIP Client", AND(A636="Good", J636&lt;=7000),"Standart Client")</f>
        <v>Standart Client</v>
      </c>
    </row>
    <row r="637" spans="1:14" x14ac:dyDescent="0.3">
      <c r="A637" t="s">
        <v>34</v>
      </c>
      <c r="B637" t="s">
        <v>80</v>
      </c>
      <c r="C637" t="s">
        <v>86</v>
      </c>
      <c r="D637" t="s">
        <v>99</v>
      </c>
      <c r="E637" t="s">
        <v>122</v>
      </c>
      <c r="F637" t="s">
        <v>123</v>
      </c>
      <c r="G637" t="s">
        <v>114</v>
      </c>
      <c r="H637" t="s">
        <v>120</v>
      </c>
      <c r="I637">
        <v>15</v>
      </c>
      <c r="J637" s="11">
        <v>1721</v>
      </c>
      <c r="K637">
        <v>36</v>
      </c>
      <c r="L637" t="str" cm="1">
        <f t="array" ref="L637">_xlfn.IFS(J637&gt;5000,"Hight",J637&gt;2000,"Medium",TRUE,"Low")</f>
        <v>Low</v>
      </c>
      <c r="M637" t="str" cm="1">
        <f t="array" ref="M637">_xlfn.IFS(I637&lt;12,"Low-Term",I637&gt;=36,"Long-Term",TRUE,"Medium-Term")</f>
        <v>Medium-Term</v>
      </c>
      <c r="N637" t="str" cm="1">
        <f t="array" ref="N637">_xlfn.IFS(A637="Bad", "Review Required", AND(A637="Good",J637&gt;7000),"VIP Client", AND(A637="Good", J637&lt;=7000),"Standart Client")</f>
        <v>Standart Client</v>
      </c>
    </row>
    <row r="638" spans="1:14" x14ac:dyDescent="0.3">
      <c r="A638" t="s">
        <v>34</v>
      </c>
      <c r="B638" t="s">
        <v>77</v>
      </c>
      <c r="C638" t="s">
        <v>88</v>
      </c>
      <c r="D638" t="s">
        <v>99</v>
      </c>
      <c r="E638" t="s">
        <v>124</v>
      </c>
      <c r="F638" t="s">
        <v>125</v>
      </c>
      <c r="G638" t="s">
        <v>115</v>
      </c>
      <c r="H638" t="s">
        <v>119</v>
      </c>
      <c r="I638">
        <v>12</v>
      </c>
      <c r="J638" s="11">
        <v>3017</v>
      </c>
      <c r="K638">
        <v>34</v>
      </c>
      <c r="L638" t="str" cm="1">
        <f t="array" ref="L638">_xlfn.IFS(J638&gt;5000,"Hight",J638&gt;2000,"Medium",TRUE,"Low")</f>
        <v>Medium</v>
      </c>
      <c r="M638" t="str" cm="1">
        <f t="array" ref="M638">_xlfn.IFS(I638&lt;12,"Low-Term",I638&gt;=36,"Long-Term",TRUE,"Medium-Term")</f>
        <v>Medium-Term</v>
      </c>
      <c r="N638" t="str" cm="1">
        <f t="array" ref="N638">_xlfn.IFS(A638="Bad", "Review Required", AND(A638="Good",J638&gt;7000),"VIP Client", AND(A638="Good", J638&lt;=7000),"Standart Client")</f>
        <v>Standart Client</v>
      </c>
    </row>
    <row r="639" spans="1:14" x14ac:dyDescent="0.3">
      <c r="A639" t="s">
        <v>34</v>
      </c>
      <c r="B639" t="s">
        <v>77</v>
      </c>
      <c r="C639" t="s">
        <v>93</v>
      </c>
      <c r="D639" t="s">
        <v>78</v>
      </c>
      <c r="E639" t="s">
        <v>122</v>
      </c>
      <c r="F639" t="s">
        <v>123</v>
      </c>
      <c r="G639" t="s">
        <v>114</v>
      </c>
      <c r="H639" t="s">
        <v>120</v>
      </c>
      <c r="I639">
        <v>12</v>
      </c>
      <c r="J639" s="11">
        <v>754</v>
      </c>
      <c r="K639">
        <v>38</v>
      </c>
      <c r="L639" t="str" cm="1">
        <f t="array" ref="L639">_xlfn.IFS(J639&gt;5000,"Hight",J639&gt;2000,"Medium",TRUE,"Low")</f>
        <v>Low</v>
      </c>
      <c r="M639" t="str" cm="1">
        <f t="array" ref="M639">_xlfn.IFS(I639&lt;12,"Low-Term",I639&gt;=36,"Long-Term",TRUE,"Medium-Term")</f>
        <v>Medium-Term</v>
      </c>
      <c r="N639" t="str" cm="1">
        <f t="array" ref="N639">_xlfn.IFS(A639="Bad", "Review Required", AND(A639="Good",J639&gt;7000),"VIP Client", AND(A639="Good", J639&lt;=7000),"Standart Client")</f>
        <v>Standart Client</v>
      </c>
    </row>
    <row r="640" spans="1:14" x14ac:dyDescent="0.3">
      <c r="A640" t="s">
        <v>34</v>
      </c>
      <c r="B640" t="s">
        <v>78</v>
      </c>
      <c r="C640" t="s">
        <v>94</v>
      </c>
      <c r="D640" t="s">
        <v>99</v>
      </c>
      <c r="E640" t="s">
        <v>122</v>
      </c>
      <c r="F640" t="s">
        <v>123</v>
      </c>
      <c r="G640" t="s">
        <v>114</v>
      </c>
      <c r="H640" t="s">
        <v>120</v>
      </c>
      <c r="I640">
        <v>18</v>
      </c>
      <c r="J640" s="11">
        <v>1950</v>
      </c>
      <c r="K640">
        <v>34</v>
      </c>
      <c r="L640" t="str" cm="1">
        <f t="array" ref="L640">_xlfn.IFS(J640&gt;5000,"Hight",J640&gt;2000,"Medium",TRUE,"Low")</f>
        <v>Low</v>
      </c>
      <c r="M640" t="str" cm="1">
        <f t="array" ref="M640">_xlfn.IFS(I640&lt;12,"Low-Term",I640&gt;=36,"Long-Term",TRUE,"Medium-Term")</f>
        <v>Medium-Term</v>
      </c>
      <c r="N640" t="str" cm="1">
        <f t="array" ref="N640">_xlfn.IFS(A640="Bad", "Review Required", AND(A640="Good",J640&gt;7000),"VIP Client", AND(A640="Good", J640&lt;=7000),"Standart Client")</f>
        <v>Standart Client</v>
      </c>
    </row>
    <row r="641" spans="1:14" x14ac:dyDescent="0.3">
      <c r="A641" t="s">
        <v>34</v>
      </c>
      <c r="B641" t="s">
        <v>80</v>
      </c>
      <c r="C641" t="s">
        <v>87</v>
      </c>
      <c r="D641" t="s">
        <v>99</v>
      </c>
      <c r="E641" t="s">
        <v>122</v>
      </c>
      <c r="F641" t="s">
        <v>123</v>
      </c>
      <c r="G641" t="s">
        <v>114</v>
      </c>
      <c r="H641" t="s">
        <v>120</v>
      </c>
      <c r="I641">
        <v>24</v>
      </c>
      <c r="J641" s="11">
        <v>2924</v>
      </c>
      <c r="K641">
        <v>63</v>
      </c>
      <c r="L641" t="str" cm="1">
        <f t="array" ref="L641">_xlfn.IFS(J641&gt;5000,"Hight",J641&gt;2000,"Medium",TRUE,"Low")</f>
        <v>Medium</v>
      </c>
      <c r="M641" t="str" cm="1">
        <f t="array" ref="M641">_xlfn.IFS(I641&lt;12,"Low-Term",I641&gt;=36,"Long-Term",TRUE,"Medium-Term")</f>
        <v>Medium-Term</v>
      </c>
      <c r="N641" t="str" cm="1">
        <f t="array" ref="N641">_xlfn.IFS(A641="Bad", "Review Required", AND(A641="Good",J641&gt;7000),"VIP Client", AND(A641="Good", J641&lt;=7000),"Standart Client")</f>
        <v>Standart Client</v>
      </c>
    </row>
    <row r="642" spans="1:14" x14ac:dyDescent="0.3">
      <c r="A642" t="s">
        <v>34</v>
      </c>
      <c r="B642" t="s">
        <v>78</v>
      </c>
      <c r="C642" t="s">
        <v>89</v>
      </c>
      <c r="D642" t="s">
        <v>78</v>
      </c>
      <c r="E642" t="s">
        <v>122</v>
      </c>
      <c r="F642" t="s">
        <v>123</v>
      </c>
      <c r="G642" t="s">
        <v>114</v>
      </c>
      <c r="H642" t="s">
        <v>120</v>
      </c>
      <c r="I642">
        <v>48</v>
      </c>
      <c r="J642" s="11">
        <v>7238</v>
      </c>
      <c r="K642">
        <v>32</v>
      </c>
      <c r="L642" t="str" cm="1">
        <f t="array" ref="L642">_xlfn.IFS(J642&gt;5000,"Hight",J642&gt;2000,"Medium",TRUE,"Low")</f>
        <v>Hight</v>
      </c>
      <c r="M642" t="str" cm="1">
        <f t="array" ref="M642">_xlfn.IFS(I642&lt;12,"Low-Term",I642&gt;=36,"Long-Term",TRUE,"Medium-Term")</f>
        <v>Long-Term</v>
      </c>
      <c r="N642" t="str" cm="1">
        <f t="array" ref="N642">_xlfn.IFS(A642="Bad", "Review Required", AND(A642="Good",J642&gt;7000),"VIP Client", AND(A642="Good", J642&lt;=7000),"Standart Client")</f>
        <v>VIP Client</v>
      </c>
    </row>
    <row r="643" spans="1:14" x14ac:dyDescent="0.3">
      <c r="A643" t="s">
        <v>34</v>
      </c>
      <c r="B643" t="s">
        <v>78</v>
      </c>
      <c r="C643" t="s">
        <v>94</v>
      </c>
      <c r="D643" t="s">
        <v>99</v>
      </c>
      <c r="E643" t="s">
        <v>124</v>
      </c>
      <c r="F643" t="s">
        <v>125</v>
      </c>
      <c r="G643" t="s">
        <v>114</v>
      </c>
      <c r="H643" t="s">
        <v>120</v>
      </c>
      <c r="I643">
        <v>33</v>
      </c>
      <c r="J643" s="11">
        <v>2764</v>
      </c>
      <c r="K643">
        <v>26</v>
      </c>
      <c r="L643" t="str" cm="1">
        <f t="array" ref="L643">_xlfn.IFS(J643&gt;5000,"Hight",J643&gt;2000,"Medium",TRUE,"Low")</f>
        <v>Medium</v>
      </c>
      <c r="M643" t="str" cm="1">
        <f t="array" ref="M643">_xlfn.IFS(I643&lt;12,"Low-Term",I643&gt;=36,"Long-Term",TRUE,"Medium-Term")</f>
        <v>Medium-Term</v>
      </c>
      <c r="N643" t="str" cm="1">
        <f t="array" ref="N643">_xlfn.IFS(A643="Bad", "Review Required", AND(A643="Good",J643&gt;7000),"VIP Client", AND(A643="Good", J643&lt;=7000),"Standart Client")</f>
        <v>Standart Client</v>
      </c>
    </row>
    <row r="644" spans="1:14" x14ac:dyDescent="0.3">
      <c r="A644" t="s">
        <v>34</v>
      </c>
      <c r="B644" t="s">
        <v>78</v>
      </c>
      <c r="C644" t="s">
        <v>87</v>
      </c>
      <c r="D644" t="s">
        <v>99</v>
      </c>
      <c r="E644" t="s">
        <v>122</v>
      </c>
      <c r="F644" t="s">
        <v>123</v>
      </c>
      <c r="G644" t="s">
        <v>113</v>
      </c>
      <c r="H644" t="s">
        <v>120</v>
      </c>
      <c r="I644">
        <v>24</v>
      </c>
      <c r="J644" s="11">
        <v>4679</v>
      </c>
      <c r="K644">
        <v>35</v>
      </c>
      <c r="L644" t="str" cm="1">
        <f t="array" ref="L644">_xlfn.IFS(J644&gt;5000,"Hight",J644&gt;2000,"Medium",TRUE,"Low")</f>
        <v>Medium</v>
      </c>
      <c r="M644" t="str" cm="1">
        <f t="array" ref="M644">_xlfn.IFS(I644&lt;12,"Low-Term",I644&gt;=36,"Long-Term",TRUE,"Medium-Term")</f>
        <v>Medium-Term</v>
      </c>
      <c r="N644" t="str" cm="1">
        <f t="array" ref="N644">_xlfn.IFS(A644="Bad", "Review Required", AND(A644="Good",J644&gt;7000),"VIP Client", AND(A644="Good", J644&lt;=7000),"Standart Client")</f>
        <v>Standart Client</v>
      </c>
    </row>
    <row r="645" spans="1:14" x14ac:dyDescent="0.3">
      <c r="A645" t="s">
        <v>34</v>
      </c>
      <c r="B645" t="s">
        <v>78</v>
      </c>
      <c r="C645" t="s">
        <v>93</v>
      </c>
      <c r="D645" t="s">
        <v>78</v>
      </c>
      <c r="E645" t="s">
        <v>122</v>
      </c>
      <c r="F645" t="s">
        <v>123</v>
      </c>
      <c r="G645" t="s">
        <v>115</v>
      </c>
      <c r="H645" t="s">
        <v>120</v>
      </c>
      <c r="I645">
        <v>6</v>
      </c>
      <c r="J645" s="11">
        <v>1238</v>
      </c>
      <c r="K645">
        <v>36</v>
      </c>
      <c r="L645" t="str" cm="1">
        <f t="array" ref="L645">_xlfn.IFS(J645&gt;5000,"Hight",J645&gt;2000,"Medium",TRUE,"Low")</f>
        <v>Low</v>
      </c>
      <c r="M645" t="str" cm="1">
        <f t="array" ref="M645">_xlfn.IFS(I645&lt;12,"Low-Term",I645&gt;=36,"Long-Term",TRUE,"Medium-Term")</f>
        <v>Low-Term</v>
      </c>
      <c r="N645" t="str" cm="1">
        <f t="array" ref="N645">_xlfn.IFS(A645="Bad", "Review Required", AND(A645="Good",J645&gt;7000),"VIP Client", AND(A645="Good", J645&lt;=7000),"Standart Client")</f>
        <v>Standart Client</v>
      </c>
    </row>
    <row r="646" spans="1:14" x14ac:dyDescent="0.3">
      <c r="A646" t="s">
        <v>34</v>
      </c>
      <c r="B646" t="s">
        <v>78</v>
      </c>
      <c r="C646" t="s">
        <v>87</v>
      </c>
      <c r="D646" t="s">
        <v>101</v>
      </c>
      <c r="E646" t="s">
        <v>122</v>
      </c>
      <c r="F646" t="s">
        <v>123</v>
      </c>
      <c r="G646" t="s">
        <v>114</v>
      </c>
      <c r="H646" t="s">
        <v>120</v>
      </c>
      <c r="I646">
        <v>39</v>
      </c>
      <c r="J646" s="11">
        <v>2569</v>
      </c>
      <c r="K646">
        <v>24</v>
      </c>
      <c r="L646" t="str" cm="1">
        <f t="array" ref="L646">_xlfn.IFS(J646&gt;5000,"Hight",J646&gt;2000,"Medium",TRUE,"Low")</f>
        <v>Medium</v>
      </c>
      <c r="M646" t="str" cm="1">
        <f t="array" ref="M646">_xlfn.IFS(I646&lt;12,"Low-Term",I646&gt;=36,"Long-Term",TRUE,"Medium-Term")</f>
        <v>Long-Term</v>
      </c>
      <c r="N646" t="str" cm="1">
        <f t="array" ref="N646">_xlfn.IFS(A646="Bad", "Review Required", AND(A646="Good",J646&gt;7000),"VIP Client", AND(A646="Good", J646&lt;=7000),"Standart Client")</f>
        <v>Standart Client</v>
      </c>
    </row>
    <row r="647" spans="1:14" x14ac:dyDescent="0.3">
      <c r="A647" t="s">
        <v>34</v>
      </c>
      <c r="B647" t="s">
        <v>81</v>
      </c>
      <c r="C647" t="s">
        <v>89</v>
      </c>
      <c r="D647" t="s">
        <v>99</v>
      </c>
      <c r="E647" t="s">
        <v>122</v>
      </c>
      <c r="F647" t="s">
        <v>123</v>
      </c>
      <c r="G647" t="s">
        <v>114</v>
      </c>
      <c r="H647" t="s">
        <v>120</v>
      </c>
      <c r="I647">
        <v>24</v>
      </c>
      <c r="J647" s="11">
        <v>5152</v>
      </c>
      <c r="K647">
        <v>25</v>
      </c>
      <c r="L647" t="str" cm="1">
        <f t="array" ref="L647">_xlfn.IFS(J647&gt;5000,"Hight",J647&gt;2000,"Medium",TRUE,"Low")</f>
        <v>Hight</v>
      </c>
      <c r="M647" t="str" cm="1">
        <f t="array" ref="M647">_xlfn.IFS(I647&lt;12,"Low-Term",I647&gt;=36,"Long-Term",TRUE,"Medium-Term")</f>
        <v>Medium-Term</v>
      </c>
      <c r="N647" t="str" cm="1">
        <f t="array" ref="N647">_xlfn.IFS(A647="Bad", "Review Required", AND(A647="Good",J647&gt;7000),"VIP Client", AND(A647="Good", J647&lt;=7000),"Standart Client")</f>
        <v>Standart Client</v>
      </c>
    </row>
    <row r="648" spans="1:14" x14ac:dyDescent="0.3">
      <c r="A648" t="s">
        <v>34</v>
      </c>
      <c r="B648" t="s">
        <v>77</v>
      </c>
      <c r="C648" t="s">
        <v>94</v>
      </c>
      <c r="D648" t="s">
        <v>100</v>
      </c>
      <c r="E648" t="s">
        <v>122</v>
      </c>
      <c r="F648" t="s">
        <v>123</v>
      </c>
      <c r="G648" t="s">
        <v>113</v>
      </c>
      <c r="H648" t="s">
        <v>120</v>
      </c>
      <c r="I648">
        <v>12</v>
      </c>
      <c r="J648" s="11">
        <v>1037</v>
      </c>
      <c r="K648">
        <v>39</v>
      </c>
      <c r="L648" t="str" cm="1">
        <f t="array" ref="L648">_xlfn.IFS(J648&gt;5000,"Hight",J648&gt;2000,"Medium",TRUE,"Low")</f>
        <v>Low</v>
      </c>
      <c r="M648" t="str" cm="1">
        <f t="array" ref="M648">_xlfn.IFS(I648&lt;12,"Low-Term",I648&gt;=36,"Long-Term",TRUE,"Medium-Term")</f>
        <v>Medium-Term</v>
      </c>
      <c r="N648" t="str" cm="1">
        <f t="array" ref="N648">_xlfn.IFS(A648="Bad", "Review Required", AND(A648="Good",J648&gt;7000),"VIP Client", AND(A648="Good", J648&lt;=7000),"Standart Client")</f>
        <v>Standart Client</v>
      </c>
    </row>
    <row r="649" spans="1:14" x14ac:dyDescent="0.3">
      <c r="A649" t="s">
        <v>34</v>
      </c>
      <c r="B649" t="s">
        <v>80</v>
      </c>
      <c r="C649" t="s">
        <v>88</v>
      </c>
      <c r="D649" t="s">
        <v>99</v>
      </c>
      <c r="E649" t="s">
        <v>122</v>
      </c>
      <c r="F649" t="s">
        <v>123</v>
      </c>
      <c r="G649" t="s">
        <v>114</v>
      </c>
      <c r="H649" t="s">
        <v>120</v>
      </c>
      <c r="I649">
        <v>15</v>
      </c>
      <c r="J649" s="11">
        <v>1478</v>
      </c>
      <c r="K649">
        <v>44</v>
      </c>
      <c r="L649" t="str" cm="1">
        <f t="array" ref="L649">_xlfn.IFS(J649&gt;5000,"Hight",J649&gt;2000,"Medium",TRUE,"Low")</f>
        <v>Low</v>
      </c>
      <c r="M649" t="str" cm="1">
        <f t="array" ref="M649">_xlfn.IFS(I649&lt;12,"Low-Term",I649&gt;=36,"Long-Term",TRUE,"Medium-Term")</f>
        <v>Medium-Term</v>
      </c>
      <c r="N649" t="str" cm="1">
        <f t="array" ref="N649">_xlfn.IFS(A649="Bad", "Review Required", AND(A649="Good",J649&gt;7000),"VIP Client", AND(A649="Good", J649&lt;=7000),"Standart Client")</f>
        <v>Standart Client</v>
      </c>
    </row>
    <row r="650" spans="1:14" x14ac:dyDescent="0.3">
      <c r="A650" t="s">
        <v>34</v>
      </c>
      <c r="B650" t="s">
        <v>77</v>
      </c>
      <c r="C650" t="s">
        <v>89</v>
      </c>
      <c r="D650" t="s">
        <v>99</v>
      </c>
      <c r="E650" t="s">
        <v>124</v>
      </c>
      <c r="F650" t="s">
        <v>125</v>
      </c>
      <c r="G650" t="s">
        <v>113</v>
      </c>
      <c r="H650" t="s">
        <v>120</v>
      </c>
      <c r="I650">
        <v>12</v>
      </c>
      <c r="J650" s="11">
        <v>3573</v>
      </c>
      <c r="K650">
        <v>23</v>
      </c>
      <c r="L650" t="str" cm="1">
        <f t="array" ref="L650">_xlfn.IFS(J650&gt;5000,"Hight",J650&gt;2000,"Medium",TRUE,"Low")</f>
        <v>Medium</v>
      </c>
      <c r="M650" t="str" cm="1">
        <f t="array" ref="M650">_xlfn.IFS(I650&lt;12,"Low-Term",I650&gt;=36,"Long-Term",TRUE,"Medium-Term")</f>
        <v>Medium-Term</v>
      </c>
      <c r="N650" t="str" cm="1">
        <f t="array" ref="N650">_xlfn.IFS(A650="Bad", "Review Required", AND(A650="Good",J650&gt;7000),"VIP Client", AND(A650="Good", J650&lt;=7000),"Standart Client")</f>
        <v>Standart Client</v>
      </c>
    </row>
    <row r="651" spans="1:14" x14ac:dyDescent="0.3">
      <c r="A651" t="s">
        <v>34</v>
      </c>
      <c r="B651" t="s">
        <v>77</v>
      </c>
      <c r="C651" t="s">
        <v>86</v>
      </c>
      <c r="D651" t="s">
        <v>99</v>
      </c>
      <c r="E651" t="s">
        <v>122</v>
      </c>
      <c r="F651" t="s">
        <v>123</v>
      </c>
      <c r="G651" t="s">
        <v>114</v>
      </c>
      <c r="H651" t="s">
        <v>120</v>
      </c>
      <c r="I651">
        <v>24</v>
      </c>
      <c r="J651" s="11">
        <v>1201</v>
      </c>
      <c r="K651">
        <v>26</v>
      </c>
      <c r="L651" t="str" cm="1">
        <f t="array" ref="L651">_xlfn.IFS(J651&gt;5000,"Hight",J651&gt;2000,"Medium",TRUE,"Low")</f>
        <v>Low</v>
      </c>
      <c r="M651" t="str" cm="1">
        <f t="array" ref="M651">_xlfn.IFS(I651&lt;12,"Low-Term",I651&gt;=36,"Long-Term",TRUE,"Medium-Term")</f>
        <v>Medium-Term</v>
      </c>
      <c r="N651" t="str" cm="1">
        <f t="array" ref="N651">_xlfn.IFS(A651="Bad", "Review Required", AND(A651="Good",J651&gt;7000),"VIP Client", AND(A651="Good", J651&lt;=7000),"Standart Client")</f>
        <v>Standart Client</v>
      </c>
    </row>
    <row r="652" spans="1:14" x14ac:dyDescent="0.3">
      <c r="A652" t="s">
        <v>34</v>
      </c>
      <c r="B652" t="s">
        <v>80</v>
      </c>
      <c r="C652" t="s">
        <v>88</v>
      </c>
      <c r="D652" t="s">
        <v>102</v>
      </c>
      <c r="E652" t="s">
        <v>124</v>
      </c>
      <c r="F652" t="s">
        <v>125</v>
      </c>
      <c r="G652" t="s">
        <v>114</v>
      </c>
      <c r="H652" t="s">
        <v>119</v>
      </c>
      <c r="I652">
        <v>30</v>
      </c>
      <c r="J652" s="11">
        <v>3622</v>
      </c>
      <c r="K652">
        <v>57</v>
      </c>
      <c r="L652" t="str" cm="1">
        <f t="array" ref="L652">_xlfn.IFS(J652&gt;5000,"Hight",J652&gt;2000,"Medium",TRUE,"Low")</f>
        <v>Medium</v>
      </c>
      <c r="M652" t="str" cm="1">
        <f t="array" ref="M652">_xlfn.IFS(I652&lt;12,"Low-Term",I652&gt;=36,"Long-Term",TRUE,"Medium-Term")</f>
        <v>Medium-Term</v>
      </c>
      <c r="N652" t="str" cm="1">
        <f t="array" ref="N652">_xlfn.IFS(A652="Bad", "Review Required", AND(A652="Good",J652&gt;7000),"VIP Client", AND(A652="Good", J652&lt;=7000),"Standart Client")</f>
        <v>Standart Client</v>
      </c>
    </row>
    <row r="653" spans="1:14" x14ac:dyDescent="0.3">
      <c r="A653" t="s">
        <v>34</v>
      </c>
      <c r="B653" t="s">
        <v>78</v>
      </c>
      <c r="C653" t="s">
        <v>88</v>
      </c>
      <c r="D653" t="s">
        <v>102</v>
      </c>
      <c r="E653" t="s">
        <v>124</v>
      </c>
      <c r="F653" t="s">
        <v>125</v>
      </c>
      <c r="G653" t="s">
        <v>114</v>
      </c>
      <c r="H653" t="s">
        <v>120</v>
      </c>
      <c r="I653">
        <v>15</v>
      </c>
      <c r="J653" s="11">
        <v>960</v>
      </c>
      <c r="K653">
        <v>30</v>
      </c>
      <c r="L653" t="str" cm="1">
        <f t="array" ref="L653">_xlfn.IFS(J653&gt;5000,"Hight",J653&gt;2000,"Medium",TRUE,"Low")</f>
        <v>Low</v>
      </c>
      <c r="M653" t="str" cm="1">
        <f t="array" ref="M653">_xlfn.IFS(I653&lt;12,"Low-Term",I653&gt;=36,"Long-Term",TRUE,"Medium-Term")</f>
        <v>Medium-Term</v>
      </c>
      <c r="N653" t="str" cm="1">
        <f t="array" ref="N653">_xlfn.IFS(A653="Bad", "Review Required", AND(A653="Good",J653&gt;7000),"VIP Client", AND(A653="Good", J653&lt;=7000),"Standart Client")</f>
        <v>Standart Client</v>
      </c>
    </row>
    <row r="654" spans="1:14" x14ac:dyDescent="0.3">
      <c r="A654" t="s">
        <v>34</v>
      </c>
      <c r="B654" t="s">
        <v>78</v>
      </c>
      <c r="C654" t="s">
        <v>86</v>
      </c>
      <c r="D654" t="s">
        <v>101</v>
      </c>
      <c r="E654" t="s">
        <v>122</v>
      </c>
      <c r="F654" t="s">
        <v>123</v>
      </c>
      <c r="G654" t="s">
        <v>114</v>
      </c>
      <c r="H654" t="s">
        <v>120</v>
      </c>
      <c r="I654">
        <v>12</v>
      </c>
      <c r="J654" s="11">
        <v>1163</v>
      </c>
      <c r="K654">
        <v>44</v>
      </c>
      <c r="L654" t="str" cm="1">
        <f t="array" ref="L654">_xlfn.IFS(J654&gt;5000,"Hight",J654&gt;2000,"Medium",TRUE,"Low")</f>
        <v>Low</v>
      </c>
      <c r="M654" t="str" cm="1">
        <f t="array" ref="M654">_xlfn.IFS(I654&lt;12,"Low-Term",I654&gt;=36,"Long-Term",TRUE,"Medium-Term")</f>
        <v>Medium-Term</v>
      </c>
      <c r="N654" t="str" cm="1">
        <f t="array" ref="N654">_xlfn.IFS(A654="Bad", "Review Required", AND(A654="Good",J654&gt;7000),"VIP Client", AND(A654="Good", J654&lt;=7000),"Standart Client")</f>
        <v>Standart Client</v>
      </c>
    </row>
    <row r="655" spans="1:14" x14ac:dyDescent="0.3">
      <c r="A655" t="s">
        <v>34</v>
      </c>
      <c r="B655" t="s">
        <v>78</v>
      </c>
      <c r="C655" t="s">
        <v>89</v>
      </c>
      <c r="D655" t="s">
        <v>99</v>
      </c>
      <c r="E655" t="s">
        <v>122</v>
      </c>
      <c r="F655" t="s">
        <v>123</v>
      </c>
      <c r="G655" t="s">
        <v>114</v>
      </c>
      <c r="H655" t="s">
        <v>120</v>
      </c>
      <c r="I655">
        <v>12</v>
      </c>
      <c r="J655" s="11">
        <v>3077</v>
      </c>
      <c r="K655">
        <v>52</v>
      </c>
      <c r="L655" t="str" cm="1">
        <f t="array" ref="L655">_xlfn.IFS(J655&gt;5000,"Hight",J655&gt;2000,"Medium",TRUE,"Low")</f>
        <v>Medium</v>
      </c>
      <c r="M655" t="str" cm="1">
        <f t="array" ref="M655">_xlfn.IFS(I655&lt;12,"Low-Term",I655&gt;=36,"Long-Term",TRUE,"Medium-Term")</f>
        <v>Medium-Term</v>
      </c>
      <c r="N655" t="str" cm="1">
        <f t="array" ref="N655">_xlfn.IFS(A655="Bad", "Review Required", AND(A655="Good",J655&gt;7000),"VIP Client", AND(A655="Good", J655&lt;=7000),"Standart Client")</f>
        <v>Standart Client</v>
      </c>
    </row>
    <row r="656" spans="1:14" x14ac:dyDescent="0.3">
      <c r="A656" t="s">
        <v>34</v>
      </c>
      <c r="B656" t="s">
        <v>78</v>
      </c>
      <c r="C656" t="s">
        <v>86</v>
      </c>
      <c r="D656" t="s">
        <v>99</v>
      </c>
      <c r="E656" t="s">
        <v>124</v>
      </c>
      <c r="F656" t="s">
        <v>125</v>
      </c>
      <c r="G656" t="s">
        <v>114</v>
      </c>
      <c r="H656" t="s">
        <v>121</v>
      </c>
      <c r="I656">
        <v>24</v>
      </c>
      <c r="J656" s="11">
        <v>3757</v>
      </c>
      <c r="K656">
        <v>62</v>
      </c>
      <c r="L656" t="str" cm="1">
        <f t="array" ref="L656">_xlfn.IFS(J656&gt;5000,"Hight",J656&gt;2000,"Medium",TRUE,"Low")</f>
        <v>Medium</v>
      </c>
      <c r="M656" t="str" cm="1">
        <f t="array" ref="M656">_xlfn.IFS(I656&lt;12,"Low-Term",I656&gt;=36,"Long-Term",TRUE,"Medium-Term")</f>
        <v>Medium-Term</v>
      </c>
      <c r="N656" t="str" cm="1">
        <f t="array" ref="N656">_xlfn.IFS(A656="Bad", "Review Required", AND(A656="Good",J656&gt;7000),"VIP Client", AND(A656="Good", J656&lt;=7000),"Standart Client")</f>
        <v>Standart Client</v>
      </c>
    </row>
    <row r="657" spans="1:14" x14ac:dyDescent="0.3">
      <c r="A657" t="s">
        <v>34</v>
      </c>
      <c r="B657" t="s">
        <v>78</v>
      </c>
      <c r="C657" t="s">
        <v>86</v>
      </c>
      <c r="D657" t="s">
        <v>100</v>
      </c>
      <c r="E657" t="s">
        <v>122</v>
      </c>
      <c r="F657" t="s">
        <v>123</v>
      </c>
      <c r="G657" t="s">
        <v>113</v>
      </c>
      <c r="H657" t="s">
        <v>119</v>
      </c>
      <c r="I657">
        <v>10</v>
      </c>
      <c r="J657" s="11">
        <v>1418</v>
      </c>
      <c r="K657">
        <v>35</v>
      </c>
      <c r="L657" t="str" cm="1">
        <f t="array" ref="L657">_xlfn.IFS(J657&gt;5000,"Hight",J657&gt;2000,"Medium",TRUE,"Low")</f>
        <v>Low</v>
      </c>
      <c r="M657" t="str" cm="1">
        <f t="array" ref="M657">_xlfn.IFS(I657&lt;12,"Low-Term",I657&gt;=36,"Long-Term",TRUE,"Medium-Term")</f>
        <v>Low-Term</v>
      </c>
      <c r="N657" t="str" cm="1">
        <f t="array" ref="N657">_xlfn.IFS(A657="Bad", "Review Required", AND(A657="Good",J657&gt;7000),"VIP Client", AND(A657="Good", J657&lt;=7000),"Standart Client")</f>
        <v>Standart Client</v>
      </c>
    </row>
    <row r="658" spans="1:14" x14ac:dyDescent="0.3">
      <c r="A658" t="s">
        <v>34</v>
      </c>
      <c r="B658" t="s">
        <v>78</v>
      </c>
      <c r="C658" t="s">
        <v>86</v>
      </c>
      <c r="D658" t="s">
        <v>99</v>
      </c>
      <c r="E658" t="s">
        <v>122</v>
      </c>
      <c r="F658" t="s">
        <v>123</v>
      </c>
      <c r="G658" t="s">
        <v>114</v>
      </c>
      <c r="H658" t="s">
        <v>119</v>
      </c>
      <c r="I658">
        <v>6</v>
      </c>
      <c r="J658" s="11">
        <v>3518</v>
      </c>
      <c r="K658">
        <v>26</v>
      </c>
      <c r="L658" t="str" cm="1">
        <f t="array" ref="L658">_xlfn.IFS(J658&gt;5000,"Hight",J658&gt;2000,"Medium",TRUE,"Low")</f>
        <v>Medium</v>
      </c>
      <c r="M658" t="str" cm="1">
        <f t="array" ref="M658">_xlfn.IFS(I658&lt;12,"Low-Term",I658&gt;=36,"Long-Term",TRUE,"Medium-Term")</f>
        <v>Low-Term</v>
      </c>
      <c r="N658" t="str" cm="1">
        <f t="array" ref="N658">_xlfn.IFS(A658="Bad", "Review Required", AND(A658="Good",J658&gt;7000),"VIP Client", AND(A658="Good", J658&lt;=7000),"Standart Client")</f>
        <v>Standart Client</v>
      </c>
    </row>
    <row r="659" spans="1:14" x14ac:dyDescent="0.3">
      <c r="A659" t="s">
        <v>34</v>
      </c>
      <c r="B659" t="s">
        <v>78</v>
      </c>
      <c r="C659" t="s">
        <v>89</v>
      </c>
      <c r="D659" t="s">
        <v>99</v>
      </c>
      <c r="E659" t="s">
        <v>122</v>
      </c>
      <c r="F659" t="s">
        <v>123</v>
      </c>
      <c r="G659" t="s">
        <v>114</v>
      </c>
      <c r="H659" t="s">
        <v>120</v>
      </c>
      <c r="I659">
        <v>12</v>
      </c>
      <c r="J659" s="11">
        <v>1934</v>
      </c>
      <c r="K659">
        <v>26</v>
      </c>
      <c r="L659" t="str" cm="1">
        <f t="array" ref="L659">_xlfn.IFS(J659&gt;5000,"Hight",J659&gt;2000,"Medium",TRUE,"Low")</f>
        <v>Low</v>
      </c>
      <c r="M659" t="str" cm="1">
        <f t="array" ref="M659">_xlfn.IFS(I659&lt;12,"Low-Term",I659&gt;=36,"Long-Term",TRUE,"Medium-Term")</f>
        <v>Medium-Term</v>
      </c>
      <c r="N659" t="str" cm="1">
        <f t="array" ref="N659">_xlfn.IFS(A659="Bad", "Review Required", AND(A659="Good",J659&gt;7000),"VIP Client", AND(A659="Good", J659&lt;=7000),"Standart Client")</f>
        <v>Standart Client</v>
      </c>
    </row>
    <row r="660" spans="1:14" x14ac:dyDescent="0.3">
      <c r="A660" t="s">
        <v>34</v>
      </c>
      <c r="B660" t="s">
        <v>78</v>
      </c>
      <c r="C660" t="s">
        <v>89</v>
      </c>
      <c r="D660" t="s">
        <v>100</v>
      </c>
      <c r="E660" t="s">
        <v>124</v>
      </c>
      <c r="F660" t="s">
        <v>125</v>
      </c>
      <c r="G660" t="s">
        <v>114</v>
      </c>
      <c r="H660" t="s">
        <v>120</v>
      </c>
      <c r="I660">
        <v>6</v>
      </c>
      <c r="J660" s="11">
        <v>1237</v>
      </c>
      <c r="K660">
        <v>27</v>
      </c>
      <c r="L660" t="str" cm="1">
        <f t="array" ref="L660">_xlfn.IFS(J660&gt;5000,"Hight",J660&gt;2000,"Medium",TRUE,"Low")</f>
        <v>Low</v>
      </c>
      <c r="M660" t="str" cm="1">
        <f t="array" ref="M660">_xlfn.IFS(I660&lt;12,"Low-Term",I660&gt;=36,"Long-Term",TRUE,"Medium-Term")</f>
        <v>Low-Term</v>
      </c>
      <c r="N660" t="str" cm="1">
        <f t="array" ref="N660">_xlfn.IFS(A660="Bad", "Review Required", AND(A660="Good",J660&gt;7000),"VIP Client", AND(A660="Good", J660&lt;=7000),"Standart Client")</f>
        <v>Standart Client</v>
      </c>
    </row>
    <row r="661" spans="1:14" x14ac:dyDescent="0.3">
      <c r="A661" t="s">
        <v>34</v>
      </c>
      <c r="B661" t="s">
        <v>77</v>
      </c>
      <c r="C661" t="s">
        <v>89</v>
      </c>
      <c r="D661" t="s">
        <v>78</v>
      </c>
      <c r="E661" t="s">
        <v>122</v>
      </c>
      <c r="F661" t="s">
        <v>123</v>
      </c>
      <c r="G661" t="s">
        <v>114</v>
      </c>
      <c r="H661" t="s">
        <v>120</v>
      </c>
      <c r="I661">
        <v>6</v>
      </c>
      <c r="J661" s="11">
        <v>368</v>
      </c>
      <c r="K661">
        <v>38</v>
      </c>
      <c r="L661" t="str" cm="1">
        <f t="array" ref="L661">_xlfn.IFS(J661&gt;5000,"Hight",J661&gt;2000,"Medium",TRUE,"Low")</f>
        <v>Low</v>
      </c>
      <c r="M661" t="str" cm="1">
        <f t="array" ref="M661">_xlfn.IFS(I661&lt;12,"Low-Term",I661&gt;=36,"Long-Term",TRUE,"Medium-Term")</f>
        <v>Low-Term</v>
      </c>
      <c r="N661" t="str" cm="1">
        <f t="array" ref="N661">_xlfn.IFS(A661="Bad", "Review Required", AND(A661="Good",J661&gt;7000),"VIP Client", AND(A661="Good", J661&lt;=7000),"Standart Client")</f>
        <v>Standart Client</v>
      </c>
    </row>
    <row r="662" spans="1:14" x14ac:dyDescent="0.3">
      <c r="A662" t="s">
        <v>34</v>
      </c>
      <c r="B662" t="s">
        <v>80</v>
      </c>
      <c r="C662" t="s">
        <v>86</v>
      </c>
      <c r="D662" t="s">
        <v>99</v>
      </c>
      <c r="E662" t="s">
        <v>122</v>
      </c>
      <c r="F662" t="s">
        <v>123</v>
      </c>
      <c r="G662" t="s">
        <v>113</v>
      </c>
      <c r="H662" t="s">
        <v>119</v>
      </c>
      <c r="I662">
        <v>12</v>
      </c>
      <c r="J662" s="11">
        <v>2122</v>
      </c>
      <c r="K662">
        <v>39</v>
      </c>
      <c r="L662" t="str" cm="1">
        <f t="array" ref="L662">_xlfn.IFS(J662&gt;5000,"Hight",J662&gt;2000,"Medium",TRUE,"Low")</f>
        <v>Medium</v>
      </c>
      <c r="M662" t="str" cm="1">
        <f t="array" ref="M662">_xlfn.IFS(I662&lt;12,"Low-Term",I662&gt;=36,"Long-Term",TRUE,"Medium-Term")</f>
        <v>Medium-Term</v>
      </c>
      <c r="N662" t="str" cm="1">
        <f t="array" ref="N662">_xlfn.IFS(A662="Bad", "Review Required", AND(A662="Good",J662&gt;7000),"VIP Client", AND(A662="Good", J662&lt;=7000),"Standart Client")</f>
        <v>Standart Client</v>
      </c>
    </row>
    <row r="663" spans="1:14" x14ac:dyDescent="0.3">
      <c r="A663" t="s">
        <v>34</v>
      </c>
      <c r="B663" t="s">
        <v>78</v>
      </c>
      <c r="C663" t="s">
        <v>88</v>
      </c>
      <c r="D663" t="s">
        <v>99</v>
      </c>
      <c r="E663" t="s">
        <v>122</v>
      </c>
      <c r="F663" t="s">
        <v>123</v>
      </c>
      <c r="G663" t="s">
        <v>114</v>
      </c>
      <c r="H663" t="s">
        <v>120</v>
      </c>
      <c r="I663">
        <v>24</v>
      </c>
      <c r="J663" s="11">
        <v>1585</v>
      </c>
      <c r="K663">
        <v>40</v>
      </c>
      <c r="L663" t="str" cm="1">
        <f t="array" ref="L663">_xlfn.IFS(J663&gt;5000,"Hight",J663&gt;2000,"Medium",TRUE,"Low")</f>
        <v>Low</v>
      </c>
      <c r="M663" t="str" cm="1">
        <f t="array" ref="M663">_xlfn.IFS(I663&lt;12,"Low-Term",I663&gt;=36,"Long-Term",TRUE,"Medium-Term")</f>
        <v>Medium-Term</v>
      </c>
      <c r="N663" t="str" cm="1">
        <f t="array" ref="N663">_xlfn.IFS(A663="Bad", "Review Required", AND(A663="Good",J663&gt;7000),"VIP Client", AND(A663="Good", J663&lt;=7000),"Standart Client")</f>
        <v>Standart Client</v>
      </c>
    </row>
    <row r="664" spans="1:14" x14ac:dyDescent="0.3">
      <c r="A664" t="s">
        <v>34</v>
      </c>
      <c r="B664" t="s">
        <v>77</v>
      </c>
      <c r="C664" t="s">
        <v>89</v>
      </c>
      <c r="D664" t="s">
        <v>99</v>
      </c>
      <c r="E664" t="s">
        <v>122</v>
      </c>
      <c r="F664" t="s">
        <v>127</v>
      </c>
      <c r="G664" t="s">
        <v>113</v>
      </c>
      <c r="H664" t="s">
        <v>120</v>
      </c>
      <c r="I664">
        <v>18</v>
      </c>
      <c r="J664" s="11">
        <v>1301</v>
      </c>
      <c r="K664">
        <v>32</v>
      </c>
      <c r="L664" t="str" cm="1">
        <f t="array" ref="L664">_xlfn.IFS(J664&gt;5000,"Hight",J664&gt;2000,"Medium",TRUE,"Low")</f>
        <v>Low</v>
      </c>
      <c r="M664" t="str" cm="1">
        <f t="array" ref="M664">_xlfn.IFS(I664&lt;12,"Low-Term",I664&gt;=36,"Long-Term",TRUE,"Medium-Term")</f>
        <v>Medium-Term</v>
      </c>
      <c r="N664" t="str" cm="1">
        <f t="array" ref="N664">_xlfn.IFS(A664="Bad", "Review Required", AND(A664="Good",J664&gt;7000),"VIP Client", AND(A664="Good", J664&lt;=7000),"Standart Client")</f>
        <v>Standart Client</v>
      </c>
    </row>
    <row r="665" spans="1:14" x14ac:dyDescent="0.3">
      <c r="A665" t="s">
        <v>34</v>
      </c>
      <c r="B665" t="s">
        <v>81</v>
      </c>
      <c r="C665" t="s">
        <v>86</v>
      </c>
      <c r="D665" t="s">
        <v>100</v>
      </c>
      <c r="E665" t="s">
        <v>122</v>
      </c>
      <c r="F665" t="s">
        <v>126</v>
      </c>
      <c r="G665" t="s">
        <v>114</v>
      </c>
      <c r="H665" t="s">
        <v>120</v>
      </c>
      <c r="I665">
        <v>6</v>
      </c>
      <c r="J665" s="11">
        <v>1323</v>
      </c>
      <c r="K665">
        <v>28</v>
      </c>
      <c r="L665" t="str" cm="1">
        <f t="array" ref="L665">_xlfn.IFS(J665&gt;5000,"Hight",J665&gt;2000,"Medium",TRUE,"Low")</f>
        <v>Low</v>
      </c>
      <c r="M665" t="str" cm="1">
        <f t="array" ref="M665">_xlfn.IFS(I665&lt;12,"Low-Term",I665&gt;=36,"Long-Term",TRUE,"Medium-Term")</f>
        <v>Low-Term</v>
      </c>
      <c r="N665" t="str" cm="1">
        <f t="array" ref="N665">_xlfn.IFS(A665="Bad", "Review Required", AND(A665="Good",J665&gt;7000),"VIP Client", AND(A665="Good", J665&lt;=7000),"Standart Client")</f>
        <v>Standart Client</v>
      </c>
    </row>
    <row r="666" spans="1:14" x14ac:dyDescent="0.3">
      <c r="A666" t="s">
        <v>34</v>
      </c>
      <c r="B666" t="s">
        <v>80</v>
      </c>
      <c r="C666" t="s">
        <v>87</v>
      </c>
      <c r="D666" t="s">
        <v>99</v>
      </c>
      <c r="E666" t="s">
        <v>122</v>
      </c>
      <c r="F666" t="s">
        <v>123</v>
      </c>
      <c r="G666" t="s">
        <v>114</v>
      </c>
      <c r="H666" t="s">
        <v>121</v>
      </c>
      <c r="I666">
        <v>36</v>
      </c>
      <c r="J666" s="11">
        <v>5493</v>
      </c>
      <c r="K666">
        <v>42</v>
      </c>
      <c r="L666" t="str" cm="1">
        <f t="array" ref="L666">_xlfn.IFS(J666&gt;5000,"Hight",J666&gt;2000,"Medium",TRUE,"Low")</f>
        <v>Hight</v>
      </c>
      <c r="M666" t="str" cm="1">
        <f t="array" ref="M666">_xlfn.IFS(I666&lt;12,"Low-Term",I666&gt;=36,"Long-Term",TRUE,"Medium-Term")</f>
        <v>Long-Term</v>
      </c>
      <c r="N666" t="str" cm="1">
        <f t="array" ref="N666">_xlfn.IFS(A666="Bad", "Review Required", AND(A666="Good",J666&gt;7000),"VIP Client", AND(A666="Good", J666&lt;=7000),"Standart Client")</f>
        <v>Standart Client</v>
      </c>
    </row>
    <row r="667" spans="1:14" x14ac:dyDescent="0.3">
      <c r="A667" t="s">
        <v>34</v>
      </c>
      <c r="B667" t="s">
        <v>81</v>
      </c>
      <c r="C667" t="s">
        <v>89</v>
      </c>
      <c r="D667" t="s">
        <v>100</v>
      </c>
      <c r="E667" t="s">
        <v>122</v>
      </c>
      <c r="F667" t="s">
        <v>126</v>
      </c>
      <c r="G667" t="s">
        <v>114</v>
      </c>
      <c r="H667" t="s">
        <v>120</v>
      </c>
      <c r="I667">
        <v>9</v>
      </c>
      <c r="J667" s="11">
        <v>1126</v>
      </c>
      <c r="K667">
        <v>49</v>
      </c>
      <c r="L667" t="str" cm="1">
        <f t="array" ref="L667">_xlfn.IFS(J667&gt;5000,"Hight",J667&gt;2000,"Medium",TRUE,"Low")</f>
        <v>Low</v>
      </c>
      <c r="M667" t="str" cm="1">
        <f t="array" ref="M667">_xlfn.IFS(I667&lt;12,"Low-Term",I667&gt;=36,"Long-Term",TRUE,"Medium-Term")</f>
        <v>Low-Term</v>
      </c>
      <c r="N667" t="str" cm="1">
        <f t="array" ref="N667">_xlfn.IFS(A667="Bad", "Review Required", AND(A667="Good",J667&gt;7000),"VIP Client", AND(A667="Good", J667&lt;=7000),"Standart Client")</f>
        <v>Standart Client</v>
      </c>
    </row>
    <row r="668" spans="1:14" x14ac:dyDescent="0.3">
      <c r="A668" t="s">
        <v>34</v>
      </c>
      <c r="B668" t="s">
        <v>81</v>
      </c>
      <c r="C668" t="s">
        <v>87</v>
      </c>
      <c r="D668" t="s">
        <v>101</v>
      </c>
      <c r="E668" t="s">
        <v>122</v>
      </c>
      <c r="F668" t="s">
        <v>123</v>
      </c>
      <c r="G668" t="s">
        <v>114</v>
      </c>
      <c r="H668" t="s">
        <v>120</v>
      </c>
      <c r="I668">
        <v>15</v>
      </c>
      <c r="J668" s="11">
        <v>2360</v>
      </c>
      <c r="K668">
        <v>36</v>
      </c>
      <c r="L668" t="str" cm="1">
        <f t="array" ref="L668">_xlfn.IFS(J668&gt;5000,"Hight",J668&gt;2000,"Medium",TRUE,"Low")</f>
        <v>Medium</v>
      </c>
      <c r="M668" t="str" cm="1">
        <f t="array" ref="M668">_xlfn.IFS(I668&lt;12,"Low-Term",I668&gt;=36,"Long-Term",TRUE,"Medium-Term")</f>
        <v>Medium-Term</v>
      </c>
      <c r="N668" t="str" cm="1">
        <f t="array" ref="N668">_xlfn.IFS(A668="Bad", "Review Required", AND(A668="Good",J668&gt;7000),"VIP Client", AND(A668="Good", J668&lt;=7000),"Standart Client")</f>
        <v>Standart Client</v>
      </c>
    </row>
    <row r="669" spans="1:14" x14ac:dyDescent="0.3">
      <c r="A669" t="s">
        <v>34</v>
      </c>
      <c r="B669" t="s">
        <v>78</v>
      </c>
      <c r="C669" t="s">
        <v>89</v>
      </c>
      <c r="D669" t="s">
        <v>99</v>
      </c>
      <c r="E669" t="s">
        <v>122</v>
      </c>
      <c r="F669" t="s">
        <v>127</v>
      </c>
      <c r="G669" t="s">
        <v>114</v>
      </c>
      <c r="H669" t="s">
        <v>120</v>
      </c>
      <c r="I669">
        <v>24</v>
      </c>
      <c r="J669" s="11">
        <v>1413</v>
      </c>
      <c r="K669">
        <v>28</v>
      </c>
      <c r="L669" t="str" cm="1">
        <f t="array" ref="L669">_xlfn.IFS(J669&gt;5000,"Hight",J669&gt;2000,"Medium",TRUE,"Low")</f>
        <v>Low</v>
      </c>
      <c r="M669" t="str" cm="1">
        <f t="array" ref="M669">_xlfn.IFS(I669&lt;12,"Low-Term",I669&gt;=36,"Long-Term",TRUE,"Medium-Term")</f>
        <v>Medium-Term</v>
      </c>
      <c r="N669" t="str" cm="1">
        <f t="array" ref="N669">_xlfn.IFS(A669="Bad", "Review Required", AND(A669="Good",J669&gt;7000),"VIP Client", AND(A669="Good", J669&lt;=7000),"Standart Client")</f>
        <v>Standart Client</v>
      </c>
    </row>
    <row r="670" spans="1:14" x14ac:dyDescent="0.3">
      <c r="A670" t="s">
        <v>34</v>
      </c>
      <c r="B670" t="s">
        <v>78</v>
      </c>
      <c r="C670" t="s">
        <v>87</v>
      </c>
      <c r="D670" t="s">
        <v>100</v>
      </c>
      <c r="E670" t="s">
        <v>122</v>
      </c>
      <c r="F670" t="s">
        <v>123</v>
      </c>
      <c r="G670" t="s">
        <v>115</v>
      </c>
      <c r="H670" t="s">
        <v>120</v>
      </c>
      <c r="I670">
        <v>39</v>
      </c>
      <c r="J670" s="11">
        <v>8588</v>
      </c>
      <c r="K670">
        <v>45</v>
      </c>
      <c r="L670" t="str" cm="1">
        <f t="array" ref="L670">_xlfn.IFS(J670&gt;5000,"Hight",J670&gt;2000,"Medium",TRUE,"Low")</f>
        <v>Hight</v>
      </c>
      <c r="M670" t="str" cm="1">
        <f t="array" ref="M670">_xlfn.IFS(I670&lt;12,"Low-Term",I670&gt;=36,"Long-Term",TRUE,"Medium-Term")</f>
        <v>Long-Term</v>
      </c>
      <c r="N670" t="str" cm="1">
        <f t="array" ref="N670">_xlfn.IFS(A670="Bad", "Review Required", AND(A670="Good",J670&gt;7000),"VIP Client", AND(A670="Good", J670&lt;=7000),"Standart Client")</f>
        <v>VIP Client</v>
      </c>
    </row>
    <row r="671" spans="1:14" x14ac:dyDescent="0.3">
      <c r="A671" t="s">
        <v>34</v>
      </c>
      <c r="B671" t="s">
        <v>78</v>
      </c>
      <c r="C671" t="s">
        <v>87</v>
      </c>
      <c r="D671" t="s">
        <v>99</v>
      </c>
      <c r="E671" t="s">
        <v>122</v>
      </c>
      <c r="F671" t="s">
        <v>123</v>
      </c>
      <c r="G671" t="s">
        <v>115</v>
      </c>
      <c r="H671" t="s">
        <v>121</v>
      </c>
      <c r="I671">
        <v>36</v>
      </c>
      <c r="J671" s="11">
        <v>4686</v>
      </c>
      <c r="K671">
        <v>32</v>
      </c>
      <c r="L671" t="str" cm="1">
        <f t="array" ref="L671">_xlfn.IFS(J671&gt;5000,"Hight",J671&gt;2000,"Medium",TRUE,"Low")</f>
        <v>Medium</v>
      </c>
      <c r="M671" t="str" cm="1">
        <f t="array" ref="M671">_xlfn.IFS(I671&lt;12,"Low-Term",I671&gt;=36,"Long-Term",TRUE,"Medium-Term")</f>
        <v>Long-Term</v>
      </c>
      <c r="N671" t="str" cm="1">
        <f t="array" ref="N671">_xlfn.IFS(A671="Bad", "Review Required", AND(A671="Good",J671&gt;7000),"VIP Client", AND(A671="Good", J671&lt;=7000),"Standart Client")</f>
        <v>Standart Client</v>
      </c>
    </row>
    <row r="672" spans="1:14" x14ac:dyDescent="0.3">
      <c r="A672" t="s">
        <v>34</v>
      </c>
      <c r="B672" t="s">
        <v>81</v>
      </c>
      <c r="C672" t="s">
        <v>94</v>
      </c>
      <c r="D672" t="s">
        <v>99</v>
      </c>
      <c r="E672" t="s">
        <v>122</v>
      </c>
      <c r="F672" t="s">
        <v>123</v>
      </c>
      <c r="G672" t="s">
        <v>114</v>
      </c>
      <c r="H672" t="s">
        <v>119</v>
      </c>
      <c r="I672">
        <v>15</v>
      </c>
      <c r="J672" s="11">
        <v>2687</v>
      </c>
      <c r="K672">
        <v>26</v>
      </c>
      <c r="L672" t="str" cm="1">
        <f t="array" ref="L672">_xlfn.IFS(J672&gt;5000,"Hight",J672&gt;2000,"Medium",TRUE,"Low")</f>
        <v>Medium</v>
      </c>
      <c r="M672" t="str" cm="1">
        <f t="array" ref="M672">_xlfn.IFS(I672&lt;12,"Low-Term",I672&gt;=36,"Long-Term",TRUE,"Medium-Term")</f>
        <v>Medium-Term</v>
      </c>
      <c r="N672" t="str" cm="1">
        <f t="array" ref="N672">_xlfn.IFS(A672="Bad", "Review Required", AND(A672="Good",J672&gt;7000),"VIP Client", AND(A672="Good", J672&lt;=7000),"Standart Client")</f>
        <v>Standart Client</v>
      </c>
    </row>
    <row r="673" spans="1:14" x14ac:dyDescent="0.3">
      <c r="A673" t="s">
        <v>34</v>
      </c>
      <c r="B673" t="s">
        <v>77</v>
      </c>
      <c r="C673" t="s">
        <v>89</v>
      </c>
      <c r="D673" t="s">
        <v>99</v>
      </c>
      <c r="E673" t="s">
        <v>122</v>
      </c>
      <c r="F673" t="s">
        <v>127</v>
      </c>
      <c r="G673" t="s">
        <v>114</v>
      </c>
      <c r="H673" t="s">
        <v>119</v>
      </c>
      <c r="I673">
        <v>12</v>
      </c>
      <c r="J673" s="11">
        <v>585</v>
      </c>
      <c r="K673">
        <v>20</v>
      </c>
      <c r="L673" t="str" cm="1">
        <f t="array" ref="L673">_xlfn.IFS(J673&gt;5000,"Hight",J673&gt;2000,"Medium",TRUE,"Low")</f>
        <v>Low</v>
      </c>
      <c r="M673" t="str" cm="1">
        <f t="array" ref="M673">_xlfn.IFS(I673&lt;12,"Low-Term",I673&gt;=36,"Long-Term",TRUE,"Medium-Term")</f>
        <v>Medium-Term</v>
      </c>
      <c r="N673" t="str" cm="1">
        <f t="array" ref="N673">_xlfn.IFS(A673="Bad", "Review Required", AND(A673="Good",J673&gt;7000),"VIP Client", AND(A673="Good", J673&lt;=7000),"Standart Client")</f>
        <v>Standart Client</v>
      </c>
    </row>
    <row r="674" spans="1:14" x14ac:dyDescent="0.3">
      <c r="A674" t="s">
        <v>34</v>
      </c>
      <c r="B674" t="s">
        <v>78</v>
      </c>
      <c r="C674" t="s">
        <v>86</v>
      </c>
      <c r="D674" t="s">
        <v>78</v>
      </c>
      <c r="E674" t="s">
        <v>122</v>
      </c>
      <c r="F674" t="s">
        <v>123</v>
      </c>
      <c r="G674" t="s">
        <v>114</v>
      </c>
      <c r="H674" t="s">
        <v>120</v>
      </c>
      <c r="I674">
        <v>24</v>
      </c>
      <c r="J674" s="11">
        <v>2255</v>
      </c>
      <c r="K674">
        <v>54</v>
      </c>
      <c r="L674" t="str" cm="1">
        <f t="array" ref="L674">_xlfn.IFS(J674&gt;5000,"Hight",J674&gt;2000,"Medium",TRUE,"Low")</f>
        <v>Medium</v>
      </c>
      <c r="M674" t="str" cm="1">
        <f t="array" ref="M674">_xlfn.IFS(I674&lt;12,"Low-Term",I674&gt;=36,"Long-Term",TRUE,"Medium-Term")</f>
        <v>Medium-Term</v>
      </c>
      <c r="N674" t="str" cm="1">
        <f t="array" ref="N674">_xlfn.IFS(A674="Bad", "Review Required", AND(A674="Good",J674&gt;7000),"VIP Client", AND(A674="Good", J674&lt;=7000),"Standart Client")</f>
        <v>Standart Client</v>
      </c>
    </row>
    <row r="675" spans="1:14" x14ac:dyDescent="0.3">
      <c r="A675" t="s">
        <v>34</v>
      </c>
      <c r="B675" t="s">
        <v>80</v>
      </c>
      <c r="C675" t="s">
        <v>86</v>
      </c>
      <c r="D675" t="s">
        <v>99</v>
      </c>
      <c r="E675" t="s">
        <v>124</v>
      </c>
      <c r="F675" t="s">
        <v>125</v>
      </c>
      <c r="G675" t="s">
        <v>114</v>
      </c>
      <c r="H675" t="s">
        <v>120</v>
      </c>
      <c r="I675">
        <v>6</v>
      </c>
      <c r="J675" s="11">
        <v>609</v>
      </c>
      <c r="K675">
        <v>37</v>
      </c>
      <c r="L675" t="str" cm="1">
        <f t="array" ref="L675">_xlfn.IFS(J675&gt;5000,"Hight",J675&gt;2000,"Medium",TRUE,"Low")</f>
        <v>Low</v>
      </c>
      <c r="M675" t="str" cm="1">
        <f t="array" ref="M675">_xlfn.IFS(I675&lt;12,"Low-Term",I675&gt;=36,"Long-Term",TRUE,"Medium-Term")</f>
        <v>Low-Term</v>
      </c>
      <c r="N675" t="str" cm="1">
        <f t="array" ref="N675">_xlfn.IFS(A675="Bad", "Review Required", AND(A675="Good",J675&gt;7000),"VIP Client", AND(A675="Good", J675&lt;=7000),"Standart Client")</f>
        <v>Standart Client</v>
      </c>
    </row>
    <row r="676" spans="1:14" x14ac:dyDescent="0.3">
      <c r="A676" t="s">
        <v>34</v>
      </c>
      <c r="B676" t="s">
        <v>80</v>
      </c>
      <c r="C676" t="s">
        <v>86</v>
      </c>
      <c r="D676" t="s">
        <v>99</v>
      </c>
      <c r="E676" t="s">
        <v>122</v>
      </c>
      <c r="F676" t="s">
        <v>123</v>
      </c>
      <c r="G676" t="s">
        <v>113</v>
      </c>
      <c r="H676" t="s">
        <v>120</v>
      </c>
      <c r="I676">
        <v>6</v>
      </c>
      <c r="J676" s="11">
        <v>1361</v>
      </c>
      <c r="K676">
        <v>40</v>
      </c>
      <c r="L676" t="str" cm="1">
        <f t="array" ref="L676">_xlfn.IFS(J676&gt;5000,"Hight",J676&gt;2000,"Medium",TRUE,"Low")</f>
        <v>Low</v>
      </c>
      <c r="M676" t="str" cm="1">
        <f t="array" ref="M676">_xlfn.IFS(I676&lt;12,"Low-Term",I676&gt;=36,"Long-Term",TRUE,"Medium-Term")</f>
        <v>Low-Term</v>
      </c>
      <c r="N676" t="str" cm="1">
        <f t="array" ref="N676">_xlfn.IFS(A676="Bad", "Review Required", AND(A676="Good",J676&gt;7000),"VIP Client", AND(A676="Good", J676&lt;=7000),"Standart Client")</f>
        <v>Standart Client</v>
      </c>
    </row>
    <row r="677" spans="1:14" x14ac:dyDescent="0.3">
      <c r="A677" t="s">
        <v>34</v>
      </c>
      <c r="B677" t="s">
        <v>80</v>
      </c>
      <c r="C677" t="s">
        <v>86</v>
      </c>
      <c r="D677" t="s">
        <v>100</v>
      </c>
      <c r="E677" t="s">
        <v>122</v>
      </c>
      <c r="F677" t="s">
        <v>123</v>
      </c>
      <c r="G677" t="s">
        <v>114</v>
      </c>
      <c r="H677" t="s">
        <v>120</v>
      </c>
      <c r="I677">
        <v>6</v>
      </c>
      <c r="J677" s="11">
        <v>1203</v>
      </c>
      <c r="K677">
        <v>43</v>
      </c>
      <c r="L677" t="str" cm="1">
        <f t="array" ref="L677">_xlfn.IFS(J677&gt;5000,"Hight",J677&gt;2000,"Medium",TRUE,"Low")</f>
        <v>Low</v>
      </c>
      <c r="M677" t="str" cm="1">
        <f t="array" ref="M677">_xlfn.IFS(I677&lt;12,"Low-Term",I677&gt;=36,"Long-Term",TRUE,"Medium-Term")</f>
        <v>Low-Term</v>
      </c>
      <c r="N677" t="str" cm="1">
        <f t="array" ref="N677">_xlfn.IFS(A677="Bad", "Review Required", AND(A677="Good",J677&gt;7000),"VIP Client", AND(A677="Good", J677&lt;=7000),"Standart Client")</f>
        <v>Standart Client</v>
      </c>
    </row>
    <row r="678" spans="1:14" x14ac:dyDescent="0.3">
      <c r="A678" t="s">
        <v>34</v>
      </c>
      <c r="B678" t="s">
        <v>78</v>
      </c>
      <c r="C678" t="s">
        <v>89</v>
      </c>
      <c r="D678" t="s">
        <v>78</v>
      </c>
      <c r="E678" t="s">
        <v>122</v>
      </c>
      <c r="F678" t="s">
        <v>123</v>
      </c>
      <c r="G678" t="s">
        <v>114</v>
      </c>
      <c r="H678" t="s">
        <v>121</v>
      </c>
      <c r="I678">
        <v>6</v>
      </c>
      <c r="J678" s="11">
        <v>700</v>
      </c>
      <c r="K678">
        <v>36</v>
      </c>
      <c r="L678" t="str" cm="1">
        <f t="array" ref="L678">_xlfn.IFS(J678&gt;5000,"Hight",J678&gt;2000,"Medium",TRUE,"Low")</f>
        <v>Low</v>
      </c>
      <c r="M678" t="str" cm="1">
        <f t="array" ref="M678">_xlfn.IFS(I678&lt;12,"Low-Term",I678&gt;=36,"Long-Term",TRUE,"Medium-Term")</f>
        <v>Low-Term</v>
      </c>
      <c r="N678" t="str" cm="1">
        <f t="array" ref="N678">_xlfn.IFS(A678="Bad", "Review Required", AND(A678="Good",J678&gt;7000),"VIP Client", AND(A678="Good", J678&lt;=7000),"Standart Client")</f>
        <v>Standart Client</v>
      </c>
    </row>
    <row r="679" spans="1:14" x14ac:dyDescent="0.3">
      <c r="A679" t="s">
        <v>34</v>
      </c>
      <c r="B679" t="s">
        <v>78</v>
      </c>
      <c r="C679" t="s">
        <v>91</v>
      </c>
      <c r="D679" t="s">
        <v>99</v>
      </c>
      <c r="E679" t="s">
        <v>122</v>
      </c>
      <c r="F679" t="s">
        <v>123</v>
      </c>
      <c r="G679" t="s">
        <v>114</v>
      </c>
      <c r="H679" t="s">
        <v>121</v>
      </c>
      <c r="I679">
        <v>24</v>
      </c>
      <c r="J679" s="11">
        <v>5507</v>
      </c>
      <c r="K679">
        <v>44</v>
      </c>
      <c r="L679" t="str" cm="1">
        <f t="array" ref="L679">_xlfn.IFS(J679&gt;5000,"Hight",J679&gt;2000,"Medium",TRUE,"Low")</f>
        <v>Hight</v>
      </c>
      <c r="M679" t="str" cm="1">
        <f t="array" ref="M679">_xlfn.IFS(I679&lt;12,"Low-Term",I679&gt;=36,"Long-Term",TRUE,"Medium-Term")</f>
        <v>Medium-Term</v>
      </c>
      <c r="N679" t="str" cm="1">
        <f t="array" ref="N679">_xlfn.IFS(A679="Bad", "Review Required", AND(A679="Good",J679&gt;7000),"VIP Client", AND(A679="Good", J679&lt;=7000),"Standart Client")</f>
        <v>Standart Client</v>
      </c>
    </row>
    <row r="680" spans="1:14" x14ac:dyDescent="0.3">
      <c r="A680" t="s">
        <v>34</v>
      </c>
      <c r="B680" t="s">
        <v>78</v>
      </c>
      <c r="C680" t="s">
        <v>87</v>
      </c>
      <c r="D680" t="s">
        <v>100</v>
      </c>
      <c r="E680" t="s">
        <v>124</v>
      </c>
      <c r="F680" t="s">
        <v>125</v>
      </c>
      <c r="G680" t="s">
        <v>114</v>
      </c>
      <c r="H680" t="s">
        <v>120</v>
      </c>
      <c r="I680">
        <v>24</v>
      </c>
      <c r="J680" s="11">
        <v>3488</v>
      </c>
      <c r="K680">
        <v>23</v>
      </c>
      <c r="L680" t="str" cm="1">
        <f t="array" ref="L680">_xlfn.IFS(J680&gt;5000,"Hight",J680&gt;2000,"Medium",TRUE,"Low")</f>
        <v>Medium</v>
      </c>
      <c r="M680" t="str" cm="1">
        <f t="array" ref="M680">_xlfn.IFS(I680&lt;12,"Low-Term",I680&gt;=36,"Long-Term",TRUE,"Medium-Term")</f>
        <v>Medium-Term</v>
      </c>
      <c r="N680" t="str" cm="1">
        <f t="array" ref="N680">_xlfn.IFS(A680="Bad", "Review Required", AND(A680="Good",J680&gt;7000),"VIP Client", AND(A680="Good", J680&lt;=7000),"Standart Client")</f>
        <v>Standart Client</v>
      </c>
    </row>
    <row r="681" spans="1:14" x14ac:dyDescent="0.3">
      <c r="A681" t="s">
        <v>34</v>
      </c>
      <c r="B681" t="s">
        <v>77</v>
      </c>
      <c r="C681" t="s">
        <v>89</v>
      </c>
      <c r="D681" t="s">
        <v>99</v>
      </c>
      <c r="E681" t="s">
        <v>124</v>
      </c>
      <c r="F681" t="s">
        <v>125</v>
      </c>
      <c r="G681" t="s">
        <v>113</v>
      </c>
      <c r="H681" t="s">
        <v>120</v>
      </c>
      <c r="I681">
        <v>18</v>
      </c>
      <c r="J681" s="11">
        <v>1113</v>
      </c>
      <c r="K681">
        <v>26</v>
      </c>
      <c r="L681" t="str" cm="1">
        <f t="array" ref="L681">_xlfn.IFS(J681&gt;5000,"Hight",J681&gt;2000,"Medium",TRUE,"Low")</f>
        <v>Low</v>
      </c>
      <c r="M681" t="str" cm="1">
        <f t="array" ref="M681">_xlfn.IFS(I681&lt;12,"Low-Term",I681&gt;=36,"Long-Term",TRUE,"Medium-Term")</f>
        <v>Medium-Term</v>
      </c>
      <c r="N681" t="str" cm="1">
        <f t="array" ref="N681">_xlfn.IFS(A681="Bad", "Review Required", AND(A681="Good",J681&gt;7000),"VIP Client", AND(A681="Good", J681&lt;=7000),"Standart Client")</f>
        <v>Standart Client</v>
      </c>
    </row>
    <row r="682" spans="1:14" x14ac:dyDescent="0.3">
      <c r="A682" t="s">
        <v>34</v>
      </c>
      <c r="B682" t="s">
        <v>77</v>
      </c>
      <c r="C682" t="s">
        <v>87</v>
      </c>
      <c r="D682" t="s">
        <v>99</v>
      </c>
      <c r="E682" t="s">
        <v>122</v>
      </c>
      <c r="F682" t="s">
        <v>123</v>
      </c>
      <c r="G682" t="s">
        <v>114</v>
      </c>
      <c r="H682" t="s">
        <v>120</v>
      </c>
      <c r="I682">
        <v>26</v>
      </c>
      <c r="J682" s="11">
        <v>7966</v>
      </c>
      <c r="K682">
        <v>30</v>
      </c>
      <c r="L682" t="str" cm="1">
        <f t="array" ref="L682">_xlfn.IFS(J682&gt;5000,"Hight",J682&gt;2000,"Medium",TRUE,"Low")</f>
        <v>Hight</v>
      </c>
      <c r="M682" t="str" cm="1">
        <f t="array" ref="M682">_xlfn.IFS(I682&lt;12,"Low-Term",I682&gt;=36,"Long-Term",TRUE,"Medium-Term")</f>
        <v>Medium-Term</v>
      </c>
      <c r="N682" t="str" cm="1">
        <f t="array" ref="N682">_xlfn.IFS(A682="Bad", "Review Required", AND(A682="Good",J682&gt;7000),"VIP Client", AND(A682="Good", J682&lt;=7000),"Standart Client")</f>
        <v>VIP Client</v>
      </c>
    </row>
    <row r="683" spans="1:14" x14ac:dyDescent="0.3">
      <c r="A683" t="s">
        <v>34</v>
      </c>
      <c r="B683" t="s">
        <v>78</v>
      </c>
      <c r="C683" t="s">
        <v>92</v>
      </c>
      <c r="D683" t="s">
        <v>100</v>
      </c>
      <c r="E683" t="s">
        <v>124</v>
      </c>
      <c r="F683" t="s">
        <v>125</v>
      </c>
      <c r="G683" t="s">
        <v>114</v>
      </c>
      <c r="H683" t="s">
        <v>120</v>
      </c>
      <c r="I683">
        <v>15</v>
      </c>
      <c r="J683" s="11">
        <v>1532</v>
      </c>
      <c r="K683">
        <v>31</v>
      </c>
      <c r="L683" t="str" cm="1">
        <f t="array" ref="L683">_xlfn.IFS(J683&gt;5000,"Hight",J683&gt;2000,"Medium",TRUE,"Low")</f>
        <v>Low</v>
      </c>
      <c r="M683" t="str" cm="1">
        <f t="array" ref="M683">_xlfn.IFS(I683&lt;12,"Low-Term",I683&gt;=36,"Long-Term",TRUE,"Medium-Term")</f>
        <v>Medium-Term</v>
      </c>
      <c r="N683" t="str" cm="1">
        <f t="array" ref="N683">_xlfn.IFS(A683="Bad", "Review Required", AND(A683="Good",J683&gt;7000),"VIP Client", AND(A683="Good", J683&lt;=7000),"Standart Client")</f>
        <v>Standart Client</v>
      </c>
    </row>
    <row r="684" spans="1:14" x14ac:dyDescent="0.3">
      <c r="A684" t="s">
        <v>34</v>
      </c>
      <c r="B684" t="s">
        <v>78</v>
      </c>
      <c r="C684" t="s">
        <v>89</v>
      </c>
      <c r="D684" t="s">
        <v>99</v>
      </c>
      <c r="E684" t="s">
        <v>122</v>
      </c>
      <c r="F684" t="s">
        <v>123</v>
      </c>
      <c r="G684" t="s">
        <v>113</v>
      </c>
      <c r="H684" t="s">
        <v>120</v>
      </c>
      <c r="I684">
        <v>4</v>
      </c>
      <c r="J684" s="11">
        <v>1503</v>
      </c>
      <c r="K684">
        <v>42</v>
      </c>
      <c r="L684" t="str" cm="1">
        <f t="array" ref="L684">_xlfn.IFS(J684&gt;5000,"Hight",J684&gt;2000,"Medium",TRUE,"Low")</f>
        <v>Low</v>
      </c>
      <c r="M684" t="str" cm="1">
        <f t="array" ref="M684">_xlfn.IFS(I684&lt;12,"Low-Term",I684&gt;=36,"Long-Term",TRUE,"Medium-Term")</f>
        <v>Low-Term</v>
      </c>
      <c r="N684" t="str" cm="1">
        <f t="array" ref="N684">_xlfn.IFS(A684="Bad", "Review Required", AND(A684="Good",J684&gt;7000),"VIP Client", AND(A684="Good", J684&lt;=7000),"Standart Client")</f>
        <v>Standart Client</v>
      </c>
    </row>
    <row r="685" spans="1:14" x14ac:dyDescent="0.3">
      <c r="A685" t="s">
        <v>34</v>
      </c>
      <c r="B685" t="s">
        <v>80</v>
      </c>
      <c r="C685" t="s">
        <v>86</v>
      </c>
      <c r="D685" t="s">
        <v>99</v>
      </c>
      <c r="E685" t="s">
        <v>122</v>
      </c>
      <c r="F685" t="s">
        <v>123</v>
      </c>
      <c r="G685" t="s">
        <v>113</v>
      </c>
      <c r="H685" t="s">
        <v>120</v>
      </c>
      <c r="I685">
        <v>6</v>
      </c>
      <c r="J685" s="11">
        <v>662</v>
      </c>
      <c r="K685">
        <v>41</v>
      </c>
      <c r="L685" t="str" cm="1">
        <f t="array" ref="L685">_xlfn.IFS(J685&gt;5000,"Hight",J685&gt;2000,"Medium",TRUE,"Low")</f>
        <v>Low</v>
      </c>
      <c r="M685" t="str" cm="1">
        <f t="array" ref="M685">_xlfn.IFS(I685&lt;12,"Low-Term",I685&gt;=36,"Long-Term",TRUE,"Medium-Term")</f>
        <v>Low-Term</v>
      </c>
      <c r="N685" t="str" cm="1">
        <f t="array" ref="N685">_xlfn.IFS(A685="Bad", "Review Required", AND(A685="Good",J685&gt;7000),"VIP Client", AND(A685="Good", J685&lt;=7000),"Standart Client")</f>
        <v>Standart Client</v>
      </c>
    </row>
    <row r="686" spans="1:14" x14ac:dyDescent="0.3">
      <c r="A686" t="s">
        <v>34</v>
      </c>
      <c r="B686" t="s">
        <v>77</v>
      </c>
      <c r="C686" t="s">
        <v>92</v>
      </c>
      <c r="D686" t="s">
        <v>99</v>
      </c>
      <c r="E686" t="s">
        <v>122</v>
      </c>
      <c r="F686" t="s">
        <v>123</v>
      </c>
      <c r="G686" t="s">
        <v>114</v>
      </c>
      <c r="H686" t="s">
        <v>120</v>
      </c>
      <c r="I686">
        <v>36</v>
      </c>
      <c r="J686" s="11">
        <v>2273</v>
      </c>
      <c r="K686">
        <v>32</v>
      </c>
      <c r="L686" t="str" cm="1">
        <f t="array" ref="L686">_xlfn.IFS(J686&gt;5000,"Hight",J686&gt;2000,"Medium",TRUE,"Low")</f>
        <v>Medium</v>
      </c>
      <c r="M686" t="str" cm="1">
        <f t="array" ref="M686">_xlfn.IFS(I686&lt;12,"Low-Term",I686&gt;=36,"Long-Term",TRUE,"Medium-Term")</f>
        <v>Long-Term</v>
      </c>
      <c r="N686" t="str" cm="1">
        <f t="array" ref="N686">_xlfn.IFS(A686="Bad", "Review Required", AND(A686="Good",J686&gt;7000),"VIP Client", AND(A686="Good", J686&lt;=7000),"Standart Client")</f>
        <v>Standart Client</v>
      </c>
    </row>
    <row r="687" spans="1:14" x14ac:dyDescent="0.3">
      <c r="A687" t="s">
        <v>34</v>
      </c>
      <c r="B687" t="s">
        <v>78</v>
      </c>
      <c r="C687" t="s">
        <v>87</v>
      </c>
      <c r="D687" t="s">
        <v>99</v>
      </c>
      <c r="E687" t="s">
        <v>122</v>
      </c>
      <c r="F687" t="s">
        <v>127</v>
      </c>
      <c r="G687" t="s">
        <v>114</v>
      </c>
      <c r="H687" t="s">
        <v>119</v>
      </c>
      <c r="I687">
        <v>12</v>
      </c>
      <c r="J687" s="11">
        <v>1503</v>
      </c>
      <c r="K687">
        <v>41</v>
      </c>
      <c r="L687" t="str" cm="1">
        <f t="array" ref="L687">_xlfn.IFS(J687&gt;5000,"Hight",J687&gt;2000,"Medium",TRUE,"Low")</f>
        <v>Low</v>
      </c>
      <c r="M687" t="str" cm="1">
        <f t="array" ref="M687">_xlfn.IFS(I687&lt;12,"Low-Term",I687&gt;=36,"Long-Term",TRUE,"Medium-Term")</f>
        <v>Medium-Term</v>
      </c>
      <c r="N687" t="str" cm="1">
        <f t="array" ref="N687">_xlfn.IFS(A687="Bad", "Review Required", AND(A687="Good",J687&gt;7000),"VIP Client", AND(A687="Good", J687&lt;=7000),"Standart Client")</f>
        <v>Standart Client</v>
      </c>
    </row>
    <row r="688" spans="1:14" x14ac:dyDescent="0.3">
      <c r="A688" t="s">
        <v>34</v>
      </c>
      <c r="B688" t="s">
        <v>78</v>
      </c>
      <c r="C688" t="s">
        <v>89</v>
      </c>
      <c r="D688" t="s">
        <v>100</v>
      </c>
      <c r="E688" t="s">
        <v>122</v>
      </c>
      <c r="F688" t="s">
        <v>127</v>
      </c>
      <c r="G688" t="s">
        <v>114</v>
      </c>
      <c r="H688" t="s">
        <v>120</v>
      </c>
      <c r="I688">
        <v>24</v>
      </c>
      <c r="J688" s="11">
        <v>1311</v>
      </c>
      <c r="K688">
        <v>26</v>
      </c>
      <c r="L688" t="str" cm="1">
        <f t="array" ref="L688">_xlfn.IFS(J688&gt;5000,"Hight",J688&gt;2000,"Medium",TRUE,"Low")</f>
        <v>Low</v>
      </c>
      <c r="M688" t="str" cm="1">
        <f t="array" ref="M688">_xlfn.IFS(I688&lt;12,"Low-Term",I688&gt;=36,"Long-Term",TRUE,"Medium-Term")</f>
        <v>Medium-Term</v>
      </c>
      <c r="N688" t="str" cm="1">
        <f t="array" ref="N688">_xlfn.IFS(A688="Bad", "Review Required", AND(A688="Good",J688&gt;7000),"VIP Client", AND(A688="Good", J688&lt;=7000),"Standart Client")</f>
        <v>Standart Client</v>
      </c>
    </row>
    <row r="689" spans="1:14" x14ac:dyDescent="0.3">
      <c r="A689" t="s">
        <v>34</v>
      </c>
      <c r="B689" t="s">
        <v>78</v>
      </c>
      <c r="C689" t="s">
        <v>89</v>
      </c>
      <c r="D689" t="s">
        <v>78</v>
      </c>
      <c r="E689" t="s">
        <v>122</v>
      </c>
      <c r="F689" t="s">
        <v>123</v>
      </c>
      <c r="G689" t="s">
        <v>114</v>
      </c>
      <c r="H689" t="s">
        <v>120</v>
      </c>
      <c r="I689">
        <v>24</v>
      </c>
      <c r="J689" s="11">
        <v>3105</v>
      </c>
      <c r="K689">
        <v>25</v>
      </c>
      <c r="L689" t="str" cm="1">
        <f t="array" ref="L689">_xlfn.IFS(J689&gt;5000,"Hight",J689&gt;2000,"Medium",TRUE,"Low")</f>
        <v>Medium</v>
      </c>
      <c r="M689" t="str" cm="1">
        <f t="array" ref="M689">_xlfn.IFS(I689&lt;12,"Low-Term",I689&gt;=36,"Long-Term",TRUE,"Medium-Term")</f>
        <v>Medium-Term</v>
      </c>
      <c r="N689" t="str" cm="1">
        <f t="array" ref="N689">_xlfn.IFS(A689="Bad", "Review Required", AND(A689="Good",J689&gt;7000),"VIP Client", AND(A689="Good", J689&lt;=7000),"Standart Client")</f>
        <v>Standart Client</v>
      </c>
    </row>
    <row r="690" spans="1:14" x14ac:dyDescent="0.3">
      <c r="A690" t="s">
        <v>34</v>
      </c>
      <c r="B690" t="s">
        <v>80</v>
      </c>
      <c r="C690" t="s">
        <v>86</v>
      </c>
      <c r="D690" t="s">
        <v>78</v>
      </c>
      <c r="E690" t="s">
        <v>124</v>
      </c>
      <c r="F690" t="s">
        <v>125</v>
      </c>
      <c r="G690" t="s">
        <v>115</v>
      </c>
      <c r="H690" t="s">
        <v>120</v>
      </c>
      <c r="I690">
        <v>6</v>
      </c>
      <c r="J690" s="11">
        <v>1374</v>
      </c>
      <c r="K690">
        <v>75</v>
      </c>
      <c r="L690" t="str" cm="1">
        <f t="array" ref="L690">_xlfn.IFS(J690&gt;5000,"Hight",J690&gt;2000,"Medium",TRUE,"Low")</f>
        <v>Low</v>
      </c>
      <c r="M690" t="str" cm="1">
        <f t="array" ref="M690">_xlfn.IFS(I690&lt;12,"Low-Term",I690&gt;=36,"Long-Term",TRUE,"Medium-Term")</f>
        <v>Low-Term</v>
      </c>
      <c r="N690" t="str" cm="1">
        <f t="array" ref="N690">_xlfn.IFS(A690="Bad", "Review Required", AND(A690="Good",J690&gt;7000),"VIP Client", AND(A690="Good", J690&lt;=7000),"Standart Client")</f>
        <v>Standart Client</v>
      </c>
    </row>
    <row r="691" spans="1:14" x14ac:dyDescent="0.3">
      <c r="A691" t="s">
        <v>34</v>
      </c>
      <c r="B691" t="s">
        <v>77</v>
      </c>
      <c r="C691" t="s">
        <v>88</v>
      </c>
      <c r="D691" t="s">
        <v>99</v>
      </c>
      <c r="E691" t="s">
        <v>124</v>
      </c>
      <c r="F691" t="s">
        <v>125</v>
      </c>
      <c r="G691" t="s">
        <v>114</v>
      </c>
      <c r="H691" t="s">
        <v>120</v>
      </c>
      <c r="I691">
        <v>18</v>
      </c>
      <c r="J691" s="11">
        <v>3612</v>
      </c>
      <c r="K691">
        <v>37</v>
      </c>
      <c r="L691" t="str" cm="1">
        <f t="array" ref="L691">_xlfn.IFS(J691&gt;5000,"Hight",J691&gt;2000,"Medium",TRUE,"Low")</f>
        <v>Medium</v>
      </c>
      <c r="M691" t="str" cm="1">
        <f t="array" ref="M691">_xlfn.IFS(I691&lt;12,"Low-Term",I691&gt;=36,"Long-Term",TRUE,"Medium-Term")</f>
        <v>Medium-Term</v>
      </c>
      <c r="N691" t="str" cm="1">
        <f t="array" ref="N691">_xlfn.IFS(A691="Bad", "Review Required", AND(A691="Good",J691&gt;7000),"VIP Client", AND(A691="Good", J691&lt;=7000),"Standart Client")</f>
        <v>Standart Client</v>
      </c>
    </row>
    <row r="692" spans="1:14" x14ac:dyDescent="0.3">
      <c r="A692" t="s">
        <v>34</v>
      </c>
      <c r="B692" t="s">
        <v>81</v>
      </c>
      <c r="C692" t="s">
        <v>88</v>
      </c>
      <c r="D692" t="s">
        <v>99</v>
      </c>
      <c r="E692" t="s">
        <v>124</v>
      </c>
      <c r="F692" t="s">
        <v>125</v>
      </c>
      <c r="G692" t="s">
        <v>113</v>
      </c>
      <c r="H692" t="s">
        <v>120</v>
      </c>
      <c r="I692">
        <v>18</v>
      </c>
      <c r="J692" s="11">
        <v>3049</v>
      </c>
      <c r="K692">
        <v>45</v>
      </c>
      <c r="L692" t="str" cm="1">
        <f t="array" ref="L692">_xlfn.IFS(J692&gt;5000,"Hight",J692&gt;2000,"Medium",TRUE,"Low")</f>
        <v>Medium</v>
      </c>
      <c r="M692" t="str" cm="1">
        <f t="array" ref="M692">_xlfn.IFS(I692&lt;12,"Low-Term",I692&gt;=36,"Long-Term",TRUE,"Medium-Term")</f>
        <v>Medium-Term</v>
      </c>
      <c r="N692" t="str" cm="1">
        <f t="array" ref="N692">_xlfn.IFS(A692="Bad", "Review Required", AND(A692="Good",J692&gt;7000),"VIP Client", AND(A692="Good", J692&lt;=7000),"Standart Client")</f>
        <v>Standart Client</v>
      </c>
    </row>
    <row r="693" spans="1:14" x14ac:dyDescent="0.3">
      <c r="A693" t="s">
        <v>34</v>
      </c>
      <c r="B693" t="s">
        <v>78</v>
      </c>
      <c r="C693" t="s">
        <v>86</v>
      </c>
      <c r="D693" t="s">
        <v>99</v>
      </c>
      <c r="E693" t="s">
        <v>122</v>
      </c>
      <c r="F693" t="s">
        <v>123</v>
      </c>
      <c r="G693" t="s">
        <v>114</v>
      </c>
      <c r="H693" t="s">
        <v>121</v>
      </c>
      <c r="I693">
        <v>24</v>
      </c>
      <c r="J693" s="11">
        <v>2032</v>
      </c>
      <c r="K693">
        <v>60</v>
      </c>
      <c r="L693" t="str" cm="1">
        <f t="array" ref="L693">_xlfn.IFS(J693&gt;5000,"Hight",J693&gt;2000,"Medium",TRUE,"Low")</f>
        <v>Medium</v>
      </c>
      <c r="M693" t="str" cm="1">
        <f t="array" ref="M693">_xlfn.IFS(I693&lt;12,"Low-Term",I693&gt;=36,"Long-Term",TRUE,"Medium-Term")</f>
        <v>Medium-Term</v>
      </c>
      <c r="N693" t="str" cm="1">
        <f t="array" ref="N693">_xlfn.IFS(A693="Bad", "Review Required", AND(A693="Good",J693&gt;7000),"VIP Client", AND(A693="Good", J693&lt;=7000),"Standart Client")</f>
        <v>Standart Client</v>
      </c>
    </row>
    <row r="694" spans="1:14" x14ac:dyDescent="0.3">
      <c r="A694" t="s">
        <v>34</v>
      </c>
      <c r="B694" t="s">
        <v>78</v>
      </c>
      <c r="C694" t="s">
        <v>86</v>
      </c>
      <c r="D694" t="s">
        <v>99</v>
      </c>
      <c r="E694" t="s">
        <v>122</v>
      </c>
      <c r="F694" t="s">
        <v>123</v>
      </c>
      <c r="G694" t="s">
        <v>113</v>
      </c>
      <c r="H694" t="s">
        <v>120</v>
      </c>
      <c r="I694">
        <v>12</v>
      </c>
      <c r="J694" s="11">
        <v>1255</v>
      </c>
      <c r="K694">
        <v>61</v>
      </c>
      <c r="L694" t="str" cm="1">
        <f t="array" ref="L694">_xlfn.IFS(J694&gt;5000,"Hight",J694&gt;2000,"Medium",TRUE,"Low")</f>
        <v>Low</v>
      </c>
      <c r="M694" t="str" cm="1">
        <f t="array" ref="M694">_xlfn.IFS(I694&lt;12,"Low-Term",I694&gt;=36,"Long-Term",TRUE,"Medium-Term")</f>
        <v>Medium-Term</v>
      </c>
      <c r="N694" t="str" cm="1">
        <f t="array" ref="N694">_xlfn.IFS(A694="Bad", "Review Required", AND(A694="Good",J694&gt;7000),"VIP Client", AND(A694="Good", J694&lt;=7000),"Standart Client")</f>
        <v>Standart Client</v>
      </c>
    </row>
    <row r="695" spans="1:14" x14ac:dyDescent="0.3">
      <c r="A695" t="s">
        <v>34</v>
      </c>
      <c r="B695" t="s">
        <v>78</v>
      </c>
      <c r="C695" t="s">
        <v>86</v>
      </c>
      <c r="D695" t="s">
        <v>99</v>
      </c>
      <c r="E695" t="s">
        <v>124</v>
      </c>
      <c r="F695" t="s">
        <v>125</v>
      </c>
      <c r="G695" t="s">
        <v>114</v>
      </c>
      <c r="H695" t="s">
        <v>120</v>
      </c>
      <c r="I695">
        <v>24</v>
      </c>
      <c r="J695" s="11">
        <v>2022</v>
      </c>
      <c r="K695">
        <v>37</v>
      </c>
      <c r="L695" t="str" cm="1">
        <f t="array" ref="L695">_xlfn.IFS(J695&gt;5000,"Hight",J695&gt;2000,"Medium",TRUE,"Low")</f>
        <v>Medium</v>
      </c>
      <c r="M695" t="str" cm="1">
        <f t="array" ref="M695">_xlfn.IFS(I695&lt;12,"Low-Term",I695&gt;=36,"Long-Term",TRUE,"Medium-Term")</f>
        <v>Medium-Term</v>
      </c>
      <c r="N695" t="str" cm="1">
        <f t="array" ref="N695">_xlfn.IFS(A695="Bad", "Review Required", AND(A695="Good",J695&gt;7000),"VIP Client", AND(A695="Good", J695&lt;=7000),"Standart Client")</f>
        <v>Standart Client</v>
      </c>
    </row>
    <row r="696" spans="1:14" x14ac:dyDescent="0.3">
      <c r="A696" t="s">
        <v>34</v>
      </c>
      <c r="B696" t="s">
        <v>78</v>
      </c>
      <c r="C696" t="s">
        <v>89</v>
      </c>
      <c r="D696" t="s">
        <v>99</v>
      </c>
      <c r="E696" t="s">
        <v>122</v>
      </c>
      <c r="F696" t="s">
        <v>123</v>
      </c>
      <c r="G696" t="s">
        <v>114</v>
      </c>
      <c r="H696" t="s">
        <v>120</v>
      </c>
      <c r="I696">
        <v>24</v>
      </c>
      <c r="J696" s="11">
        <v>1552</v>
      </c>
      <c r="K696">
        <v>32</v>
      </c>
      <c r="L696" t="str" cm="1">
        <f t="array" ref="L696">_xlfn.IFS(J696&gt;5000,"Hight",J696&gt;2000,"Medium",TRUE,"Low")</f>
        <v>Low</v>
      </c>
      <c r="M696" t="str" cm="1">
        <f t="array" ref="M696">_xlfn.IFS(I696&lt;12,"Low-Term",I696&gt;=36,"Long-Term",TRUE,"Medium-Term")</f>
        <v>Medium-Term</v>
      </c>
      <c r="N696" t="str" cm="1">
        <f t="array" ref="N696">_xlfn.IFS(A696="Bad", "Review Required", AND(A696="Good",J696&gt;7000),"VIP Client", AND(A696="Good", J696&lt;=7000),"Standart Client")</f>
        <v>Standart Client</v>
      </c>
    </row>
    <row r="697" spans="1:14" x14ac:dyDescent="0.3">
      <c r="A697" t="s">
        <v>34</v>
      </c>
      <c r="B697" t="s">
        <v>78</v>
      </c>
      <c r="C697" t="s">
        <v>87</v>
      </c>
      <c r="D697" t="s">
        <v>78</v>
      </c>
      <c r="E697" t="s">
        <v>122</v>
      </c>
      <c r="F697" t="s">
        <v>123</v>
      </c>
      <c r="G697" t="s">
        <v>114</v>
      </c>
      <c r="H697" t="s">
        <v>121</v>
      </c>
      <c r="I697">
        <v>48</v>
      </c>
      <c r="J697" s="11">
        <v>8858</v>
      </c>
      <c r="K697">
        <v>35</v>
      </c>
      <c r="L697" t="str" cm="1">
        <f t="array" ref="L697">_xlfn.IFS(J697&gt;5000,"Hight",J697&gt;2000,"Medium",TRUE,"Low")</f>
        <v>Hight</v>
      </c>
      <c r="M697" t="str" cm="1">
        <f t="array" ref="M697">_xlfn.IFS(I697&lt;12,"Low-Term",I697&gt;=36,"Long-Term",TRUE,"Medium-Term")</f>
        <v>Long-Term</v>
      </c>
      <c r="N697" t="str" cm="1">
        <f t="array" ref="N697">_xlfn.IFS(A697="Bad", "Review Required", AND(A697="Good",J697&gt;7000),"VIP Client", AND(A697="Good", J697&lt;=7000),"Standart Client")</f>
        <v>VIP Client</v>
      </c>
    </row>
    <row r="698" spans="1:14" x14ac:dyDescent="0.3">
      <c r="A698" t="s">
        <v>34</v>
      </c>
      <c r="B698" t="s">
        <v>78</v>
      </c>
      <c r="C698" t="s">
        <v>91</v>
      </c>
      <c r="D698" t="s">
        <v>78</v>
      </c>
      <c r="E698" t="s">
        <v>124</v>
      </c>
      <c r="F698" t="s">
        <v>125</v>
      </c>
      <c r="G698" t="s">
        <v>114</v>
      </c>
      <c r="H698" t="s">
        <v>120</v>
      </c>
      <c r="I698">
        <v>12</v>
      </c>
      <c r="J698" s="11">
        <v>996</v>
      </c>
      <c r="K698">
        <v>23</v>
      </c>
      <c r="L698" t="str" cm="1">
        <f t="array" ref="L698">_xlfn.IFS(J698&gt;5000,"Hight",J698&gt;2000,"Medium",TRUE,"Low")</f>
        <v>Low</v>
      </c>
      <c r="M698" t="str" cm="1">
        <f t="array" ref="M698">_xlfn.IFS(I698&lt;12,"Low-Term",I698&gt;=36,"Long-Term",TRUE,"Medium-Term")</f>
        <v>Medium-Term</v>
      </c>
      <c r="N698" t="str" cm="1">
        <f t="array" ref="N698">_xlfn.IFS(A698="Bad", "Review Required", AND(A698="Good",J698&gt;7000),"VIP Client", AND(A698="Good", J698&lt;=7000),"Standart Client")</f>
        <v>Standart Client</v>
      </c>
    </row>
    <row r="699" spans="1:14" x14ac:dyDescent="0.3">
      <c r="A699" t="s">
        <v>34</v>
      </c>
      <c r="B699" t="s">
        <v>78</v>
      </c>
      <c r="C699" t="s">
        <v>89</v>
      </c>
      <c r="D699" t="s">
        <v>101</v>
      </c>
      <c r="E699" t="s">
        <v>122</v>
      </c>
      <c r="F699" t="s">
        <v>123</v>
      </c>
      <c r="G699" t="s">
        <v>113</v>
      </c>
      <c r="H699" t="s">
        <v>120</v>
      </c>
      <c r="I699">
        <v>6</v>
      </c>
      <c r="J699" s="11">
        <v>1750</v>
      </c>
      <c r="K699">
        <v>45</v>
      </c>
      <c r="L699" t="str" cm="1">
        <f t="array" ref="L699">_xlfn.IFS(J699&gt;5000,"Hight",J699&gt;2000,"Medium",TRUE,"Low")</f>
        <v>Low</v>
      </c>
      <c r="M699" t="str" cm="1">
        <f t="array" ref="M699">_xlfn.IFS(I699&lt;12,"Low-Term",I699&gt;=36,"Long-Term",TRUE,"Medium-Term")</f>
        <v>Low-Term</v>
      </c>
      <c r="N699" t="str" cm="1">
        <f t="array" ref="N699">_xlfn.IFS(A699="Bad", "Review Required", AND(A699="Good",J699&gt;7000),"VIP Client", AND(A699="Good", J699&lt;=7000),"Standart Client")</f>
        <v>Standart Client</v>
      </c>
    </row>
    <row r="700" spans="1:14" x14ac:dyDescent="0.3">
      <c r="A700" t="s">
        <v>34</v>
      </c>
      <c r="B700" t="s">
        <v>77</v>
      </c>
      <c r="C700" t="s">
        <v>86</v>
      </c>
      <c r="D700" t="s">
        <v>100</v>
      </c>
      <c r="E700" t="s">
        <v>122</v>
      </c>
      <c r="F700" t="s">
        <v>123</v>
      </c>
      <c r="G700" t="s">
        <v>114</v>
      </c>
      <c r="H700" t="s">
        <v>120</v>
      </c>
      <c r="I700">
        <v>12</v>
      </c>
      <c r="J700" s="11">
        <v>1995</v>
      </c>
      <c r="K700">
        <v>27</v>
      </c>
      <c r="L700" t="str" cm="1">
        <f t="array" ref="L700">_xlfn.IFS(J700&gt;5000,"Hight",J700&gt;2000,"Medium",TRUE,"Low")</f>
        <v>Low</v>
      </c>
      <c r="M700" t="str" cm="1">
        <f t="array" ref="M700">_xlfn.IFS(I700&lt;12,"Low-Term",I700&gt;=36,"Long-Term",TRUE,"Medium-Term")</f>
        <v>Medium-Term</v>
      </c>
      <c r="N700" t="str" cm="1">
        <f t="array" ref="N700">_xlfn.IFS(A700="Bad", "Review Required", AND(A700="Good",J700&gt;7000),"VIP Client", AND(A700="Good", J700&lt;=7000),"Standart Client")</f>
        <v>Standart Client</v>
      </c>
    </row>
    <row r="701" spans="1:14" x14ac:dyDescent="0.3">
      <c r="A701" t="s">
        <v>34</v>
      </c>
      <c r="B701" t="s">
        <v>77</v>
      </c>
      <c r="C701" t="s">
        <v>92</v>
      </c>
      <c r="D701" t="s">
        <v>99</v>
      </c>
      <c r="E701" t="s">
        <v>124</v>
      </c>
      <c r="F701" t="s">
        <v>125</v>
      </c>
      <c r="G701" t="s">
        <v>115</v>
      </c>
      <c r="H701" t="s">
        <v>120</v>
      </c>
      <c r="I701">
        <v>9</v>
      </c>
      <c r="J701" s="11">
        <v>1199</v>
      </c>
      <c r="K701">
        <v>67</v>
      </c>
      <c r="L701" t="str" cm="1">
        <f t="array" ref="L701">_xlfn.IFS(J701&gt;5000,"Hight",J701&gt;2000,"Medium",TRUE,"Low")</f>
        <v>Low</v>
      </c>
      <c r="M701" t="str" cm="1">
        <f t="array" ref="M701">_xlfn.IFS(I701&lt;12,"Low-Term",I701&gt;=36,"Long-Term",TRUE,"Medium-Term")</f>
        <v>Low-Term</v>
      </c>
      <c r="N701" t="str" cm="1">
        <f t="array" ref="N701">_xlfn.IFS(A701="Bad", "Review Required", AND(A701="Good",J701&gt;7000),"VIP Client", AND(A701="Good", J701&lt;=7000),"Standart Client")</f>
        <v>Standart Client</v>
      </c>
    </row>
    <row r="702" spans="1:14" x14ac:dyDescent="0.3">
      <c r="A702" t="s">
        <v>34</v>
      </c>
      <c r="B702" t="s">
        <v>80</v>
      </c>
      <c r="C702" t="s">
        <v>87</v>
      </c>
      <c r="D702" t="s">
        <v>78</v>
      </c>
      <c r="E702" t="s">
        <v>122</v>
      </c>
      <c r="F702" t="s">
        <v>123</v>
      </c>
      <c r="G702" t="s">
        <v>114</v>
      </c>
      <c r="H702" t="s">
        <v>121</v>
      </c>
      <c r="I702">
        <v>24</v>
      </c>
      <c r="J702" s="11">
        <v>2964</v>
      </c>
      <c r="K702">
        <v>49</v>
      </c>
      <c r="L702" t="str" cm="1">
        <f t="array" ref="L702">_xlfn.IFS(J702&gt;5000,"Hight",J702&gt;2000,"Medium",TRUE,"Low")</f>
        <v>Medium</v>
      </c>
      <c r="M702" t="str" cm="1">
        <f t="array" ref="M702">_xlfn.IFS(I702&lt;12,"Low-Term",I702&gt;=36,"Long-Term",TRUE,"Medium-Term")</f>
        <v>Medium-Term</v>
      </c>
      <c r="N702" t="str" cm="1">
        <f t="array" ref="N702">_xlfn.IFS(A702="Bad", "Review Required", AND(A702="Good",J702&gt;7000),"VIP Client", AND(A702="Good", J702&lt;=7000),"Standart Client")</f>
        <v>Standart Client</v>
      </c>
    </row>
    <row r="703" spans="1:14" x14ac:dyDescent="0.3">
      <c r="A703" t="s">
        <v>34</v>
      </c>
      <c r="B703" t="s">
        <v>81</v>
      </c>
      <c r="C703" t="s">
        <v>89</v>
      </c>
      <c r="D703" t="s">
        <v>99</v>
      </c>
      <c r="E703" t="s">
        <v>124</v>
      </c>
      <c r="F703" t="s">
        <v>125</v>
      </c>
      <c r="G703" t="s">
        <v>114</v>
      </c>
      <c r="H703" t="s">
        <v>120</v>
      </c>
      <c r="I703">
        <v>6</v>
      </c>
      <c r="J703" s="11">
        <v>683</v>
      </c>
      <c r="K703">
        <v>29</v>
      </c>
      <c r="L703" t="str" cm="1">
        <f t="array" ref="L703">_xlfn.IFS(J703&gt;5000,"Hight",J703&gt;2000,"Medium",TRUE,"Low")</f>
        <v>Low</v>
      </c>
      <c r="M703" t="str" cm="1">
        <f t="array" ref="M703">_xlfn.IFS(I703&lt;12,"Low-Term",I703&gt;=36,"Long-Term",TRUE,"Medium-Term")</f>
        <v>Low-Term</v>
      </c>
      <c r="N703" t="str" cm="1">
        <f t="array" ref="N703">_xlfn.IFS(A703="Bad", "Review Required", AND(A703="Good",J703&gt;7000),"VIP Client", AND(A703="Good", J703&lt;=7000),"Standart Client")</f>
        <v>Standart Client</v>
      </c>
    </row>
    <row r="704" spans="1:14" x14ac:dyDescent="0.3">
      <c r="A704" t="s">
        <v>34</v>
      </c>
      <c r="B704" t="s">
        <v>77</v>
      </c>
      <c r="C704" t="s">
        <v>94</v>
      </c>
      <c r="D704" t="s">
        <v>78</v>
      </c>
      <c r="E704" t="s">
        <v>122</v>
      </c>
      <c r="F704" t="s">
        <v>123</v>
      </c>
      <c r="G704" t="s">
        <v>115</v>
      </c>
      <c r="H704" t="s">
        <v>120</v>
      </c>
      <c r="I704">
        <v>24</v>
      </c>
      <c r="J704" s="11">
        <v>4712</v>
      </c>
      <c r="K704">
        <v>37</v>
      </c>
      <c r="L704" t="str" cm="1">
        <f t="array" ref="L704">_xlfn.IFS(J704&gt;5000,"Hight",J704&gt;2000,"Medium",TRUE,"Low")</f>
        <v>Medium</v>
      </c>
      <c r="M704" t="str" cm="1">
        <f t="array" ref="M704">_xlfn.IFS(I704&lt;12,"Low-Term",I704&gt;=36,"Long-Term",TRUE,"Medium-Term")</f>
        <v>Medium-Term</v>
      </c>
      <c r="N704" t="str" cm="1">
        <f t="array" ref="N704">_xlfn.IFS(A704="Bad", "Review Required", AND(A704="Good",J704&gt;7000),"VIP Client", AND(A704="Good", J704&lt;=7000),"Standart Client")</f>
        <v>Standart Client</v>
      </c>
    </row>
    <row r="705" spans="1:14" x14ac:dyDescent="0.3">
      <c r="A705" t="s">
        <v>34</v>
      </c>
      <c r="B705" t="s">
        <v>77</v>
      </c>
      <c r="C705" t="s">
        <v>89</v>
      </c>
      <c r="D705" t="s">
        <v>100</v>
      </c>
      <c r="E705" t="s">
        <v>124</v>
      </c>
      <c r="F705" t="s">
        <v>125</v>
      </c>
      <c r="G705" t="s">
        <v>114</v>
      </c>
      <c r="H705" t="s">
        <v>119</v>
      </c>
      <c r="I705">
        <v>24</v>
      </c>
      <c r="J705" s="11">
        <v>1553</v>
      </c>
      <c r="K705">
        <v>23</v>
      </c>
      <c r="L705" t="str" cm="1">
        <f t="array" ref="L705">_xlfn.IFS(J705&gt;5000,"Hight",J705&gt;2000,"Medium",TRUE,"Low")</f>
        <v>Low</v>
      </c>
      <c r="M705" t="str" cm="1">
        <f t="array" ref="M705">_xlfn.IFS(I705&lt;12,"Low-Term",I705&gt;=36,"Long-Term",TRUE,"Medium-Term")</f>
        <v>Medium-Term</v>
      </c>
      <c r="N705" t="str" cm="1">
        <f t="array" ref="N705">_xlfn.IFS(A705="Bad", "Review Required", AND(A705="Good",J705&gt;7000),"VIP Client", AND(A705="Good", J705&lt;=7000),"Standart Client")</f>
        <v>Standart Client</v>
      </c>
    </row>
    <row r="706" spans="1:14" x14ac:dyDescent="0.3">
      <c r="A706" t="s">
        <v>34</v>
      </c>
      <c r="B706" t="s">
        <v>78</v>
      </c>
      <c r="C706" t="s">
        <v>89</v>
      </c>
      <c r="D706" t="s">
        <v>102</v>
      </c>
      <c r="E706" t="s">
        <v>122</v>
      </c>
      <c r="F706" t="s">
        <v>123</v>
      </c>
      <c r="G706" t="s">
        <v>114</v>
      </c>
      <c r="H706" t="s">
        <v>120</v>
      </c>
      <c r="I706">
        <v>24</v>
      </c>
      <c r="J706" s="11">
        <v>2578</v>
      </c>
      <c r="K706">
        <v>34</v>
      </c>
      <c r="L706" t="str" cm="1">
        <f t="array" ref="L706">_xlfn.IFS(J706&gt;5000,"Hight",J706&gt;2000,"Medium",TRUE,"Low")</f>
        <v>Medium</v>
      </c>
      <c r="M706" t="str" cm="1">
        <f t="array" ref="M706">_xlfn.IFS(I706&lt;12,"Low-Term",I706&gt;=36,"Long-Term",TRUE,"Medium-Term")</f>
        <v>Medium-Term</v>
      </c>
      <c r="N706" t="str" cm="1">
        <f t="array" ref="N706">_xlfn.IFS(A706="Bad", "Review Required", AND(A706="Good",J706&gt;7000),"VIP Client", AND(A706="Good", J706&lt;=7000),"Standart Client")</f>
        <v>Standart Client</v>
      </c>
    </row>
    <row r="707" spans="1:14" x14ac:dyDescent="0.3">
      <c r="A707" t="s">
        <v>34</v>
      </c>
      <c r="B707" t="s">
        <v>77</v>
      </c>
      <c r="C707" t="s">
        <v>89</v>
      </c>
      <c r="D707" t="s">
        <v>78</v>
      </c>
      <c r="E707" t="s">
        <v>122</v>
      </c>
      <c r="F707" t="s">
        <v>123</v>
      </c>
      <c r="G707" t="s">
        <v>114</v>
      </c>
      <c r="H707" t="s">
        <v>120</v>
      </c>
      <c r="I707">
        <v>48</v>
      </c>
      <c r="J707" s="11">
        <v>3979</v>
      </c>
      <c r="K707">
        <v>41</v>
      </c>
      <c r="L707" t="str" cm="1">
        <f t="array" ref="L707">_xlfn.IFS(J707&gt;5000,"Hight",J707&gt;2000,"Medium",TRUE,"Low")</f>
        <v>Medium</v>
      </c>
      <c r="M707" t="str" cm="1">
        <f t="array" ref="M707">_xlfn.IFS(I707&lt;12,"Low-Term",I707&gt;=36,"Long-Term",TRUE,"Medium-Term")</f>
        <v>Long-Term</v>
      </c>
      <c r="N707" t="str" cm="1">
        <f t="array" ref="N707">_xlfn.IFS(A707="Bad", "Review Required", AND(A707="Good",J707&gt;7000),"VIP Client", AND(A707="Good", J707&lt;=7000),"Standart Client")</f>
        <v>Standart Client</v>
      </c>
    </row>
    <row r="708" spans="1:14" x14ac:dyDescent="0.3">
      <c r="A708" t="s">
        <v>34</v>
      </c>
      <c r="B708" t="s">
        <v>78</v>
      </c>
      <c r="C708" t="s">
        <v>89</v>
      </c>
      <c r="D708" t="s">
        <v>99</v>
      </c>
      <c r="E708" t="s">
        <v>122</v>
      </c>
      <c r="F708" t="s">
        <v>123</v>
      </c>
      <c r="G708" t="s">
        <v>114</v>
      </c>
      <c r="H708" t="s">
        <v>120</v>
      </c>
      <c r="I708">
        <v>30</v>
      </c>
      <c r="J708" s="11">
        <v>5954</v>
      </c>
      <c r="K708">
        <v>38</v>
      </c>
      <c r="L708" t="str" cm="1">
        <f t="array" ref="L708">_xlfn.IFS(J708&gt;5000,"Hight",J708&gt;2000,"Medium",TRUE,"Low")</f>
        <v>Hight</v>
      </c>
      <c r="M708" t="str" cm="1">
        <f t="array" ref="M708">_xlfn.IFS(I708&lt;12,"Low-Term",I708&gt;=36,"Long-Term",TRUE,"Medium-Term")</f>
        <v>Medium-Term</v>
      </c>
      <c r="N708" t="str" cm="1">
        <f t="array" ref="N708">_xlfn.IFS(A708="Bad", "Review Required", AND(A708="Good",J708&gt;7000),"VIP Client", AND(A708="Good", J708&lt;=7000),"Standart Client")</f>
        <v>Standart Client</v>
      </c>
    </row>
    <row r="709" spans="1:14" x14ac:dyDescent="0.3">
      <c r="A709" t="s">
        <v>34</v>
      </c>
      <c r="B709" t="s">
        <v>78</v>
      </c>
      <c r="C709" t="s">
        <v>87</v>
      </c>
      <c r="D709" t="s">
        <v>78</v>
      </c>
      <c r="E709" t="s">
        <v>124</v>
      </c>
      <c r="F709" t="s">
        <v>125</v>
      </c>
      <c r="G709" t="s">
        <v>115</v>
      </c>
      <c r="H709" t="s">
        <v>119</v>
      </c>
      <c r="I709">
        <v>24</v>
      </c>
      <c r="J709" s="11">
        <v>5433</v>
      </c>
      <c r="K709">
        <v>26</v>
      </c>
      <c r="L709" t="str" cm="1">
        <f t="array" ref="L709">_xlfn.IFS(J709&gt;5000,"Hight",J709&gt;2000,"Medium",TRUE,"Low")</f>
        <v>Hight</v>
      </c>
      <c r="M709" t="str" cm="1">
        <f t="array" ref="M709">_xlfn.IFS(I709&lt;12,"Low-Term",I709&gt;=36,"Long-Term",TRUE,"Medium-Term")</f>
        <v>Medium-Term</v>
      </c>
      <c r="N709" t="str" cm="1">
        <f t="array" ref="N709">_xlfn.IFS(A709="Bad", "Review Required", AND(A709="Good",J709&gt;7000),"VIP Client", AND(A709="Good", J709&lt;=7000),"Standart Client")</f>
        <v>Standart Client</v>
      </c>
    </row>
    <row r="710" spans="1:14" x14ac:dyDescent="0.3">
      <c r="A710" t="s">
        <v>34</v>
      </c>
      <c r="B710" t="s">
        <v>80</v>
      </c>
      <c r="C710" t="s">
        <v>94</v>
      </c>
      <c r="D710" t="s">
        <v>99</v>
      </c>
      <c r="E710" t="s">
        <v>124</v>
      </c>
      <c r="F710" t="s">
        <v>125</v>
      </c>
      <c r="G710" t="s">
        <v>113</v>
      </c>
      <c r="H710" t="s">
        <v>120</v>
      </c>
      <c r="I710">
        <v>15</v>
      </c>
      <c r="J710" s="11">
        <v>806</v>
      </c>
      <c r="K710">
        <v>22</v>
      </c>
      <c r="L710" t="str" cm="1">
        <f t="array" ref="L710">_xlfn.IFS(J710&gt;5000,"Hight",J710&gt;2000,"Medium",TRUE,"Low")</f>
        <v>Low</v>
      </c>
      <c r="M710" t="str" cm="1">
        <f t="array" ref="M710">_xlfn.IFS(I710&lt;12,"Low-Term",I710&gt;=36,"Long-Term",TRUE,"Medium-Term")</f>
        <v>Medium-Term</v>
      </c>
      <c r="N710" t="str" cm="1">
        <f t="array" ref="N710">_xlfn.IFS(A710="Bad", "Review Required", AND(A710="Good",J710&gt;7000),"VIP Client", AND(A710="Good", J710&lt;=7000),"Standart Client")</f>
        <v>Standart Client</v>
      </c>
    </row>
    <row r="711" spans="1:14" x14ac:dyDescent="0.3">
      <c r="A711" t="s">
        <v>34</v>
      </c>
      <c r="B711" t="s">
        <v>77</v>
      </c>
      <c r="C711" t="s">
        <v>89</v>
      </c>
      <c r="D711" t="s">
        <v>99</v>
      </c>
      <c r="E711" t="s">
        <v>122</v>
      </c>
      <c r="F711" t="s">
        <v>123</v>
      </c>
      <c r="G711" t="s">
        <v>113</v>
      </c>
      <c r="H711" t="s">
        <v>120</v>
      </c>
      <c r="I711">
        <v>9</v>
      </c>
      <c r="J711" s="11">
        <v>1082</v>
      </c>
      <c r="K711">
        <v>27</v>
      </c>
      <c r="L711" t="str" cm="1">
        <f t="array" ref="L711">_xlfn.IFS(J711&gt;5000,"Hight",J711&gt;2000,"Medium",TRUE,"Low")</f>
        <v>Low</v>
      </c>
      <c r="M711" t="str" cm="1">
        <f t="array" ref="M711">_xlfn.IFS(I711&lt;12,"Low-Term",I711&gt;=36,"Long-Term",TRUE,"Medium-Term")</f>
        <v>Low-Term</v>
      </c>
      <c r="N711" t="str" cm="1">
        <f t="array" ref="N711">_xlfn.IFS(A711="Bad", "Review Required", AND(A711="Good",J711&gt;7000),"VIP Client", AND(A711="Good", J711&lt;=7000),"Standart Client")</f>
        <v>Standart Client</v>
      </c>
    </row>
    <row r="712" spans="1:14" x14ac:dyDescent="0.3">
      <c r="A712" t="s">
        <v>34</v>
      </c>
      <c r="B712" t="s">
        <v>78</v>
      </c>
      <c r="C712" t="s">
        <v>88</v>
      </c>
      <c r="D712" t="s">
        <v>99</v>
      </c>
      <c r="E712" t="s">
        <v>124</v>
      </c>
      <c r="F712" t="s">
        <v>125</v>
      </c>
      <c r="G712" t="s">
        <v>114</v>
      </c>
      <c r="H712" t="s">
        <v>120</v>
      </c>
      <c r="I712">
        <v>15</v>
      </c>
      <c r="J712" s="11">
        <v>2788</v>
      </c>
      <c r="K712">
        <v>24</v>
      </c>
      <c r="L712" t="str" cm="1">
        <f t="array" ref="L712">_xlfn.IFS(J712&gt;5000,"Hight",J712&gt;2000,"Medium",TRUE,"Low")</f>
        <v>Medium</v>
      </c>
      <c r="M712" t="str" cm="1">
        <f t="array" ref="M712">_xlfn.IFS(I712&lt;12,"Low-Term",I712&gt;=36,"Long-Term",TRUE,"Medium-Term")</f>
        <v>Medium-Term</v>
      </c>
      <c r="N712" t="str" cm="1">
        <f t="array" ref="N712">_xlfn.IFS(A712="Bad", "Review Required", AND(A712="Good",J712&gt;7000),"VIP Client", AND(A712="Good", J712&lt;=7000),"Standart Client")</f>
        <v>Standart Client</v>
      </c>
    </row>
    <row r="713" spans="1:14" x14ac:dyDescent="0.3">
      <c r="A713" t="s">
        <v>34</v>
      </c>
      <c r="B713" t="s">
        <v>77</v>
      </c>
      <c r="C713" t="s">
        <v>89</v>
      </c>
      <c r="D713" t="s">
        <v>99</v>
      </c>
      <c r="E713" t="s">
        <v>124</v>
      </c>
      <c r="F713" t="s">
        <v>125</v>
      </c>
      <c r="G713" t="s">
        <v>114</v>
      </c>
      <c r="H713" t="s">
        <v>120</v>
      </c>
      <c r="I713">
        <v>12</v>
      </c>
      <c r="J713" s="11">
        <v>2930</v>
      </c>
      <c r="K713">
        <v>27</v>
      </c>
      <c r="L713" t="str" cm="1">
        <f t="array" ref="L713">_xlfn.IFS(J713&gt;5000,"Hight",J713&gt;2000,"Medium",TRUE,"Low")</f>
        <v>Medium</v>
      </c>
      <c r="M713" t="str" cm="1">
        <f t="array" ref="M713">_xlfn.IFS(I713&lt;12,"Low-Term",I713&gt;=36,"Long-Term",TRUE,"Medium-Term")</f>
        <v>Medium-Term</v>
      </c>
      <c r="N713" t="str" cm="1">
        <f t="array" ref="N713">_xlfn.IFS(A713="Bad", "Review Required", AND(A713="Good",J713&gt;7000),"VIP Client", AND(A713="Good", J713&lt;=7000),"Standart Client")</f>
        <v>Standart Client</v>
      </c>
    </row>
    <row r="714" spans="1:14" x14ac:dyDescent="0.3">
      <c r="A714" t="s">
        <v>34</v>
      </c>
      <c r="B714" t="s">
        <v>78</v>
      </c>
      <c r="C714" t="s">
        <v>92</v>
      </c>
      <c r="D714" t="s">
        <v>78</v>
      </c>
      <c r="E714" t="s">
        <v>124</v>
      </c>
      <c r="F714" t="s">
        <v>125</v>
      </c>
      <c r="G714" t="s">
        <v>114</v>
      </c>
      <c r="H714" t="s">
        <v>120</v>
      </c>
      <c r="I714">
        <v>24</v>
      </c>
      <c r="J714" s="11">
        <v>1927</v>
      </c>
      <c r="K714">
        <v>33</v>
      </c>
      <c r="L714" t="str" cm="1">
        <f t="array" ref="L714">_xlfn.IFS(J714&gt;5000,"Hight",J714&gt;2000,"Medium",TRUE,"Low")</f>
        <v>Low</v>
      </c>
      <c r="M714" t="str" cm="1">
        <f t="array" ref="M714">_xlfn.IFS(I714&lt;12,"Low-Term",I714&gt;=36,"Long-Term",TRUE,"Medium-Term")</f>
        <v>Medium-Term</v>
      </c>
      <c r="N714" t="str" cm="1">
        <f t="array" ref="N714">_xlfn.IFS(A714="Bad", "Review Required", AND(A714="Good",J714&gt;7000),"VIP Client", AND(A714="Good", J714&lt;=7000),"Standart Client")</f>
        <v>Standart Client</v>
      </c>
    </row>
    <row r="715" spans="1:14" x14ac:dyDescent="0.3">
      <c r="A715" t="s">
        <v>34</v>
      </c>
      <c r="B715" t="s">
        <v>78</v>
      </c>
      <c r="C715" t="s">
        <v>93</v>
      </c>
      <c r="D715" t="s">
        <v>99</v>
      </c>
      <c r="E715" t="s">
        <v>122</v>
      </c>
      <c r="F715" t="s">
        <v>127</v>
      </c>
      <c r="G715" t="s">
        <v>113</v>
      </c>
      <c r="H715" t="s">
        <v>120</v>
      </c>
      <c r="I715">
        <v>24</v>
      </c>
      <c r="J715" s="11">
        <v>937</v>
      </c>
      <c r="K715">
        <v>27</v>
      </c>
      <c r="L715" t="str" cm="1">
        <f t="array" ref="L715">_xlfn.IFS(J715&gt;5000,"Hight",J715&gt;2000,"Medium",TRUE,"Low")</f>
        <v>Low</v>
      </c>
      <c r="M715" t="str" cm="1">
        <f t="array" ref="M715">_xlfn.IFS(I715&lt;12,"Low-Term",I715&gt;=36,"Long-Term",TRUE,"Medium-Term")</f>
        <v>Medium-Term</v>
      </c>
      <c r="N715" t="str" cm="1">
        <f t="array" ref="N715">_xlfn.IFS(A715="Bad", "Review Required", AND(A715="Good",J715&gt;7000),"VIP Client", AND(A715="Good", J715&lt;=7000),"Standart Client")</f>
        <v>Standart Client</v>
      </c>
    </row>
    <row r="716" spans="1:14" x14ac:dyDescent="0.3">
      <c r="A716" t="s">
        <v>34</v>
      </c>
      <c r="B716" t="s">
        <v>77</v>
      </c>
      <c r="C716" t="s">
        <v>86</v>
      </c>
      <c r="D716" t="s">
        <v>99</v>
      </c>
      <c r="E716" t="s">
        <v>122</v>
      </c>
      <c r="F716" t="s">
        <v>123</v>
      </c>
      <c r="G716" t="s">
        <v>113</v>
      </c>
      <c r="H716" t="s">
        <v>120</v>
      </c>
      <c r="I716">
        <v>12</v>
      </c>
      <c r="J716" s="11">
        <v>3124</v>
      </c>
      <c r="K716">
        <v>49</v>
      </c>
      <c r="L716" t="str" cm="1">
        <f t="array" ref="L716">_xlfn.IFS(J716&gt;5000,"Hight",J716&gt;2000,"Medium",TRUE,"Low")</f>
        <v>Medium</v>
      </c>
      <c r="M716" t="str" cm="1">
        <f t="array" ref="M716">_xlfn.IFS(I716&lt;12,"Low-Term",I716&gt;=36,"Long-Term",TRUE,"Medium-Term")</f>
        <v>Medium-Term</v>
      </c>
      <c r="N716" t="str" cm="1">
        <f t="array" ref="N716">_xlfn.IFS(A716="Bad", "Review Required", AND(A716="Good",J716&gt;7000),"VIP Client", AND(A716="Good", J716&lt;=7000),"Standart Client")</f>
        <v>Standart Client</v>
      </c>
    </row>
    <row r="717" spans="1:14" x14ac:dyDescent="0.3">
      <c r="A717" t="s">
        <v>34</v>
      </c>
      <c r="B717" t="s">
        <v>78</v>
      </c>
      <c r="C717" t="s">
        <v>88</v>
      </c>
      <c r="D717" t="s">
        <v>99</v>
      </c>
      <c r="E717" t="s">
        <v>124</v>
      </c>
      <c r="F717" t="s">
        <v>125</v>
      </c>
      <c r="G717" t="s">
        <v>114</v>
      </c>
      <c r="H717" t="s">
        <v>119</v>
      </c>
      <c r="I717">
        <v>9</v>
      </c>
      <c r="J717" s="11">
        <v>1388</v>
      </c>
      <c r="K717">
        <v>26</v>
      </c>
      <c r="L717" t="str" cm="1">
        <f t="array" ref="L717">_xlfn.IFS(J717&gt;5000,"Hight",J717&gt;2000,"Medium",TRUE,"Low")</f>
        <v>Low</v>
      </c>
      <c r="M717" t="str" cm="1">
        <f t="array" ref="M717">_xlfn.IFS(I717&lt;12,"Low-Term",I717&gt;=36,"Long-Term",TRUE,"Medium-Term")</f>
        <v>Low-Term</v>
      </c>
      <c r="N717" t="str" cm="1">
        <f t="array" ref="N717">_xlfn.IFS(A717="Bad", "Review Required", AND(A717="Good",J717&gt;7000),"VIP Client", AND(A717="Good", J717&lt;=7000),"Standart Client")</f>
        <v>Standart Client</v>
      </c>
    </row>
    <row r="718" spans="1:14" x14ac:dyDescent="0.3">
      <c r="A718" t="s">
        <v>34</v>
      </c>
      <c r="B718" t="s">
        <v>78</v>
      </c>
      <c r="C718" t="s">
        <v>86</v>
      </c>
      <c r="D718" t="s">
        <v>78</v>
      </c>
      <c r="E718" t="s">
        <v>124</v>
      </c>
      <c r="F718" t="s">
        <v>125</v>
      </c>
      <c r="G718" t="s">
        <v>115</v>
      </c>
      <c r="H718" t="s">
        <v>121</v>
      </c>
      <c r="I718">
        <v>12</v>
      </c>
      <c r="J718" s="11">
        <v>2133</v>
      </c>
      <c r="K718">
        <v>52</v>
      </c>
      <c r="L718" t="str" cm="1">
        <f t="array" ref="L718">_xlfn.IFS(J718&gt;5000,"Hight",J718&gt;2000,"Medium",TRUE,"Low")</f>
        <v>Medium</v>
      </c>
      <c r="M718" t="str" cm="1">
        <f t="array" ref="M718">_xlfn.IFS(I718&lt;12,"Low-Term",I718&gt;=36,"Long-Term",TRUE,"Medium-Term")</f>
        <v>Medium-Term</v>
      </c>
      <c r="N718" t="str" cm="1">
        <f t="array" ref="N718">_xlfn.IFS(A718="Bad", "Review Required", AND(A718="Good",J718&gt;7000),"VIP Client", AND(A718="Good", J718&lt;=7000),"Standart Client")</f>
        <v>Standart Client</v>
      </c>
    </row>
    <row r="719" spans="1:14" x14ac:dyDescent="0.3">
      <c r="A719" t="s">
        <v>34</v>
      </c>
      <c r="B719" t="s">
        <v>80</v>
      </c>
      <c r="C719" t="s">
        <v>86</v>
      </c>
      <c r="D719" t="s">
        <v>99</v>
      </c>
      <c r="E719" t="s">
        <v>122</v>
      </c>
      <c r="F719" t="s">
        <v>123</v>
      </c>
      <c r="G719" t="s">
        <v>114</v>
      </c>
      <c r="H719" t="s">
        <v>119</v>
      </c>
      <c r="I719">
        <v>9</v>
      </c>
      <c r="J719" s="11">
        <v>2799</v>
      </c>
      <c r="K719">
        <v>36</v>
      </c>
      <c r="L719" t="str" cm="1">
        <f t="array" ref="L719">_xlfn.IFS(J719&gt;5000,"Hight",J719&gt;2000,"Medium",TRUE,"Low")</f>
        <v>Medium</v>
      </c>
      <c r="M719" t="str" cm="1">
        <f t="array" ref="M719">_xlfn.IFS(I719&lt;12,"Low-Term",I719&gt;=36,"Long-Term",TRUE,"Medium-Term")</f>
        <v>Low-Term</v>
      </c>
      <c r="N719" t="str" cm="1">
        <f t="array" ref="N719">_xlfn.IFS(A719="Bad", "Review Required", AND(A719="Good",J719&gt;7000),"VIP Client", AND(A719="Good", J719&lt;=7000),"Standart Client")</f>
        <v>Standart Client</v>
      </c>
    </row>
    <row r="720" spans="1:14" x14ac:dyDescent="0.3">
      <c r="A720" t="s">
        <v>34</v>
      </c>
      <c r="B720" t="s">
        <v>80</v>
      </c>
      <c r="C720" t="s">
        <v>88</v>
      </c>
      <c r="D720" t="s">
        <v>99</v>
      </c>
      <c r="E720" t="s">
        <v>122</v>
      </c>
      <c r="F720" t="s">
        <v>123</v>
      </c>
      <c r="G720" t="s">
        <v>113</v>
      </c>
      <c r="H720" t="s">
        <v>120</v>
      </c>
      <c r="I720">
        <v>12</v>
      </c>
      <c r="J720" s="11">
        <v>1289</v>
      </c>
      <c r="K720">
        <v>21</v>
      </c>
      <c r="L720" t="str" cm="1">
        <f t="array" ref="L720">_xlfn.IFS(J720&gt;5000,"Hight",J720&gt;2000,"Medium",TRUE,"Low")</f>
        <v>Low</v>
      </c>
      <c r="M720" t="str" cm="1">
        <f t="array" ref="M720">_xlfn.IFS(I720&lt;12,"Low-Term",I720&gt;=36,"Long-Term",TRUE,"Medium-Term")</f>
        <v>Medium-Term</v>
      </c>
      <c r="N720" t="str" cm="1">
        <f t="array" ref="N720">_xlfn.IFS(A720="Bad", "Review Required", AND(A720="Good",J720&gt;7000),"VIP Client", AND(A720="Good", J720&lt;=7000),"Standart Client")</f>
        <v>Standart Client</v>
      </c>
    </row>
    <row r="721" spans="1:14" x14ac:dyDescent="0.3">
      <c r="A721" t="s">
        <v>34</v>
      </c>
      <c r="B721" t="s">
        <v>80</v>
      </c>
      <c r="C721" t="s">
        <v>89</v>
      </c>
      <c r="D721" t="s">
        <v>99</v>
      </c>
      <c r="E721" t="s">
        <v>124</v>
      </c>
      <c r="F721" t="s">
        <v>125</v>
      </c>
      <c r="G721" t="s">
        <v>113</v>
      </c>
      <c r="H721" t="s">
        <v>120</v>
      </c>
      <c r="I721">
        <v>12</v>
      </c>
      <c r="J721" s="11">
        <v>385</v>
      </c>
      <c r="K721">
        <v>58</v>
      </c>
      <c r="L721" t="str" cm="1">
        <f t="array" ref="L721">_xlfn.IFS(J721&gt;5000,"Hight",J721&gt;2000,"Medium",TRUE,"Low")</f>
        <v>Low</v>
      </c>
      <c r="M721" t="str" cm="1">
        <f t="array" ref="M721">_xlfn.IFS(I721&lt;12,"Low-Term",I721&gt;=36,"Long-Term",TRUE,"Medium-Term")</f>
        <v>Medium-Term</v>
      </c>
      <c r="N721" t="str" cm="1">
        <f t="array" ref="N721">_xlfn.IFS(A721="Bad", "Review Required", AND(A721="Good",J721&gt;7000),"VIP Client", AND(A721="Good", J721&lt;=7000),"Standart Client")</f>
        <v>Standart Client</v>
      </c>
    </row>
    <row r="722" spans="1:14" x14ac:dyDescent="0.3">
      <c r="A722" t="s">
        <v>34</v>
      </c>
      <c r="B722" t="s">
        <v>77</v>
      </c>
      <c r="C722" t="s">
        <v>86</v>
      </c>
      <c r="D722" t="s">
        <v>78</v>
      </c>
      <c r="E722" t="s">
        <v>124</v>
      </c>
      <c r="F722" t="s">
        <v>125</v>
      </c>
      <c r="G722" t="s">
        <v>114</v>
      </c>
      <c r="H722" t="s">
        <v>119</v>
      </c>
      <c r="I722">
        <v>24</v>
      </c>
      <c r="J722" s="11">
        <v>1965</v>
      </c>
      <c r="K722">
        <v>42</v>
      </c>
      <c r="L722" t="str" cm="1">
        <f t="array" ref="L722">_xlfn.IFS(J722&gt;5000,"Hight",J722&gt;2000,"Medium",TRUE,"Low")</f>
        <v>Low</v>
      </c>
      <c r="M722" t="str" cm="1">
        <f t="array" ref="M722">_xlfn.IFS(I722&lt;12,"Low-Term",I722&gt;=36,"Long-Term",TRUE,"Medium-Term")</f>
        <v>Medium-Term</v>
      </c>
      <c r="N722" t="str" cm="1">
        <f t="array" ref="N722">_xlfn.IFS(A722="Bad", "Review Required", AND(A722="Good",J722&gt;7000),"VIP Client", AND(A722="Good", J722&lt;=7000),"Standart Client")</f>
        <v>Standart Client</v>
      </c>
    </row>
    <row r="723" spans="1:14" x14ac:dyDescent="0.3">
      <c r="A723" t="s">
        <v>34</v>
      </c>
      <c r="B723" t="s">
        <v>78</v>
      </c>
      <c r="C723" t="s">
        <v>94</v>
      </c>
      <c r="D723" t="s">
        <v>102</v>
      </c>
      <c r="E723" t="s">
        <v>124</v>
      </c>
      <c r="F723" t="s">
        <v>125</v>
      </c>
      <c r="G723" t="s">
        <v>113</v>
      </c>
      <c r="H723" t="s">
        <v>120</v>
      </c>
      <c r="I723">
        <v>21</v>
      </c>
      <c r="J723" s="11">
        <v>1572</v>
      </c>
      <c r="K723">
        <v>36</v>
      </c>
      <c r="L723" t="str" cm="1">
        <f t="array" ref="L723">_xlfn.IFS(J723&gt;5000,"Hight",J723&gt;2000,"Medium",TRUE,"Low")</f>
        <v>Low</v>
      </c>
      <c r="M723" t="str" cm="1">
        <f t="array" ref="M723">_xlfn.IFS(I723&lt;12,"Low-Term",I723&gt;=36,"Long-Term",TRUE,"Medium-Term")</f>
        <v>Medium-Term</v>
      </c>
      <c r="N723" t="str" cm="1">
        <f t="array" ref="N723">_xlfn.IFS(A723="Bad", "Review Required", AND(A723="Good",J723&gt;7000),"VIP Client", AND(A723="Good", J723&lt;=7000),"Standart Client")</f>
        <v>Standart Client</v>
      </c>
    </row>
    <row r="724" spans="1:14" x14ac:dyDescent="0.3">
      <c r="A724" t="s">
        <v>34</v>
      </c>
      <c r="B724" t="s">
        <v>78</v>
      </c>
      <c r="C724" t="s">
        <v>94</v>
      </c>
      <c r="D724" t="s">
        <v>99</v>
      </c>
      <c r="E724" t="s">
        <v>122</v>
      </c>
      <c r="F724" t="s">
        <v>123</v>
      </c>
      <c r="G724" t="s">
        <v>114</v>
      </c>
      <c r="H724" t="s">
        <v>121</v>
      </c>
      <c r="I724">
        <v>24</v>
      </c>
      <c r="J724" s="11">
        <v>3863</v>
      </c>
      <c r="K724">
        <v>32</v>
      </c>
      <c r="L724" t="str" cm="1">
        <f t="array" ref="L724">_xlfn.IFS(J724&gt;5000,"Hight",J724&gt;2000,"Medium",TRUE,"Low")</f>
        <v>Medium</v>
      </c>
      <c r="M724" t="str" cm="1">
        <f t="array" ref="M724">_xlfn.IFS(I724&lt;12,"Low-Term",I724&gt;=36,"Long-Term",TRUE,"Medium-Term")</f>
        <v>Medium-Term</v>
      </c>
      <c r="N724" t="str" cm="1">
        <f t="array" ref="N724">_xlfn.IFS(A724="Bad", "Review Required", AND(A724="Good",J724&gt;7000),"VIP Client", AND(A724="Good", J724&lt;=7000),"Standart Client")</f>
        <v>Standart Client</v>
      </c>
    </row>
    <row r="725" spans="1:14" x14ac:dyDescent="0.3">
      <c r="A725" t="s">
        <v>34</v>
      </c>
      <c r="B725" t="s">
        <v>77</v>
      </c>
      <c r="C725" t="s">
        <v>89</v>
      </c>
      <c r="D725" t="s">
        <v>99</v>
      </c>
      <c r="E725" t="s">
        <v>124</v>
      </c>
      <c r="F725" t="s">
        <v>125</v>
      </c>
      <c r="G725" t="s">
        <v>114</v>
      </c>
      <c r="H725" t="s">
        <v>120</v>
      </c>
      <c r="I725">
        <v>7</v>
      </c>
      <c r="J725" s="11">
        <v>2329</v>
      </c>
      <c r="K725">
        <v>45</v>
      </c>
      <c r="L725" t="str" cm="1">
        <f t="array" ref="L725">_xlfn.IFS(J725&gt;5000,"Hight",J725&gt;2000,"Medium",TRUE,"Low")</f>
        <v>Medium</v>
      </c>
      <c r="M725" t="str" cm="1">
        <f t="array" ref="M725">_xlfn.IFS(I725&lt;12,"Low-Term",I725&gt;=36,"Long-Term",TRUE,"Medium-Term")</f>
        <v>Low-Term</v>
      </c>
      <c r="N725" t="str" cm="1">
        <f t="array" ref="N725">_xlfn.IFS(A725="Bad", "Review Required", AND(A725="Good",J725&gt;7000),"VIP Client", AND(A725="Good", J725&lt;=7000),"Standart Client")</f>
        <v>Standart Client</v>
      </c>
    </row>
    <row r="726" spans="1:14" x14ac:dyDescent="0.3">
      <c r="A726" t="s">
        <v>34</v>
      </c>
      <c r="B726" t="s">
        <v>81</v>
      </c>
      <c r="C726" t="s">
        <v>88</v>
      </c>
      <c r="D726" t="s">
        <v>99</v>
      </c>
      <c r="E726" t="s">
        <v>124</v>
      </c>
      <c r="F726" t="s">
        <v>125</v>
      </c>
      <c r="G726" t="s">
        <v>114</v>
      </c>
      <c r="H726" t="s">
        <v>120</v>
      </c>
      <c r="I726">
        <v>10</v>
      </c>
      <c r="J726" s="11">
        <v>1275</v>
      </c>
      <c r="K726">
        <v>23</v>
      </c>
      <c r="L726" t="str" cm="1">
        <f t="array" ref="L726">_xlfn.IFS(J726&gt;5000,"Hight",J726&gt;2000,"Medium",TRUE,"Low")</f>
        <v>Low</v>
      </c>
      <c r="M726" t="str" cm="1">
        <f t="array" ref="M726">_xlfn.IFS(I726&lt;12,"Low-Term",I726&gt;=36,"Long-Term",TRUE,"Medium-Term")</f>
        <v>Low-Term</v>
      </c>
      <c r="N726" t="str" cm="1">
        <f t="array" ref="N726">_xlfn.IFS(A726="Bad", "Review Required", AND(A726="Good",J726&gt;7000),"VIP Client", AND(A726="Good", J726&lt;=7000),"Standart Client")</f>
        <v>Standart Client</v>
      </c>
    </row>
    <row r="727" spans="1:14" x14ac:dyDescent="0.3">
      <c r="A727" t="s">
        <v>34</v>
      </c>
      <c r="B727" t="s">
        <v>80</v>
      </c>
      <c r="C727" t="s">
        <v>88</v>
      </c>
      <c r="D727" t="s">
        <v>101</v>
      </c>
      <c r="E727" t="s">
        <v>122</v>
      </c>
      <c r="F727" t="s">
        <v>123</v>
      </c>
      <c r="G727" t="s">
        <v>114</v>
      </c>
      <c r="H727" t="s">
        <v>120</v>
      </c>
      <c r="I727">
        <v>24</v>
      </c>
      <c r="J727" s="11">
        <v>2828</v>
      </c>
      <c r="K727">
        <v>22</v>
      </c>
      <c r="L727" t="str" cm="1">
        <f t="array" ref="L727">_xlfn.IFS(J727&gt;5000,"Hight",J727&gt;2000,"Medium",TRUE,"Low")</f>
        <v>Medium</v>
      </c>
      <c r="M727" t="str" cm="1">
        <f t="array" ref="M727">_xlfn.IFS(I727&lt;12,"Low-Term",I727&gt;=36,"Long-Term",TRUE,"Medium-Term")</f>
        <v>Medium-Term</v>
      </c>
      <c r="N727" t="str" cm="1">
        <f t="array" ref="N727">_xlfn.IFS(A727="Bad", "Review Required", AND(A727="Good",J727&gt;7000),"VIP Client", AND(A727="Good", J727&lt;=7000),"Standart Client")</f>
        <v>Standart Client</v>
      </c>
    </row>
    <row r="728" spans="1:14" x14ac:dyDescent="0.3">
      <c r="A728" t="s">
        <v>34</v>
      </c>
      <c r="B728" t="s">
        <v>78</v>
      </c>
      <c r="C728" t="s">
        <v>94</v>
      </c>
      <c r="D728" t="s">
        <v>99</v>
      </c>
      <c r="E728" t="s">
        <v>122</v>
      </c>
      <c r="F728" t="s">
        <v>123</v>
      </c>
      <c r="G728" t="s">
        <v>115</v>
      </c>
      <c r="H728" t="s">
        <v>120</v>
      </c>
      <c r="I728">
        <v>24</v>
      </c>
      <c r="J728" s="11">
        <v>4526</v>
      </c>
      <c r="K728">
        <v>74</v>
      </c>
      <c r="L728" t="str" cm="1">
        <f t="array" ref="L728">_xlfn.IFS(J728&gt;5000,"Hight",J728&gt;2000,"Medium",TRUE,"Low")</f>
        <v>Medium</v>
      </c>
      <c r="M728" t="str" cm="1">
        <f t="array" ref="M728">_xlfn.IFS(I728&lt;12,"Low-Term",I728&gt;=36,"Long-Term",TRUE,"Medium-Term")</f>
        <v>Medium-Term</v>
      </c>
      <c r="N728" t="str" cm="1">
        <f t="array" ref="N728">_xlfn.IFS(A728="Bad", "Review Required", AND(A728="Good",J728&gt;7000),"VIP Client", AND(A728="Good", J728&lt;=7000),"Standart Client")</f>
        <v>Standart Client</v>
      </c>
    </row>
    <row r="729" spans="1:14" x14ac:dyDescent="0.3">
      <c r="A729" t="s">
        <v>34</v>
      </c>
      <c r="B729" t="s">
        <v>78</v>
      </c>
      <c r="C729" t="s">
        <v>89</v>
      </c>
      <c r="D729" t="s">
        <v>99</v>
      </c>
      <c r="E729" t="s">
        <v>122</v>
      </c>
      <c r="F729" t="s">
        <v>123</v>
      </c>
      <c r="G729" t="s">
        <v>114</v>
      </c>
      <c r="H729" t="s">
        <v>120</v>
      </c>
      <c r="I729">
        <v>18</v>
      </c>
      <c r="J729" s="11">
        <v>2051</v>
      </c>
      <c r="K729">
        <v>33</v>
      </c>
      <c r="L729" t="str" cm="1">
        <f t="array" ref="L729">_xlfn.IFS(J729&gt;5000,"Hight",J729&gt;2000,"Medium",TRUE,"Low")</f>
        <v>Medium</v>
      </c>
      <c r="M729" t="str" cm="1">
        <f t="array" ref="M729">_xlfn.IFS(I729&lt;12,"Low-Term",I729&gt;=36,"Long-Term",TRUE,"Medium-Term")</f>
        <v>Medium-Term</v>
      </c>
      <c r="N729" t="str" cm="1">
        <f t="array" ref="N729">_xlfn.IFS(A729="Bad", "Review Required", AND(A729="Good",J729&gt;7000),"VIP Client", AND(A729="Good", J729&lt;=7000),"Standart Client")</f>
        <v>Standart Client</v>
      </c>
    </row>
    <row r="730" spans="1:14" x14ac:dyDescent="0.3">
      <c r="A730" t="s">
        <v>34</v>
      </c>
      <c r="B730" t="s">
        <v>78</v>
      </c>
      <c r="C730" t="s">
        <v>87</v>
      </c>
      <c r="D730" t="s">
        <v>78</v>
      </c>
      <c r="E730" t="s">
        <v>122</v>
      </c>
      <c r="F730" t="s">
        <v>123</v>
      </c>
      <c r="G730" t="s">
        <v>114</v>
      </c>
      <c r="H730" t="s">
        <v>121</v>
      </c>
      <c r="I730">
        <v>15</v>
      </c>
      <c r="J730" s="11">
        <v>1300</v>
      </c>
      <c r="K730">
        <v>45</v>
      </c>
      <c r="L730" t="str" cm="1">
        <f t="array" ref="L730">_xlfn.IFS(J730&gt;5000,"Hight",J730&gt;2000,"Medium",TRUE,"Low")</f>
        <v>Low</v>
      </c>
      <c r="M730" t="str" cm="1">
        <f t="array" ref="M730">_xlfn.IFS(I730&lt;12,"Low-Term",I730&gt;=36,"Long-Term",TRUE,"Medium-Term")</f>
        <v>Medium-Term</v>
      </c>
      <c r="N730" t="str" cm="1">
        <f t="array" ref="N730">_xlfn.IFS(A730="Bad", "Review Required", AND(A730="Good",J730&gt;7000),"VIP Client", AND(A730="Good", J730&lt;=7000),"Standart Client")</f>
        <v>Standart Client</v>
      </c>
    </row>
    <row r="731" spans="1:14" x14ac:dyDescent="0.3">
      <c r="A731" t="s">
        <v>34</v>
      </c>
      <c r="B731" t="s">
        <v>80</v>
      </c>
      <c r="C731" t="s">
        <v>89</v>
      </c>
      <c r="D731" t="s">
        <v>102</v>
      </c>
      <c r="E731" t="s">
        <v>124</v>
      </c>
      <c r="F731" t="s">
        <v>125</v>
      </c>
      <c r="G731" t="s">
        <v>114</v>
      </c>
      <c r="H731" t="s">
        <v>120</v>
      </c>
      <c r="I731">
        <v>21</v>
      </c>
      <c r="J731" s="11">
        <v>3357</v>
      </c>
      <c r="K731">
        <v>29</v>
      </c>
      <c r="L731" t="str" cm="1">
        <f t="array" ref="L731">_xlfn.IFS(J731&gt;5000,"Hight",J731&gt;2000,"Medium",TRUE,"Low")</f>
        <v>Medium</v>
      </c>
      <c r="M731" t="str" cm="1">
        <f t="array" ref="M731">_xlfn.IFS(I731&lt;12,"Low-Term",I731&gt;=36,"Long-Term",TRUE,"Medium-Term")</f>
        <v>Medium-Term</v>
      </c>
      <c r="N731" t="str" cm="1">
        <f t="array" ref="N731">_xlfn.IFS(A731="Bad", "Review Required", AND(A731="Good",J731&gt;7000),"VIP Client", AND(A731="Good", J731&lt;=7000),"Standart Client")</f>
        <v>Standart Client</v>
      </c>
    </row>
    <row r="732" spans="1:14" x14ac:dyDescent="0.3">
      <c r="A732" t="s">
        <v>34</v>
      </c>
      <c r="B732" t="s">
        <v>80</v>
      </c>
      <c r="C732" t="s">
        <v>87</v>
      </c>
      <c r="D732" t="s">
        <v>99</v>
      </c>
      <c r="E732" t="s">
        <v>124</v>
      </c>
      <c r="F732" t="s">
        <v>125</v>
      </c>
      <c r="G732" t="s">
        <v>114</v>
      </c>
      <c r="H732" t="s">
        <v>119</v>
      </c>
      <c r="I732">
        <v>24</v>
      </c>
      <c r="J732" s="11">
        <v>3632</v>
      </c>
      <c r="K732">
        <v>22</v>
      </c>
      <c r="L732" t="str" cm="1">
        <f t="array" ref="L732">_xlfn.IFS(J732&gt;5000,"Hight",J732&gt;2000,"Medium",TRUE,"Low")</f>
        <v>Medium</v>
      </c>
      <c r="M732" t="str" cm="1">
        <f t="array" ref="M732">_xlfn.IFS(I732&lt;12,"Low-Term",I732&gt;=36,"Long-Term",TRUE,"Medium-Term")</f>
        <v>Medium-Term</v>
      </c>
      <c r="N732" t="str" cm="1">
        <f t="array" ref="N732">_xlfn.IFS(A732="Bad", "Review Required", AND(A732="Good",J732&gt;7000),"VIP Client", AND(A732="Good", J732&lt;=7000),"Standart Client")</f>
        <v>Standart Client</v>
      </c>
    </row>
    <row r="733" spans="1:14" x14ac:dyDescent="0.3">
      <c r="A733" t="s">
        <v>34</v>
      </c>
      <c r="B733" t="s">
        <v>77</v>
      </c>
      <c r="C733" t="s">
        <v>94</v>
      </c>
      <c r="D733" t="s">
        <v>78</v>
      </c>
      <c r="E733" t="s">
        <v>122</v>
      </c>
      <c r="F733" t="s">
        <v>123</v>
      </c>
      <c r="G733" t="s">
        <v>115</v>
      </c>
      <c r="H733" t="s">
        <v>120</v>
      </c>
      <c r="I733">
        <v>48</v>
      </c>
      <c r="J733" s="11">
        <v>12204</v>
      </c>
      <c r="K733">
        <v>48</v>
      </c>
      <c r="L733" t="str" cm="1">
        <f t="array" ref="L733">_xlfn.IFS(J733&gt;5000,"Hight",J733&gt;2000,"Medium",TRUE,"Low")</f>
        <v>Hight</v>
      </c>
      <c r="M733" t="str" cm="1">
        <f t="array" ref="M733">_xlfn.IFS(I733&lt;12,"Low-Term",I733&gt;=36,"Long-Term",TRUE,"Medium-Term")</f>
        <v>Long-Term</v>
      </c>
      <c r="N733" t="str" cm="1">
        <f t="array" ref="N733">_xlfn.IFS(A733="Bad", "Review Required", AND(A733="Good",J733&gt;7000),"VIP Client", AND(A733="Good", J733&lt;=7000),"Standart Client")</f>
        <v>VIP Client</v>
      </c>
    </row>
    <row r="734" spans="1:14" x14ac:dyDescent="0.3">
      <c r="A734" t="s">
        <v>34</v>
      </c>
      <c r="B734" t="s">
        <v>77</v>
      </c>
      <c r="C734" t="s">
        <v>89</v>
      </c>
      <c r="D734" t="s">
        <v>78</v>
      </c>
      <c r="E734" t="s">
        <v>122</v>
      </c>
      <c r="F734" t="s">
        <v>123</v>
      </c>
      <c r="G734" t="s">
        <v>115</v>
      </c>
      <c r="H734" t="s">
        <v>121</v>
      </c>
      <c r="I734">
        <v>60</v>
      </c>
      <c r="J734" s="11">
        <v>9157</v>
      </c>
      <c r="K734">
        <v>27</v>
      </c>
      <c r="L734" t="str" cm="1">
        <f t="array" ref="L734">_xlfn.IFS(J734&gt;5000,"Hight",J734&gt;2000,"Medium",TRUE,"Low")</f>
        <v>Hight</v>
      </c>
      <c r="M734" t="str" cm="1">
        <f t="array" ref="M734">_xlfn.IFS(I734&lt;12,"Low-Term",I734&gt;=36,"Long-Term",TRUE,"Medium-Term")</f>
        <v>Long-Term</v>
      </c>
      <c r="N734" t="str" cm="1">
        <f t="array" ref="N734">_xlfn.IFS(A734="Bad", "Review Required", AND(A734="Good",J734&gt;7000),"VIP Client", AND(A734="Good", J734&lt;=7000),"Standart Client")</f>
        <v>VIP Client</v>
      </c>
    </row>
    <row r="735" spans="1:14" x14ac:dyDescent="0.3">
      <c r="A735" t="s">
        <v>34</v>
      </c>
      <c r="B735" t="s">
        <v>80</v>
      </c>
      <c r="C735" t="s">
        <v>86</v>
      </c>
      <c r="D735" t="s">
        <v>99</v>
      </c>
      <c r="E735" t="s">
        <v>122</v>
      </c>
      <c r="F735" t="s">
        <v>123</v>
      </c>
      <c r="G735" t="s">
        <v>114</v>
      </c>
      <c r="H735" t="s">
        <v>119</v>
      </c>
      <c r="I735">
        <v>6</v>
      </c>
      <c r="J735" s="11">
        <v>3676</v>
      </c>
      <c r="K735">
        <v>37</v>
      </c>
      <c r="L735" t="str" cm="1">
        <f t="array" ref="L735">_xlfn.IFS(J735&gt;5000,"Hight",J735&gt;2000,"Medium",TRUE,"Low")</f>
        <v>Medium</v>
      </c>
      <c r="M735" t="str" cm="1">
        <f t="array" ref="M735">_xlfn.IFS(I735&lt;12,"Low-Term",I735&gt;=36,"Long-Term",TRUE,"Medium-Term")</f>
        <v>Low-Term</v>
      </c>
      <c r="N735" t="str" cm="1">
        <f t="array" ref="N735">_xlfn.IFS(A735="Bad", "Review Required", AND(A735="Good",J735&gt;7000),"VIP Client", AND(A735="Good", J735&lt;=7000),"Standart Client")</f>
        <v>Standart Client</v>
      </c>
    </row>
    <row r="736" spans="1:14" x14ac:dyDescent="0.3">
      <c r="A736" t="s">
        <v>34</v>
      </c>
      <c r="B736" t="s">
        <v>78</v>
      </c>
      <c r="C736" t="s">
        <v>86</v>
      </c>
      <c r="D736" t="s">
        <v>99</v>
      </c>
      <c r="E736" t="s">
        <v>122</v>
      </c>
      <c r="F736" t="s">
        <v>126</v>
      </c>
      <c r="G736" t="s">
        <v>113</v>
      </c>
      <c r="H736" t="s">
        <v>120</v>
      </c>
      <c r="I736">
        <v>12</v>
      </c>
      <c r="J736" s="11">
        <v>640</v>
      </c>
      <c r="K736">
        <v>49</v>
      </c>
      <c r="L736" t="str" cm="1">
        <f t="array" ref="L736">_xlfn.IFS(J736&gt;5000,"Hight",J736&gt;2000,"Medium",TRUE,"Low")</f>
        <v>Low</v>
      </c>
      <c r="M736" t="str" cm="1">
        <f t="array" ref="M736">_xlfn.IFS(I736&lt;12,"Low-Term",I736&gt;=36,"Long-Term",TRUE,"Medium-Term")</f>
        <v>Medium-Term</v>
      </c>
      <c r="N736" t="str" cm="1">
        <f t="array" ref="N736">_xlfn.IFS(A736="Bad", "Review Required", AND(A736="Good",J736&gt;7000),"VIP Client", AND(A736="Good", J736&lt;=7000),"Standart Client")</f>
        <v>Standart Client</v>
      </c>
    </row>
    <row r="737" spans="1:14" x14ac:dyDescent="0.3">
      <c r="A737" t="s">
        <v>34</v>
      </c>
      <c r="B737" t="s">
        <v>77</v>
      </c>
      <c r="C737" t="s">
        <v>94</v>
      </c>
      <c r="D737" t="s">
        <v>99</v>
      </c>
      <c r="E737" t="s">
        <v>122</v>
      </c>
      <c r="F737" t="s">
        <v>123</v>
      </c>
      <c r="G737" t="s">
        <v>114</v>
      </c>
      <c r="H737" t="s">
        <v>120</v>
      </c>
      <c r="I737">
        <v>21</v>
      </c>
      <c r="J737" s="11">
        <v>3652</v>
      </c>
      <c r="K737">
        <v>27</v>
      </c>
      <c r="L737" t="str" cm="1">
        <f t="array" ref="L737">_xlfn.IFS(J737&gt;5000,"Hight",J737&gt;2000,"Medium",TRUE,"Low")</f>
        <v>Medium</v>
      </c>
      <c r="M737" t="str" cm="1">
        <f t="array" ref="M737">_xlfn.IFS(I737&lt;12,"Low-Term",I737&gt;=36,"Long-Term",TRUE,"Medium-Term")</f>
        <v>Medium-Term</v>
      </c>
      <c r="N737" t="str" cm="1">
        <f t="array" ref="N737">_xlfn.IFS(A737="Bad", "Review Required", AND(A737="Good",J737&gt;7000),"VIP Client", AND(A737="Good", J737&lt;=7000),"Standart Client")</f>
        <v>Standart Client</v>
      </c>
    </row>
    <row r="738" spans="1:14" x14ac:dyDescent="0.3">
      <c r="A738" t="s">
        <v>34</v>
      </c>
      <c r="B738" t="s">
        <v>80</v>
      </c>
      <c r="C738" t="s">
        <v>88</v>
      </c>
      <c r="D738" t="s">
        <v>99</v>
      </c>
      <c r="E738" t="s">
        <v>124</v>
      </c>
      <c r="F738" t="s">
        <v>125</v>
      </c>
      <c r="G738" t="s">
        <v>114</v>
      </c>
      <c r="H738" t="s">
        <v>119</v>
      </c>
      <c r="I738">
        <v>12</v>
      </c>
      <c r="J738" s="11">
        <v>1858</v>
      </c>
      <c r="K738">
        <v>22</v>
      </c>
      <c r="L738" t="str" cm="1">
        <f t="array" ref="L738">_xlfn.IFS(J738&gt;5000,"Hight",J738&gt;2000,"Medium",TRUE,"Low")</f>
        <v>Low</v>
      </c>
      <c r="M738" t="str" cm="1">
        <f t="array" ref="M738">_xlfn.IFS(I738&lt;12,"Low-Term",I738&gt;=36,"Long-Term",TRUE,"Medium-Term")</f>
        <v>Medium-Term</v>
      </c>
      <c r="N738" t="str" cm="1">
        <f t="array" ref="N738">_xlfn.IFS(A738="Bad", "Review Required", AND(A738="Good",J738&gt;7000),"VIP Client", AND(A738="Good", J738&lt;=7000),"Standart Client")</f>
        <v>Standart Client</v>
      </c>
    </row>
    <row r="739" spans="1:14" x14ac:dyDescent="0.3">
      <c r="A739" t="s">
        <v>34</v>
      </c>
      <c r="B739" t="s">
        <v>78</v>
      </c>
      <c r="C739" t="s">
        <v>89</v>
      </c>
      <c r="D739" t="s">
        <v>78</v>
      </c>
      <c r="E739" t="s">
        <v>122</v>
      </c>
      <c r="F739" t="s">
        <v>123</v>
      </c>
      <c r="G739" t="s">
        <v>114</v>
      </c>
      <c r="H739" t="s">
        <v>120</v>
      </c>
      <c r="I739">
        <v>15</v>
      </c>
      <c r="J739" s="11">
        <v>1979</v>
      </c>
      <c r="K739">
        <v>35</v>
      </c>
      <c r="L739" t="str" cm="1">
        <f t="array" ref="L739">_xlfn.IFS(J739&gt;5000,"Hight",J739&gt;2000,"Medium",TRUE,"Low")</f>
        <v>Low</v>
      </c>
      <c r="M739" t="str" cm="1">
        <f t="array" ref="M739">_xlfn.IFS(I739&lt;12,"Low-Term",I739&gt;=36,"Long-Term",TRUE,"Medium-Term")</f>
        <v>Medium-Term</v>
      </c>
      <c r="N739" t="str" cm="1">
        <f t="array" ref="N739">_xlfn.IFS(A739="Bad", "Review Required", AND(A739="Good",J739&gt;7000),"VIP Client", AND(A739="Good", J739&lt;=7000),"Standart Client")</f>
        <v>Standart Client</v>
      </c>
    </row>
    <row r="740" spans="1:14" x14ac:dyDescent="0.3">
      <c r="A740" t="s">
        <v>34</v>
      </c>
      <c r="B740" t="s">
        <v>81</v>
      </c>
      <c r="C740" t="s">
        <v>88</v>
      </c>
      <c r="D740" t="s">
        <v>99</v>
      </c>
      <c r="E740" t="s">
        <v>122</v>
      </c>
      <c r="F740" t="s">
        <v>123</v>
      </c>
      <c r="G740" t="s">
        <v>114</v>
      </c>
      <c r="H740" t="s">
        <v>120</v>
      </c>
      <c r="I740">
        <v>6</v>
      </c>
      <c r="J740" s="11">
        <v>2116</v>
      </c>
      <c r="K740">
        <v>41</v>
      </c>
      <c r="L740" t="str" cm="1">
        <f t="array" ref="L740">_xlfn.IFS(J740&gt;5000,"Hight",J740&gt;2000,"Medium",TRUE,"Low")</f>
        <v>Medium</v>
      </c>
      <c r="M740" t="str" cm="1">
        <f t="array" ref="M740">_xlfn.IFS(I740&lt;12,"Low-Term",I740&gt;=36,"Long-Term",TRUE,"Medium-Term")</f>
        <v>Low-Term</v>
      </c>
      <c r="N740" t="str" cm="1">
        <f t="array" ref="N740">_xlfn.IFS(A740="Bad", "Review Required", AND(A740="Good",J740&gt;7000),"VIP Client", AND(A740="Good", J740&lt;=7000),"Standart Client")</f>
        <v>Standart Client</v>
      </c>
    </row>
    <row r="741" spans="1:14" x14ac:dyDescent="0.3">
      <c r="A741" t="s">
        <v>34</v>
      </c>
      <c r="B741" t="s">
        <v>78</v>
      </c>
      <c r="C741" t="s">
        <v>88</v>
      </c>
      <c r="D741" t="s">
        <v>101</v>
      </c>
      <c r="E741" t="s">
        <v>122</v>
      </c>
      <c r="F741" t="s">
        <v>123</v>
      </c>
      <c r="G741" t="s">
        <v>114</v>
      </c>
      <c r="H741" t="s">
        <v>120</v>
      </c>
      <c r="I741">
        <v>42</v>
      </c>
      <c r="J741" s="11">
        <v>4042</v>
      </c>
      <c r="K741">
        <v>36</v>
      </c>
      <c r="L741" t="str" cm="1">
        <f t="array" ref="L741">_xlfn.IFS(J741&gt;5000,"Hight",J741&gt;2000,"Medium",TRUE,"Low")</f>
        <v>Medium</v>
      </c>
      <c r="M741" t="str" cm="1">
        <f t="array" ref="M741">_xlfn.IFS(I741&lt;12,"Low-Term",I741&gt;=36,"Long-Term",TRUE,"Medium-Term")</f>
        <v>Long-Term</v>
      </c>
      <c r="N741" t="str" cm="1">
        <f t="array" ref="N741">_xlfn.IFS(A741="Bad", "Review Required", AND(A741="Good",J741&gt;7000),"VIP Client", AND(A741="Good", J741&lt;=7000),"Standart Client")</f>
        <v>Standart Client</v>
      </c>
    </row>
    <row r="742" spans="1:14" x14ac:dyDescent="0.3">
      <c r="A742" t="s">
        <v>34</v>
      </c>
      <c r="B742" t="s">
        <v>78</v>
      </c>
      <c r="C742" t="s">
        <v>92</v>
      </c>
      <c r="D742" t="s">
        <v>78</v>
      </c>
      <c r="E742" t="s">
        <v>122</v>
      </c>
      <c r="F742" t="s">
        <v>123</v>
      </c>
      <c r="G742" t="s">
        <v>113</v>
      </c>
      <c r="H742" t="s">
        <v>120</v>
      </c>
      <c r="I742">
        <v>9</v>
      </c>
      <c r="J742" s="11">
        <v>3832</v>
      </c>
      <c r="K742">
        <v>64</v>
      </c>
      <c r="L742" t="str" cm="1">
        <f t="array" ref="L742">_xlfn.IFS(J742&gt;5000,"Hight",J742&gt;2000,"Medium",TRUE,"Low")</f>
        <v>Medium</v>
      </c>
      <c r="M742" t="str" cm="1">
        <f t="array" ref="M742">_xlfn.IFS(I742&lt;12,"Low-Term",I742&gt;=36,"Long-Term",TRUE,"Medium-Term")</f>
        <v>Low-Term</v>
      </c>
      <c r="N742" t="str" cm="1">
        <f t="array" ref="N742">_xlfn.IFS(A742="Bad", "Review Required", AND(A742="Good",J742&gt;7000),"VIP Client", AND(A742="Good", J742&lt;=7000),"Standart Client")</f>
        <v>Standart Client</v>
      </c>
    </row>
    <row r="743" spans="1:14" x14ac:dyDescent="0.3">
      <c r="A743" t="s">
        <v>34</v>
      </c>
      <c r="B743" t="s">
        <v>80</v>
      </c>
      <c r="C743" t="s">
        <v>89</v>
      </c>
      <c r="D743" t="s">
        <v>99</v>
      </c>
      <c r="E743" t="s">
        <v>124</v>
      </c>
      <c r="F743" t="s">
        <v>125</v>
      </c>
      <c r="G743" t="s">
        <v>114</v>
      </c>
      <c r="H743" t="s">
        <v>120</v>
      </c>
      <c r="I743">
        <v>24</v>
      </c>
      <c r="J743" s="11">
        <v>3660</v>
      </c>
      <c r="K743">
        <v>28</v>
      </c>
      <c r="L743" t="str" cm="1">
        <f t="array" ref="L743">_xlfn.IFS(J743&gt;5000,"Hight",J743&gt;2000,"Medium",TRUE,"Low")</f>
        <v>Medium</v>
      </c>
      <c r="M743" t="str" cm="1">
        <f t="array" ref="M743">_xlfn.IFS(I743&lt;12,"Low-Term",I743&gt;=36,"Long-Term",TRUE,"Medium-Term")</f>
        <v>Medium-Term</v>
      </c>
      <c r="N743" t="str" cm="1">
        <f t="array" ref="N743">_xlfn.IFS(A743="Bad", "Review Required", AND(A743="Good",J743&gt;7000),"VIP Client", AND(A743="Good", J743&lt;=7000),"Standart Client")</f>
        <v>Standart Client</v>
      </c>
    </row>
    <row r="744" spans="1:14" x14ac:dyDescent="0.3">
      <c r="A744" t="s">
        <v>34</v>
      </c>
      <c r="B744" t="s">
        <v>77</v>
      </c>
      <c r="C744" t="s">
        <v>89</v>
      </c>
      <c r="D744" t="s">
        <v>78</v>
      </c>
      <c r="E744" t="s">
        <v>122</v>
      </c>
      <c r="F744" t="s">
        <v>123</v>
      </c>
      <c r="G744" t="s">
        <v>114</v>
      </c>
      <c r="H744" t="s">
        <v>120</v>
      </c>
      <c r="I744">
        <v>15</v>
      </c>
      <c r="J744" s="11">
        <v>1444</v>
      </c>
      <c r="K744">
        <v>23</v>
      </c>
      <c r="L744" t="str" cm="1">
        <f t="array" ref="L744">_xlfn.IFS(J744&gt;5000,"Hight",J744&gt;2000,"Medium",TRUE,"Low")</f>
        <v>Low</v>
      </c>
      <c r="M744" t="str" cm="1">
        <f t="array" ref="M744">_xlfn.IFS(I744&lt;12,"Low-Term",I744&gt;=36,"Long-Term",TRUE,"Medium-Term")</f>
        <v>Medium-Term</v>
      </c>
      <c r="N744" t="str" cm="1">
        <f t="array" ref="N744">_xlfn.IFS(A744="Bad", "Review Required", AND(A744="Good",J744&gt;7000),"VIP Client", AND(A744="Good", J744&lt;=7000),"Standart Client")</f>
        <v>Standart Client</v>
      </c>
    </row>
    <row r="745" spans="1:14" x14ac:dyDescent="0.3">
      <c r="A745" t="s">
        <v>34</v>
      </c>
      <c r="B745" t="s">
        <v>78</v>
      </c>
      <c r="C745" t="s">
        <v>92</v>
      </c>
      <c r="D745" t="s">
        <v>99</v>
      </c>
      <c r="E745" t="s">
        <v>122</v>
      </c>
      <c r="F745" t="s">
        <v>123</v>
      </c>
      <c r="G745" t="s">
        <v>114</v>
      </c>
      <c r="H745" t="s">
        <v>120</v>
      </c>
      <c r="I745">
        <v>12</v>
      </c>
      <c r="J745" s="11">
        <v>1393</v>
      </c>
      <c r="K745">
        <v>47</v>
      </c>
      <c r="L745" t="str" cm="1">
        <f t="array" ref="L745">_xlfn.IFS(J745&gt;5000,"Hight",J745&gt;2000,"Medium",TRUE,"Low")</f>
        <v>Low</v>
      </c>
      <c r="M745" t="str" cm="1">
        <f t="array" ref="M745">_xlfn.IFS(I745&lt;12,"Low-Term",I745&gt;=36,"Long-Term",TRUE,"Medium-Term")</f>
        <v>Medium-Term</v>
      </c>
      <c r="N745" t="str" cm="1">
        <f t="array" ref="N745">_xlfn.IFS(A745="Bad", "Review Required", AND(A745="Good",J745&gt;7000),"VIP Client", AND(A745="Good", J745&lt;=7000),"Standart Client")</f>
        <v>Standart Client</v>
      </c>
    </row>
    <row r="746" spans="1:14" x14ac:dyDescent="0.3">
      <c r="A746" t="s">
        <v>34</v>
      </c>
      <c r="B746" t="s">
        <v>78</v>
      </c>
      <c r="C746" t="s">
        <v>89</v>
      </c>
      <c r="D746" t="s">
        <v>101</v>
      </c>
      <c r="E746" t="s">
        <v>124</v>
      </c>
      <c r="F746" t="s">
        <v>125</v>
      </c>
      <c r="G746" t="s">
        <v>114</v>
      </c>
      <c r="H746" t="s">
        <v>120</v>
      </c>
      <c r="I746">
        <v>24</v>
      </c>
      <c r="J746" s="11">
        <v>1376</v>
      </c>
      <c r="K746">
        <v>28</v>
      </c>
      <c r="L746" t="str" cm="1">
        <f t="array" ref="L746">_xlfn.IFS(J746&gt;5000,"Hight",J746&gt;2000,"Medium",TRUE,"Low")</f>
        <v>Low</v>
      </c>
      <c r="M746" t="str" cm="1">
        <f t="array" ref="M746">_xlfn.IFS(I746&lt;12,"Low-Term",I746&gt;=36,"Long-Term",TRUE,"Medium-Term")</f>
        <v>Medium-Term</v>
      </c>
      <c r="N746" t="str" cm="1">
        <f t="array" ref="N746">_xlfn.IFS(A746="Bad", "Review Required", AND(A746="Good",J746&gt;7000),"VIP Client", AND(A746="Good", J746&lt;=7000),"Standart Client")</f>
        <v>Standart Client</v>
      </c>
    </row>
    <row r="747" spans="1:14" x14ac:dyDescent="0.3">
      <c r="A747" t="s">
        <v>34</v>
      </c>
      <c r="B747" t="s">
        <v>78</v>
      </c>
      <c r="C747" t="s">
        <v>89</v>
      </c>
      <c r="D747" t="s">
        <v>99</v>
      </c>
      <c r="E747" t="s">
        <v>122</v>
      </c>
      <c r="F747" t="s">
        <v>123</v>
      </c>
      <c r="G747" t="s">
        <v>114</v>
      </c>
      <c r="H747" t="s">
        <v>120</v>
      </c>
      <c r="I747">
        <v>60</v>
      </c>
      <c r="J747" s="11">
        <v>15653</v>
      </c>
      <c r="K747">
        <v>21</v>
      </c>
      <c r="L747" t="str" cm="1">
        <f t="array" ref="L747">_xlfn.IFS(J747&gt;5000,"Hight",J747&gt;2000,"Medium",TRUE,"Low")</f>
        <v>Hight</v>
      </c>
      <c r="M747" t="str" cm="1">
        <f t="array" ref="M747">_xlfn.IFS(I747&lt;12,"Low-Term",I747&gt;=36,"Long-Term",TRUE,"Medium-Term")</f>
        <v>Long-Term</v>
      </c>
      <c r="N747" t="str" cm="1">
        <f t="array" ref="N747">_xlfn.IFS(A747="Bad", "Review Required", AND(A747="Good",J747&gt;7000),"VIP Client", AND(A747="Good", J747&lt;=7000),"Standart Client")</f>
        <v>VIP Client</v>
      </c>
    </row>
    <row r="748" spans="1:14" x14ac:dyDescent="0.3">
      <c r="A748" t="s">
        <v>34</v>
      </c>
      <c r="B748" t="s">
        <v>78</v>
      </c>
      <c r="C748" t="s">
        <v>89</v>
      </c>
      <c r="D748" t="s">
        <v>99</v>
      </c>
      <c r="E748" t="s">
        <v>124</v>
      </c>
      <c r="F748" t="s">
        <v>125</v>
      </c>
      <c r="G748" t="s">
        <v>114</v>
      </c>
      <c r="H748" t="s">
        <v>120</v>
      </c>
      <c r="I748">
        <v>12</v>
      </c>
      <c r="J748" s="11">
        <v>1493</v>
      </c>
      <c r="K748">
        <v>34</v>
      </c>
      <c r="L748" t="str" cm="1">
        <f t="array" ref="L748">_xlfn.IFS(J748&gt;5000,"Hight",J748&gt;2000,"Medium",TRUE,"Low")</f>
        <v>Low</v>
      </c>
      <c r="M748" t="str" cm="1">
        <f t="array" ref="M748">_xlfn.IFS(I748&lt;12,"Low-Term",I748&gt;=36,"Long-Term",TRUE,"Medium-Term")</f>
        <v>Medium-Term</v>
      </c>
      <c r="N748" t="str" cm="1">
        <f t="array" ref="N748">_xlfn.IFS(A748="Bad", "Review Required", AND(A748="Good",J748&gt;7000),"VIP Client", AND(A748="Good", J748&lt;=7000),"Standart Client")</f>
        <v>Standart Client</v>
      </c>
    </row>
    <row r="749" spans="1:14" x14ac:dyDescent="0.3">
      <c r="A749" t="s">
        <v>34</v>
      </c>
      <c r="B749" t="s">
        <v>77</v>
      </c>
      <c r="C749" t="s">
        <v>91</v>
      </c>
      <c r="D749" t="s">
        <v>99</v>
      </c>
      <c r="E749" t="s">
        <v>122</v>
      </c>
      <c r="F749" t="s">
        <v>123</v>
      </c>
      <c r="G749" t="s">
        <v>113</v>
      </c>
      <c r="H749" t="s">
        <v>120</v>
      </c>
      <c r="I749">
        <v>15</v>
      </c>
      <c r="J749" s="11">
        <v>1308</v>
      </c>
      <c r="K749">
        <v>38</v>
      </c>
      <c r="L749" t="str" cm="1">
        <f t="array" ref="L749">_xlfn.IFS(J749&gt;5000,"Hight",J749&gt;2000,"Medium",TRUE,"Low")</f>
        <v>Low</v>
      </c>
      <c r="M749" t="str" cm="1">
        <f t="array" ref="M749">_xlfn.IFS(I749&lt;12,"Low-Term",I749&gt;=36,"Long-Term",TRUE,"Medium-Term")</f>
        <v>Medium-Term</v>
      </c>
      <c r="N749" t="str" cm="1">
        <f t="array" ref="N749">_xlfn.IFS(A749="Bad", "Review Required", AND(A749="Good",J749&gt;7000),"VIP Client", AND(A749="Good", J749&lt;=7000),"Standart Client")</f>
        <v>Standart Client</v>
      </c>
    </row>
    <row r="750" spans="1:14" x14ac:dyDescent="0.3">
      <c r="A750" t="s">
        <v>34</v>
      </c>
      <c r="B750" t="s">
        <v>78</v>
      </c>
      <c r="C750" t="s">
        <v>89</v>
      </c>
      <c r="D750" t="s">
        <v>99</v>
      </c>
      <c r="E750" t="s">
        <v>122</v>
      </c>
      <c r="F750" t="s">
        <v>127</v>
      </c>
      <c r="G750" t="s">
        <v>114</v>
      </c>
      <c r="H750" t="s">
        <v>120</v>
      </c>
      <c r="I750">
        <v>24</v>
      </c>
      <c r="J750" s="11">
        <v>1851</v>
      </c>
      <c r="K750">
        <v>33</v>
      </c>
      <c r="L750" t="str" cm="1">
        <f t="array" ref="L750">_xlfn.IFS(J750&gt;5000,"Hight",J750&gt;2000,"Medium",TRUE,"Low")</f>
        <v>Low</v>
      </c>
      <c r="M750" t="str" cm="1">
        <f t="array" ref="M750">_xlfn.IFS(I750&lt;12,"Low-Term",I750&gt;=36,"Long-Term",TRUE,"Medium-Term")</f>
        <v>Medium-Term</v>
      </c>
      <c r="N750" t="str" cm="1">
        <f t="array" ref="N750">_xlfn.IFS(A750="Bad", "Review Required", AND(A750="Good",J750&gt;7000),"VIP Client", AND(A750="Good", J750&lt;=7000),"Standart Client")</f>
        <v>Standart Client</v>
      </c>
    </row>
    <row r="751" spans="1:14" x14ac:dyDescent="0.3">
      <c r="A751" t="s">
        <v>34</v>
      </c>
      <c r="B751" t="s">
        <v>80</v>
      </c>
      <c r="C751" t="s">
        <v>89</v>
      </c>
      <c r="D751" t="s">
        <v>99</v>
      </c>
      <c r="E751" t="s">
        <v>122</v>
      </c>
      <c r="F751" t="s">
        <v>127</v>
      </c>
      <c r="G751" t="s">
        <v>115</v>
      </c>
      <c r="H751" t="s">
        <v>120</v>
      </c>
      <c r="I751">
        <v>18</v>
      </c>
      <c r="J751" s="11">
        <v>1880</v>
      </c>
      <c r="K751">
        <v>32</v>
      </c>
      <c r="L751" t="str" cm="1">
        <f t="array" ref="L751">_xlfn.IFS(J751&gt;5000,"Hight",J751&gt;2000,"Medium",TRUE,"Low")</f>
        <v>Low</v>
      </c>
      <c r="M751" t="str" cm="1">
        <f t="array" ref="M751">_xlfn.IFS(I751&lt;12,"Low-Term",I751&gt;=36,"Long-Term",TRUE,"Medium-Term")</f>
        <v>Medium-Term</v>
      </c>
      <c r="N751" t="str" cm="1">
        <f t="array" ref="N751">_xlfn.IFS(A751="Bad", "Review Required", AND(A751="Good",J751&gt;7000),"VIP Client", AND(A751="Good", J751&lt;=7000),"Standart Client")</f>
        <v>Standart Client</v>
      </c>
    </row>
    <row r="752" spans="1:14" x14ac:dyDescent="0.3">
      <c r="A752" t="s">
        <v>34</v>
      </c>
      <c r="B752" t="s">
        <v>80</v>
      </c>
      <c r="C752" t="s">
        <v>88</v>
      </c>
      <c r="D752" t="s">
        <v>99</v>
      </c>
      <c r="E752" t="s">
        <v>122</v>
      </c>
      <c r="F752" t="s">
        <v>126</v>
      </c>
      <c r="G752" t="s">
        <v>114</v>
      </c>
      <c r="H752" t="s">
        <v>120</v>
      </c>
      <c r="I752">
        <v>30</v>
      </c>
      <c r="J752" s="11">
        <v>4583</v>
      </c>
      <c r="K752">
        <v>32</v>
      </c>
      <c r="L752" t="str" cm="1">
        <f t="array" ref="L752">_xlfn.IFS(J752&gt;5000,"Hight",J752&gt;2000,"Medium",TRUE,"Low")</f>
        <v>Medium</v>
      </c>
      <c r="M752" t="str" cm="1">
        <f t="array" ref="M752">_xlfn.IFS(I752&lt;12,"Low-Term",I752&gt;=36,"Long-Term",TRUE,"Medium-Term")</f>
        <v>Medium-Term</v>
      </c>
      <c r="N752" t="str" cm="1">
        <f t="array" ref="N752">_xlfn.IFS(A752="Bad", "Review Required", AND(A752="Good",J752&gt;7000),"VIP Client", AND(A752="Good", J752&lt;=7000),"Standart Client")</f>
        <v>Standart Client</v>
      </c>
    </row>
    <row r="753" spans="1:14" x14ac:dyDescent="0.3">
      <c r="A753" t="s">
        <v>34</v>
      </c>
      <c r="B753" t="s">
        <v>80</v>
      </c>
      <c r="C753" t="s">
        <v>92</v>
      </c>
      <c r="D753" t="s">
        <v>99</v>
      </c>
      <c r="E753" t="s">
        <v>122</v>
      </c>
      <c r="F753" t="s">
        <v>123</v>
      </c>
      <c r="G753" t="s">
        <v>115</v>
      </c>
      <c r="H753" t="s">
        <v>121</v>
      </c>
      <c r="I753">
        <v>48</v>
      </c>
      <c r="J753" s="11">
        <v>7476</v>
      </c>
      <c r="K753">
        <v>50</v>
      </c>
      <c r="L753" t="str" cm="1">
        <f t="array" ref="L753">_xlfn.IFS(J753&gt;5000,"Hight",J753&gt;2000,"Medium",TRUE,"Low")</f>
        <v>Hight</v>
      </c>
      <c r="M753" t="str" cm="1">
        <f t="array" ref="M753">_xlfn.IFS(I753&lt;12,"Low-Term",I753&gt;=36,"Long-Term",TRUE,"Medium-Term")</f>
        <v>Long-Term</v>
      </c>
      <c r="N753" t="str" cm="1">
        <f t="array" ref="N753">_xlfn.IFS(A753="Bad", "Review Required", AND(A753="Good",J753&gt;7000),"VIP Client", AND(A753="Good", J753&lt;=7000),"Standart Client")</f>
        <v>VIP Client</v>
      </c>
    </row>
    <row r="754" spans="1:14" x14ac:dyDescent="0.3">
      <c r="A754" t="s">
        <v>34</v>
      </c>
      <c r="B754" t="s">
        <v>78</v>
      </c>
      <c r="C754" t="s">
        <v>87</v>
      </c>
      <c r="D754" t="s">
        <v>99</v>
      </c>
      <c r="E754" t="s">
        <v>122</v>
      </c>
      <c r="F754" t="s">
        <v>123</v>
      </c>
      <c r="G754" t="s">
        <v>114</v>
      </c>
      <c r="H754" t="s">
        <v>120</v>
      </c>
      <c r="I754">
        <v>24</v>
      </c>
      <c r="J754" s="11">
        <v>2346</v>
      </c>
      <c r="K754">
        <v>35</v>
      </c>
      <c r="L754" t="str" cm="1">
        <f t="array" ref="L754">_xlfn.IFS(J754&gt;5000,"Hight",J754&gt;2000,"Medium",TRUE,"Low")</f>
        <v>Medium</v>
      </c>
      <c r="M754" t="str" cm="1">
        <f t="array" ref="M754">_xlfn.IFS(I754&lt;12,"Low-Term",I754&gt;=36,"Long-Term",TRUE,"Medium-Term")</f>
        <v>Medium-Term</v>
      </c>
      <c r="N754" t="str" cm="1">
        <f t="array" ref="N754">_xlfn.IFS(A754="Bad", "Review Required", AND(A754="Good",J754&gt;7000),"VIP Client", AND(A754="Good", J754&lt;=7000),"Standart Client")</f>
        <v>Standart Client</v>
      </c>
    </row>
    <row r="755" spans="1:14" x14ac:dyDescent="0.3">
      <c r="A755" t="s">
        <v>34</v>
      </c>
      <c r="B755" t="s">
        <v>80</v>
      </c>
      <c r="C755" t="s">
        <v>86</v>
      </c>
      <c r="D755" t="s">
        <v>99</v>
      </c>
      <c r="E755" t="s">
        <v>122</v>
      </c>
      <c r="F755" t="s">
        <v>123</v>
      </c>
      <c r="G755" t="s">
        <v>114</v>
      </c>
      <c r="H755" t="s">
        <v>121</v>
      </c>
      <c r="I755">
        <v>14</v>
      </c>
      <c r="J755" s="11">
        <v>3973</v>
      </c>
      <c r="K755">
        <v>22</v>
      </c>
      <c r="L755" t="str" cm="1">
        <f t="array" ref="L755">_xlfn.IFS(J755&gt;5000,"Hight",J755&gt;2000,"Medium",TRUE,"Low")</f>
        <v>Medium</v>
      </c>
      <c r="M755" t="str" cm="1">
        <f t="array" ref="M755">_xlfn.IFS(I755&lt;12,"Low-Term",I755&gt;=36,"Long-Term",TRUE,"Medium-Term")</f>
        <v>Medium-Term</v>
      </c>
      <c r="N755" t="str" cm="1">
        <f t="array" ref="N755">_xlfn.IFS(A755="Bad", "Review Required", AND(A755="Good",J755&gt;7000),"VIP Client", AND(A755="Good", J755&lt;=7000),"Standart Client")</f>
        <v>Standart Client</v>
      </c>
    </row>
    <row r="756" spans="1:14" x14ac:dyDescent="0.3">
      <c r="A756" t="s">
        <v>34</v>
      </c>
      <c r="B756" t="s">
        <v>78</v>
      </c>
      <c r="C756" t="s">
        <v>89</v>
      </c>
      <c r="D756" t="s">
        <v>78</v>
      </c>
      <c r="E756" t="s">
        <v>122</v>
      </c>
      <c r="F756" t="s">
        <v>123</v>
      </c>
      <c r="G756" t="s">
        <v>114</v>
      </c>
      <c r="H756" t="s">
        <v>120</v>
      </c>
      <c r="I756">
        <v>48</v>
      </c>
      <c r="J756" s="11">
        <v>10222</v>
      </c>
      <c r="K756">
        <v>37</v>
      </c>
      <c r="L756" t="str" cm="1">
        <f t="array" ref="L756">_xlfn.IFS(J756&gt;5000,"Hight",J756&gt;2000,"Medium",TRUE,"Low")</f>
        <v>Hight</v>
      </c>
      <c r="M756" t="str" cm="1">
        <f t="array" ref="M756">_xlfn.IFS(I756&lt;12,"Low-Term",I756&gt;=36,"Long-Term",TRUE,"Medium-Term")</f>
        <v>Long-Term</v>
      </c>
      <c r="N756" t="str" cm="1">
        <f t="array" ref="N756">_xlfn.IFS(A756="Bad", "Review Required", AND(A756="Good",J756&gt;7000),"VIP Client", AND(A756="Good", J756&lt;=7000),"Standart Client")</f>
        <v>VIP Client</v>
      </c>
    </row>
    <row r="757" spans="1:14" x14ac:dyDescent="0.3">
      <c r="A757" t="s">
        <v>34</v>
      </c>
      <c r="B757" t="s">
        <v>77</v>
      </c>
      <c r="C757" t="s">
        <v>94</v>
      </c>
      <c r="D757" t="s">
        <v>99</v>
      </c>
      <c r="E757" t="s">
        <v>124</v>
      </c>
      <c r="F757" t="s">
        <v>125</v>
      </c>
      <c r="G757" t="s">
        <v>114</v>
      </c>
      <c r="H757" t="s">
        <v>120</v>
      </c>
      <c r="I757">
        <v>30</v>
      </c>
      <c r="J757" s="11">
        <v>4221</v>
      </c>
      <c r="K757">
        <v>28</v>
      </c>
      <c r="L757" t="str" cm="1">
        <f t="array" ref="L757">_xlfn.IFS(J757&gt;5000,"Hight",J757&gt;2000,"Medium",TRUE,"Low")</f>
        <v>Medium</v>
      </c>
      <c r="M757" t="str" cm="1">
        <f t="array" ref="M757">_xlfn.IFS(I757&lt;12,"Low-Term",I757&gt;=36,"Long-Term",TRUE,"Medium-Term")</f>
        <v>Medium-Term</v>
      </c>
      <c r="N757" t="str" cm="1">
        <f t="array" ref="N757">_xlfn.IFS(A757="Bad", "Review Required", AND(A757="Good",J757&gt;7000),"VIP Client", AND(A757="Good", J757&lt;=7000),"Standart Client")</f>
        <v>Standart Client</v>
      </c>
    </row>
    <row r="758" spans="1:14" x14ac:dyDescent="0.3">
      <c r="A758" t="s">
        <v>34</v>
      </c>
      <c r="B758" t="s">
        <v>77</v>
      </c>
      <c r="C758" t="s">
        <v>88</v>
      </c>
      <c r="D758" t="s">
        <v>99</v>
      </c>
      <c r="E758" t="s">
        <v>122</v>
      </c>
      <c r="F758" t="s">
        <v>123</v>
      </c>
      <c r="G758" t="s">
        <v>114</v>
      </c>
      <c r="H758" t="s">
        <v>120</v>
      </c>
      <c r="I758">
        <v>18</v>
      </c>
      <c r="J758" s="11">
        <v>6361</v>
      </c>
      <c r="K758">
        <v>41</v>
      </c>
      <c r="L758" t="str" cm="1">
        <f t="array" ref="L758">_xlfn.IFS(J758&gt;5000,"Hight",J758&gt;2000,"Medium",TRUE,"Low")</f>
        <v>Hight</v>
      </c>
      <c r="M758" t="str" cm="1">
        <f t="array" ref="M758">_xlfn.IFS(I758&lt;12,"Low-Term",I758&gt;=36,"Long-Term",TRUE,"Medium-Term")</f>
        <v>Medium-Term</v>
      </c>
      <c r="N758" t="str" cm="1">
        <f t="array" ref="N758">_xlfn.IFS(A758="Bad", "Review Required", AND(A758="Good",J758&gt;7000),"VIP Client", AND(A758="Good", J758&lt;=7000),"Standart Client")</f>
        <v>Standart Client</v>
      </c>
    </row>
    <row r="759" spans="1:14" x14ac:dyDescent="0.3">
      <c r="A759" t="s">
        <v>34</v>
      </c>
      <c r="B759" t="s">
        <v>81</v>
      </c>
      <c r="C759" t="s">
        <v>89</v>
      </c>
      <c r="D759" t="s">
        <v>99</v>
      </c>
      <c r="E759" t="s">
        <v>122</v>
      </c>
      <c r="F759" t="s">
        <v>127</v>
      </c>
      <c r="G759" t="s">
        <v>114</v>
      </c>
      <c r="H759" t="s">
        <v>119</v>
      </c>
      <c r="I759">
        <v>12</v>
      </c>
      <c r="J759" s="11">
        <v>1297</v>
      </c>
      <c r="K759">
        <v>23</v>
      </c>
      <c r="L759" t="str" cm="1">
        <f t="array" ref="L759">_xlfn.IFS(J759&gt;5000,"Hight",J759&gt;2000,"Medium",TRUE,"Low")</f>
        <v>Low</v>
      </c>
      <c r="M759" t="str" cm="1">
        <f t="array" ref="M759">_xlfn.IFS(I759&lt;12,"Low-Term",I759&gt;=36,"Long-Term",TRUE,"Medium-Term")</f>
        <v>Medium-Term</v>
      </c>
      <c r="N759" t="str" cm="1">
        <f t="array" ref="N759">_xlfn.IFS(A759="Bad", "Review Required", AND(A759="Good",J759&gt;7000),"VIP Client", AND(A759="Good", J759&lt;=7000),"Standart Client")</f>
        <v>Standart Client</v>
      </c>
    </row>
    <row r="760" spans="1:14" x14ac:dyDescent="0.3">
      <c r="A760" t="s">
        <v>34</v>
      </c>
      <c r="B760" t="s">
        <v>78</v>
      </c>
      <c r="C760" t="s">
        <v>88</v>
      </c>
      <c r="D760" t="s">
        <v>99</v>
      </c>
      <c r="E760" t="s">
        <v>122</v>
      </c>
      <c r="F760" t="s">
        <v>123</v>
      </c>
      <c r="G760" t="s">
        <v>114</v>
      </c>
      <c r="H760" t="s">
        <v>120</v>
      </c>
      <c r="I760">
        <v>21</v>
      </c>
      <c r="J760" s="11">
        <v>2241</v>
      </c>
      <c r="K760">
        <v>50</v>
      </c>
      <c r="L760" t="str" cm="1">
        <f t="array" ref="L760">_xlfn.IFS(J760&gt;5000,"Hight",J760&gt;2000,"Medium",TRUE,"Low")</f>
        <v>Medium</v>
      </c>
      <c r="M760" t="str" cm="1">
        <f t="array" ref="M760">_xlfn.IFS(I760&lt;12,"Low-Term",I760&gt;=36,"Long-Term",TRUE,"Medium-Term")</f>
        <v>Medium-Term</v>
      </c>
      <c r="N760" t="str" cm="1">
        <f t="array" ref="N760">_xlfn.IFS(A760="Bad", "Review Required", AND(A760="Good",J760&gt;7000),"VIP Client", AND(A760="Good", J760&lt;=7000),"Standart Client")</f>
        <v>Standart Client</v>
      </c>
    </row>
    <row r="761" spans="1:14" x14ac:dyDescent="0.3">
      <c r="A761" t="s">
        <v>34</v>
      </c>
      <c r="B761" t="s">
        <v>77</v>
      </c>
      <c r="C761" t="s">
        <v>88</v>
      </c>
      <c r="D761" t="s">
        <v>99</v>
      </c>
      <c r="E761" t="s">
        <v>122</v>
      </c>
      <c r="F761" t="s">
        <v>123</v>
      </c>
      <c r="G761" t="s">
        <v>115</v>
      </c>
      <c r="H761" t="s">
        <v>120</v>
      </c>
      <c r="I761">
        <v>6</v>
      </c>
      <c r="J761" s="11">
        <v>1050</v>
      </c>
      <c r="K761">
        <v>35</v>
      </c>
      <c r="L761" t="str" cm="1">
        <f t="array" ref="L761">_xlfn.IFS(J761&gt;5000,"Hight",J761&gt;2000,"Medium",TRUE,"Low")</f>
        <v>Low</v>
      </c>
      <c r="M761" t="str" cm="1">
        <f t="array" ref="M761">_xlfn.IFS(I761&lt;12,"Low-Term",I761&gt;=36,"Long-Term",TRUE,"Medium-Term")</f>
        <v>Low-Term</v>
      </c>
      <c r="N761" t="str" cm="1">
        <f t="array" ref="N761">_xlfn.IFS(A761="Bad", "Review Required", AND(A761="Good",J761&gt;7000),"VIP Client", AND(A761="Good", J761&lt;=7000),"Standart Client")</f>
        <v>Standart Client</v>
      </c>
    </row>
    <row r="762" spans="1:14" x14ac:dyDescent="0.3">
      <c r="A762" t="s">
        <v>34</v>
      </c>
      <c r="B762" t="s">
        <v>81</v>
      </c>
      <c r="C762" t="s">
        <v>92</v>
      </c>
      <c r="D762" t="s">
        <v>99</v>
      </c>
      <c r="E762" t="s">
        <v>124</v>
      </c>
      <c r="F762" t="s">
        <v>125</v>
      </c>
      <c r="G762" t="s">
        <v>113</v>
      </c>
      <c r="H762" t="s">
        <v>120</v>
      </c>
      <c r="I762">
        <v>6</v>
      </c>
      <c r="J762" s="11">
        <v>1047</v>
      </c>
      <c r="K762">
        <v>50</v>
      </c>
      <c r="L762" t="str" cm="1">
        <f t="array" ref="L762">_xlfn.IFS(J762&gt;5000,"Hight",J762&gt;2000,"Medium",TRUE,"Low")</f>
        <v>Low</v>
      </c>
      <c r="M762" t="str" cm="1">
        <f t="array" ref="M762">_xlfn.IFS(I762&lt;12,"Low-Term",I762&gt;=36,"Long-Term",TRUE,"Medium-Term")</f>
        <v>Low-Term</v>
      </c>
      <c r="N762" t="str" cm="1">
        <f t="array" ref="N762">_xlfn.IFS(A762="Bad", "Review Required", AND(A762="Good",J762&gt;7000),"VIP Client", AND(A762="Good", J762&lt;=7000),"Standart Client")</f>
        <v>Standart Client</v>
      </c>
    </row>
    <row r="763" spans="1:14" x14ac:dyDescent="0.3">
      <c r="A763" t="s">
        <v>34</v>
      </c>
      <c r="B763" t="s">
        <v>78</v>
      </c>
      <c r="C763" t="s">
        <v>95</v>
      </c>
      <c r="D763" t="s">
        <v>99</v>
      </c>
      <c r="E763" t="s">
        <v>122</v>
      </c>
      <c r="F763" t="s">
        <v>123</v>
      </c>
      <c r="G763" t="s">
        <v>115</v>
      </c>
      <c r="H763" t="s">
        <v>120</v>
      </c>
      <c r="I763">
        <v>24</v>
      </c>
      <c r="J763" s="11">
        <v>6314</v>
      </c>
      <c r="K763">
        <v>27</v>
      </c>
      <c r="L763" t="str" cm="1">
        <f t="array" ref="L763">_xlfn.IFS(J763&gt;5000,"Hight",J763&gt;2000,"Medium",TRUE,"Low")</f>
        <v>Hight</v>
      </c>
      <c r="M763" t="str" cm="1">
        <f t="array" ref="M763">_xlfn.IFS(I763&lt;12,"Low-Term",I763&gt;=36,"Long-Term",TRUE,"Medium-Term")</f>
        <v>Medium-Term</v>
      </c>
      <c r="N763" t="str" cm="1">
        <f t="array" ref="N763">_xlfn.IFS(A763="Bad", "Review Required", AND(A763="Good",J763&gt;7000),"VIP Client", AND(A763="Good", J763&lt;=7000),"Standart Client")</f>
        <v>Standart Client</v>
      </c>
    </row>
    <row r="764" spans="1:14" x14ac:dyDescent="0.3">
      <c r="A764" t="s">
        <v>34</v>
      </c>
      <c r="B764" t="s">
        <v>77</v>
      </c>
      <c r="C764" t="s">
        <v>88</v>
      </c>
      <c r="D764" t="s">
        <v>102</v>
      </c>
      <c r="E764" t="s">
        <v>122</v>
      </c>
      <c r="F764" t="s">
        <v>123</v>
      </c>
      <c r="G764" t="s">
        <v>114</v>
      </c>
      <c r="H764" t="s">
        <v>120</v>
      </c>
      <c r="I764">
        <v>30</v>
      </c>
      <c r="J764" s="11">
        <v>3496</v>
      </c>
      <c r="K764">
        <v>34</v>
      </c>
      <c r="L764" t="str" cm="1">
        <f t="array" ref="L764">_xlfn.IFS(J764&gt;5000,"Hight",J764&gt;2000,"Medium",TRUE,"Low")</f>
        <v>Medium</v>
      </c>
      <c r="M764" t="str" cm="1">
        <f t="array" ref="M764">_xlfn.IFS(I764&lt;12,"Low-Term",I764&gt;=36,"Long-Term",TRUE,"Medium-Term")</f>
        <v>Medium-Term</v>
      </c>
      <c r="N764" t="str" cm="1">
        <f t="array" ref="N764">_xlfn.IFS(A764="Bad", "Review Required", AND(A764="Good",J764&gt;7000),"VIP Client", AND(A764="Good", J764&lt;=7000),"Standart Client")</f>
        <v>Standart Client</v>
      </c>
    </row>
    <row r="765" spans="1:14" x14ac:dyDescent="0.3">
      <c r="A765" t="s">
        <v>34</v>
      </c>
      <c r="B765" t="s">
        <v>78</v>
      </c>
      <c r="C765" t="s">
        <v>94</v>
      </c>
      <c r="D765" t="s">
        <v>99</v>
      </c>
      <c r="E765" t="s">
        <v>124</v>
      </c>
      <c r="F765" t="s">
        <v>125</v>
      </c>
      <c r="G765" t="s">
        <v>114</v>
      </c>
      <c r="H765" t="s">
        <v>120</v>
      </c>
      <c r="I765">
        <v>48</v>
      </c>
      <c r="J765" s="11">
        <v>3609</v>
      </c>
      <c r="K765">
        <v>27</v>
      </c>
      <c r="L765" t="str" cm="1">
        <f t="array" ref="L765">_xlfn.IFS(J765&gt;5000,"Hight",J765&gt;2000,"Medium",TRUE,"Low")</f>
        <v>Medium</v>
      </c>
      <c r="M765" t="str" cm="1">
        <f t="array" ref="M765">_xlfn.IFS(I765&lt;12,"Low-Term",I765&gt;=36,"Long-Term",TRUE,"Medium-Term")</f>
        <v>Long-Term</v>
      </c>
      <c r="N765" t="str" cm="1">
        <f t="array" ref="N765">_xlfn.IFS(A765="Bad", "Review Required", AND(A765="Good",J765&gt;7000),"VIP Client", AND(A765="Good", J765&lt;=7000),"Standart Client")</f>
        <v>Standart Client</v>
      </c>
    </row>
    <row r="766" spans="1:14" x14ac:dyDescent="0.3">
      <c r="A766" t="s">
        <v>34</v>
      </c>
      <c r="B766" t="s">
        <v>81</v>
      </c>
      <c r="C766" t="s">
        <v>89</v>
      </c>
      <c r="D766" t="s">
        <v>99</v>
      </c>
      <c r="E766" t="s">
        <v>122</v>
      </c>
      <c r="F766" t="s">
        <v>123</v>
      </c>
      <c r="G766" t="s">
        <v>114</v>
      </c>
      <c r="H766" t="s">
        <v>120</v>
      </c>
      <c r="I766">
        <v>30</v>
      </c>
      <c r="J766" s="11">
        <v>3017</v>
      </c>
      <c r="K766">
        <v>47</v>
      </c>
      <c r="L766" t="str" cm="1">
        <f t="array" ref="L766">_xlfn.IFS(J766&gt;5000,"Hight",J766&gt;2000,"Medium",TRUE,"Low")</f>
        <v>Medium</v>
      </c>
      <c r="M766" t="str" cm="1">
        <f t="array" ref="M766">_xlfn.IFS(I766&lt;12,"Low-Term",I766&gt;=36,"Long-Term",TRUE,"Medium-Term")</f>
        <v>Medium-Term</v>
      </c>
      <c r="N766" t="str" cm="1">
        <f t="array" ref="N766">_xlfn.IFS(A766="Bad", "Review Required", AND(A766="Good",J766&gt;7000),"VIP Client", AND(A766="Good", J766&lt;=7000),"Standart Client")</f>
        <v>Standart Client</v>
      </c>
    </row>
    <row r="767" spans="1:14" x14ac:dyDescent="0.3">
      <c r="A767" t="s">
        <v>34</v>
      </c>
      <c r="B767" t="s">
        <v>78</v>
      </c>
      <c r="C767" t="s">
        <v>94</v>
      </c>
      <c r="D767" t="s">
        <v>100</v>
      </c>
      <c r="E767" t="s">
        <v>122</v>
      </c>
      <c r="F767" t="s">
        <v>123</v>
      </c>
      <c r="G767" t="s">
        <v>113</v>
      </c>
      <c r="H767" t="s">
        <v>120</v>
      </c>
      <c r="I767">
        <v>24</v>
      </c>
      <c r="J767" s="11">
        <v>4139</v>
      </c>
      <c r="K767">
        <v>27</v>
      </c>
      <c r="L767" t="str" cm="1">
        <f t="array" ref="L767">_xlfn.IFS(J767&gt;5000,"Hight",J767&gt;2000,"Medium",TRUE,"Low")</f>
        <v>Medium</v>
      </c>
      <c r="M767" t="str" cm="1">
        <f t="array" ref="M767">_xlfn.IFS(I767&lt;12,"Low-Term",I767&gt;=36,"Long-Term",TRUE,"Medium-Term")</f>
        <v>Medium-Term</v>
      </c>
      <c r="N767" t="str" cm="1">
        <f t="array" ref="N767">_xlfn.IFS(A767="Bad", "Review Required", AND(A767="Good",J767&gt;7000),"VIP Client", AND(A767="Good", J767&lt;=7000),"Standart Client")</f>
        <v>Standart Client</v>
      </c>
    </row>
    <row r="768" spans="1:14" x14ac:dyDescent="0.3">
      <c r="A768" t="s">
        <v>34</v>
      </c>
      <c r="B768" t="s">
        <v>78</v>
      </c>
      <c r="C768" t="s">
        <v>94</v>
      </c>
      <c r="D768" t="s">
        <v>100</v>
      </c>
      <c r="E768" t="s">
        <v>122</v>
      </c>
      <c r="F768" t="s">
        <v>123</v>
      </c>
      <c r="G768" t="s">
        <v>114</v>
      </c>
      <c r="H768" t="s">
        <v>120</v>
      </c>
      <c r="I768">
        <v>36</v>
      </c>
      <c r="J768" s="11">
        <v>5742</v>
      </c>
      <c r="K768">
        <v>31</v>
      </c>
      <c r="L768" t="str" cm="1">
        <f t="array" ref="L768">_xlfn.IFS(J768&gt;5000,"Hight",J768&gt;2000,"Medium",TRUE,"Low")</f>
        <v>Hight</v>
      </c>
      <c r="M768" t="str" cm="1">
        <f t="array" ref="M768">_xlfn.IFS(I768&lt;12,"Low-Term",I768&gt;=36,"Long-Term",TRUE,"Medium-Term")</f>
        <v>Long-Term</v>
      </c>
      <c r="N768" t="str" cm="1">
        <f t="array" ref="N768">_xlfn.IFS(A768="Bad", "Review Required", AND(A768="Good",J768&gt;7000),"VIP Client", AND(A768="Good", J768&lt;=7000),"Standart Client")</f>
        <v>Standart Client</v>
      </c>
    </row>
    <row r="769" spans="1:14" x14ac:dyDescent="0.3">
      <c r="A769" t="s">
        <v>34</v>
      </c>
      <c r="B769" t="s">
        <v>78</v>
      </c>
      <c r="C769" t="s">
        <v>86</v>
      </c>
      <c r="D769" t="s">
        <v>99</v>
      </c>
      <c r="E769" t="s">
        <v>122</v>
      </c>
      <c r="F769" t="s">
        <v>123</v>
      </c>
      <c r="G769" t="s">
        <v>115</v>
      </c>
      <c r="H769" t="s">
        <v>120</v>
      </c>
      <c r="I769">
        <v>60</v>
      </c>
      <c r="J769" s="11">
        <v>10366</v>
      </c>
      <c r="K769">
        <v>42</v>
      </c>
      <c r="L769" t="str" cm="1">
        <f t="array" ref="L769">_xlfn.IFS(J769&gt;5000,"Hight",J769&gt;2000,"Medium",TRUE,"Low")</f>
        <v>Hight</v>
      </c>
      <c r="M769" t="str" cm="1">
        <f t="array" ref="M769">_xlfn.IFS(I769&lt;12,"Low-Term",I769&gt;=36,"Long-Term",TRUE,"Medium-Term")</f>
        <v>Long-Term</v>
      </c>
      <c r="N769" t="str" cm="1">
        <f t="array" ref="N769">_xlfn.IFS(A769="Bad", "Review Required", AND(A769="Good",J769&gt;7000),"VIP Client", AND(A769="Good", J769&lt;=7000),"Standart Client")</f>
        <v>VIP Client</v>
      </c>
    </row>
    <row r="770" spans="1:14" x14ac:dyDescent="0.3">
      <c r="A770" t="s">
        <v>34</v>
      </c>
      <c r="B770" t="s">
        <v>78</v>
      </c>
      <c r="C770" t="s">
        <v>86</v>
      </c>
      <c r="D770" t="s">
        <v>101</v>
      </c>
      <c r="E770" t="s">
        <v>122</v>
      </c>
      <c r="F770" t="s">
        <v>127</v>
      </c>
      <c r="G770" t="s">
        <v>114</v>
      </c>
      <c r="H770" t="s">
        <v>120</v>
      </c>
      <c r="I770">
        <v>6</v>
      </c>
      <c r="J770" s="11">
        <v>2080</v>
      </c>
      <c r="K770">
        <v>24</v>
      </c>
      <c r="L770" t="str" cm="1">
        <f t="array" ref="L770">_xlfn.IFS(J770&gt;5000,"Hight",J770&gt;2000,"Medium",TRUE,"Low")</f>
        <v>Medium</v>
      </c>
      <c r="M770" t="str" cm="1">
        <f t="array" ref="M770">_xlfn.IFS(I770&lt;12,"Low-Term",I770&gt;=36,"Long-Term",TRUE,"Medium-Term")</f>
        <v>Low-Term</v>
      </c>
      <c r="N770" t="str" cm="1">
        <f t="array" ref="N770">_xlfn.IFS(A770="Bad", "Review Required", AND(A770="Good",J770&gt;7000),"VIP Client", AND(A770="Good", J770&lt;=7000),"Standart Client")</f>
        <v>Standart Client</v>
      </c>
    </row>
    <row r="771" spans="1:14" x14ac:dyDescent="0.3">
      <c r="A771" t="s">
        <v>34</v>
      </c>
      <c r="B771" t="s">
        <v>78</v>
      </c>
      <c r="C771" t="s">
        <v>89</v>
      </c>
      <c r="D771" t="s">
        <v>99</v>
      </c>
      <c r="E771" t="s">
        <v>124</v>
      </c>
      <c r="F771" t="s">
        <v>125</v>
      </c>
      <c r="G771" t="s">
        <v>115</v>
      </c>
      <c r="H771" t="s">
        <v>119</v>
      </c>
      <c r="I771">
        <v>30</v>
      </c>
      <c r="J771" s="11">
        <v>4530</v>
      </c>
      <c r="K771">
        <v>26</v>
      </c>
      <c r="L771" t="str" cm="1">
        <f t="array" ref="L771">_xlfn.IFS(J771&gt;5000,"Hight",J771&gt;2000,"Medium",TRUE,"Low")</f>
        <v>Medium</v>
      </c>
      <c r="M771" t="str" cm="1">
        <f t="array" ref="M771">_xlfn.IFS(I771&lt;12,"Low-Term",I771&gt;=36,"Long-Term",TRUE,"Medium-Term")</f>
        <v>Medium-Term</v>
      </c>
      <c r="N771" t="str" cm="1">
        <f t="array" ref="N771">_xlfn.IFS(A771="Bad", "Review Required", AND(A771="Good",J771&gt;7000),"VIP Client", AND(A771="Good", J771&lt;=7000),"Standart Client")</f>
        <v>Standart Client</v>
      </c>
    </row>
    <row r="772" spans="1:14" x14ac:dyDescent="0.3">
      <c r="A772" t="s">
        <v>34</v>
      </c>
      <c r="B772" t="s">
        <v>78</v>
      </c>
      <c r="C772" t="s">
        <v>88</v>
      </c>
      <c r="D772" t="s">
        <v>99</v>
      </c>
      <c r="E772" t="s">
        <v>122</v>
      </c>
      <c r="F772" t="s">
        <v>123</v>
      </c>
      <c r="G772" t="s">
        <v>114</v>
      </c>
      <c r="H772" t="s">
        <v>120</v>
      </c>
      <c r="I772">
        <v>24</v>
      </c>
      <c r="J772" s="11">
        <v>5150</v>
      </c>
      <c r="K772">
        <v>33</v>
      </c>
      <c r="L772" t="str" cm="1">
        <f t="array" ref="L772">_xlfn.IFS(J772&gt;5000,"Hight",J772&gt;2000,"Medium",TRUE,"Low")</f>
        <v>Hight</v>
      </c>
      <c r="M772" t="str" cm="1">
        <f t="array" ref="M772">_xlfn.IFS(I772&lt;12,"Low-Term",I772&gt;=36,"Long-Term",TRUE,"Medium-Term")</f>
        <v>Medium-Term</v>
      </c>
      <c r="N772" t="str" cm="1">
        <f t="array" ref="N772">_xlfn.IFS(A772="Bad", "Review Required", AND(A772="Good",J772&gt;7000),"VIP Client", AND(A772="Good", J772&lt;=7000),"Standart Client")</f>
        <v>Standart Client</v>
      </c>
    </row>
    <row r="773" spans="1:14" x14ac:dyDescent="0.3">
      <c r="A773" t="s">
        <v>34</v>
      </c>
      <c r="B773" t="s">
        <v>80</v>
      </c>
      <c r="C773" t="s">
        <v>89</v>
      </c>
      <c r="D773" t="s">
        <v>99</v>
      </c>
      <c r="E773" t="s">
        <v>122</v>
      </c>
      <c r="F773" t="s">
        <v>123</v>
      </c>
      <c r="G773" t="s">
        <v>113</v>
      </c>
      <c r="H773" t="s">
        <v>119</v>
      </c>
      <c r="I773">
        <v>24</v>
      </c>
      <c r="J773" s="11">
        <v>2384</v>
      </c>
      <c r="K773">
        <v>64</v>
      </c>
      <c r="L773" t="str" cm="1">
        <f t="array" ref="L773">_xlfn.IFS(J773&gt;5000,"Hight",J773&gt;2000,"Medium",TRUE,"Low")</f>
        <v>Medium</v>
      </c>
      <c r="M773" t="str" cm="1">
        <f t="array" ref="M773">_xlfn.IFS(I773&lt;12,"Low-Term",I773&gt;=36,"Long-Term",TRUE,"Medium-Term")</f>
        <v>Medium-Term</v>
      </c>
      <c r="N773" t="str" cm="1">
        <f t="array" ref="N773">_xlfn.IFS(A773="Bad", "Review Required", AND(A773="Good",J773&gt;7000),"VIP Client", AND(A773="Good", J773&lt;=7000),"Standart Client")</f>
        <v>Standart Client</v>
      </c>
    </row>
    <row r="774" spans="1:14" x14ac:dyDescent="0.3">
      <c r="A774" t="s">
        <v>34</v>
      </c>
      <c r="B774" t="s">
        <v>78</v>
      </c>
      <c r="C774" t="s">
        <v>89</v>
      </c>
      <c r="D774" t="s">
        <v>99</v>
      </c>
      <c r="E774" t="s">
        <v>124</v>
      </c>
      <c r="F774" t="s">
        <v>125</v>
      </c>
      <c r="G774" t="s">
        <v>114</v>
      </c>
      <c r="H774" t="s">
        <v>120</v>
      </c>
      <c r="I774">
        <v>18</v>
      </c>
      <c r="J774" s="11">
        <v>1453</v>
      </c>
      <c r="K774">
        <v>26</v>
      </c>
      <c r="L774" t="str" cm="1">
        <f t="array" ref="L774">_xlfn.IFS(J774&gt;5000,"Hight",J774&gt;2000,"Medium",TRUE,"Low")</f>
        <v>Low</v>
      </c>
      <c r="M774" t="str" cm="1">
        <f t="array" ref="M774">_xlfn.IFS(I774&lt;12,"Low-Term",I774&gt;=36,"Long-Term",TRUE,"Medium-Term")</f>
        <v>Medium-Term</v>
      </c>
      <c r="N774" t="str" cm="1">
        <f t="array" ref="N774">_xlfn.IFS(A774="Bad", "Review Required", AND(A774="Good",J774&gt;7000),"VIP Client", AND(A774="Good", J774&lt;=7000),"Standart Client")</f>
        <v>Standart Client</v>
      </c>
    </row>
    <row r="775" spans="1:14" x14ac:dyDescent="0.3">
      <c r="A775" t="s">
        <v>34</v>
      </c>
      <c r="B775" t="s">
        <v>78</v>
      </c>
      <c r="C775" t="s">
        <v>92</v>
      </c>
      <c r="D775" t="s">
        <v>99</v>
      </c>
      <c r="E775" t="s">
        <v>124</v>
      </c>
      <c r="F775" t="s">
        <v>125</v>
      </c>
      <c r="G775" t="s">
        <v>114</v>
      </c>
      <c r="H775" t="s">
        <v>120</v>
      </c>
      <c r="I775">
        <v>6</v>
      </c>
      <c r="J775" s="11">
        <v>1538</v>
      </c>
      <c r="K775">
        <v>56</v>
      </c>
      <c r="L775" t="str" cm="1">
        <f t="array" ref="L775">_xlfn.IFS(J775&gt;5000,"Hight",J775&gt;2000,"Medium",TRUE,"Low")</f>
        <v>Low</v>
      </c>
      <c r="M775" t="str" cm="1">
        <f t="array" ref="M775">_xlfn.IFS(I775&lt;12,"Low-Term",I775&gt;=36,"Long-Term",TRUE,"Medium-Term")</f>
        <v>Low-Term</v>
      </c>
      <c r="N775" t="str" cm="1">
        <f t="array" ref="N775">_xlfn.IFS(A775="Bad", "Review Required", AND(A775="Good",J775&gt;7000),"VIP Client", AND(A775="Good", J775&lt;=7000),"Standart Client")</f>
        <v>Standart Client</v>
      </c>
    </row>
    <row r="776" spans="1:14" x14ac:dyDescent="0.3">
      <c r="A776" t="s">
        <v>34</v>
      </c>
      <c r="B776" t="s">
        <v>78</v>
      </c>
      <c r="C776" t="s">
        <v>89</v>
      </c>
      <c r="D776" t="s">
        <v>78</v>
      </c>
      <c r="E776" t="s">
        <v>122</v>
      </c>
      <c r="F776" t="s">
        <v>123</v>
      </c>
      <c r="G776" t="s">
        <v>114</v>
      </c>
      <c r="H776" t="s">
        <v>121</v>
      </c>
      <c r="I776">
        <v>12</v>
      </c>
      <c r="J776" s="11">
        <v>2279</v>
      </c>
      <c r="K776">
        <v>37</v>
      </c>
      <c r="L776" t="str" cm="1">
        <f t="array" ref="L776">_xlfn.IFS(J776&gt;5000,"Hight",J776&gt;2000,"Medium",TRUE,"Low")</f>
        <v>Medium</v>
      </c>
      <c r="M776" t="str" cm="1">
        <f t="array" ref="M776">_xlfn.IFS(I776&lt;12,"Low-Term",I776&gt;=36,"Long-Term",TRUE,"Medium-Term")</f>
        <v>Medium-Term</v>
      </c>
      <c r="N776" t="str" cm="1">
        <f t="array" ref="N776">_xlfn.IFS(A776="Bad", "Review Required", AND(A776="Good",J776&gt;7000),"VIP Client", AND(A776="Good", J776&lt;=7000),"Standart Client")</f>
        <v>Standart Client</v>
      </c>
    </row>
    <row r="777" spans="1:14" x14ac:dyDescent="0.3">
      <c r="A777" t="s">
        <v>34</v>
      </c>
      <c r="B777" t="s">
        <v>78</v>
      </c>
      <c r="C777" t="s">
        <v>89</v>
      </c>
      <c r="D777" t="s">
        <v>99</v>
      </c>
      <c r="E777" t="s">
        <v>122</v>
      </c>
      <c r="F777" t="s">
        <v>127</v>
      </c>
      <c r="G777" t="s">
        <v>114</v>
      </c>
      <c r="H777" t="s">
        <v>120</v>
      </c>
      <c r="I777">
        <v>15</v>
      </c>
      <c r="J777" s="11">
        <v>1478</v>
      </c>
      <c r="K777">
        <v>33</v>
      </c>
      <c r="L777" t="str" cm="1">
        <f t="array" ref="L777">_xlfn.IFS(J777&gt;5000,"Hight",J777&gt;2000,"Medium",TRUE,"Low")</f>
        <v>Low</v>
      </c>
      <c r="M777" t="str" cm="1">
        <f t="array" ref="M777">_xlfn.IFS(I777&lt;12,"Low-Term",I777&gt;=36,"Long-Term",TRUE,"Medium-Term")</f>
        <v>Medium-Term</v>
      </c>
      <c r="N777" t="str" cm="1">
        <f t="array" ref="N777">_xlfn.IFS(A777="Bad", "Review Required", AND(A777="Good",J777&gt;7000),"VIP Client", AND(A777="Good", J777&lt;=7000),"Standart Client")</f>
        <v>Standart Client</v>
      </c>
    </row>
    <row r="778" spans="1:14" x14ac:dyDescent="0.3">
      <c r="A778" t="s">
        <v>34</v>
      </c>
      <c r="B778" t="s">
        <v>78</v>
      </c>
      <c r="C778" t="s">
        <v>89</v>
      </c>
      <c r="D778" t="s">
        <v>99</v>
      </c>
      <c r="E778" t="s">
        <v>122</v>
      </c>
      <c r="F778" t="s">
        <v>127</v>
      </c>
      <c r="G778" t="s">
        <v>114</v>
      </c>
      <c r="H778" t="s">
        <v>121</v>
      </c>
      <c r="I778">
        <v>24</v>
      </c>
      <c r="J778" s="11">
        <v>5103</v>
      </c>
      <c r="K778">
        <v>47</v>
      </c>
      <c r="L778" t="str" cm="1">
        <f t="array" ref="L778">_xlfn.IFS(J778&gt;5000,"Hight",J778&gt;2000,"Medium",TRUE,"Low")</f>
        <v>Hight</v>
      </c>
      <c r="M778" t="str" cm="1">
        <f t="array" ref="M778">_xlfn.IFS(I778&lt;12,"Low-Term",I778&gt;=36,"Long-Term",TRUE,"Medium-Term")</f>
        <v>Medium-Term</v>
      </c>
      <c r="N778" t="str" cm="1">
        <f t="array" ref="N778">_xlfn.IFS(A778="Bad", "Review Required", AND(A778="Good",J778&gt;7000),"VIP Client", AND(A778="Good", J778&lt;=7000),"Standart Client")</f>
        <v>Standart Client</v>
      </c>
    </row>
    <row r="779" spans="1:14" x14ac:dyDescent="0.3">
      <c r="A779" t="s">
        <v>34</v>
      </c>
      <c r="B779" t="s">
        <v>77</v>
      </c>
      <c r="C779" t="s">
        <v>94</v>
      </c>
      <c r="D779" t="s">
        <v>100</v>
      </c>
      <c r="E779" t="s">
        <v>122</v>
      </c>
      <c r="F779" t="s">
        <v>123</v>
      </c>
      <c r="G779" t="s">
        <v>113</v>
      </c>
      <c r="H779" t="s">
        <v>120</v>
      </c>
      <c r="I779">
        <v>36</v>
      </c>
      <c r="J779" s="11">
        <v>9857</v>
      </c>
      <c r="K779">
        <v>31</v>
      </c>
      <c r="L779" t="str" cm="1">
        <f t="array" ref="L779">_xlfn.IFS(J779&gt;5000,"Hight",J779&gt;2000,"Medium",TRUE,"Low")</f>
        <v>Hight</v>
      </c>
      <c r="M779" t="str" cm="1">
        <f t="array" ref="M779">_xlfn.IFS(I779&lt;12,"Low-Term",I779&gt;=36,"Long-Term",TRUE,"Medium-Term")</f>
        <v>Long-Term</v>
      </c>
      <c r="N779" t="str" cm="1">
        <f t="array" ref="N779">_xlfn.IFS(A779="Bad", "Review Required", AND(A779="Good",J779&gt;7000),"VIP Client", AND(A779="Good", J779&lt;=7000),"Standart Client")</f>
        <v>VIP Client</v>
      </c>
    </row>
    <row r="780" spans="1:14" x14ac:dyDescent="0.3">
      <c r="A780" t="s">
        <v>34</v>
      </c>
      <c r="B780" t="s">
        <v>78</v>
      </c>
      <c r="C780" t="s">
        <v>86</v>
      </c>
      <c r="D780" t="s">
        <v>78</v>
      </c>
      <c r="E780" t="s">
        <v>122</v>
      </c>
      <c r="F780" t="s">
        <v>123</v>
      </c>
      <c r="G780" t="s">
        <v>114</v>
      </c>
      <c r="H780" t="s">
        <v>121</v>
      </c>
      <c r="I780">
        <v>60</v>
      </c>
      <c r="J780" s="11">
        <v>6527</v>
      </c>
      <c r="K780">
        <v>34</v>
      </c>
      <c r="L780" t="str" cm="1">
        <f t="array" ref="L780">_xlfn.IFS(J780&gt;5000,"Hight",J780&gt;2000,"Medium",TRUE,"Low")</f>
        <v>Hight</v>
      </c>
      <c r="M780" t="str" cm="1">
        <f t="array" ref="M780">_xlfn.IFS(I780&lt;12,"Low-Term",I780&gt;=36,"Long-Term",TRUE,"Medium-Term")</f>
        <v>Long-Term</v>
      </c>
      <c r="N780" t="str" cm="1">
        <f t="array" ref="N780">_xlfn.IFS(A780="Bad", "Review Required", AND(A780="Good",J780&gt;7000),"VIP Client", AND(A780="Good", J780&lt;=7000),"Standart Client")</f>
        <v>Standart Client</v>
      </c>
    </row>
    <row r="781" spans="1:14" x14ac:dyDescent="0.3">
      <c r="A781" t="s">
        <v>34</v>
      </c>
      <c r="B781" t="s">
        <v>81</v>
      </c>
      <c r="C781" t="s">
        <v>89</v>
      </c>
      <c r="D781" t="s">
        <v>78</v>
      </c>
      <c r="E781" t="s">
        <v>122</v>
      </c>
      <c r="F781" t="s">
        <v>123</v>
      </c>
      <c r="G781" t="s">
        <v>114</v>
      </c>
      <c r="H781" t="s">
        <v>120</v>
      </c>
      <c r="I781">
        <v>10</v>
      </c>
      <c r="J781" s="11">
        <v>1347</v>
      </c>
      <c r="K781">
        <v>27</v>
      </c>
      <c r="L781" t="str" cm="1">
        <f t="array" ref="L781">_xlfn.IFS(J781&gt;5000,"Hight",J781&gt;2000,"Medium",TRUE,"Low")</f>
        <v>Low</v>
      </c>
      <c r="M781" t="str" cm="1">
        <f t="array" ref="M781">_xlfn.IFS(I781&lt;12,"Low-Term",I781&gt;=36,"Long-Term",TRUE,"Medium-Term")</f>
        <v>Low-Term</v>
      </c>
      <c r="N781" t="str" cm="1">
        <f t="array" ref="N781">_xlfn.IFS(A781="Bad", "Review Required", AND(A781="Good",J781&gt;7000),"VIP Client", AND(A781="Good", J781&lt;=7000),"Standart Client")</f>
        <v>Standart Client</v>
      </c>
    </row>
    <row r="782" spans="1:14" x14ac:dyDescent="0.3">
      <c r="A782" t="s">
        <v>34</v>
      </c>
      <c r="B782" t="s">
        <v>77</v>
      </c>
      <c r="C782" t="s">
        <v>86</v>
      </c>
      <c r="D782" t="s">
        <v>100</v>
      </c>
      <c r="E782" t="s">
        <v>122</v>
      </c>
      <c r="F782" t="s">
        <v>123</v>
      </c>
      <c r="G782" t="s">
        <v>114</v>
      </c>
      <c r="H782" t="s">
        <v>121</v>
      </c>
      <c r="I782">
        <v>36</v>
      </c>
      <c r="J782" s="11">
        <v>2862</v>
      </c>
      <c r="K782">
        <v>30</v>
      </c>
      <c r="L782" t="str" cm="1">
        <f t="array" ref="L782">_xlfn.IFS(J782&gt;5000,"Hight",J782&gt;2000,"Medium",TRUE,"Low")</f>
        <v>Medium</v>
      </c>
      <c r="M782" t="str" cm="1">
        <f t="array" ref="M782">_xlfn.IFS(I782&lt;12,"Low-Term",I782&gt;=36,"Long-Term",TRUE,"Medium-Term")</f>
        <v>Long-Term</v>
      </c>
      <c r="N782" t="str" cm="1">
        <f t="array" ref="N782">_xlfn.IFS(A782="Bad", "Review Required", AND(A782="Good",J782&gt;7000),"VIP Client", AND(A782="Good", J782&lt;=7000),"Standart Client")</f>
        <v>Standart Client</v>
      </c>
    </row>
    <row r="783" spans="1:14" x14ac:dyDescent="0.3">
      <c r="A783" t="s">
        <v>34</v>
      </c>
      <c r="B783" t="s">
        <v>78</v>
      </c>
      <c r="C783" t="s">
        <v>89</v>
      </c>
      <c r="D783" t="s">
        <v>100</v>
      </c>
      <c r="E783" t="s">
        <v>122</v>
      </c>
      <c r="F783" t="s">
        <v>123</v>
      </c>
      <c r="G783" t="s">
        <v>114</v>
      </c>
      <c r="H783" t="s">
        <v>120</v>
      </c>
      <c r="I783">
        <v>9</v>
      </c>
      <c r="J783" s="11">
        <v>2753</v>
      </c>
      <c r="K783">
        <v>35</v>
      </c>
      <c r="L783" t="str" cm="1">
        <f t="array" ref="L783">_xlfn.IFS(J783&gt;5000,"Hight",J783&gt;2000,"Medium",TRUE,"Low")</f>
        <v>Medium</v>
      </c>
      <c r="M783" t="str" cm="1">
        <f t="array" ref="M783">_xlfn.IFS(I783&lt;12,"Low-Term",I783&gt;=36,"Long-Term",TRUE,"Medium-Term")</f>
        <v>Low-Term</v>
      </c>
      <c r="N783" t="str" cm="1">
        <f t="array" ref="N783">_xlfn.IFS(A783="Bad", "Review Required", AND(A783="Good",J783&gt;7000),"VIP Client", AND(A783="Good", J783&lt;=7000),"Standart Client")</f>
        <v>Standart Client</v>
      </c>
    </row>
    <row r="784" spans="1:14" x14ac:dyDescent="0.3">
      <c r="A784" t="s">
        <v>34</v>
      </c>
      <c r="B784" t="s">
        <v>80</v>
      </c>
      <c r="C784" t="s">
        <v>86</v>
      </c>
      <c r="D784" t="s">
        <v>102</v>
      </c>
      <c r="E784" t="s">
        <v>122</v>
      </c>
      <c r="F784" t="s">
        <v>123</v>
      </c>
      <c r="G784" t="s">
        <v>114</v>
      </c>
      <c r="H784" t="s">
        <v>120</v>
      </c>
      <c r="I784">
        <v>12</v>
      </c>
      <c r="J784" s="11">
        <v>3651</v>
      </c>
      <c r="K784">
        <v>31</v>
      </c>
      <c r="L784" t="str" cm="1">
        <f t="array" ref="L784">_xlfn.IFS(J784&gt;5000,"Hight",J784&gt;2000,"Medium",TRUE,"Low")</f>
        <v>Medium</v>
      </c>
      <c r="M784" t="str" cm="1">
        <f t="array" ref="M784">_xlfn.IFS(I784&lt;12,"Low-Term",I784&gt;=36,"Long-Term",TRUE,"Medium-Term")</f>
        <v>Medium-Term</v>
      </c>
      <c r="N784" t="str" cm="1">
        <f t="array" ref="N784">_xlfn.IFS(A784="Bad", "Review Required", AND(A784="Good",J784&gt;7000),"VIP Client", AND(A784="Good", J784&lt;=7000),"Standart Client")</f>
        <v>Standart Client</v>
      </c>
    </row>
    <row r="785" spans="1:14" x14ac:dyDescent="0.3">
      <c r="A785" t="s">
        <v>34</v>
      </c>
      <c r="B785" t="s">
        <v>80</v>
      </c>
      <c r="C785" t="s">
        <v>88</v>
      </c>
      <c r="D785" t="s">
        <v>99</v>
      </c>
      <c r="E785" t="s">
        <v>122</v>
      </c>
      <c r="F785" t="s">
        <v>126</v>
      </c>
      <c r="G785" t="s">
        <v>114</v>
      </c>
      <c r="H785" t="s">
        <v>120</v>
      </c>
      <c r="I785">
        <v>15</v>
      </c>
      <c r="J785" s="11">
        <v>975</v>
      </c>
      <c r="K785">
        <v>25</v>
      </c>
      <c r="L785" t="str" cm="1">
        <f t="array" ref="L785">_xlfn.IFS(J785&gt;5000,"Hight",J785&gt;2000,"Medium",TRUE,"Low")</f>
        <v>Low</v>
      </c>
      <c r="M785" t="str" cm="1">
        <f t="array" ref="M785">_xlfn.IFS(I785&lt;12,"Low-Term",I785&gt;=36,"Long-Term",TRUE,"Medium-Term")</f>
        <v>Medium-Term</v>
      </c>
      <c r="N785" t="str" cm="1">
        <f t="array" ref="N785">_xlfn.IFS(A785="Bad", "Review Required", AND(A785="Good",J785&gt;7000),"VIP Client", AND(A785="Good", J785&lt;=7000),"Standart Client")</f>
        <v>Standart Client</v>
      </c>
    </row>
    <row r="786" spans="1:14" x14ac:dyDescent="0.3">
      <c r="A786" t="s">
        <v>34</v>
      </c>
      <c r="B786" t="s">
        <v>77</v>
      </c>
      <c r="C786" t="s">
        <v>91</v>
      </c>
      <c r="D786" t="s">
        <v>100</v>
      </c>
      <c r="E786" t="s">
        <v>124</v>
      </c>
      <c r="F786" t="s">
        <v>125</v>
      </c>
      <c r="G786" t="s">
        <v>113</v>
      </c>
      <c r="H786" t="s">
        <v>120</v>
      </c>
      <c r="I786">
        <v>15</v>
      </c>
      <c r="J786" s="11">
        <v>2631</v>
      </c>
      <c r="K786">
        <v>25</v>
      </c>
      <c r="L786" t="str" cm="1">
        <f t="array" ref="L786">_xlfn.IFS(J786&gt;5000,"Hight",J786&gt;2000,"Medium",TRUE,"Low")</f>
        <v>Medium</v>
      </c>
      <c r="M786" t="str" cm="1">
        <f t="array" ref="M786">_xlfn.IFS(I786&lt;12,"Low-Term",I786&gt;=36,"Long-Term",TRUE,"Medium-Term")</f>
        <v>Medium-Term</v>
      </c>
      <c r="N786" t="str" cm="1">
        <f t="array" ref="N786">_xlfn.IFS(A786="Bad", "Review Required", AND(A786="Good",J786&gt;7000),"VIP Client", AND(A786="Good", J786&lt;=7000),"Standart Client")</f>
        <v>Standart Client</v>
      </c>
    </row>
    <row r="787" spans="1:14" x14ac:dyDescent="0.3">
      <c r="A787" t="s">
        <v>34</v>
      </c>
      <c r="B787" t="s">
        <v>77</v>
      </c>
      <c r="C787" t="s">
        <v>89</v>
      </c>
      <c r="D787" t="s">
        <v>100</v>
      </c>
      <c r="E787" t="s">
        <v>122</v>
      </c>
      <c r="F787" t="s">
        <v>123</v>
      </c>
      <c r="G787" t="s">
        <v>114</v>
      </c>
      <c r="H787" t="s">
        <v>120</v>
      </c>
      <c r="I787">
        <v>24</v>
      </c>
      <c r="J787" s="11">
        <v>2896</v>
      </c>
      <c r="K787">
        <v>29</v>
      </c>
      <c r="L787" t="str" cm="1">
        <f t="array" ref="L787">_xlfn.IFS(J787&gt;5000,"Hight",J787&gt;2000,"Medium",TRUE,"Low")</f>
        <v>Medium</v>
      </c>
      <c r="M787" t="str" cm="1">
        <f t="array" ref="M787">_xlfn.IFS(I787&lt;12,"Low-Term",I787&gt;=36,"Long-Term",TRUE,"Medium-Term")</f>
        <v>Medium-Term</v>
      </c>
      <c r="N787" t="str" cm="1">
        <f t="array" ref="N787">_xlfn.IFS(A787="Bad", "Review Required", AND(A787="Good",J787&gt;7000),"VIP Client", AND(A787="Good", J787&lt;=7000),"Standart Client")</f>
        <v>Standart Client</v>
      </c>
    </row>
    <row r="788" spans="1:14" x14ac:dyDescent="0.3">
      <c r="A788" t="s">
        <v>34</v>
      </c>
      <c r="B788" t="s">
        <v>80</v>
      </c>
      <c r="C788" t="s">
        <v>86</v>
      </c>
      <c r="D788" t="s">
        <v>78</v>
      </c>
      <c r="E788" t="s">
        <v>122</v>
      </c>
      <c r="F788" t="s">
        <v>123</v>
      </c>
      <c r="G788" t="s">
        <v>113</v>
      </c>
      <c r="H788" t="s">
        <v>120</v>
      </c>
      <c r="I788">
        <v>6</v>
      </c>
      <c r="J788" s="11">
        <v>4716</v>
      </c>
      <c r="K788">
        <v>44</v>
      </c>
      <c r="L788" t="str" cm="1">
        <f t="array" ref="L788">_xlfn.IFS(J788&gt;5000,"Hight",J788&gt;2000,"Medium",TRUE,"Low")</f>
        <v>Medium</v>
      </c>
      <c r="M788" t="str" cm="1">
        <f t="array" ref="M788">_xlfn.IFS(I788&lt;12,"Low-Term",I788&gt;=36,"Long-Term",TRUE,"Medium-Term")</f>
        <v>Low-Term</v>
      </c>
      <c r="N788" t="str" cm="1">
        <f t="array" ref="N788">_xlfn.IFS(A788="Bad", "Review Required", AND(A788="Good",J788&gt;7000),"VIP Client", AND(A788="Good", J788&lt;=7000),"Standart Client")</f>
        <v>Standart Client</v>
      </c>
    </row>
    <row r="789" spans="1:14" x14ac:dyDescent="0.3">
      <c r="A789" t="s">
        <v>34</v>
      </c>
      <c r="B789" t="s">
        <v>78</v>
      </c>
      <c r="C789" t="s">
        <v>89</v>
      </c>
      <c r="D789" t="s">
        <v>99</v>
      </c>
      <c r="E789" t="s">
        <v>122</v>
      </c>
      <c r="F789" t="s">
        <v>123</v>
      </c>
      <c r="G789" t="s">
        <v>114</v>
      </c>
      <c r="H789" t="s">
        <v>120</v>
      </c>
      <c r="I789">
        <v>24</v>
      </c>
      <c r="J789" s="11">
        <v>2284</v>
      </c>
      <c r="K789">
        <v>28</v>
      </c>
      <c r="L789" t="str" cm="1">
        <f t="array" ref="L789">_xlfn.IFS(J789&gt;5000,"Hight",J789&gt;2000,"Medium",TRUE,"Low")</f>
        <v>Medium</v>
      </c>
      <c r="M789" t="str" cm="1">
        <f t="array" ref="M789">_xlfn.IFS(I789&lt;12,"Low-Term",I789&gt;=36,"Long-Term",TRUE,"Medium-Term")</f>
        <v>Medium-Term</v>
      </c>
      <c r="N789" t="str" cm="1">
        <f t="array" ref="N789">_xlfn.IFS(A789="Bad", "Review Required", AND(A789="Good",J789&gt;7000),"VIP Client", AND(A789="Good", J789&lt;=7000),"Standart Client")</f>
        <v>Standart Client</v>
      </c>
    </row>
    <row r="790" spans="1:14" x14ac:dyDescent="0.3">
      <c r="A790" t="s">
        <v>34</v>
      </c>
      <c r="B790" t="s">
        <v>78</v>
      </c>
      <c r="C790" t="s">
        <v>87</v>
      </c>
      <c r="D790" t="s">
        <v>101</v>
      </c>
      <c r="E790" t="s">
        <v>122</v>
      </c>
      <c r="F790" t="s">
        <v>123</v>
      </c>
      <c r="G790" t="s">
        <v>114</v>
      </c>
      <c r="H790" t="s">
        <v>119</v>
      </c>
      <c r="I790">
        <v>6</v>
      </c>
      <c r="J790" s="11">
        <v>1236</v>
      </c>
      <c r="K790">
        <v>50</v>
      </c>
      <c r="L790" t="str" cm="1">
        <f t="array" ref="L790">_xlfn.IFS(J790&gt;5000,"Hight",J790&gt;2000,"Medium",TRUE,"Low")</f>
        <v>Low</v>
      </c>
      <c r="M790" t="str" cm="1">
        <f t="array" ref="M790">_xlfn.IFS(I790&lt;12,"Low-Term",I790&gt;=36,"Long-Term",TRUE,"Medium-Term")</f>
        <v>Low-Term</v>
      </c>
      <c r="N790" t="str" cm="1">
        <f t="array" ref="N790">_xlfn.IFS(A790="Bad", "Review Required", AND(A790="Good",J790&gt;7000),"VIP Client", AND(A790="Good", J790&lt;=7000),"Standart Client")</f>
        <v>Standart Client</v>
      </c>
    </row>
    <row r="791" spans="1:14" x14ac:dyDescent="0.3">
      <c r="A791" t="s">
        <v>34</v>
      </c>
      <c r="B791" t="s">
        <v>77</v>
      </c>
      <c r="C791" t="s">
        <v>89</v>
      </c>
      <c r="D791" t="s">
        <v>99</v>
      </c>
      <c r="E791" t="s">
        <v>122</v>
      </c>
      <c r="F791" t="s">
        <v>123</v>
      </c>
      <c r="G791" t="s">
        <v>114</v>
      </c>
      <c r="H791" t="s">
        <v>120</v>
      </c>
      <c r="I791">
        <v>12</v>
      </c>
      <c r="J791" s="11">
        <v>1103</v>
      </c>
      <c r="K791">
        <v>29</v>
      </c>
      <c r="L791" t="str" cm="1">
        <f t="array" ref="L791">_xlfn.IFS(J791&gt;5000,"Hight",J791&gt;2000,"Medium",TRUE,"Low")</f>
        <v>Low</v>
      </c>
      <c r="M791" t="str" cm="1">
        <f t="array" ref="M791">_xlfn.IFS(I791&lt;12,"Low-Term",I791&gt;=36,"Long-Term",TRUE,"Medium-Term")</f>
        <v>Medium-Term</v>
      </c>
      <c r="N791" t="str" cm="1">
        <f t="array" ref="N791">_xlfn.IFS(A791="Bad", "Review Required", AND(A791="Good",J791&gt;7000),"VIP Client", AND(A791="Good", J791&lt;=7000),"Standart Client")</f>
        <v>Standart Client</v>
      </c>
    </row>
    <row r="792" spans="1:14" x14ac:dyDescent="0.3">
      <c r="A792" t="s">
        <v>34</v>
      </c>
      <c r="B792" t="s">
        <v>78</v>
      </c>
      <c r="C792" t="s">
        <v>86</v>
      </c>
      <c r="D792" t="s">
        <v>99</v>
      </c>
      <c r="E792" t="s">
        <v>124</v>
      </c>
      <c r="F792" t="s">
        <v>125</v>
      </c>
      <c r="G792" t="s">
        <v>112</v>
      </c>
      <c r="H792" t="s">
        <v>120</v>
      </c>
      <c r="I792">
        <v>12</v>
      </c>
      <c r="J792" s="11">
        <v>926</v>
      </c>
      <c r="K792">
        <v>38</v>
      </c>
      <c r="L792" t="str" cm="1">
        <f t="array" ref="L792">_xlfn.IFS(J792&gt;5000,"Hight",J792&gt;2000,"Medium",TRUE,"Low")</f>
        <v>Low</v>
      </c>
      <c r="M792" t="str" cm="1">
        <f t="array" ref="M792">_xlfn.IFS(I792&lt;12,"Low-Term",I792&gt;=36,"Long-Term",TRUE,"Medium-Term")</f>
        <v>Medium-Term</v>
      </c>
      <c r="N792" t="str" cm="1">
        <f t="array" ref="N792">_xlfn.IFS(A792="Bad", "Review Required", AND(A792="Good",J792&gt;7000),"VIP Client", AND(A792="Good", J792&lt;=7000),"Standart Client")</f>
        <v>Standart Client</v>
      </c>
    </row>
    <row r="793" spans="1:14" x14ac:dyDescent="0.3">
      <c r="A793" t="s">
        <v>34</v>
      </c>
      <c r="B793" t="s">
        <v>78</v>
      </c>
      <c r="C793" t="s">
        <v>89</v>
      </c>
      <c r="D793" t="s">
        <v>99</v>
      </c>
      <c r="E793" t="s">
        <v>122</v>
      </c>
      <c r="F793" t="s">
        <v>123</v>
      </c>
      <c r="G793" t="s">
        <v>114</v>
      </c>
      <c r="H793" t="s">
        <v>120</v>
      </c>
      <c r="I793">
        <v>18</v>
      </c>
      <c r="J793" s="11">
        <v>1800</v>
      </c>
      <c r="K793">
        <v>24</v>
      </c>
      <c r="L793" t="str" cm="1">
        <f t="array" ref="L793">_xlfn.IFS(J793&gt;5000,"Hight",J793&gt;2000,"Medium",TRUE,"Low")</f>
        <v>Low</v>
      </c>
      <c r="M793" t="str" cm="1">
        <f t="array" ref="M793">_xlfn.IFS(I793&lt;12,"Low-Term",I793&gt;=36,"Long-Term",TRUE,"Medium-Term")</f>
        <v>Medium-Term</v>
      </c>
      <c r="N793" t="str" cm="1">
        <f t="array" ref="N793">_xlfn.IFS(A793="Bad", "Review Required", AND(A793="Good",J793&gt;7000),"VIP Client", AND(A793="Good", J793&lt;=7000),"Standart Client")</f>
        <v>Standart Client</v>
      </c>
    </row>
    <row r="794" spans="1:14" x14ac:dyDescent="0.3">
      <c r="A794" t="s">
        <v>34</v>
      </c>
      <c r="B794" t="s">
        <v>81</v>
      </c>
      <c r="C794" t="s">
        <v>92</v>
      </c>
      <c r="D794" t="s">
        <v>99</v>
      </c>
      <c r="E794" t="s">
        <v>122</v>
      </c>
      <c r="F794" t="s">
        <v>123</v>
      </c>
      <c r="G794" t="s">
        <v>115</v>
      </c>
      <c r="H794" t="s">
        <v>119</v>
      </c>
      <c r="I794">
        <v>15</v>
      </c>
      <c r="J794" s="11">
        <v>1905</v>
      </c>
      <c r="K794">
        <v>40</v>
      </c>
      <c r="L794" t="str" cm="1">
        <f t="array" ref="L794">_xlfn.IFS(J794&gt;5000,"Hight",J794&gt;2000,"Medium",TRUE,"Low")</f>
        <v>Low</v>
      </c>
      <c r="M794" t="str" cm="1">
        <f t="array" ref="M794">_xlfn.IFS(I794&lt;12,"Low-Term",I794&gt;=36,"Long-Term",TRUE,"Medium-Term")</f>
        <v>Medium-Term</v>
      </c>
      <c r="N794" t="str" cm="1">
        <f t="array" ref="N794">_xlfn.IFS(A794="Bad", "Review Required", AND(A794="Good",J794&gt;7000),"VIP Client", AND(A794="Good", J794&lt;=7000),"Standart Client")</f>
        <v>Standart Client</v>
      </c>
    </row>
    <row r="795" spans="1:14" x14ac:dyDescent="0.3">
      <c r="A795" t="s">
        <v>34</v>
      </c>
      <c r="B795" t="s">
        <v>81</v>
      </c>
      <c r="C795" t="s">
        <v>89</v>
      </c>
      <c r="D795" t="s">
        <v>100</v>
      </c>
      <c r="E795" t="s">
        <v>124</v>
      </c>
      <c r="F795" t="s">
        <v>125</v>
      </c>
      <c r="G795" t="s">
        <v>114</v>
      </c>
      <c r="H795" t="s">
        <v>121</v>
      </c>
      <c r="I795">
        <v>24</v>
      </c>
      <c r="J795" s="11">
        <v>1377</v>
      </c>
      <c r="K795">
        <v>47</v>
      </c>
      <c r="L795" t="str" cm="1">
        <f t="array" ref="L795">_xlfn.IFS(J795&gt;5000,"Hight",J795&gt;2000,"Medium",TRUE,"Low")</f>
        <v>Low</v>
      </c>
      <c r="M795" t="str" cm="1">
        <f t="array" ref="M795">_xlfn.IFS(I795&lt;12,"Low-Term",I795&gt;=36,"Long-Term",TRUE,"Medium-Term")</f>
        <v>Medium-Term</v>
      </c>
      <c r="N795" t="str" cm="1">
        <f t="array" ref="N795">_xlfn.IFS(A795="Bad", "Review Required", AND(A795="Good",J795&gt;7000),"VIP Client", AND(A795="Good", J795&lt;=7000),"Standart Client")</f>
        <v>Standart Client</v>
      </c>
    </row>
    <row r="796" spans="1:14" x14ac:dyDescent="0.3">
      <c r="A796" t="s">
        <v>34</v>
      </c>
      <c r="B796" t="s">
        <v>77</v>
      </c>
      <c r="C796" t="s">
        <v>94</v>
      </c>
      <c r="D796" t="s">
        <v>100</v>
      </c>
      <c r="E796" t="s">
        <v>122</v>
      </c>
      <c r="F796" t="s">
        <v>123</v>
      </c>
      <c r="G796" t="s">
        <v>114</v>
      </c>
      <c r="H796" t="s">
        <v>120</v>
      </c>
      <c r="I796">
        <v>30</v>
      </c>
      <c r="J796" s="11">
        <v>2503</v>
      </c>
      <c r="K796">
        <v>41</v>
      </c>
      <c r="L796" t="str" cm="1">
        <f t="array" ref="L796">_xlfn.IFS(J796&gt;5000,"Hight",J796&gt;2000,"Medium",TRUE,"Low")</f>
        <v>Medium</v>
      </c>
      <c r="M796" t="str" cm="1">
        <f t="array" ref="M796">_xlfn.IFS(I796&lt;12,"Low-Term",I796&gt;=36,"Long-Term",TRUE,"Medium-Term")</f>
        <v>Medium-Term</v>
      </c>
      <c r="N796" t="str" cm="1">
        <f t="array" ref="N796">_xlfn.IFS(A796="Bad", "Review Required", AND(A796="Good",J796&gt;7000),"VIP Client", AND(A796="Good", J796&lt;=7000),"Standart Client")</f>
        <v>Standart Client</v>
      </c>
    </row>
    <row r="797" spans="1:14" x14ac:dyDescent="0.3">
      <c r="A797" t="s">
        <v>34</v>
      </c>
      <c r="B797" t="s">
        <v>77</v>
      </c>
      <c r="C797" t="s">
        <v>94</v>
      </c>
      <c r="D797" t="s">
        <v>99</v>
      </c>
      <c r="E797" t="s">
        <v>124</v>
      </c>
      <c r="F797" t="s">
        <v>125</v>
      </c>
      <c r="G797" t="s">
        <v>114</v>
      </c>
      <c r="H797" t="s">
        <v>120</v>
      </c>
      <c r="I797">
        <v>27</v>
      </c>
      <c r="J797" s="11">
        <v>2528</v>
      </c>
      <c r="K797">
        <v>32</v>
      </c>
      <c r="L797" t="str" cm="1">
        <f t="array" ref="L797">_xlfn.IFS(J797&gt;5000,"Hight",J797&gt;2000,"Medium",TRUE,"Low")</f>
        <v>Medium</v>
      </c>
      <c r="M797" t="str" cm="1">
        <f t="array" ref="M797">_xlfn.IFS(I797&lt;12,"Low-Term",I797&gt;=36,"Long-Term",TRUE,"Medium-Term")</f>
        <v>Medium-Term</v>
      </c>
      <c r="N797" t="str" cm="1">
        <f t="array" ref="N797">_xlfn.IFS(A797="Bad", "Review Required", AND(A797="Good",J797&gt;7000),"VIP Client", AND(A797="Good", J797&lt;=7000),"Standart Client")</f>
        <v>Standart Client</v>
      </c>
    </row>
    <row r="798" spans="1:14" x14ac:dyDescent="0.3">
      <c r="A798" t="s">
        <v>34</v>
      </c>
      <c r="B798" t="s">
        <v>78</v>
      </c>
      <c r="C798" t="s">
        <v>86</v>
      </c>
      <c r="D798" t="s">
        <v>101</v>
      </c>
      <c r="E798" t="s">
        <v>124</v>
      </c>
      <c r="F798" t="s">
        <v>125</v>
      </c>
      <c r="G798" t="s">
        <v>114</v>
      </c>
      <c r="H798" t="s">
        <v>121</v>
      </c>
      <c r="I798">
        <v>15</v>
      </c>
      <c r="J798" s="11">
        <v>5324</v>
      </c>
      <c r="K798">
        <v>35</v>
      </c>
      <c r="L798" t="str" cm="1">
        <f t="array" ref="L798">_xlfn.IFS(J798&gt;5000,"Hight",J798&gt;2000,"Medium",TRUE,"Low")</f>
        <v>Hight</v>
      </c>
      <c r="M798" t="str" cm="1">
        <f t="array" ref="M798">_xlfn.IFS(I798&lt;12,"Low-Term",I798&gt;=36,"Long-Term",TRUE,"Medium-Term")</f>
        <v>Medium-Term</v>
      </c>
      <c r="N798" t="str" cm="1">
        <f t="array" ref="N798">_xlfn.IFS(A798="Bad", "Review Required", AND(A798="Good",J798&gt;7000),"VIP Client", AND(A798="Good", J798&lt;=7000),"Standart Client")</f>
        <v>Standart Client</v>
      </c>
    </row>
    <row r="799" spans="1:14" x14ac:dyDescent="0.3">
      <c r="A799" t="s">
        <v>34</v>
      </c>
      <c r="B799" t="s">
        <v>77</v>
      </c>
      <c r="C799" t="s">
        <v>89</v>
      </c>
      <c r="D799" t="s">
        <v>99</v>
      </c>
      <c r="E799" t="s">
        <v>124</v>
      </c>
      <c r="F799" t="s">
        <v>125</v>
      </c>
      <c r="G799" t="s">
        <v>114</v>
      </c>
      <c r="H799" t="s">
        <v>120</v>
      </c>
      <c r="I799">
        <v>9</v>
      </c>
      <c r="J799" s="11">
        <v>1206</v>
      </c>
      <c r="K799">
        <v>25</v>
      </c>
      <c r="L799" t="str" cm="1">
        <f t="array" ref="L799">_xlfn.IFS(J799&gt;5000,"Hight",J799&gt;2000,"Medium",TRUE,"Low")</f>
        <v>Low</v>
      </c>
      <c r="M799" t="str" cm="1">
        <f t="array" ref="M799">_xlfn.IFS(I799&lt;12,"Low-Term",I799&gt;=36,"Long-Term",TRUE,"Medium-Term")</f>
        <v>Low-Term</v>
      </c>
      <c r="N799" t="str" cm="1">
        <f t="array" ref="N799">_xlfn.IFS(A799="Bad", "Review Required", AND(A799="Good",J799&gt;7000),"VIP Client", AND(A799="Good", J799&lt;=7000),"Standart Client")</f>
        <v>Standart Client</v>
      </c>
    </row>
    <row r="800" spans="1:14" x14ac:dyDescent="0.3">
      <c r="A800" t="s">
        <v>34</v>
      </c>
      <c r="B800" t="s">
        <v>77</v>
      </c>
      <c r="C800" t="s">
        <v>89</v>
      </c>
      <c r="D800" t="s">
        <v>99</v>
      </c>
      <c r="E800" t="s">
        <v>122</v>
      </c>
      <c r="F800" t="s">
        <v>123</v>
      </c>
      <c r="G800" t="s">
        <v>113</v>
      </c>
      <c r="H800" t="s">
        <v>120</v>
      </c>
      <c r="I800">
        <v>9</v>
      </c>
      <c r="J800" s="11">
        <v>2118</v>
      </c>
      <c r="K800">
        <v>37</v>
      </c>
      <c r="L800" t="str" cm="1">
        <f t="array" ref="L800">_xlfn.IFS(J800&gt;5000,"Hight",J800&gt;2000,"Medium",TRUE,"Low")</f>
        <v>Medium</v>
      </c>
      <c r="M800" t="str" cm="1">
        <f t="array" ref="M800">_xlfn.IFS(I800&lt;12,"Low-Term",I800&gt;=36,"Long-Term",TRUE,"Medium-Term")</f>
        <v>Low-Term</v>
      </c>
      <c r="N800" t="str" cm="1">
        <f t="array" ref="N800">_xlfn.IFS(A800="Bad", "Review Required", AND(A800="Good",J800&gt;7000),"VIP Client", AND(A800="Good", J800&lt;=7000),"Standart Client")</f>
        <v>Standart Client</v>
      </c>
    </row>
    <row r="801" spans="1:14" x14ac:dyDescent="0.3">
      <c r="A801" t="s">
        <v>34</v>
      </c>
      <c r="B801" t="s">
        <v>78</v>
      </c>
      <c r="C801" t="s">
        <v>89</v>
      </c>
      <c r="D801" t="s">
        <v>101</v>
      </c>
      <c r="E801" t="s">
        <v>122</v>
      </c>
      <c r="F801" t="s">
        <v>123</v>
      </c>
      <c r="G801" t="s">
        <v>115</v>
      </c>
      <c r="H801" t="s">
        <v>120</v>
      </c>
      <c r="I801">
        <v>18</v>
      </c>
      <c r="J801" s="11">
        <v>629</v>
      </c>
      <c r="K801">
        <v>32</v>
      </c>
      <c r="L801" t="str" cm="1">
        <f t="array" ref="L801">_xlfn.IFS(J801&gt;5000,"Hight",J801&gt;2000,"Medium",TRUE,"Low")</f>
        <v>Low</v>
      </c>
      <c r="M801" t="str" cm="1">
        <f t="array" ref="M801">_xlfn.IFS(I801&lt;12,"Low-Term",I801&gt;=36,"Long-Term",TRUE,"Medium-Term")</f>
        <v>Medium-Term</v>
      </c>
      <c r="N801" t="str" cm="1">
        <f t="array" ref="N801">_xlfn.IFS(A801="Bad", "Review Required", AND(A801="Good",J801&gt;7000),"VIP Client", AND(A801="Good", J801&lt;=7000),"Standart Client")</f>
        <v>Standart Client</v>
      </c>
    </row>
    <row r="802" spans="1:14" x14ac:dyDescent="0.3">
      <c r="A802" t="s">
        <v>34</v>
      </c>
      <c r="B802" t="s">
        <v>78</v>
      </c>
      <c r="C802" t="s">
        <v>87</v>
      </c>
      <c r="D802" t="s">
        <v>78</v>
      </c>
      <c r="E802" t="s">
        <v>122</v>
      </c>
      <c r="F802" t="s">
        <v>123</v>
      </c>
      <c r="G802" t="s">
        <v>115</v>
      </c>
      <c r="H802" t="s">
        <v>120</v>
      </c>
      <c r="I802">
        <v>21</v>
      </c>
      <c r="J802" s="11">
        <v>2476</v>
      </c>
      <c r="K802">
        <v>46</v>
      </c>
      <c r="L802" t="str" cm="1">
        <f t="array" ref="L802">_xlfn.IFS(J802&gt;5000,"Hight",J802&gt;2000,"Medium",TRUE,"Low")</f>
        <v>Medium</v>
      </c>
      <c r="M802" t="str" cm="1">
        <f t="array" ref="M802">_xlfn.IFS(I802&lt;12,"Low-Term",I802&gt;=36,"Long-Term",TRUE,"Medium-Term")</f>
        <v>Medium-Term</v>
      </c>
      <c r="N802" t="str" cm="1">
        <f t="array" ref="N802">_xlfn.IFS(A802="Bad", "Review Required", AND(A802="Good",J802&gt;7000),"VIP Client", AND(A802="Good", J802&lt;=7000),"Standart Client")</f>
        <v>Standart Client</v>
      </c>
    </row>
    <row r="803" spans="1:14" x14ac:dyDescent="0.3">
      <c r="A803" t="s">
        <v>34</v>
      </c>
      <c r="B803" t="s">
        <v>80</v>
      </c>
      <c r="C803" t="s">
        <v>89</v>
      </c>
      <c r="D803" t="s">
        <v>99</v>
      </c>
      <c r="E803" t="s">
        <v>122</v>
      </c>
      <c r="F803" t="s">
        <v>123</v>
      </c>
      <c r="G803" t="s">
        <v>113</v>
      </c>
      <c r="H803" t="s">
        <v>120</v>
      </c>
      <c r="I803">
        <v>9</v>
      </c>
      <c r="J803" s="11">
        <v>1138</v>
      </c>
      <c r="K803">
        <v>25</v>
      </c>
      <c r="L803" t="str" cm="1">
        <f t="array" ref="L803">_xlfn.IFS(J803&gt;5000,"Hight",J803&gt;2000,"Medium",TRUE,"Low")</f>
        <v>Low</v>
      </c>
      <c r="M803" t="str" cm="1">
        <f t="array" ref="M803">_xlfn.IFS(I803&lt;12,"Low-Term",I803&gt;=36,"Long-Term",TRUE,"Medium-Term")</f>
        <v>Low-Term</v>
      </c>
      <c r="N803" t="str" cm="1">
        <f t="array" ref="N803">_xlfn.IFS(A803="Bad", "Review Required", AND(A803="Good",J803&gt;7000),"VIP Client", AND(A803="Good", J803&lt;=7000),"Standart Client")</f>
        <v>Standart Client</v>
      </c>
    </row>
    <row r="804" spans="1:14" x14ac:dyDescent="0.3">
      <c r="A804" t="s">
        <v>34</v>
      </c>
      <c r="B804" t="s">
        <v>78</v>
      </c>
      <c r="C804" t="s">
        <v>87</v>
      </c>
      <c r="D804" t="s">
        <v>78</v>
      </c>
      <c r="E804" t="s">
        <v>122</v>
      </c>
      <c r="F804" t="s">
        <v>123</v>
      </c>
      <c r="G804" t="s">
        <v>114</v>
      </c>
      <c r="H804" t="s">
        <v>120</v>
      </c>
      <c r="I804">
        <v>30</v>
      </c>
      <c r="J804" s="11">
        <v>7596</v>
      </c>
      <c r="K804">
        <v>63</v>
      </c>
      <c r="L804" t="str" cm="1">
        <f t="array" ref="L804">_xlfn.IFS(J804&gt;5000,"Hight",J804&gt;2000,"Medium",TRUE,"Low")</f>
        <v>Hight</v>
      </c>
      <c r="M804" t="str" cm="1">
        <f t="array" ref="M804">_xlfn.IFS(I804&lt;12,"Low-Term",I804&gt;=36,"Long-Term",TRUE,"Medium-Term")</f>
        <v>Medium-Term</v>
      </c>
      <c r="N804" t="str" cm="1">
        <f t="array" ref="N804">_xlfn.IFS(A804="Bad", "Review Required", AND(A804="Good",J804&gt;7000),"VIP Client", AND(A804="Good", J804&lt;=7000),"Standart Client")</f>
        <v>VIP Client</v>
      </c>
    </row>
    <row r="805" spans="1:14" x14ac:dyDescent="0.3">
      <c r="A805" t="s">
        <v>34</v>
      </c>
      <c r="B805" t="s">
        <v>78</v>
      </c>
      <c r="C805" t="s">
        <v>89</v>
      </c>
      <c r="D805" t="s">
        <v>78</v>
      </c>
      <c r="E805" t="s">
        <v>122</v>
      </c>
      <c r="F805" t="s">
        <v>123</v>
      </c>
      <c r="G805" t="s">
        <v>114</v>
      </c>
      <c r="H805" t="s">
        <v>120</v>
      </c>
      <c r="I805">
        <v>30</v>
      </c>
      <c r="J805" s="11">
        <v>3077</v>
      </c>
      <c r="K805">
        <v>40</v>
      </c>
      <c r="L805" t="str" cm="1">
        <f t="array" ref="L805">_xlfn.IFS(J805&gt;5000,"Hight",J805&gt;2000,"Medium",TRUE,"Low")</f>
        <v>Medium</v>
      </c>
      <c r="M805" t="str" cm="1">
        <f t="array" ref="M805">_xlfn.IFS(I805&lt;12,"Low-Term",I805&gt;=36,"Long-Term",TRUE,"Medium-Term")</f>
        <v>Medium-Term</v>
      </c>
      <c r="N805" t="str" cm="1">
        <f t="array" ref="N805">_xlfn.IFS(A805="Bad", "Review Required", AND(A805="Good",J805&gt;7000),"VIP Client", AND(A805="Good", J805&lt;=7000),"Standart Client")</f>
        <v>Standart Client</v>
      </c>
    </row>
    <row r="806" spans="1:14" x14ac:dyDescent="0.3">
      <c r="A806" t="s">
        <v>34</v>
      </c>
      <c r="B806" t="s">
        <v>78</v>
      </c>
      <c r="C806" t="s">
        <v>89</v>
      </c>
      <c r="D806" t="s">
        <v>99</v>
      </c>
      <c r="E806" t="s">
        <v>122</v>
      </c>
      <c r="F806" t="s">
        <v>123</v>
      </c>
      <c r="G806" t="s">
        <v>115</v>
      </c>
      <c r="H806" t="s">
        <v>121</v>
      </c>
      <c r="I806">
        <v>18</v>
      </c>
      <c r="J806" s="11">
        <v>1505</v>
      </c>
      <c r="K806">
        <v>32</v>
      </c>
      <c r="L806" t="str" cm="1">
        <f t="array" ref="L806">_xlfn.IFS(J806&gt;5000,"Hight",J806&gt;2000,"Medium",TRUE,"Low")</f>
        <v>Low</v>
      </c>
      <c r="M806" t="str" cm="1">
        <f t="array" ref="M806">_xlfn.IFS(I806&lt;12,"Low-Term",I806&gt;=36,"Long-Term",TRUE,"Medium-Term")</f>
        <v>Medium-Term</v>
      </c>
      <c r="N806" t="str" cm="1">
        <f t="array" ref="N806">_xlfn.IFS(A806="Bad", "Review Required", AND(A806="Good",J806&gt;7000),"VIP Client", AND(A806="Good", J806&lt;=7000),"Standart Client")</f>
        <v>Standart Client</v>
      </c>
    </row>
    <row r="807" spans="1:14" x14ac:dyDescent="0.3">
      <c r="A807" t="s">
        <v>34</v>
      </c>
      <c r="B807" t="s">
        <v>81</v>
      </c>
      <c r="C807" t="s">
        <v>89</v>
      </c>
      <c r="D807" t="s">
        <v>78</v>
      </c>
      <c r="E807" t="s">
        <v>122</v>
      </c>
      <c r="F807" t="s">
        <v>123</v>
      </c>
      <c r="G807" t="s">
        <v>114</v>
      </c>
      <c r="H807" t="s">
        <v>120</v>
      </c>
      <c r="I807">
        <v>24</v>
      </c>
      <c r="J807" s="11">
        <v>3148</v>
      </c>
      <c r="K807">
        <v>31</v>
      </c>
      <c r="L807" t="str" cm="1">
        <f t="array" ref="L807">_xlfn.IFS(J807&gt;5000,"Hight",J807&gt;2000,"Medium",TRUE,"Low")</f>
        <v>Medium</v>
      </c>
      <c r="M807" t="str" cm="1">
        <f t="array" ref="M807">_xlfn.IFS(I807&lt;12,"Low-Term",I807&gt;=36,"Long-Term",TRUE,"Medium-Term")</f>
        <v>Medium-Term</v>
      </c>
      <c r="N807" t="str" cm="1">
        <f t="array" ref="N807">_xlfn.IFS(A807="Bad", "Review Required", AND(A807="Good",J807&gt;7000),"VIP Client", AND(A807="Good", J807&lt;=7000),"Standart Client")</f>
        <v>Standart Client</v>
      </c>
    </row>
    <row r="808" spans="1:14" x14ac:dyDescent="0.3">
      <c r="A808" t="s">
        <v>34</v>
      </c>
      <c r="B808" t="s">
        <v>77</v>
      </c>
      <c r="C808" t="s">
        <v>87</v>
      </c>
      <c r="D808" t="s">
        <v>100</v>
      </c>
      <c r="E808" t="s">
        <v>122</v>
      </c>
      <c r="F808" t="s">
        <v>127</v>
      </c>
      <c r="G808" t="s">
        <v>114</v>
      </c>
      <c r="H808" t="s">
        <v>120</v>
      </c>
      <c r="I808">
        <v>20</v>
      </c>
      <c r="J808" s="11">
        <v>6148</v>
      </c>
      <c r="K808">
        <v>31</v>
      </c>
      <c r="L808" t="str" cm="1">
        <f t="array" ref="L808">_xlfn.IFS(J808&gt;5000,"Hight",J808&gt;2000,"Medium",TRUE,"Low")</f>
        <v>Hight</v>
      </c>
      <c r="M808" t="str" cm="1">
        <f t="array" ref="M808">_xlfn.IFS(I808&lt;12,"Low-Term",I808&gt;=36,"Long-Term",TRUE,"Medium-Term")</f>
        <v>Medium-Term</v>
      </c>
      <c r="N808" t="str" cm="1">
        <f t="array" ref="N808">_xlfn.IFS(A808="Bad", "Review Required", AND(A808="Good",J808&gt;7000),"VIP Client", AND(A808="Good", J808&lt;=7000),"Standart Client")</f>
        <v>Standart Client</v>
      </c>
    </row>
    <row r="809" spans="1:14" x14ac:dyDescent="0.3">
      <c r="A809" t="s">
        <v>34</v>
      </c>
      <c r="B809" t="s">
        <v>77</v>
      </c>
      <c r="C809" t="s">
        <v>89</v>
      </c>
      <c r="D809" t="s">
        <v>101</v>
      </c>
      <c r="E809" t="s">
        <v>124</v>
      </c>
      <c r="F809" t="s">
        <v>125</v>
      </c>
      <c r="G809" t="s">
        <v>113</v>
      </c>
      <c r="H809" t="s">
        <v>120</v>
      </c>
      <c r="I809">
        <v>9</v>
      </c>
      <c r="J809" s="11">
        <v>790</v>
      </c>
      <c r="K809">
        <v>66</v>
      </c>
      <c r="L809" t="str" cm="1">
        <f t="array" ref="L809">_xlfn.IFS(J809&gt;5000,"Hight",J809&gt;2000,"Medium",TRUE,"Low")</f>
        <v>Low</v>
      </c>
      <c r="M809" t="str" cm="1">
        <f t="array" ref="M809">_xlfn.IFS(I809&lt;12,"Low-Term",I809&gt;=36,"Long-Term",TRUE,"Medium-Term")</f>
        <v>Low-Term</v>
      </c>
      <c r="N809" t="str" cm="1">
        <f t="array" ref="N809">_xlfn.IFS(A809="Bad", "Review Required", AND(A809="Good",J809&gt;7000),"VIP Client", AND(A809="Good", J809&lt;=7000),"Standart Client")</f>
        <v>Standart Client</v>
      </c>
    </row>
    <row r="810" spans="1:14" x14ac:dyDescent="0.3">
      <c r="A810" t="s">
        <v>34</v>
      </c>
      <c r="B810" t="s">
        <v>78</v>
      </c>
      <c r="C810" t="s">
        <v>86</v>
      </c>
      <c r="D810" t="s">
        <v>102</v>
      </c>
      <c r="E810" t="s">
        <v>124</v>
      </c>
      <c r="F810" t="s">
        <v>125</v>
      </c>
      <c r="G810" t="s">
        <v>113</v>
      </c>
      <c r="H810" t="s">
        <v>120</v>
      </c>
      <c r="I810">
        <v>6</v>
      </c>
      <c r="J810" s="11">
        <v>250</v>
      </c>
      <c r="K810">
        <v>41</v>
      </c>
      <c r="L810" t="str" cm="1">
        <f t="array" ref="L810">_xlfn.IFS(J810&gt;5000,"Hight",J810&gt;2000,"Medium",TRUE,"Low")</f>
        <v>Low</v>
      </c>
      <c r="M810" t="str" cm="1">
        <f t="array" ref="M810">_xlfn.IFS(I810&lt;12,"Low-Term",I810&gt;=36,"Long-Term",TRUE,"Medium-Term")</f>
        <v>Low-Term</v>
      </c>
      <c r="N810" t="str" cm="1">
        <f t="array" ref="N810">_xlfn.IFS(A810="Bad", "Review Required", AND(A810="Good",J810&gt;7000),"VIP Client", AND(A810="Good", J810&lt;=7000),"Standart Client")</f>
        <v>Standart Client</v>
      </c>
    </row>
    <row r="811" spans="1:14" x14ac:dyDescent="0.3">
      <c r="A811" t="s">
        <v>34</v>
      </c>
      <c r="B811" t="s">
        <v>78</v>
      </c>
      <c r="C811" t="s">
        <v>89</v>
      </c>
      <c r="D811" t="s">
        <v>101</v>
      </c>
      <c r="E811" t="s">
        <v>122</v>
      </c>
      <c r="F811" t="s">
        <v>127</v>
      </c>
      <c r="G811" t="s">
        <v>113</v>
      </c>
      <c r="H811" t="s">
        <v>120</v>
      </c>
      <c r="I811">
        <v>15</v>
      </c>
      <c r="J811" s="11">
        <v>1316</v>
      </c>
      <c r="K811">
        <v>47</v>
      </c>
      <c r="L811" t="str" cm="1">
        <f t="array" ref="L811">_xlfn.IFS(J811&gt;5000,"Hight",J811&gt;2000,"Medium",TRUE,"Low")</f>
        <v>Low</v>
      </c>
      <c r="M811" t="str" cm="1">
        <f t="array" ref="M811">_xlfn.IFS(I811&lt;12,"Low-Term",I811&gt;=36,"Long-Term",TRUE,"Medium-Term")</f>
        <v>Medium-Term</v>
      </c>
      <c r="N811" t="str" cm="1">
        <f t="array" ref="N811">_xlfn.IFS(A811="Bad", "Review Required", AND(A811="Good",J811&gt;7000),"VIP Client", AND(A811="Good", J811&lt;=7000),"Standart Client")</f>
        <v>Standart Client</v>
      </c>
    </row>
    <row r="812" spans="1:14" x14ac:dyDescent="0.3">
      <c r="A812" t="s">
        <v>34</v>
      </c>
      <c r="B812" t="s">
        <v>81</v>
      </c>
      <c r="C812" t="s">
        <v>94</v>
      </c>
      <c r="D812" t="s">
        <v>102</v>
      </c>
      <c r="E812" t="s">
        <v>122</v>
      </c>
      <c r="F812" t="s">
        <v>126</v>
      </c>
      <c r="G812" t="s">
        <v>114</v>
      </c>
      <c r="H812" t="s">
        <v>120</v>
      </c>
      <c r="I812">
        <v>24</v>
      </c>
      <c r="J812" s="11">
        <v>1275</v>
      </c>
      <c r="K812">
        <v>36</v>
      </c>
      <c r="L812" t="str" cm="1">
        <f t="array" ref="L812">_xlfn.IFS(J812&gt;5000,"Hight",J812&gt;2000,"Medium",TRUE,"Low")</f>
        <v>Low</v>
      </c>
      <c r="M812" t="str" cm="1">
        <f t="array" ref="M812">_xlfn.IFS(I812&lt;12,"Low-Term",I812&gt;=36,"Long-Term",TRUE,"Medium-Term")</f>
        <v>Medium-Term</v>
      </c>
      <c r="N812" t="str" cm="1">
        <f t="array" ref="N812">_xlfn.IFS(A812="Bad", "Review Required", AND(A812="Good",J812&gt;7000),"VIP Client", AND(A812="Good", J812&lt;=7000),"Standart Client")</f>
        <v>Standart Client</v>
      </c>
    </row>
    <row r="813" spans="1:14" x14ac:dyDescent="0.3">
      <c r="A813" t="s">
        <v>34</v>
      </c>
      <c r="B813" t="s">
        <v>77</v>
      </c>
      <c r="C813" t="s">
        <v>89</v>
      </c>
      <c r="D813" t="s">
        <v>99</v>
      </c>
      <c r="E813" t="s">
        <v>122</v>
      </c>
      <c r="F813" t="s">
        <v>123</v>
      </c>
      <c r="G813" t="s">
        <v>114</v>
      </c>
      <c r="H813" t="s">
        <v>120</v>
      </c>
      <c r="I813">
        <v>24</v>
      </c>
      <c r="J813" s="11">
        <v>6403</v>
      </c>
      <c r="K813">
        <v>33</v>
      </c>
      <c r="L813" t="str" cm="1">
        <f t="array" ref="L813">_xlfn.IFS(J813&gt;5000,"Hight",J813&gt;2000,"Medium",TRUE,"Low")</f>
        <v>Hight</v>
      </c>
      <c r="M813" t="str" cm="1">
        <f t="array" ref="M813">_xlfn.IFS(I813&lt;12,"Low-Term",I813&gt;=36,"Long-Term",TRUE,"Medium-Term")</f>
        <v>Medium-Term</v>
      </c>
      <c r="N813" t="str" cm="1">
        <f t="array" ref="N813">_xlfn.IFS(A813="Bad", "Review Required", AND(A813="Good",J813&gt;7000),"VIP Client", AND(A813="Good", J813&lt;=7000),"Standart Client")</f>
        <v>Standart Client</v>
      </c>
    </row>
    <row r="814" spans="1:14" x14ac:dyDescent="0.3">
      <c r="A814" t="s">
        <v>34</v>
      </c>
      <c r="B814" t="s">
        <v>77</v>
      </c>
      <c r="C814" t="s">
        <v>89</v>
      </c>
      <c r="D814" t="s">
        <v>99</v>
      </c>
      <c r="E814" t="s">
        <v>124</v>
      </c>
      <c r="F814" t="s">
        <v>125</v>
      </c>
      <c r="G814" t="s">
        <v>113</v>
      </c>
      <c r="H814" t="s">
        <v>120</v>
      </c>
      <c r="I814">
        <v>8</v>
      </c>
      <c r="J814" s="11">
        <v>760</v>
      </c>
      <c r="K814">
        <v>44</v>
      </c>
      <c r="L814" t="str" cm="1">
        <f t="array" ref="L814">_xlfn.IFS(J814&gt;5000,"Hight",J814&gt;2000,"Medium",TRUE,"Low")</f>
        <v>Low</v>
      </c>
      <c r="M814" t="str" cm="1">
        <f t="array" ref="M814">_xlfn.IFS(I814&lt;12,"Low-Term",I814&gt;=36,"Long-Term",TRUE,"Medium-Term")</f>
        <v>Low-Term</v>
      </c>
      <c r="N814" t="str" cm="1">
        <f t="array" ref="N814">_xlfn.IFS(A814="Bad", "Review Required", AND(A814="Good",J814&gt;7000),"VIP Client", AND(A814="Good", J814&lt;=7000),"Standart Client")</f>
        <v>Standart Client</v>
      </c>
    </row>
    <row r="815" spans="1:14" x14ac:dyDescent="0.3">
      <c r="A815" t="s">
        <v>34</v>
      </c>
      <c r="B815" t="s">
        <v>78</v>
      </c>
      <c r="C815" t="s">
        <v>87</v>
      </c>
      <c r="D815" t="s">
        <v>102</v>
      </c>
      <c r="E815" t="s">
        <v>124</v>
      </c>
      <c r="F815" t="s">
        <v>125</v>
      </c>
      <c r="G815" t="s">
        <v>114</v>
      </c>
      <c r="H815" t="s">
        <v>119</v>
      </c>
      <c r="I815">
        <v>24</v>
      </c>
      <c r="J815" s="11">
        <v>2603</v>
      </c>
      <c r="K815">
        <v>28</v>
      </c>
      <c r="L815" t="str" cm="1">
        <f t="array" ref="L815">_xlfn.IFS(J815&gt;5000,"Hight",J815&gt;2000,"Medium",TRUE,"Low")</f>
        <v>Medium</v>
      </c>
      <c r="M815" t="str" cm="1">
        <f t="array" ref="M815">_xlfn.IFS(I815&lt;12,"Low-Term",I815&gt;=36,"Long-Term",TRUE,"Medium-Term")</f>
        <v>Medium-Term</v>
      </c>
      <c r="N815" t="str" cm="1">
        <f t="array" ref="N815">_xlfn.IFS(A815="Bad", "Review Required", AND(A815="Good",J815&gt;7000),"VIP Client", AND(A815="Good", J815&lt;=7000),"Standart Client")</f>
        <v>Standart Client</v>
      </c>
    </row>
    <row r="816" spans="1:14" x14ac:dyDescent="0.3">
      <c r="A816" t="s">
        <v>34</v>
      </c>
      <c r="B816" t="s">
        <v>78</v>
      </c>
      <c r="C816" t="s">
        <v>86</v>
      </c>
      <c r="D816" t="s">
        <v>99</v>
      </c>
      <c r="E816" t="s">
        <v>124</v>
      </c>
      <c r="F816" t="s">
        <v>125</v>
      </c>
      <c r="G816" t="s">
        <v>114</v>
      </c>
      <c r="H816" t="s">
        <v>120</v>
      </c>
      <c r="I816">
        <v>4</v>
      </c>
      <c r="J816" s="11">
        <v>3380</v>
      </c>
      <c r="K816">
        <v>37</v>
      </c>
      <c r="L816" t="str" cm="1">
        <f t="array" ref="L816">_xlfn.IFS(J816&gt;5000,"Hight",J816&gt;2000,"Medium",TRUE,"Low")</f>
        <v>Medium</v>
      </c>
      <c r="M816" t="str" cm="1">
        <f t="array" ref="M816">_xlfn.IFS(I816&lt;12,"Low-Term",I816&gt;=36,"Long-Term",TRUE,"Medium-Term")</f>
        <v>Low-Term</v>
      </c>
      <c r="N816" t="str" cm="1">
        <f t="array" ref="N816">_xlfn.IFS(A816="Bad", "Review Required", AND(A816="Good",J816&gt;7000),"VIP Client", AND(A816="Good", J816&lt;=7000),"Standart Client")</f>
        <v>Standart Client</v>
      </c>
    </row>
    <row r="817" spans="1:14" x14ac:dyDescent="0.3">
      <c r="A817" t="s">
        <v>34</v>
      </c>
      <c r="B817" t="s">
        <v>77</v>
      </c>
      <c r="C817" t="s">
        <v>90</v>
      </c>
      <c r="D817" t="s">
        <v>78</v>
      </c>
      <c r="E817" t="s">
        <v>124</v>
      </c>
      <c r="F817" t="s">
        <v>125</v>
      </c>
      <c r="G817" t="s">
        <v>112</v>
      </c>
      <c r="H817" t="s">
        <v>120</v>
      </c>
      <c r="I817">
        <v>36</v>
      </c>
      <c r="J817" s="11">
        <v>3990</v>
      </c>
      <c r="K817">
        <v>29</v>
      </c>
      <c r="L817" t="str" cm="1">
        <f t="array" ref="L817">_xlfn.IFS(J817&gt;5000,"Hight",J817&gt;2000,"Medium",TRUE,"Low")</f>
        <v>Medium</v>
      </c>
      <c r="M817" t="str" cm="1">
        <f t="array" ref="M817">_xlfn.IFS(I817&lt;12,"Low-Term",I817&gt;=36,"Long-Term",TRUE,"Medium-Term")</f>
        <v>Long-Term</v>
      </c>
      <c r="N817" t="str" cm="1">
        <f t="array" ref="N817">_xlfn.IFS(A817="Bad", "Review Required", AND(A817="Good",J817&gt;7000),"VIP Client", AND(A817="Good", J817&lt;=7000),"Standart Client")</f>
        <v>Standart Client</v>
      </c>
    </row>
    <row r="818" spans="1:14" x14ac:dyDescent="0.3">
      <c r="A818" t="s">
        <v>34</v>
      </c>
      <c r="B818" t="s">
        <v>80</v>
      </c>
      <c r="C818" t="s">
        <v>86</v>
      </c>
      <c r="D818" t="s">
        <v>100</v>
      </c>
      <c r="E818" t="s">
        <v>122</v>
      </c>
      <c r="F818" t="s">
        <v>123</v>
      </c>
      <c r="G818" t="s">
        <v>113</v>
      </c>
      <c r="H818" t="s">
        <v>120</v>
      </c>
      <c r="I818">
        <v>18</v>
      </c>
      <c r="J818" s="11">
        <v>4380</v>
      </c>
      <c r="K818">
        <v>35</v>
      </c>
      <c r="L818" t="str" cm="1">
        <f t="array" ref="L818">_xlfn.IFS(J818&gt;5000,"Hight",J818&gt;2000,"Medium",TRUE,"Low")</f>
        <v>Medium</v>
      </c>
      <c r="M818" t="str" cm="1">
        <f t="array" ref="M818">_xlfn.IFS(I818&lt;12,"Low-Term",I818&gt;=36,"Long-Term",TRUE,"Medium-Term")</f>
        <v>Medium-Term</v>
      </c>
      <c r="N818" t="str" cm="1">
        <f t="array" ref="N818">_xlfn.IFS(A818="Bad", "Review Required", AND(A818="Good",J818&gt;7000),"VIP Client", AND(A818="Good", J818&lt;=7000),"Standart Client")</f>
        <v>Standart Client</v>
      </c>
    </row>
    <row r="819" spans="1:14" x14ac:dyDescent="0.3">
      <c r="A819" t="s">
        <v>34</v>
      </c>
      <c r="B819" t="s">
        <v>78</v>
      </c>
      <c r="C819" t="s">
        <v>86</v>
      </c>
      <c r="D819" t="s">
        <v>99</v>
      </c>
      <c r="E819" t="s">
        <v>122</v>
      </c>
      <c r="F819" t="s">
        <v>123</v>
      </c>
      <c r="G819" t="s">
        <v>115</v>
      </c>
      <c r="H819" t="s">
        <v>120</v>
      </c>
      <c r="I819">
        <v>6</v>
      </c>
      <c r="J819" s="11">
        <v>6761</v>
      </c>
      <c r="K819">
        <v>45</v>
      </c>
      <c r="L819" t="str" cm="1">
        <f t="array" ref="L819">_xlfn.IFS(J819&gt;5000,"Hight",J819&gt;2000,"Medium",TRUE,"Low")</f>
        <v>Hight</v>
      </c>
      <c r="M819" t="str" cm="1">
        <f t="array" ref="M819">_xlfn.IFS(I819&lt;12,"Low-Term",I819&gt;=36,"Long-Term",TRUE,"Medium-Term")</f>
        <v>Low-Term</v>
      </c>
      <c r="N819" t="str" cm="1">
        <f t="array" ref="N819">_xlfn.IFS(A819="Bad", "Review Required", AND(A819="Good",J819&gt;7000),"VIP Client", AND(A819="Good", J819&lt;=7000),"Standart Client")</f>
        <v>Standart Client</v>
      </c>
    </row>
    <row r="820" spans="1:14" x14ac:dyDescent="0.3">
      <c r="A820" t="s">
        <v>34</v>
      </c>
      <c r="B820" t="s">
        <v>80</v>
      </c>
      <c r="C820" t="s">
        <v>86</v>
      </c>
      <c r="D820" t="s">
        <v>100</v>
      </c>
      <c r="E820" t="s">
        <v>122</v>
      </c>
      <c r="F820" t="s">
        <v>123</v>
      </c>
      <c r="G820" t="s">
        <v>114</v>
      </c>
      <c r="H820" t="s">
        <v>120</v>
      </c>
      <c r="I820">
        <v>24</v>
      </c>
      <c r="J820" s="11">
        <v>2325</v>
      </c>
      <c r="K820">
        <v>32</v>
      </c>
      <c r="L820" t="str" cm="1">
        <f t="array" ref="L820">_xlfn.IFS(J820&gt;5000,"Hight",J820&gt;2000,"Medium",TRUE,"Low")</f>
        <v>Medium</v>
      </c>
      <c r="M820" t="str" cm="1">
        <f t="array" ref="M820">_xlfn.IFS(I820&lt;12,"Low-Term",I820&gt;=36,"Long-Term",TRUE,"Medium-Term")</f>
        <v>Medium-Term</v>
      </c>
      <c r="N820" t="str" cm="1">
        <f t="array" ref="N820">_xlfn.IFS(A820="Bad", "Review Required", AND(A820="Good",J820&gt;7000),"VIP Client", AND(A820="Good", J820&lt;=7000),"Standart Client")</f>
        <v>Standart Client</v>
      </c>
    </row>
    <row r="821" spans="1:14" x14ac:dyDescent="0.3">
      <c r="A821" t="s">
        <v>34</v>
      </c>
      <c r="B821" t="s">
        <v>77</v>
      </c>
      <c r="C821" t="s">
        <v>89</v>
      </c>
      <c r="D821" t="s">
        <v>99</v>
      </c>
      <c r="E821" t="s">
        <v>122</v>
      </c>
      <c r="F821" t="s">
        <v>123</v>
      </c>
      <c r="G821" t="s">
        <v>113</v>
      </c>
      <c r="H821" t="s">
        <v>120</v>
      </c>
      <c r="I821">
        <v>10</v>
      </c>
      <c r="J821" s="11">
        <v>1048</v>
      </c>
      <c r="K821">
        <v>23</v>
      </c>
      <c r="L821" t="str" cm="1">
        <f t="array" ref="L821">_xlfn.IFS(J821&gt;5000,"Hight",J821&gt;2000,"Medium",TRUE,"Low")</f>
        <v>Low</v>
      </c>
      <c r="M821" t="str" cm="1">
        <f t="array" ref="M821">_xlfn.IFS(I821&lt;12,"Low-Term",I821&gt;=36,"Long-Term",TRUE,"Medium-Term")</f>
        <v>Low-Term</v>
      </c>
      <c r="N821" t="str" cm="1">
        <f t="array" ref="N821">_xlfn.IFS(A821="Bad", "Review Required", AND(A821="Good",J821&gt;7000),"VIP Client", AND(A821="Good", J821&lt;=7000),"Standart Client")</f>
        <v>Standart Client</v>
      </c>
    </row>
    <row r="822" spans="1:14" x14ac:dyDescent="0.3">
      <c r="A822" t="s">
        <v>34</v>
      </c>
      <c r="B822" t="s">
        <v>78</v>
      </c>
      <c r="C822" t="s">
        <v>89</v>
      </c>
      <c r="D822" t="s">
        <v>78</v>
      </c>
      <c r="E822" t="s">
        <v>122</v>
      </c>
      <c r="F822" t="s">
        <v>123</v>
      </c>
      <c r="G822" t="s">
        <v>114</v>
      </c>
      <c r="H822" t="s">
        <v>120</v>
      </c>
      <c r="I822">
        <v>21</v>
      </c>
      <c r="J822" s="11">
        <v>3160</v>
      </c>
      <c r="K822">
        <v>41</v>
      </c>
      <c r="L822" t="str" cm="1">
        <f t="array" ref="L822">_xlfn.IFS(J822&gt;5000,"Hight",J822&gt;2000,"Medium",TRUE,"Low")</f>
        <v>Medium</v>
      </c>
      <c r="M822" t="str" cm="1">
        <f t="array" ref="M822">_xlfn.IFS(I822&lt;12,"Low-Term",I822&gt;=36,"Long-Term",TRUE,"Medium-Term")</f>
        <v>Medium-Term</v>
      </c>
      <c r="N822" t="str" cm="1">
        <f t="array" ref="N822">_xlfn.IFS(A822="Bad", "Review Required", AND(A822="Good",J822&gt;7000),"VIP Client", AND(A822="Good", J822&lt;=7000),"Standart Client")</f>
        <v>Standart Client</v>
      </c>
    </row>
    <row r="823" spans="1:14" x14ac:dyDescent="0.3">
      <c r="A823" t="s">
        <v>34</v>
      </c>
      <c r="B823" t="s">
        <v>80</v>
      </c>
      <c r="C823" t="s">
        <v>88</v>
      </c>
      <c r="D823" t="s">
        <v>101</v>
      </c>
      <c r="E823" t="s">
        <v>122</v>
      </c>
      <c r="F823" t="s">
        <v>123</v>
      </c>
      <c r="G823" t="s">
        <v>114</v>
      </c>
      <c r="H823" t="s">
        <v>120</v>
      </c>
      <c r="I823">
        <v>24</v>
      </c>
      <c r="J823" s="11">
        <v>2483</v>
      </c>
      <c r="K823">
        <v>22</v>
      </c>
      <c r="L823" t="str" cm="1">
        <f t="array" ref="L823">_xlfn.IFS(J823&gt;5000,"Hight",J823&gt;2000,"Medium",TRUE,"Low")</f>
        <v>Medium</v>
      </c>
      <c r="M823" t="str" cm="1">
        <f t="array" ref="M823">_xlfn.IFS(I823&lt;12,"Low-Term",I823&gt;=36,"Long-Term",TRUE,"Medium-Term")</f>
        <v>Medium-Term</v>
      </c>
      <c r="N823" t="str" cm="1">
        <f t="array" ref="N823">_xlfn.IFS(A823="Bad", "Review Required", AND(A823="Good",J823&gt;7000),"VIP Client", AND(A823="Good", J823&lt;=7000),"Standart Client")</f>
        <v>Standart Client</v>
      </c>
    </row>
    <row r="824" spans="1:14" x14ac:dyDescent="0.3">
      <c r="A824" t="s">
        <v>34</v>
      </c>
      <c r="B824" t="s">
        <v>80</v>
      </c>
      <c r="C824" t="s">
        <v>88</v>
      </c>
      <c r="D824" t="s">
        <v>78</v>
      </c>
      <c r="E824" t="s">
        <v>122</v>
      </c>
      <c r="F824" t="s">
        <v>123</v>
      </c>
      <c r="G824" t="s">
        <v>115</v>
      </c>
      <c r="H824" t="s">
        <v>120</v>
      </c>
      <c r="I824">
        <v>39</v>
      </c>
      <c r="J824" s="11">
        <v>14179</v>
      </c>
      <c r="K824">
        <v>30</v>
      </c>
      <c r="L824" t="str" cm="1">
        <f t="array" ref="L824">_xlfn.IFS(J824&gt;5000,"Hight",J824&gt;2000,"Medium",TRUE,"Low")</f>
        <v>Hight</v>
      </c>
      <c r="M824" t="str" cm="1">
        <f t="array" ref="M824">_xlfn.IFS(I824&lt;12,"Low-Term",I824&gt;=36,"Long-Term",TRUE,"Medium-Term")</f>
        <v>Long-Term</v>
      </c>
      <c r="N824" t="str" cm="1">
        <f t="array" ref="N824">_xlfn.IFS(A824="Bad", "Review Required", AND(A824="Good",J824&gt;7000),"VIP Client", AND(A824="Good", J824&lt;=7000),"Standart Client")</f>
        <v>VIP Client</v>
      </c>
    </row>
    <row r="825" spans="1:14" x14ac:dyDescent="0.3">
      <c r="A825" t="s">
        <v>34</v>
      </c>
      <c r="B825" t="s">
        <v>80</v>
      </c>
      <c r="C825" t="s">
        <v>94</v>
      </c>
      <c r="D825" t="s">
        <v>99</v>
      </c>
      <c r="E825" t="s">
        <v>122</v>
      </c>
      <c r="F825" t="s">
        <v>123</v>
      </c>
      <c r="G825" t="s">
        <v>113</v>
      </c>
      <c r="H825" t="s">
        <v>120</v>
      </c>
      <c r="I825">
        <v>13</v>
      </c>
      <c r="J825" s="11">
        <v>1797</v>
      </c>
      <c r="K825">
        <v>28</v>
      </c>
      <c r="L825" t="str" cm="1">
        <f t="array" ref="L825">_xlfn.IFS(J825&gt;5000,"Hight",J825&gt;2000,"Medium",TRUE,"Low")</f>
        <v>Low</v>
      </c>
      <c r="M825" t="str" cm="1">
        <f t="array" ref="M825">_xlfn.IFS(I825&lt;12,"Low-Term",I825&gt;=36,"Long-Term",TRUE,"Medium-Term")</f>
        <v>Medium-Term</v>
      </c>
      <c r="N825" t="str" cm="1">
        <f t="array" ref="N825">_xlfn.IFS(A825="Bad", "Review Required", AND(A825="Good",J825&gt;7000),"VIP Client", AND(A825="Good", J825&lt;=7000),"Standart Client")</f>
        <v>Standart Client</v>
      </c>
    </row>
    <row r="826" spans="1:14" x14ac:dyDescent="0.3">
      <c r="A826" t="s">
        <v>34</v>
      </c>
      <c r="B826" t="s">
        <v>80</v>
      </c>
      <c r="C826" t="s">
        <v>86</v>
      </c>
      <c r="D826" t="s">
        <v>99</v>
      </c>
      <c r="E826" t="s">
        <v>124</v>
      </c>
      <c r="F826" t="s">
        <v>125</v>
      </c>
      <c r="G826" t="s">
        <v>114</v>
      </c>
      <c r="H826" t="s">
        <v>119</v>
      </c>
      <c r="I826">
        <v>15</v>
      </c>
      <c r="J826" s="11">
        <v>2511</v>
      </c>
      <c r="K826">
        <v>23</v>
      </c>
      <c r="L826" t="str" cm="1">
        <f t="array" ref="L826">_xlfn.IFS(J826&gt;5000,"Hight",J826&gt;2000,"Medium",TRUE,"Low")</f>
        <v>Medium</v>
      </c>
      <c r="M826" t="str" cm="1">
        <f t="array" ref="M826">_xlfn.IFS(I826&lt;12,"Low-Term",I826&gt;=36,"Long-Term",TRUE,"Medium-Term")</f>
        <v>Medium-Term</v>
      </c>
      <c r="N826" t="str" cm="1">
        <f t="array" ref="N826">_xlfn.IFS(A826="Bad", "Review Required", AND(A826="Good",J826&gt;7000),"VIP Client", AND(A826="Good", J826&lt;=7000),"Standart Client")</f>
        <v>Standart Client</v>
      </c>
    </row>
    <row r="827" spans="1:14" x14ac:dyDescent="0.3">
      <c r="A827" t="s">
        <v>34</v>
      </c>
      <c r="B827" t="s">
        <v>78</v>
      </c>
      <c r="C827" t="s">
        <v>87</v>
      </c>
      <c r="D827" t="s">
        <v>78</v>
      </c>
      <c r="E827" t="s">
        <v>122</v>
      </c>
      <c r="F827" t="s">
        <v>123</v>
      </c>
      <c r="G827" t="s">
        <v>114</v>
      </c>
      <c r="H827" t="s">
        <v>120</v>
      </c>
      <c r="I827">
        <v>21</v>
      </c>
      <c r="J827" s="11">
        <v>5248</v>
      </c>
      <c r="K827">
        <v>26</v>
      </c>
      <c r="L827" t="str" cm="1">
        <f t="array" ref="L827">_xlfn.IFS(J827&gt;5000,"Hight",J827&gt;2000,"Medium",TRUE,"Low")</f>
        <v>Hight</v>
      </c>
      <c r="M827" t="str" cm="1">
        <f t="array" ref="M827">_xlfn.IFS(I827&lt;12,"Low-Term",I827&gt;=36,"Long-Term",TRUE,"Medium-Term")</f>
        <v>Medium-Term</v>
      </c>
      <c r="N827" t="str" cm="1">
        <f t="array" ref="N827">_xlfn.IFS(A827="Bad", "Review Required", AND(A827="Good",J827&gt;7000),"VIP Client", AND(A827="Good", J827&lt;=7000),"Standart Client")</f>
        <v>Standart Client</v>
      </c>
    </row>
    <row r="828" spans="1:14" x14ac:dyDescent="0.3">
      <c r="A828" t="s">
        <v>34</v>
      </c>
      <c r="B828" t="s">
        <v>78</v>
      </c>
      <c r="C828" t="s">
        <v>87</v>
      </c>
      <c r="D828" t="s">
        <v>99</v>
      </c>
      <c r="E828" t="s">
        <v>122</v>
      </c>
      <c r="F828" t="s">
        <v>123</v>
      </c>
      <c r="G828" t="s">
        <v>114</v>
      </c>
      <c r="H828" t="s">
        <v>120</v>
      </c>
      <c r="I828">
        <v>15</v>
      </c>
      <c r="J828" s="11">
        <v>3029</v>
      </c>
      <c r="K828">
        <v>33</v>
      </c>
      <c r="L828" t="str" cm="1">
        <f t="array" ref="L828">_xlfn.IFS(J828&gt;5000,"Hight",J828&gt;2000,"Medium",TRUE,"Low")</f>
        <v>Medium</v>
      </c>
      <c r="M828" t="str" cm="1">
        <f t="array" ref="M828">_xlfn.IFS(I828&lt;12,"Low-Term",I828&gt;=36,"Long-Term",TRUE,"Medium-Term")</f>
        <v>Medium-Term</v>
      </c>
      <c r="N828" t="str" cm="1">
        <f t="array" ref="N828">_xlfn.IFS(A828="Bad", "Review Required", AND(A828="Good",J828&gt;7000),"VIP Client", AND(A828="Good", J828&lt;=7000),"Standart Client")</f>
        <v>Standart Client</v>
      </c>
    </row>
    <row r="829" spans="1:14" x14ac:dyDescent="0.3">
      <c r="A829" t="s">
        <v>34</v>
      </c>
      <c r="B829" t="s">
        <v>80</v>
      </c>
      <c r="C829" t="s">
        <v>88</v>
      </c>
      <c r="D829" t="s">
        <v>99</v>
      </c>
      <c r="E829" t="s">
        <v>124</v>
      </c>
      <c r="F829" t="s">
        <v>125</v>
      </c>
      <c r="G829" t="s">
        <v>114</v>
      </c>
      <c r="H829" t="s">
        <v>120</v>
      </c>
      <c r="I829">
        <v>6</v>
      </c>
      <c r="J829" s="11">
        <v>428</v>
      </c>
      <c r="K829">
        <v>49</v>
      </c>
      <c r="L829" t="str" cm="1">
        <f t="array" ref="L829">_xlfn.IFS(J829&gt;5000,"Hight",J829&gt;2000,"Medium",TRUE,"Low")</f>
        <v>Low</v>
      </c>
      <c r="M829" t="str" cm="1">
        <f t="array" ref="M829">_xlfn.IFS(I829&lt;12,"Low-Term",I829&gt;=36,"Long-Term",TRUE,"Medium-Term")</f>
        <v>Low-Term</v>
      </c>
      <c r="N829" t="str" cm="1">
        <f t="array" ref="N829">_xlfn.IFS(A829="Bad", "Review Required", AND(A829="Good",J829&gt;7000),"VIP Client", AND(A829="Good", J829&lt;=7000),"Standart Client")</f>
        <v>Standart Client</v>
      </c>
    </row>
    <row r="830" spans="1:14" x14ac:dyDescent="0.3">
      <c r="A830" t="s">
        <v>34</v>
      </c>
      <c r="B830" t="s">
        <v>77</v>
      </c>
      <c r="C830" t="s">
        <v>94</v>
      </c>
      <c r="D830" t="s">
        <v>100</v>
      </c>
      <c r="E830" t="s">
        <v>124</v>
      </c>
      <c r="F830" t="s">
        <v>125</v>
      </c>
      <c r="G830" t="s">
        <v>113</v>
      </c>
      <c r="H830" t="s">
        <v>119</v>
      </c>
      <c r="I830">
        <v>12</v>
      </c>
      <c r="J830" s="11">
        <v>841</v>
      </c>
      <c r="K830">
        <v>23</v>
      </c>
      <c r="L830" t="str" cm="1">
        <f t="array" ref="L830">_xlfn.IFS(J830&gt;5000,"Hight",J830&gt;2000,"Medium",TRUE,"Low")</f>
        <v>Low</v>
      </c>
      <c r="M830" t="str" cm="1">
        <f t="array" ref="M830">_xlfn.IFS(I830&lt;12,"Low-Term",I830&gt;=36,"Long-Term",TRUE,"Medium-Term")</f>
        <v>Medium-Term</v>
      </c>
      <c r="N830" t="str" cm="1">
        <f t="array" ref="N830">_xlfn.IFS(A830="Bad", "Review Required", AND(A830="Good",J830&gt;7000),"VIP Client", AND(A830="Good", J830&lt;=7000),"Standart Client")</f>
        <v>Standart Client</v>
      </c>
    </row>
    <row r="831" spans="1:14" x14ac:dyDescent="0.3">
      <c r="A831" t="s">
        <v>34</v>
      </c>
      <c r="B831" t="s">
        <v>78</v>
      </c>
      <c r="C831" t="s">
        <v>89</v>
      </c>
      <c r="D831" t="s">
        <v>99</v>
      </c>
      <c r="E831" t="s">
        <v>124</v>
      </c>
      <c r="F831" t="s">
        <v>125</v>
      </c>
      <c r="G831" t="s">
        <v>114</v>
      </c>
      <c r="H831" t="s">
        <v>120</v>
      </c>
      <c r="I831">
        <v>30</v>
      </c>
      <c r="J831" s="11">
        <v>5771</v>
      </c>
      <c r="K831">
        <v>25</v>
      </c>
      <c r="L831" t="str" cm="1">
        <f t="array" ref="L831">_xlfn.IFS(J831&gt;5000,"Hight",J831&gt;2000,"Medium",TRUE,"Low")</f>
        <v>Hight</v>
      </c>
      <c r="M831" t="str" cm="1">
        <f t="array" ref="M831">_xlfn.IFS(I831&lt;12,"Low-Term",I831&gt;=36,"Long-Term",TRUE,"Medium-Term")</f>
        <v>Medium-Term</v>
      </c>
      <c r="N831" t="str" cm="1">
        <f t="array" ref="N831">_xlfn.IFS(A831="Bad", "Review Required", AND(A831="Good",J831&gt;7000),"VIP Client", AND(A831="Good", J831&lt;=7000),"Standart Client")</f>
        <v>Standart Client</v>
      </c>
    </row>
    <row r="832" spans="1:14" x14ac:dyDescent="0.3">
      <c r="A832" t="s">
        <v>34</v>
      </c>
      <c r="B832" t="s">
        <v>81</v>
      </c>
      <c r="C832" t="s">
        <v>86</v>
      </c>
      <c r="D832" t="s">
        <v>99</v>
      </c>
      <c r="E832" t="s">
        <v>122</v>
      </c>
      <c r="F832" t="s">
        <v>123</v>
      </c>
      <c r="G832" t="s">
        <v>112</v>
      </c>
      <c r="H832" t="s">
        <v>120</v>
      </c>
      <c r="I832">
        <v>6</v>
      </c>
      <c r="J832" s="11">
        <v>1299</v>
      </c>
      <c r="K832">
        <v>74</v>
      </c>
      <c r="L832" t="str" cm="1">
        <f t="array" ref="L832">_xlfn.IFS(J832&gt;5000,"Hight",J832&gt;2000,"Medium",TRUE,"Low")</f>
        <v>Low</v>
      </c>
      <c r="M832" t="str" cm="1">
        <f t="array" ref="M832">_xlfn.IFS(I832&lt;12,"Low-Term",I832&gt;=36,"Long-Term",TRUE,"Medium-Term")</f>
        <v>Low-Term</v>
      </c>
      <c r="N832" t="str" cm="1">
        <f t="array" ref="N832">_xlfn.IFS(A832="Bad", "Review Required", AND(A832="Good",J832&gt;7000),"VIP Client", AND(A832="Good", J832&lt;=7000),"Standart Client")</f>
        <v>Standart Client</v>
      </c>
    </row>
    <row r="833" spans="1:14" x14ac:dyDescent="0.3">
      <c r="A833" t="s">
        <v>34</v>
      </c>
      <c r="B833" t="s">
        <v>78</v>
      </c>
      <c r="C833" t="s">
        <v>86</v>
      </c>
      <c r="D833" t="s">
        <v>99</v>
      </c>
      <c r="E833" t="s">
        <v>122</v>
      </c>
      <c r="F833" t="s">
        <v>123</v>
      </c>
      <c r="G833" t="s">
        <v>114</v>
      </c>
      <c r="H833" t="s">
        <v>120</v>
      </c>
      <c r="I833">
        <v>24</v>
      </c>
      <c r="J833" s="11">
        <v>1393</v>
      </c>
      <c r="K833">
        <v>31</v>
      </c>
      <c r="L833" t="str" cm="1">
        <f t="array" ref="L833">_xlfn.IFS(J833&gt;5000,"Hight",J833&gt;2000,"Medium",TRUE,"Low")</f>
        <v>Low</v>
      </c>
      <c r="M833" t="str" cm="1">
        <f t="array" ref="M833">_xlfn.IFS(I833&lt;12,"Low-Term",I833&gt;=36,"Long-Term",TRUE,"Medium-Term")</f>
        <v>Medium-Term</v>
      </c>
      <c r="N833" t="str" cm="1">
        <f t="array" ref="N833">_xlfn.IFS(A833="Bad", "Review Required", AND(A833="Good",J833&gt;7000),"VIP Client", AND(A833="Good", J833&lt;=7000),"Standart Client")</f>
        <v>Standart Client</v>
      </c>
    </row>
    <row r="834" spans="1:14" x14ac:dyDescent="0.3">
      <c r="A834" t="s">
        <v>34</v>
      </c>
      <c r="B834" t="s">
        <v>78</v>
      </c>
      <c r="C834" t="s">
        <v>86</v>
      </c>
      <c r="D834" t="s">
        <v>78</v>
      </c>
      <c r="E834" t="s">
        <v>124</v>
      </c>
      <c r="F834" t="s">
        <v>125</v>
      </c>
      <c r="G834" t="s">
        <v>114</v>
      </c>
      <c r="H834" t="s">
        <v>120</v>
      </c>
      <c r="I834">
        <v>15</v>
      </c>
      <c r="J834" s="11">
        <v>5045</v>
      </c>
      <c r="K834">
        <v>59</v>
      </c>
      <c r="L834" t="str" cm="1">
        <f t="array" ref="L834">_xlfn.IFS(J834&gt;5000,"Hight",J834&gt;2000,"Medium",TRUE,"Low")</f>
        <v>Hight</v>
      </c>
      <c r="M834" t="str" cm="1">
        <f t="array" ref="M834">_xlfn.IFS(I834&lt;12,"Low-Term",I834&gt;=36,"Long-Term",TRUE,"Medium-Term")</f>
        <v>Medium-Term</v>
      </c>
      <c r="N834" t="str" cm="1">
        <f t="array" ref="N834">_xlfn.IFS(A834="Bad", "Review Required", AND(A834="Good",J834&gt;7000),"VIP Client", AND(A834="Good", J834&lt;=7000),"Standart Client")</f>
        <v>Standart Client</v>
      </c>
    </row>
    <row r="835" spans="1:14" x14ac:dyDescent="0.3">
      <c r="A835" t="s">
        <v>34</v>
      </c>
      <c r="B835" t="s">
        <v>80</v>
      </c>
      <c r="C835" t="s">
        <v>89</v>
      </c>
      <c r="D835" t="s">
        <v>99</v>
      </c>
      <c r="E835" t="s">
        <v>122</v>
      </c>
      <c r="F835" t="s">
        <v>123</v>
      </c>
      <c r="G835" t="s">
        <v>113</v>
      </c>
      <c r="H835" t="s">
        <v>120</v>
      </c>
      <c r="I835">
        <v>12</v>
      </c>
      <c r="J835" s="11">
        <v>2214</v>
      </c>
      <c r="K835">
        <v>24</v>
      </c>
      <c r="L835" t="str" cm="1">
        <f t="array" ref="L835">_xlfn.IFS(J835&gt;5000,"Hight",J835&gt;2000,"Medium",TRUE,"Low")</f>
        <v>Medium</v>
      </c>
      <c r="M835" t="str" cm="1">
        <f t="array" ref="M835">_xlfn.IFS(I835&lt;12,"Low-Term",I835&gt;=36,"Long-Term",TRUE,"Medium-Term")</f>
        <v>Medium-Term</v>
      </c>
      <c r="N835" t="str" cm="1">
        <f t="array" ref="N835">_xlfn.IFS(A835="Bad", "Review Required", AND(A835="Good",J835&gt;7000),"VIP Client", AND(A835="Good", J835&lt;=7000),"Standart Client")</f>
        <v>Standart Client</v>
      </c>
    </row>
    <row r="836" spans="1:14" x14ac:dyDescent="0.3">
      <c r="A836" t="s">
        <v>34</v>
      </c>
      <c r="B836" t="s">
        <v>78</v>
      </c>
      <c r="C836" t="s">
        <v>86</v>
      </c>
      <c r="D836" t="s">
        <v>100</v>
      </c>
      <c r="E836" t="s">
        <v>122</v>
      </c>
      <c r="F836" t="s">
        <v>127</v>
      </c>
      <c r="G836" t="s">
        <v>114</v>
      </c>
      <c r="H836" t="s">
        <v>120</v>
      </c>
      <c r="I836">
        <v>24</v>
      </c>
      <c r="J836" s="11">
        <v>2463</v>
      </c>
      <c r="K836">
        <v>27</v>
      </c>
      <c r="L836" t="str" cm="1">
        <f t="array" ref="L836">_xlfn.IFS(J836&gt;5000,"Hight",J836&gt;2000,"Medium",TRUE,"Low")</f>
        <v>Medium</v>
      </c>
      <c r="M836" t="str" cm="1">
        <f t="array" ref="M836">_xlfn.IFS(I836&lt;12,"Low-Term",I836&gt;=36,"Long-Term",TRUE,"Medium-Term")</f>
        <v>Medium-Term</v>
      </c>
      <c r="N836" t="str" cm="1">
        <f t="array" ref="N836">_xlfn.IFS(A836="Bad", "Review Required", AND(A836="Good",J836&gt;7000),"VIP Client", AND(A836="Good", J836&lt;=7000),"Standart Client")</f>
        <v>Standart Client</v>
      </c>
    </row>
    <row r="837" spans="1:14" x14ac:dyDescent="0.3">
      <c r="A837" t="s">
        <v>34</v>
      </c>
      <c r="B837" t="s">
        <v>77</v>
      </c>
      <c r="C837" t="s">
        <v>89</v>
      </c>
      <c r="D837" t="s">
        <v>99</v>
      </c>
      <c r="E837" t="s">
        <v>122</v>
      </c>
      <c r="F837" t="s">
        <v>127</v>
      </c>
      <c r="G837" t="s">
        <v>113</v>
      </c>
      <c r="H837" t="s">
        <v>120</v>
      </c>
      <c r="I837">
        <v>12</v>
      </c>
      <c r="J837" s="11">
        <v>1155</v>
      </c>
      <c r="K837">
        <v>40</v>
      </c>
      <c r="L837" t="str" cm="1">
        <f t="array" ref="L837">_xlfn.IFS(J837&gt;5000,"Hight",J837&gt;2000,"Medium",TRUE,"Low")</f>
        <v>Low</v>
      </c>
      <c r="M837" t="str" cm="1">
        <f t="array" ref="M837">_xlfn.IFS(I837&lt;12,"Low-Term",I837&gt;=36,"Long-Term",TRUE,"Medium-Term")</f>
        <v>Medium-Term</v>
      </c>
      <c r="N837" t="str" cm="1">
        <f t="array" ref="N837">_xlfn.IFS(A837="Bad", "Review Required", AND(A837="Good",J837&gt;7000),"VIP Client", AND(A837="Good", J837&lt;=7000),"Standart Client")</f>
        <v>Standart Client</v>
      </c>
    </row>
    <row r="838" spans="1:14" x14ac:dyDescent="0.3">
      <c r="A838" t="s">
        <v>34</v>
      </c>
      <c r="B838" t="s">
        <v>78</v>
      </c>
      <c r="C838" t="s">
        <v>87</v>
      </c>
      <c r="D838" t="s">
        <v>78</v>
      </c>
      <c r="E838" t="s">
        <v>124</v>
      </c>
      <c r="F838" t="s">
        <v>125</v>
      </c>
      <c r="G838" t="s">
        <v>114</v>
      </c>
      <c r="H838" t="s">
        <v>119</v>
      </c>
      <c r="I838">
        <v>10</v>
      </c>
      <c r="J838" s="11">
        <v>2901</v>
      </c>
      <c r="K838">
        <v>31</v>
      </c>
      <c r="L838" t="str" cm="1">
        <f t="array" ref="L838">_xlfn.IFS(J838&gt;5000,"Hight",J838&gt;2000,"Medium",TRUE,"Low")</f>
        <v>Medium</v>
      </c>
      <c r="M838" t="str" cm="1">
        <f t="array" ref="M838">_xlfn.IFS(I838&lt;12,"Low-Term",I838&gt;=36,"Long-Term",TRUE,"Medium-Term")</f>
        <v>Low-Term</v>
      </c>
      <c r="N838" t="str" cm="1">
        <f t="array" ref="N838">_xlfn.IFS(A838="Bad", "Review Required", AND(A838="Good",J838&gt;7000),"VIP Client", AND(A838="Good", J838&lt;=7000),"Standart Client")</f>
        <v>Standart Client</v>
      </c>
    </row>
    <row r="839" spans="1:14" x14ac:dyDescent="0.3">
      <c r="A839" t="s">
        <v>34</v>
      </c>
      <c r="B839" t="s">
        <v>77</v>
      </c>
      <c r="C839" t="s">
        <v>88</v>
      </c>
      <c r="D839" t="s">
        <v>99</v>
      </c>
      <c r="E839" t="s">
        <v>122</v>
      </c>
      <c r="F839" t="s">
        <v>123</v>
      </c>
      <c r="G839" t="s">
        <v>114</v>
      </c>
      <c r="H839" t="s">
        <v>119</v>
      </c>
      <c r="I839">
        <v>12</v>
      </c>
      <c r="J839" s="11">
        <v>3617</v>
      </c>
      <c r="K839">
        <v>28</v>
      </c>
      <c r="L839" t="str" cm="1">
        <f t="array" ref="L839">_xlfn.IFS(J839&gt;5000,"Hight",J839&gt;2000,"Medium",TRUE,"Low")</f>
        <v>Medium</v>
      </c>
      <c r="M839" t="str" cm="1">
        <f t="array" ref="M839">_xlfn.IFS(I839&lt;12,"Low-Term",I839&gt;=36,"Long-Term",TRUE,"Medium-Term")</f>
        <v>Medium-Term</v>
      </c>
      <c r="N839" t="str" cm="1">
        <f t="array" ref="N839">_xlfn.IFS(A839="Bad", "Review Required", AND(A839="Good",J839&gt;7000),"VIP Client", AND(A839="Good", J839&lt;=7000),"Standart Client")</f>
        <v>Standart Client</v>
      </c>
    </row>
    <row r="840" spans="1:14" x14ac:dyDescent="0.3">
      <c r="A840" t="s">
        <v>34</v>
      </c>
      <c r="B840" t="s">
        <v>78</v>
      </c>
      <c r="C840" t="s">
        <v>89</v>
      </c>
      <c r="D840" t="s">
        <v>99</v>
      </c>
      <c r="E840" t="s">
        <v>122</v>
      </c>
      <c r="F840" t="s">
        <v>123</v>
      </c>
      <c r="G840" t="s">
        <v>113</v>
      </c>
      <c r="H840" t="s">
        <v>120</v>
      </c>
      <c r="I840">
        <v>12</v>
      </c>
      <c r="J840" s="11">
        <v>1655</v>
      </c>
      <c r="K840">
        <v>63</v>
      </c>
      <c r="L840" t="str" cm="1">
        <f t="array" ref="L840">_xlfn.IFS(J840&gt;5000,"Hight",J840&gt;2000,"Medium",TRUE,"Low")</f>
        <v>Low</v>
      </c>
      <c r="M840" t="str" cm="1">
        <f t="array" ref="M840">_xlfn.IFS(I840&lt;12,"Low-Term",I840&gt;=36,"Long-Term",TRUE,"Medium-Term")</f>
        <v>Medium-Term</v>
      </c>
      <c r="N840" t="str" cm="1">
        <f t="array" ref="N840">_xlfn.IFS(A840="Bad", "Review Required", AND(A840="Good",J840&gt;7000),"VIP Client", AND(A840="Good", J840&lt;=7000),"Standart Client")</f>
        <v>Standart Client</v>
      </c>
    </row>
    <row r="841" spans="1:14" x14ac:dyDescent="0.3">
      <c r="A841" t="s">
        <v>34</v>
      </c>
      <c r="B841" t="s">
        <v>80</v>
      </c>
      <c r="C841" t="s">
        <v>87</v>
      </c>
      <c r="D841" t="s">
        <v>78</v>
      </c>
      <c r="E841" t="s">
        <v>124</v>
      </c>
      <c r="F841" t="s">
        <v>125</v>
      </c>
      <c r="G841" t="s">
        <v>114</v>
      </c>
      <c r="H841" t="s">
        <v>119</v>
      </c>
      <c r="I841">
        <v>24</v>
      </c>
      <c r="J841" s="11">
        <v>2812</v>
      </c>
      <c r="K841">
        <v>26</v>
      </c>
      <c r="L841" t="str" cm="1">
        <f t="array" ref="L841">_xlfn.IFS(J841&gt;5000,"Hight",J841&gt;2000,"Medium",TRUE,"Low")</f>
        <v>Medium</v>
      </c>
      <c r="M841" t="str" cm="1">
        <f t="array" ref="M841">_xlfn.IFS(I841&lt;12,"Low-Term",I841&gt;=36,"Long-Term",TRUE,"Medium-Term")</f>
        <v>Medium-Term</v>
      </c>
      <c r="N841" t="str" cm="1">
        <f t="array" ref="N841">_xlfn.IFS(A841="Bad", "Review Required", AND(A841="Good",J841&gt;7000),"VIP Client", AND(A841="Good", J841&lt;=7000),"Standart Client")</f>
        <v>Standart Client</v>
      </c>
    </row>
    <row r="842" spans="1:14" x14ac:dyDescent="0.3">
      <c r="A842" t="s">
        <v>34</v>
      </c>
      <c r="B842" t="s">
        <v>78</v>
      </c>
      <c r="C842" t="s">
        <v>87</v>
      </c>
      <c r="D842" t="s">
        <v>99</v>
      </c>
      <c r="E842" t="s">
        <v>122</v>
      </c>
      <c r="F842" t="s">
        <v>123</v>
      </c>
      <c r="G842" t="s">
        <v>115</v>
      </c>
      <c r="H842" t="s">
        <v>120</v>
      </c>
      <c r="I842">
        <v>21</v>
      </c>
      <c r="J842" s="11">
        <v>3275</v>
      </c>
      <c r="K842">
        <v>36</v>
      </c>
      <c r="L842" t="str" cm="1">
        <f t="array" ref="L842">_xlfn.IFS(J842&gt;5000,"Hight",J842&gt;2000,"Medium",TRUE,"Low")</f>
        <v>Medium</v>
      </c>
      <c r="M842" t="str" cm="1">
        <f t="array" ref="M842">_xlfn.IFS(I842&lt;12,"Low-Term",I842&gt;=36,"Long-Term",TRUE,"Medium-Term")</f>
        <v>Medium-Term</v>
      </c>
      <c r="N842" t="str" cm="1">
        <f t="array" ref="N842">_xlfn.IFS(A842="Bad", "Review Required", AND(A842="Good",J842&gt;7000),"VIP Client", AND(A842="Good", J842&lt;=7000),"Standart Client")</f>
        <v>Standart Client</v>
      </c>
    </row>
    <row r="843" spans="1:14" x14ac:dyDescent="0.3">
      <c r="A843" t="s">
        <v>34</v>
      </c>
      <c r="B843" t="s">
        <v>78</v>
      </c>
      <c r="C843" t="s">
        <v>89</v>
      </c>
      <c r="D843" t="s">
        <v>100</v>
      </c>
      <c r="E843" t="s">
        <v>122</v>
      </c>
      <c r="F843" t="s">
        <v>123</v>
      </c>
      <c r="G843" t="s">
        <v>114</v>
      </c>
      <c r="H843" t="s">
        <v>120</v>
      </c>
      <c r="I843">
        <v>24</v>
      </c>
      <c r="J843" s="11">
        <v>2223</v>
      </c>
      <c r="K843">
        <v>52</v>
      </c>
      <c r="L843" t="str" cm="1">
        <f t="array" ref="L843">_xlfn.IFS(J843&gt;5000,"Hight",J843&gt;2000,"Medium",TRUE,"Low")</f>
        <v>Medium</v>
      </c>
      <c r="M843" t="str" cm="1">
        <f t="array" ref="M843">_xlfn.IFS(I843&lt;12,"Low-Term",I843&gt;=36,"Long-Term",TRUE,"Medium-Term")</f>
        <v>Medium-Term</v>
      </c>
      <c r="N843" t="str" cm="1">
        <f t="array" ref="N843">_xlfn.IFS(A843="Bad", "Review Required", AND(A843="Good",J843&gt;7000),"VIP Client", AND(A843="Good", J843&lt;=7000),"Standart Client")</f>
        <v>Standart Client</v>
      </c>
    </row>
    <row r="844" spans="1:14" x14ac:dyDescent="0.3">
      <c r="A844" t="s">
        <v>34</v>
      </c>
      <c r="B844" t="s">
        <v>81</v>
      </c>
      <c r="C844" t="s">
        <v>86</v>
      </c>
      <c r="D844" t="s">
        <v>101</v>
      </c>
      <c r="E844" t="s">
        <v>122</v>
      </c>
      <c r="F844" t="s">
        <v>123</v>
      </c>
      <c r="G844" t="s">
        <v>112</v>
      </c>
      <c r="H844" t="s">
        <v>121</v>
      </c>
      <c r="I844">
        <v>12</v>
      </c>
      <c r="J844" s="11">
        <v>1480</v>
      </c>
      <c r="K844">
        <v>66</v>
      </c>
      <c r="L844" t="str" cm="1">
        <f t="array" ref="L844">_xlfn.IFS(J844&gt;5000,"Hight",J844&gt;2000,"Medium",TRUE,"Low")</f>
        <v>Low</v>
      </c>
      <c r="M844" t="str" cm="1">
        <f t="array" ref="M844">_xlfn.IFS(I844&lt;12,"Low-Term",I844&gt;=36,"Long-Term",TRUE,"Medium-Term")</f>
        <v>Medium-Term</v>
      </c>
      <c r="N844" t="str" cm="1">
        <f t="array" ref="N844">_xlfn.IFS(A844="Bad", "Review Required", AND(A844="Good",J844&gt;7000),"VIP Client", AND(A844="Good", J844&lt;=7000),"Standart Client")</f>
        <v>Standart Client</v>
      </c>
    </row>
    <row r="845" spans="1:14" x14ac:dyDescent="0.3">
      <c r="A845" t="s">
        <v>34</v>
      </c>
      <c r="B845" t="s">
        <v>78</v>
      </c>
      <c r="C845" t="s">
        <v>86</v>
      </c>
      <c r="D845" t="s">
        <v>99</v>
      </c>
      <c r="E845" t="s">
        <v>122</v>
      </c>
      <c r="F845" t="s">
        <v>123</v>
      </c>
      <c r="G845" t="s">
        <v>114</v>
      </c>
      <c r="H845" t="s">
        <v>120</v>
      </c>
      <c r="I845">
        <v>36</v>
      </c>
      <c r="J845" s="11">
        <v>3535</v>
      </c>
      <c r="K845">
        <v>37</v>
      </c>
      <c r="L845" t="str" cm="1">
        <f t="array" ref="L845">_xlfn.IFS(J845&gt;5000,"Hight",J845&gt;2000,"Medium",TRUE,"Low")</f>
        <v>Medium</v>
      </c>
      <c r="M845" t="str" cm="1">
        <f t="array" ref="M845">_xlfn.IFS(I845&lt;12,"Low-Term",I845&gt;=36,"Long-Term",TRUE,"Medium-Term")</f>
        <v>Long-Term</v>
      </c>
      <c r="N845" t="str" cm="1">
        <f t="array" ref="N845">_xlfn.IFS(A845="Bad", "Review Required", AND(A845="Good",J845&gt;7000),"VIP Client", AND(A845="Good", J845&lt;=7000),"Standart Client")</f>
        <v>Standart Client</v>
      </c>
    </row>
    <row r="846" spans="1:14" x14ac:dyDescent="0.3">
      <c r="A846" t="s">
        <v>34</v>
      </c>
      <c r="B846" t="s">
        <v>80</v>
      </c>
      <c r="C846" t="s">
        <v>89</v>
      </c>
      <c r="D846" t="s">
        <v>99</v>
      </c>
      <c r="E846" t="s">
        <v>124</v>
      </c>
      <c r="F846" t="s">
        <v>125</v>
      </c>
      <c r="G846" t="s">
        <v>114</v>
      </c>
      <c r="H846" t="s">
        <v>120</v>
      </c>
      <c r="I846">
        <v>18</v>
      </c>
      <c r="J846" s="11">
        <v>3509</v>
      </c>
      <c r="K846">
        <v>25</v>
      </c>
      <c r="L846" t="str" cm="1">
        <f t="array" ref="L846">_xlfn.IFS(J846&gt;5000,"Hight",J846&gt;2000,"Medium",TRUE,"Low")</f>
        <v>Medium</v>
      </c>
      <c r="M846" t="str" cm="1">
        <f t="array" ref="M846">_xlfn.IFS(I846&lt;12,"Low-Term",I846&gt;=36,"Long-Term",TRUE,"Medium-Term")</f>
        <v>Medium-Term</v>
      </c>
      <c r="N846" t="str" cm="1">
        <f t="array" ref="N846">_xlfn.IFS(A846="Bad", "Review Required", AND(A846="Good",J846&gt;7000),"VIP Client", AND(A846="Good", J846&lt;=7000),"Standart Client")</f>
        <v>Standart Client</v>
      </c>
    </row>
    <row r="847" spans="1:14" x14ac:dyDescent="0.3">
      <c r="A847" t="s">
        <v>34</v>
      </c>
      <c r="B847" t="s">
        <v>78</v>
      </c>
      <c r="C847" t="s">
        <v>87</v>
      </c>
      <c r="D847" t="s">
        <v>102</v>
      </c>
      <c r="E847" t="s">
        <v>122</v>
      </c>
      <c r="F847" t="s">
        <v>123</v>
      </c>
      <c r="G847" t="s">
        <v>115</v>
      </c>
      <c r="H847" t="s">
        <v>120</v>
      </c>
      <c r="I847">
        <v>36</v>
      </c>
      <c r="J847" s="11">
        <v>5711</v>
      </c>
      <c r="K847">
        <v>38</v>
      </c>
      <c r="L847" t="str" cm="1">
        <f t="array" ref="L847">_xlfn.IFS(J847&gt;5000,"Hight",J847&gt;2000,"Medium",TRUE,"Low")</f>
        <v>Hight</v>
      </c>
      <c r="M847" t="str" cm="1">
        <f t="array" ref="M847">_xlfn.IFS(I847&lt;12,"Low-Term",I847&gt;=36,"Long-Term",TRUE,"Medium-Term")</f>
        <v>Long-Term</v>
      </c>
      <c r="N847" t="str" cm="1">
        <f t="array" ref="N847">_xlfn.IFS(A847="Bad", "Review Required", AND(A847="Good",J847&gt;7000),"VIP Client", AND(A847="Good", J847&lt;=7000),"Standart Client")</f>
        <v>Standart Client</v>
      </c>
    </row>
    <row r="848" spans="1:14" x14ac:dyDescent="0.3">
      <c r="A848" t="s">
        <v>34</v>
      </c>
      <c r="B848" t="s">
        <v>77</v>
      </c>
      <c r="C848" t="s">
        <v>91</v>
      </c>
      <c r="D848" t="s">
        <v>99</v>
      </c>
      <c r="E848" t="s">
        <v>124</v>
      </c>
      <c r="F848" t="s">
        <v>125</v>
      </c>
      <c r="G848" t="s">
        <v>114</v>
      </c>
      <c r="H848" t="s">
        <v>120</v>
      </c>
      <c r="I848">
        <v>18</v>
      </c>
      <c r="J848" s="11">
        <v>3872</v>
      </c>
      <c r="K848">
        <v>67</v>
      </c>
      <c r="L848" t="str" cm="1">
        <f t="array" ref="L848">_xlfn.IFS(J848&gt;5000,"Hight",J848&gt;2000,"Medium",TRUE,"Low")</f>
        <v>Medium</v>
      </c>
      <c r="M848" t="str" cm="1">
        <f t="array" ref="M848">_xlfn.IFS(I848&lt;12,"Low-Term",I848&gt;=36,"Long-Term",TRUE,"Medium-Term")</f>
        <v>Medium-Term</v>
      </c>
      <c r="N848" t="str" cm="1">
        <f t="array" ref="N848">_xlfn.IFS(A848="Bad", "Review Required", AND(A848="Good",J848&gt;7000),"VIP Client", AND(A848="Good", J848&lt;=7000),"Standart Client")</f>
        <v>Standart Client</v>
      </c>
    </row>
    <row r="849" spans="1:14" x14ac:dyDescent="0.3">
      <c r="A849" t="s">
        <v>34</v>
      </c>
      <c r="B849" t="s">
        <v>78</v>
      </c>
      <c r="C849" t="s">
        <v>86</v>
      </c>
      <c r="D849" t="s">
        <v>102</v>
      </c>
      <c r="E849" t="s">
        <v>122</v>
      </c>
      <c r="F849" t="s">
        <v>123</v>
      </c>
      <c r="G849" t="s">
        <v>114</v>
      </c>
      <c r="H849" t="s">
        <v>120</v>
      </c>
      <c r="I849">
        <v>24</v>
      </c>
      <c r="J849" s="11">
        <v>1940</v>
      </c>
      <c r="K849">
        <v>60</v>
      </c>
      <c r="L849" t="str" cm="1">
        <f t="array" ref="L849">_xlfn.IFS(J849&gt;5000,"Hight",J849&gt;2000,"Medium",TRUE,"Low")</f>
        <v>Low</v>
      </c>
      <c r="M849" t="str" cm="1">
        <f t="array" ref="M849">_xlfn.IFS(I849&lt;12,"Low-Term",I849&gt;=36,"Long-Term",TRUE,"Medium-Term")</f>
        <v>Medium-Term</v>
      </c>
      <c r="N849" t="str" cm="1">
        <f t="array" ref="N849">_xlfn.IFS(A849="Bad", "Review Required", AND(A849="Good",J849&gt;7000),"VIP Client", AND(A849="Good", J849&lt;=7000),"Standart Client")</f>
        <v>Standart Client</v>
      </c>
    </row>
    <row r="850" spans="1:14" x14ac:dyDescent="0.3">
      <c r="A850" t="s">
        <v>34</v>
      </c>
      <c r="B850" t="s">
        <v>77</v>
      </c>
      <c r="C850" t="s">
        <v>93</v>
      </c>
      <c r="D850" t="s">
        <v>99</v>
      </c>
      <c r="E850" t="s">
        <v>122</v>
      </c>
      <c r="F850" t="s">
        <v>123</v>
      </c>
      <c r="G850" t="s">
        <v>113</v>
      </c>
      <c r="H850" t="s">
        <v>120</v>
      </c>
      <c r="I850">
        <v>12</v>
      </c>
      <c r="J850" s="11">
        <v>1410</v>
      </c>
      <c r="K850">
        <v>31</v>
      </c>
      <c r="L850" t="str" cm="1">
        <f t="array" ref="L850">_xlfn.IFS(J850&gt;5000,"Hight",J850&gt;2000,"Medium",TRUE,"Low")</f>
        <v>Low</v>
      </c>
      <c r="M850" t="str" cm="1">
        <f t="array" ref="M850">_xlfn.IFS(I850&lt;12,"Low-Term",I850&gt;=36,"Long-Term",TRUE,"Medium-Term")</f>
        <v>Medium-Term</v>
      </c>
      <c r="N850" t="str" cm="1">
        <f t="array" ref="N850">_xlfn.IFS(A850="Bad", "Review Required", AND(A850="Good",J850&gt;7000),"VIP Client", AND(A850="Good", J850&lt;=7000),"Standart Client")</f>
        <v>Standart Client</v>
      </c>
    </row>
    <row r="851" spans="1:14" x14ac:dyDescent="0.3">
      <c r="A851" t="s">
        <v>34</v>
      </c>
      <c r="B851" t="s">
        <v>77</v>
      </c>
      <c r="C851" t="s">
        <v>87</v>
      </c>
      <c r="D851" t="s">
        <v>78</v>
      </c>
      <c r="E851" t="s">
        <v>122</v>
      </c>
      <c r="F851" t="s">
        <v>126</v>
      </c>
      <c r="G851" t="s">
        <v>115</v>
      </c>
      <c r="H851" t="s">
        <v>120</v>
      </c>
      <c r="I851">
        <v>20</v>
      </c>
      <c r="J851" s="11">
        <v>6468</v>
      </c>
      <c r="K851">
        <v>60</v>
      </c>
      <c r="L851" t="str" cm="1">
        <f t="array" ref="L851">_xlfn.IFS(J851&gt;5000,"Hight",J851&gt;2000,"Medium",TRUE,"Low")</f>
        <v>Hight</v>
      </c>
      <c r="M851" t="str" cm="1">
        <f t="array" ref="M851">_xlfn.IFS(I851&lt;12,"Low-Term",I851&gt;=36,"Long-Term",TRUE,"Medium-Term")</f>
        <v>Medium-Term</v>
      </c>
      <c r="N851" t="str" cm="1">
        <f t="array" ref="N851">_xlfn.IFS(A851="Bad", "Review Required", AND(A851="Good",J851&gt;7000),"VIP Client", AND(A851="Good", J851&lt;=7000),"Standart Client")</f>
        <v>Standart Client</v>
      </c>
    </row>
    <row r="852" spans="1:14" x14ac:dyDescent="0.3">
      <c r="A852" t="s">
        <v>34</v>
      </c>
      <c r="B852" t="s">
        <v>77</v>
      </c>
      <c r="C852" t="s">
        <v>94</v>
      </c>
      <c r="D852" t="s">
        <v>102</v>
      </c>
      <c r="E852" t="s">
        <v>122</v>
      </c>
      <c r="F852" t="s">
        <v>123</v>
      </c>
      <c r="G852" t="s">
        <v>113</v>
      </c>
      <c r="H852" t="s">
        <v>120</v>
      </c>
      <c r="I852">
        <v>18</v>
      </c>
      <c r="J852" s="11">
        <v>1941</v>
      </c>
      <c r="K852">
        <v>35</v>
      </c>
      <c r="L852" t="str" cm="1">
        <f t="array" ref="L852">_xlfn.IFS(J852&gt;5000,"Hight",J852&gt;2000,"Medium",TRUE,"Low")</f>
        <v>Low</v>
      </c>
      <c r="M852" t="str" cm="1">
        <f t="array" ref="M852">_xlfn.IFS(I852&lt;12,"Low-Term",I852&gt;=36,"Long-Term",TRUE,"Medium-Term")</f>
        <v>Medium-Term</v>
      </c>
      <c r="N852" t="str" cm="1">
        <f t="array" ref="N852">_xlfn.IFS(A852="Bad", "Review Required", AND(A852="Good",J852&gt;7000),"VIP Client", AND(A852="Good", J852&lt;=7000),"Standart Client")</f>
        <v>Standart Client</v>
      </c>
    </row>
    <row r="853" spans="1:14" x14ac:dyDescent="0.3">
      <c r="A853" t="s">
        <v>34</v>
      </c>
      <c r="B853" t="s">
        <v>78</v>
      </c>
      <c r="C853" t="s">
        <v>89</v>
      </c>
      <c r="D853" t="s">
        <v>101</v>
      </c>
      <c r="E853" t="s">
        <v>122</v>
      </c>
      <c r="F853" t="s">
        <v>123</v>
      </c>
      <c r="G853" t="s">
        <v>114</v>
      </c>
      <c r="H853" t="s">
        <v>120</v>
      </c>
      <c r="I853">
        <v>22</v>
      </c>
      <c r="J853" s="11">
        <v>2675</v>
      </c>
      <c r="K853">
        <v>40</v>
      </c>
      <c r="L853" t="str" cm="1">
        <f t="array" ref="L853">_xlfn.IFS(J853&gt;5000,"Hight",J853&gt;2000,"Medium",TRUE,"Low")</f>
        <v>Medium</v>
      </c>
      <c r="M853" t="str" cm="1">
        <f t="array" ref="M853">_xlfn.IFS(I853&lt;12,"Low-Term",I853&gt;=36,"Long-Term",TRUE,"Medium-Term")</f>
        <v>Medium-Term</v>
      </c>
      <c r="N853" t="str" cm="1">
        <f t="array" ref="N853">_xlfn.IFS(A853="Bad", "Review Required", AND(A853="Good",J853&gt;7000),"VIP Client", AND(A853="Good", J853&lt;=7000),"Standart Client")</f>
        <v>Standart Client</v>
      </c>
    </row>
    <row r="854" spans="1:14" x14ac:dyDescent="0.3">
      <c r="A854" t="s">
        <v>34</v>
      </c>
      <c r="B854" t="s">
        <v>78</v>
      </c>
      <c r="C854" t="s">
        <v>87</v>
      </c>
      <c r="D854" t="s">
        <v>78</v>
      </c>
      <c r="E854" t="s">
        <v>122</v>
      </c>
      <c r="F854" t="s">
        <v>123</v>
      </c>
      <c r="G854" t="s">
        <v>114</v>
      </c>
      <c r="H854" t="s">
        <v>120</v>
      </c>
      <c r="I854">
        <v>48</v>
      </c>
      <c r="J854" s="11">
        <v>2751</v>
      </c>
      <c r="K854">
        <v>38</v>
      </c>
      <c r="L854" t="str" cm="1">
        <f t="array" ref="L854">_xlfn.IFS(J854&gt;5000,"Hight",J854&gt;2000,"Medium",TRUE,"Low")</f>
        <v>Medium</v>
      </c>
      <c r="M854" t="str" cm="1">
        <f t="array" ref="M854">_xlfn.IFS(I854&lt;12,"Low-Term",I854&gt;=36,"Long-Term",TRUE,"Medium-Term")</f>
        <v>Long-Term</v>
      </c>
      <c r="N854" t="str" cm="1">
        <f t="array" ref="N854">_xlfn.IFS(A854="Bad", "Review Required", AND(A854="Good",J854&gt;7000),"VIP Client", AND(A854="Good", J854&lt;=7000),"Standart Client")</f>
        <v>Standart Client</v>
      </c>
    </row>
    <row r="855" spans="1:14" x14ac:dyDescent="0.3">
      <c r="A855" t="s">
        <v>34</v>
      </c>
      <c r="B855" t="s">
        <v>78</v>
      </c>
      <c r="C855" t="s">
        <v>87</v>
      </c>
      <c r="D855" t="s">
        <v>78</v>
      </c>
      <c r="E855" t="s">
        <v>122</v>
      </c>
      <c r="F855" t="s">
        <v>123</v>
      </c>
      <c r="G855" t="s">
        <v>115</v>
      </c>
      <c r="H855" t="s">
        <v>120</v>
      </c>
      <c r="I855">
        <v>24</v>
      </c>
      <c r="J855" s="11">
        <v>6313</v>
      </c>
      <c r="K855">
        <v>41</v>
      </c>
      <c r="L855" t="str" cm="1">
        <f t="array" ref="L855">_xlfn.IFS(J855&gt;5000,"Hight",J855&gt;2000,"Medium",TRUE,"Low")</f>
        <v>Hight</v>
      </c>
      <c r="M855" t="str" cm="1">
        <f t="array" ref="M855">_xlfn.IFS(I855&lt;12,"Low-Term",I855&gt;=36,"Long-Term",TRUE,"Medium-Term")</f>
        <v>Medium-Term</v>
      </c>
      <c r="N855" t="str" cm="1">
        <f t="array" ref="N855">_xlfn.IFS(A855="Bad", "Review Required", AND(A855="Good",J855&gt;7000),"VIP Client", AND(A855="Good", J855&lt;=7000),"Standart Client")</f>
        <v>Standart Client</v>
      </c>
    </row>
    <row r="856" spans="1:14" x14ac:dyDescent="0.3">
      <c r="A856" t="s">
        <v>34</v>
      </c>
      <c r="B856" t="s">
        <v>78</v>
      </c>
      <c r="C856" t="s">
        <v>88</v>
      </c>
      <c r="D856" t="s">
        <v>78</v>
      </c>
      <c r="E856" t="s">
        <v>122</v>
      </c>
      <c r="F856" t="s">
        <v>127</v>
      </c>
      <c r="G856" t="s">
        <v>114</v>
      </c>
      <c r="H856" t="s">
        <v>120</v>
      </c>
      <c r="I856">
        <v>6</v>
      </c>
      <c r="J856" s="11">
        <v>1221</v>
      </c>
      <c r="K856">
        <v>27</v>
      </c>
      <c r="L856" t="str" cm="1">
        <f t="array" ref="L856">_xlfn.IFS(J856&gt;5000,"Hight",J856&gt;2000,"Medium",TRUE,"Low")</f>
        <v>Low</v>
      </c>
      <c r="M856" t="str" cm="1">
        <f t="array" ref="M856">_xlfn.IFS(I856&lt;12,"Low-Term",I856&gt;=36,"Long-Term",TRUE,"Medium-Term")</f>
        <v>Low-Term</v>
      </c>
      <c r="N856" t="str" cm="1">
        <f t="array" ref="N856">_xlfn.IFS(A856="Bad", "Review Required", AND(A856="Good",J856&gt;7000),"VIP Client", AND(A856="Good", J856&lt;=7000),"Standart Client")</f>
        <v>Standart Client</v>
      </c>
    </row>
    <row r="857" spans="1:14" x14ac:dyDescent="0.3">
      <c r="A857" t="s">
        <v>34</v>
      </c>
      <c r="B857" t="s">
        <v>81</v>
      </c>
      <c r="C857" t="s">
        <v>88</v>
      </c>
      <c r="D857" t="s">
        <v>99</v>
      </c>
      <c r="E857" t="s">
        <v>122</v>
      </c>
      <c r="F857" t="s">
        <v>126</v>
      </c>
      <c r="G857" t="s">
        <v>114</v>
      </c>
      <c r="H857" t="s">
        <v>121</v>
      </c>
      <c r="I857">
        <v>24</v>
      </c>
      <c r="J857" s="11">
        <v>2892</v>
      </c>
      <c r="K857">
        <v>51</v>
      </c>
      <c r="L857" t="str" cm="1">
        <f t="array" ref="L857">_xlfn.IFS(J857&gt;5000,"Hight",J857&gt;2000,"Medium",TRUE,"Low")</f>
        <v>Medium</v>
      </c>
      <c r="M857" t="str" cm="1">
        <f t="array" ref="M857">_xlfn.IFS(I857&lt;12,"Low-Term",I857&gt;=36,"Long-Term",TRUE,"Medium-Term")</f>
        <v>Medium-Term</v>
      </c>
      <c r="N857" t="str" cm="1">
        <f t="array" ref="N857">_xlfn.IFS(A857="Bad", "Review Required", AND(A857="Good",J857&gt;7000),"VIP Client", AND(A857="Good", J857&lt;=7000),"Standart Client")</f>
        <v>Standart Client</v>
      </c>
    </row>
    <row r="858" spans="1:14" x14ac:dyDescent="0.3">
      <c r="A858" t="s">
        <v>34</v>
      </c>
      <c r="B858" t="s">
        <v>78</v>
      </c>
      <c r="C858" t="s">
        <v>88</v>
      </c>
      <c r="D858" t="s">
        <v>101</v>
      </c>
      <c r="E858" t="s">
        <v>122</v>
      </c>
      <c r="F858" t="s">
        <v>123</v>
      </c>
      <c r="G858" t="s">
        <v>114</v>
      </c>
      <c r="H858" t="s">
        <v>119</v>
      </c>
      <c r="I858">
        <v>24</v>
      </c>
      <c r="J858" s="11">
        <v>3062</v>
      </c>
      <c r="K858">
        <v>32</v>
      </c>
      <c r="L858" t="str" cm="1">
        <f t="array" ref="L858">_xlfn.IFS(J858&gt;5000,"Hight",J858&gt;2000,"Medium",TRUE,"Low")</f>
        <v>Medium</v>
      </c>
      <c r="M858" t="str" cm="1">
        <f t="array" ref="M858">_xlfn.IFS(I858&lt;12,"Low-Term",I858&gt;=36,"Long-Term",TRUE,"Medium-Term")</f>
        <v>Medium-Term</v>
      </c>
      <c r="N858" t="str" cm="1">
        <f t="array" ref="N858">_xlfn.IFS(A858="Bad", "Review Required", AND(A858="Good",J858&gt;7000),"VIP Client", AND(A858="Good", J858&lt;=7000),"Standart Client")</f>
        <v>Standart Client</v>
      </c>
    </row>
    <row r="859" spans="1:14" x14ac:dyDescent="0.3">
      <c r="A859" t="s">
        <v>34</v>
      </c>
      <c r="B859" t="s">
        <v>78</v>
      </c>
      <c r="C859" t="s">
        <v>88</v>
      </c>
      <c r="D859" t="s">
        <v>100</v>
      </c>
      <c r="E859" t="s">
        <v>124</v>
      </c>
      <c r="F859" t="s">
        <v>125</v>
      </c>
      <c r="G859" t="s">
        <v>114</v>
      </c>
      <c r="H859" t="s">
        <v>119</v>
      </c>
      <c r="I859">
        <v>9</v>
      </c>
      <c r="J859" s="11">
        <v>2301</v>
      </c>
      <c r="K859">
        <v>22</v>
      </c>
      <c r="L859" t="str" cm="1">
        <f t="array" ref="L859">_xlfn.IFS(J859&gt;5000,"Hight",J859&gt;2000,"Medium",TRUE,"Low")</f>
        <v>Medium</v>
      </c>
      <c r="M859" t="str" cm="1">
        <f t="array" ref="M859">_xlfn.IFS(I859&lt;12,"Low-Term",I859&gt;=36,"Long-Term",TRUE,"Medium-Term")</f>
        <v>Low-Term</v>
      </c>
      <c r="N859" t="str" cm="1">
        <f t="array" ref="N859">_xlfn.IFS(A859="Bad", "Review Required", AND(A859="Good",J859&gt;7000),"VIP Client", AND(A859="Good", J859&lt;=7000),"Standart Client")</f>
        <v>Standart Client</v>
      </c>
    </row>
    <row r="860" spans="1:14" x14ac:dyDescent="0.3">
      <c r="A860" t="s">
        <v>34</v>
      </c>
      <c r="B860" t="s">
        <v>78</v>
      </c>
      <c r="C860" t="s">
        <v>88</v>
      </c>
      <c r="D860" t="s">
        <v>99</v>
      </c>
      <c r="E860" t="s">
        <v>124</v>
      </c>
      <c r="F860" t="s">
        <v>125</v>
      </c>
      <c r="G860" t="s">
        <v>113</v>
      </c>
      <c r="H860" t="s">
        <v>119</v>
      </c>
      <c r="I860">
        <v>12</v>
      </c>
      <c r="J860" s="11">
        <v>1258</v>
      </c>
      <c r="K860">
        <v>22</v>
      </c>
      <c r="L860" t="str" cm="1">
        <f t="array" ref="L860">_xlfn.IFS(J860&gt;5000,"Hight",J860&gt;2000,"Medium",TRUE,"Low")</f>
        <v>Low</v>
      </c>
      <c r="M860" t="str" cm="1">
        <f t="array" ref="M860">_xlfn.IFS(I860&lt;12,"Low-Term",I860&gt;=36,"Long-Term",TRUE,"Medium-Term")</f>
        <v>Medium-Term</v>
      </c>
      <c r="N860" t="str" cm="1">
        <f t="array" ref="N860">_xlfn.IFS(A860="Bad", "Review Required", AND(A860="Good",J860&gt;7000),"VIP Client", AND(A860="Good", J860&lt;=7000),"Standart Client")</f>
        <v>Standart Client</v>
      </c>
    </row>
    <row r="861" spans="1:14" x14ac:dyDescent="0.3">
      <c r="A861" t="s">
        <v>34</v>
      </c>
      <c r="B861" t="s">
        <v>78</v>
      </c>
      <c r="C861" t="s">
        <v>86</v>
      </c>
      <c r="D861" t="s">
        <v>78</v>
      </c>
      <c r="E861" t="s">
        <v>122</v>
      </c>
      <c r="F861" t="s">
        <v>127</v>
      </c>
      <c r="G861" t="s">
        <v>114</v>
      </c>
      <c r="H861" t="s">
        <v>120</v>
      </c>
      <c r="I861">
        <v>24</v>
      </c>
      <c r="J861" s="11">
        <v>717</v>
      </c>
      <c r="K861">
        <v>54</v>
      </c>
      <c r="L861" t="str" cm="1">
        <f t="array" ref="L861">_xlfn.IFS(J861&gt;5000,"Hight",J861&gt;2000,"Medium",TRUE,"Low")</f>
        <v>Low</v>
      </c>
      <c r="M861" t="str" cm="1">
        <f t="array" ref="M861">_xlfn.IFS(I861&lt;12,"Low-Term",I861&gt;=36,"Long-Term",TRUE,"Medium-Term")</f>
        <v>Medium-Term</v>
      </c>
      <c r="N861" t="str" cm="1">
        <f t="array" ref="N861">_xlfn.IFS(A861="Bad", "Review Required", AND(A861="Good",J861&gt;7000),"VIP Client", AND(A861="Good", J861&lt;=7000),"Standart Client")</f>
        <v>Standart Client</v>
      </c>
    </row>
    <row r="862" spans="1:14" x14ac:dyDescent="0.3">
      <c r="A862" t="s">
        <v>34</v>
      </c>
      <c r="B862" t="s">
        <v>77</v>
      </c>
      <c r="C862" t="s">
        <v>86</v>
      </c>
      <c r="D862" t="s">
        <v>78</v>
      </c>
      <c r="E862" t="s">
        <v>122</v>
      </c>
      <c r="F862" t="s">
        <v>123</v>
      </c>
      <c r="G862" t="s">
        <v>112</v>
      </c>
      <c r="H862" t="s">
        <v>120</v>
      </c>
      <c r="I862">
        <v>9</v>
      </c>
      <c r="J862" s="11">
        <v>1549</v>
      </c>
      <c r="K862">
        <v>35</v>
      </c>
      <c r="L862" t="str" cm="1">
        <f t="array" ref="L862">_xlfn.IFS(J862&gt;5000,"Hight",J862&gt;2000,"Medium",TRUE,"Low")</f>
        <v>Low</v>
      </c>
      <c r="M862" t="str" cm="1">
        <f t="array" ref="M862">_xlfn.IFS(I862&lt;12,"Low-Term",I862&gt;=36,"Long-Term",TRUE,"Medium-Term")</f>
        <v>Low-Term</v>
      </c>
      <c r="N862" t="str" cm="1">
        <f t="array" ref="N862">_xlfn.IFS(A862="Bad", "Review Required", AND(A862="Good",J862&gt;7000),"VIP Client", AND(A862="Good", J862&lt;=7000),"Standart Client")</f>
        <v>Standart Client</v>
      </c>
    </row>
    <row r="863" spans="1:14" x14ac:dyDescent="0.3">
      <c r="A863" t="s">
        <v>34</v>
      </c>
      <c r="B863" t="s">
        <v>78</v>
      </c>
      <c r="C863" t="s">
        <v>92</v>
      </c>
      <c r="D863" t="s">
        <v>99</v>
      </c>
      <c r="E863" t="s">
        <v>122</v>
      </c>
      <c r="F863" t="s">
        <v>123</v>
      </c>
      <c r="G863" t="s">
        <v>114</v>
      </c>
      <c r="H863" t="s">
        <v>121</v>
      </c>
      <c r="I863">
        <v>24</v>
      </c>
      <c r="J863" s="11">
        <v>1597</v>
      </c>
      <c r="K863">
        <v>54</v>
      </c>
      <c r="L863" t="str" cm="1">
        <f t="array" ref="L863">_xlfn.IFS(J863&gt;5000,"Hight",J863&gt;2000,"Medium",TRUE,"Low")</f>
        <v>Low</v>
      </c>
      <c r="M863" t="str" cm="1">
        <f t="array" ref="M863">_xlfn.IFS(I863&lt;12,"Low-Term",I863&gt;=36,"Long-Term",TRUE,"Medium-Term")</f>
        <v>Medium-Term</v>
      </c>
      <c r="N863" t="str" cm="1">
        <f t="array" ref="N863">_xlfn.IFS(A863="Bad", "Review Required", AND(A863="Good",J863&gt;7000),"VIP Client", AND(A863="Good", J863&lt;=7000),"Standart Client")</f>
        <v>Standart Client</v>
      </c>
    </row>
    <row r="864" spans="1:14" x14ac:dyDescent="0.3">
      <c r="A864" t="s">
        <v>34</v>
      </c>
      <c r="B864" t="s">
        <v>77</v>
      </c>
      <c r="C864" t="s">
        <v>89</v>
      </c>
      <c r="D864" t="s">
        <v>99</v>
      </c>
      <c r="E864" t="s">
        <v>124</v>
      </c>
      <c r="F864" t="s">
        <v>125</v>
      </c>
      <c r="G864" t="s">
        <v>113</v>
      </c>
      <c r="H864" t="s">
        <v>119</v>
      </c>
      <c r="I864">
        <v>18</v>
      </c>
      <c r="J864" s="11">
        <v>1795</v>
      </c>
      <c r="K864">
        <v>48</v>
      </c>
      <c r="L864" t="str" cm="1">
        <f t="array" ref="L864">_xlfn.IFS(J864&gt;5000,"Hight",J864&gt;2000,"Medium",TRUE,"Low")</f>
        <v>Low</v>
      </c>
      <c r="M864" t="str" cm="1">
        <f t="array" ref="M864">_xlfn.IFS(I864&lt;12,"Low-Term",I864&gt;=36,"Long-Term",TRUE,"Medium-Term")</f>
        <v>Medium-Term</v>
      </c>
      <c r="N864" t="str" cm="1">
        <f t="array" ref="N864">_xlfn.IFS(A864="Bad", "Review Required", AND(A864="Good",J864&gt;7000),"VIP Client", AND(A864="Good", J864&lt;=7000),"Standart Client")</f>
        <v>Standart Client</v>
      </c>
    </row>
    <row r="865" spans="1:14" x14ac:dyDescent="0.3">
      <c r="A865" t="s">
        <v>34</v>
      </c>
      <c r="B865" t="s">
        <v>80</v>
      </c>
      <c r="C865" t="s">
        <v>88</v>
      </c>
      <c r="D865" t="s">
        <v>99</v>
      </c>
      <c r="E865" t="s">
        <v>124</v>
      </c>
      <c r="F865" t="s">
        <v>125</v>
      </c>
      <c r="G865" t="s">
        <v>114</v>
      </c>
      <c r="H865" t="s">
        <v>120</v>
      </c>
      <c r="I865">
        <v>20</v>
      </c>
      <c r="J865" s="11">
        <v>4272</v>
      </c>
      <c r="K865">
        <v>24</v>
      </c>
      <c r="L865" t="str" cm="1">
        <f t="array" ref="L865">_xlfn.IFS(J865&gt;5000,"Hight",J865&gt;2000,"Medium",TRUE,"Low")</f>
        <v>Medium</v>
      </c>
      <c r="M865" t="str" cm="1">
        <f t="array" ref="M865">_xlfn.IFS(I865&lt;12,"Low-Term",I865&gt;=36,"Long-Term",TRUE,"Medium-Term")</f>
        <v>Medium-Term</v>
      </c>
      <c r="N865" t="str" cm="1">
        <f t="array" ref="N865">_xlfn.IFS(A865="Bad", "Review Required", AND(A865="Good",J865&gt;7000),"VIP Client", AND(A865="Good", J865&lt;=7000),"Standart Client")</f>
        <v>Standart Client</v>
      </c>
    </row>
    <row r="866" spans="1:14" x14ac:dyDescent="0.3">
      <c r="A866" t="s">
        <v>34</v>
      </c>
      <c r="B866" t="s">
        <v>78</v>
      </c>
      <c r="C866" t="s">
        <v>89</v>
      </c>
      <c r="D866" t="s">
        <v>78</v>
      </c>
      <c r="E866" t="s">
        <v>122</v>
      </c>
      <c r="F866" t="s">
        <v>123</v>
      </c>
      <c r="G866" t="s">
        <v>114</v>
      </c>
      <c r="H866" t="s">
        <v>120</v>
      </c>
      <c r="I866">
        <v>12</v>
      </c>
      <c r="J866" s="11">
        <v>976</v>
      </c>
      <c r="K866">
        <v>35</v>
      </c>
      <c r="L866" t="str" cm="1">
        <f t="array" ref="L866">_xlfn.IFS(J866&gt;5000,"Hight",J866&gt;2000,"Medium",TRUE,"Low")</f>
        <v>Low</v>
      </c>
      <c r="M866" t="str" cm="1">
        <f t="array" ref="M866">_xlfn.IFS(I866&lt;12,"Low-Term",I866&gt;=36,"Long-Term",TRUE,"Medium-Term")</f>
        <v>Medium-Term</v>
      </c>
      <c r="N866" t="str" cm="1">
        <f t="array" ref="N866">_xlfn.IFS(A866="Bad", "Review Required", AND(A866="Good",J866&gt;7000),"VIP Client", AND(A866="Good", J866&lt;=7000),"Standart Client")</f>
        <v>Standart Client</v>
      </c>
    </row>
    <row r="867" spans="1:14" x14ac:dyDescent="0.3">
      <c r="A867" t="s">
        <v>34</v>
      </c>
      <c r="B867" t="s">
        <v>77</v>
      </c>
      <c r="C867" t="s">
        <v>86</v>
      </c>
      <c r="D867" t="s">
        <v>78</v>
      </c>
      <c r="E867" t="s">
        <v>124</v>
      </c>
      <c r="F867" t="s">
        <v>125</v>
      </c>
      <c r="G867" t="s">
        <v>112</v>
      </c>
      <c r="H867" t="s">
        <v>119</v>
      </c>
      <c r="I867">
        <v>12</v>
      </c>
      <c r="J867" s="11">
        <v>7472</v>
      </c>
      <c r="K867">
        <v>24</v>
      </c>
      <c r="L867" t="str" cm="1">
        <f t="array" ref="L867">_xlfn.IFS(J867&gt;5000,"Hight",J867&gt;2000,"Medium",TRUE,"Low")</f>
        <v>Hight</v>
      </c>
      <c r="M867" t="str" cm="1">
        <f t="array" ref="M867">_xlfn.IFS(I867&lt;12,"Low-Term",I867&gt;=36,"Long-Term",TRUE,"Medium-Term")</f>
        <v>Medium-Term</v>
      </c>
      <c r="N867" t="str" cm="1">
        <f t="array" ref="N867">_xlfn.IFS(A867="Bad", "Review Required", AND(A867="Good",J867&gt;7000),"VIP Client", AND(A867="Good", J867&lt;=7000),"Standart Client")</f>
        <v>VIP Client</v>
      </c>
    </row>
    <row r="868" spans="1:14" x14ac:dyDescent="0.3">
      <c r="A868" t="s">
        <v>34</v>
      </c>
      <c r="B868" t="s">
        <v>77</v>
      </c>
      <c r="C868" t="s">
        <v>89</v>
      </c>
      <c r="D868" t="s">
        <v>99</v>
      </c>
      <c r="E868" t="s">
        <v>122</v>
      </c>
      <c r="F868" t="s">
        <v>127</v>
      </c>
      <c r="G868" t="s">
        <v>113</v>
      </c>
      <c r="H868" t="s">
        <v>120</v>
      </c>
      <c r="I868">
        <v>6</v>
      </c>
      <c r="J868" s="11">
        <v>590</v>
      </c>
      <c r="K868">
        <v>26</v>
      </c>
      <c r="L868" t="str" cm="1">
        <f t="array" ref="L868">_xlfn.IFS(J868&gt;5000,"Hight",J868&gt;2000,"Medium",TRUE,"Low")</f>
        <v>Low</v>
      </c>
      <c r="M868" t="str" cm="1">
        <f t="array" ref="M868">_xlfn.IFS(I868&lt;12,"Low-Term",I868&gt;=36,"Long-Term",TRUE,"Medium-Term")</f>
        <v>Low-Term</v>
      </c>
      <c r="N868" t="str" cm="1">
        <f t="array" ref="N868">_xlfn.IFS(A868="Bad", "Review Required", AND(A868="Good",J868&gt;7000),"VIP Client", AND(A868="Good", J868&lt;=7000),"Standart Client")</f>
        <v>Standart Client</v>
      </c>
    </row>
    <row r="869" spans="1:14" x14ac:dyDescent="0.3">
      <c r="A869" t="s">
        <v>34</v>
      </c>
      <c r="B869" t="s">
        <v>78</v>
      </c>
      <c r="C869" t="s">
        <v>89</v>
      </c>
      <c r="D869" t="s">
        <v>78</v>
      </c>
      <c r="E869" t="s">
        <v>122</v>
      </c>
      <c r="F869" t="s">
        <v>123</v>
      </c>
      <c r="G869" t="s">
        <v>114</v>
      </c>
      <c r="H869" t="s">
        <v>120</v>
      </c>
      <c r="I869">
        <v>12</v>
      </c>
      <c r="J869" s="11">
        <v>930</v>
      </c>
      <c r="K869">
        <v>65</v>
      </c>
      <c r="L869" t="str" cm="1">
        <f t="array" ref="L869">_xlfn.IFS(J869&gt;5000,"Hight",J869&gt;2000,"Medium",TRUE,"Low")</f>
        <v>Low</v>
      </c>
      <c r="M869" t="str" cm="1">
        <f t="array" ref="M869">_xlfn.IFS(I869&lt;12,"Low-Term",I869&gt;=36,"Long-Term",TRUE,"Medium-Term")</f>
        <v>Medium-Term</v>
      </c>
      <c r="N869" t="str" cm="1">
        <f t="array" ref="N869">_xlfn.IFS(A869="Bad", "Review Required", AND(A869="Good",J869&gt;7000),"VIP Client", AND(A869="Good", J869&lt;=7000),"Standart Client")</f>
        <v>Standart Client</v>
      </c>
    </row>
    <row r="870" spans="1:14" x14ac:dyDescent="0.3">
      <c r="A870" t="s">
        <v>34</v>
      </c>
      <c r="B870" t="s">
        <v>77</v>
      </c>
      <c r="C870" t="s">
        <v>87</v>
      </c>
      <c r="D870" t="s">
        <v>99</v>
      </c>
      <c r="E870" t="s">
        <v>122</v>
      </c>
      <c r="F870" t="s">
        <v>123</v>
      </c>
      <c r="G870" t="s">
        <v>115</v>
      </c>
      <c r="H870" t="s">
        <v>121</v>
      </c>
      <c r="I870">
        <v>42</v>
      </c>
      <c r="J870" s="11">
        <v>9283</v>
      </c>
      <c r="K870">
        <v>55</v>
      </c>
      <c r="L870" t="str" cm="1">
        <f t="array" ref="L870">_xlfn.IFS(J870&gt;5000,"Hight",J870&gt;2000,"Medium",TRUE,"Low")</f>
        <v>Hight</v>
      </c>
      <c r="M870" t="str" cm="1">
        <f t="array" ref="M870">_xlfn.IFS(I870&lt;12,"Low-Term",I870&gt;=36,"Long-Term",TRUE,"Medium-Term")</f>
        <v>Long-Term</v>
      </c>
      <c r="N870" t="str" cm="1">
        <f t="array" ref="N870">_xlfn.IFS(A870="Bad", "Review Required", AND(A870="Good",J870&gt;7000),"VIP Client", AND(A870="Good", J870&lt;=7000),"Standart Client")</f>
        <v>VIP Client</v>
      </c>
    </row>
    <row r="871" spans="1:14" x14ac:dyDescent="0.3">
      <c r="A871" t="s">
        <v>34</v>
      </c>
      <c r="B871" t="s">
        <v>77</v>
      </c>
      <c r="C871" t="s">
        <v>94</v>
      </c>
      <c r="D871" t="s">
        <v>99</v>
      </c>
      <c r="E871" t="s">
        <v>122</v>
      </c>
      <c r="F871" t="s">
        <v>127</v>
      </c>
      <c r="G871" t="s">
        <v>114</v>
      </c>
      <c r="H871" t="s">
        <v>120</v>
      </c>
      <c r="I871">
        <v>8</v>
      </c>
      <c r="J871" s="11">
        <v>907</v>
      </c>
      <c r="K871">
        <v>26</v>
      </c>
      <c r="L871" t="str" cm="1">
        <f t="array" ref="L871">_xlfn.IFS(J871&gt;5000,"Hight",J871&gt;2000,"Medium",TRUE,"Low")</f>
        <v>Low</v>
      </c>
      <c r="M871" t="str" cm="1">
        <f t="array" ref="M871">_xlfn.IFS(I871&lt;12,"Low-Term",I871&gt;=36,"Long-Term",TRUE,"Medium-Term")</f>
        <v>Low-Term</v>
      </c>
      <c r="N871" t="str" cm="1">
        <f t="array" ref="N871">_xlfn.IFS(A871="Bad", "Review Required", AND(A871="Good",J871&gt;7000),"VIP Client", AND(A871="Good", J871&lt;=7000),"Standart Client")</f>
        <v>Standart Client</v>
      </c>
    </row>
    <row r="872" spans="1:14" x14ac:dyDescent="0.3">
      <c r="A872" t="s">
        <v>34</v>
      </c>
      <c r="B872" t="s">
        <v>77</v>
      </c>
      <c r="C872" t="s">
        <v>89</v>
      </c>
      <c r="D872" t="s">
        <v>99</v>
      </c>
      <c r="E872" t="s">
        <v>122</v>
      </c>
      <c r="F872" t="s">
        <v>127</v>
      </c>
      <c r="G872" t="s">
        <v>113</v>
      </c>
      <c r="H872" t="s">
        <v>120</v>
      </c>
      <c r="I872">
        <v>6</v>
      </c>
      <c r="J872" s="11">
        <v>484</v>
      </c>
      <c r="K872">
        <v>28</v>
      </c>
      <c r="L872" t="str" cm="1">
        <f t="array" ref="L872">_xlfn.IFS(J872&gt;5000,"Hight",J872&gt;2000,"Medium",TRUE,"Low")</f>
        <v>Low</v>
      </c>
      <c r="M872" t="str" cm="1">
        <f t="array" ref="M872">_xlfn.IFS(I872&lt;12,"Low-Term",I872&gt;=36,"Long-Term",TRUE,"Medium-Term")</f>
        <v>Low-Term</v>
      </c>
      <c r="N872" t="str" cm="1">
        <f t="array" ref="N872">_xlfn.IFS(A872="Bad", "Review Required", AND(A872="Good",J872&gt;7000),"VIP Client", AND(A872="Good", J872&lt;=7000),"Standart Client")</f>
        <v>Standart Client</v>
      </c>
    </row>
    <row r="873" spans="1:14" x14ac:dyDescent="0.3">
      <c r="A873" t="s">
        <v>34</v>
      </c>
      <c r="B873" t="s">
        <v>77</v>
      </c>
      <c r="C873" t="s">
        <v>86</v>
      </c>
      <c r="D873" t="s">
        <v>99</v>
      </c>
      <c r="E873" t="s">
        <v>124</v>
      </c>
      <c r="F873" t="s">
        <v>125</v>
      </c>
      <c r="G873" t="s">
        <v>114</v>
      </c>
      <c r="H873" t="s">
        <v>119</v>
      </c>
      <c r="I873">
        <v>36</v>
      </c>
      <c r="J873" s="11">
        <v>7432</v>
      </c>
      <c r="K873">
        <v>54</v>
      </c>
      <c r="L873" t="str" cm="1">
        <f t="array" ref="L873">_xlfn.IFS(J873&gt;5000,"Hight",J873&gt;2000,"Medium",TRUE,"Low")</f>
        <v>Hight</v>
      </c>
      <c r="M873" t="str" cm="1">
        <f t="array" ref="M873">_xlfn.IFS(I873&lt;12,"Low-Term",I873&gt;=36,"Long-Term",TRUE,"Medium-Term")</f>
        <v>Long-Term</v>
      </c>
      <c r="N873" t="str" cm="1">
        <f t="array" ref="N873">_xlfn.IFS(A873="Bad", "Review Required", AND(A873="Good",J873&gt;7000),"VIP Client", AND(A873="Good", J873&lt;=7000),"Standart Client")</f>
        <v>VIP Client</v>
      </c>
    </row>
    <row r="874" spans="1:14" x14ac:dyDescent="0.3">
      <c r="A874" t="s">
        <v>34</v>
      </c>
      <c r="B874" t="s">
        <v>78</v>
      </c>
      <c r="C874" t="s">
        <v>90</v>
      </c>
      <c r="D874" t="s">
        <v>101</v>
      </c>
      <c r="E874" t="s">
        <v>122</v>
      </c>
      <c r="F874" t="s">
        <v>126</v>
      </c>
      <c r="G874" t="s">
        <v>114</v>
      </c>
      <c r="H874" t="s">
        <v>120</v>
      </c>
      <c r="I874">
        <v>6</v>
      </c>
      <c r="J874" s="11">
        <v>1338</v>
      </c>
      <c r="K874">
        <v>62</v>
      </c>
      <c r="L874" t="str" cm="1">
        <f t="array" ref="L874">_xlfn.IFS(J874&gt;5000,"Hight",J874&gt;2000,"Medium",TRUE,"Low")</f>
        <v>Low</v>
      </c>
      <c r="M874" t="str" cm="1">
        <f t="array" ref="M874">_xlfn.IFS(I874&lt;12,"Low-Term",I874&gt;=36,"Long-Term",TRUE,"Medium-Term")</f>
        <v>Low-Term</v>
      </c>
      <c r="N874" t="str" cm="1">
        <f t="array" ref="N874">_xlfn.IFS(A874="Bad", "Review Required", AND(A874="Good",J874&gt;7000),"VIP Client", AND(A874="Good", J874&lt;=7000),"Standart Client")</f>
        <v>Standart Client</v>
      </c>
    </row>
    <row r="875" spans="1:14" x14ac:dyDescent="0.3">
      <c r="A875" t="s">
        <v>34</v>
      </c>
      <c r="B875" t="s">
        <v>78</v>
      </c>
      <c r="C875" t="s">
        <v>89</v>
      </c>
      <c r="D875" t="s">
        <v>99</v>
      </c>
      <c r="E875" t="s">
        <v>124</v>
      </c>
      <c r="F875" t="s">
        <v>125</v>
      </c>
      <c r="G875" t="s">
        <v>114</v>
      </c>
      <c r="H875" t="s">
        <v>119</v>
      </c>
      <c r="I875">
        <v>6</v>
      </c>
      <c r="J875" s="11">
        <v>1554</v>
      </c>
      <c r="K875">
        <v>24</v>
      </c>
      <c r="L875" t="str" cm="1">
        <f t="array" ref="L875">_xlfn.IFS(J875&gt;5000,"Hight",J875&gt;2000,"Medium",TRUE,"Low")</f>
        <v>Low</v>
      </c>
      <c r="M875" t="str" cm="1">
        <f t="array" ref="M875">_xlfn.IFS(I875&lt;12,"Low-Term",I875&gt;=36,"Long-Term",TRUE,"Medium-Term")</f>
        <v>Low-Term</v>
      </c>
      <c r="N875" t="str" cm="1">
        <f t="array" ref="N875">_xlfn.IFS(A875="Bad", "Review Required", AND(A875="Good",J875&gt;7000),"VIP Client", AND(A875="Good", J875&lt;=7000),"Standart Client")</f>
        <v>Standart Client</v>
      </c>
    </row>
    <row r="876" spans="1:14" x14ac:dyDescent="0.3">
      <c r="A876" t="s">
        <v>34</v>
      </c>
      <c r="B876" t="s">
        <v>80</v>
      </c>
      <c r="C876" t="s">
        <v>95</v>
      </c>
      <c r="D876" t="s">
        <v>99</v>
      </c>
      <c r="E876" t="s">
        <v>122</v>
      </c>
      <c r="F876" t="s">
        <v>126</v>
      </c>
      <c r="G876" t="s">
        <v>115</v>
      </c>
      <c r="H876" t="s">
        <v>120</v>
      </c>
      <c r="I876">
        <v>36</v>
      </c>
      <c r="J876" s="11">
        <v>15857</v>
      </c>
      <c r="K876">
        <v>43</v>
      </c>
      <c r="L876" t="str" cm="1">
        <f t="array" ref="L876">_xlfn.IFS(J876&gt;5000,"Hight",J876&gt;2000,"Medium",TRUE,"Low")</f>
        <v>Hight</v>
      </c>
      <c r="M876" t="str" cm="1">
        <f t="array" ref="M876">_xlfn.IFS(I876&lt;12,"Low-Term",I876&gt;=36,"Long-Term",TRUE,"Medium-Term")</f>
        <v>Long-Term</v>
      </c>
      <c r="N876" t="str" cm="1">
        <f t="array" ref="N876">_xlfn.IFS(A876="Bad", "Review Required", AND(A876="Good",J876&gt;7000),"VIP Client", AND(A876="Good", J876&lt;=7000),"Standart Client")</f>
        <v>VIP Client</v>
      </c>
    </row>
    <row r="877" spans="1:14" x14ac:dyDescent="0.3">
      <c r="A877" t="s">
        <v>34</v>
      </c>
      <c r="B877" t="s">
        <v>78</v>
      </c>
      <c r="C877" t="s">
        <v>86</v>
      </c>
      <c r="D877" t="s">
        <v>99</v>
      </c>
      <c r="E877" t="s">
        <v>122</v>
      </c>
      <c r="F877" t="s">
        <v>127</v>
      </c>
      <c r="G877" t="s">
        <v>114</v>
      </c>
      <c r="H877" t="s">
        <v>120</v>
      </c>
      <c r="I877">
        <v>12</v>
      </c>
      <c r="J877" s="11">
        <v>1101</v>
      </c>
      <c r="K877">
        <v>27</v>
      </c>
      <c r="L877" t="str" cm="1">
        <f t="array" ref="L877">_xlfn.IFS(J877&gt;5000,"Hight",J877&gt;2000,"Medium",TRUE,"Low")</f>
        <v>Low</v>
      </c>
      <c r="M877" t="str" cm="1">
        <f t="array" ref="M877">_xlfn.IFS(I877&lt;12,"Low-Term",I877&gt;=36,"Long-Term",TRUE,"Medium-Term")</f>
        <v>Medium-Term</v>
      </c>
      <c r="N877" t="str" cm="1">
        <f t="array" ref="N877">_xlfn.IFS(A877="Bad", "Review Required", AND(A877="Good",J877&gt;7000),"VIP Client", AND(A877="Good", J877&lt;=7000),"Standart Client")</f>
        <v>Standart Client</v>
      </c>
    </row>
    <row r="878" spans="1:14" x14ac:dyDescent="0.3">
      <c r="A878" t="s">
        <v>34</v>
      </c>
      <c r="B878" t="s">
        <v>81</v>
      </c>
      <c r="C878" t="s">
        <v>89</v>
      </c>
      <c r="D878" t="s">
        <v>99</v>
      </c>
      <c r="E878" t="s">
        <v>122</v>
      </c>
      <c r="F878" t="s">
        <v>127</v>
      </c>
      <c r="G878" t="s">
        <v>114</v>
      </c>
      <c r="H878" t="s">
        <v>120</v>
      </c>
      <c r="I878">
        <v>12</v>
      </c>
      <c r="J878" s="11">
        <v>3016</v>
      </c>
      <c r="K878">
        <v>24</v>
      </c>
      <c r="L878" t="str" cm="1">
        <f t="array" ref="L878">_xlfn.IFS(J878&gt;5000,"Hight",J878&gt;2000,"Medium",TRUE,"Low")</f>
        <v>Medium</v>
      </c>
      <c r="M878" t="str" cm="1">
        <f t="array" ref="M878">_xlfn.IFS(I878&lt;12,"Low-Term",I878&gt;=36,"Long-Term",TRUE,"Medium-Term")</f>
        <v>Medium-Term</v>
      </c>
      <c r="N878" t="str" cm="1">
        <f t="array" ref="N878">_xlfn.IFS(A878="Bad", "Review Required", AND(A878="Good",J878&gt;7000),"VIP Client", AND(A878="Good", J878&lt;=7000),"Standart Client")</f>
        <v>Standart Client</v>
      </c>
    </row>
    <row r="879" spans="1:14" x14ac:dyDescent="0.3">
      <c r="A879" t="s">
        <v>34</v>
      </c>
      <c r="B879" t="s">
        <v>80</v>
      </c>
      <c r="C879" t="s">
        <v>86</v>
      </c>
      <c r="D879" t="s">
        <v>99</v>
      </c>
      <c r="E879" t="s">
        <v>122</v>
      </c>
      <c r="F879" t="s">
        <v>123</v>
      </c>
      <c r="G879" t="s">
        <v>113</v>
      </c>
      <c r="H879" t="s">
        <v>120</v>
      </c>
      <c r="I879">
        <v>8</v>
      </c>
      <c r="J879" s="11">
        <v>731</v>
      </c>
      <c r="K879">
        <v>47</v>
      </c>
      <c r="L879" t="str" cm="1">
        <f t="array" ref="L879">_xlfn.IFS(J879&gt;5000,"Hight",J879&gt;2000,"Medium",TRUE,"Low")</f>
        <v>Low</v>
      </c>
      <c r="M879" t="str" cm="1">
        <f t="array" ref="M879">_xlfn.IFS(I879&lt;12,"Low-Term",I879&gt;=36,"Long-Term",TRUE,"Medium-Term")</f>
        <v>Low-Term</v>
      </c>
      <c r="N879" t="str" cm="1">
        <f t="array" ref="N879">_xlfn.IFS(A879="Bad", "Review Required", AND(A879="Good",J879&gt;7000),"VIP Client", AND(A879="Good", J879&lt;=7000),"Standart Client")</f>
        <v>Standart Client</v>
      </c>
    </row>
    <row r="880" spans="1:14" x14ac:dyDescent="0.3">
      <c r="A880" t="s">
        <v>34</v>
      </c>
      <c r="B880" t="s">
        <v>78</v>
      </c>
      <c r="C880" t="s">
        <v>88</v>
      </c>
      <c r="D880" t="s">
        <v>99</v>
      </c>
      <c r="E880" t="s">
        <v>122</v>
      </c>
      <c r="F880" t="s">
        <v>126</v>
      </c>
      <c r="G880" t="s">
        <v>115</v>
      </c>
      <c r="H880" t="s">
        <v>120</v>
      </c>
      <c r="I880">
        <v>18</v>
      </c>
      <c r="J880" s="11">
        <v>3780</v>
      </c>
      <c r="K880">
        <v>35</v>
      </c>
      <c r="L880" t="str" cm="1">
        <f t="array" ref="L880">_xlfn.IFS(J880&gt;5000,"Hight",J880&gt;2000,"Medium",TRUE,"Low")</f>
        <v>Medium</v>
      </c>
      <c r="M880" t="str" cm="1">
        <f t="array" ref="M880">_xlfn.IFS(I880&lt;12,"Low-Term",I880&gt;=36,"Long-Term",TRUE,"Medium-Term")</f>
        <v>Medium-Term</v>
      </c>
      <c r="N880" t="str" cm="1">
        <f t="array" ref="N880">_xlfn.IFS(A880="Bad", "Review Required", AND(A880="Good",J880&gt;7000),"VIP Client", AND(A880="Good", J880&lt;=7000),"Standart Client")</f>
        <v>Standart Client</v>
      </c>
    </row>
    <row r="881" spans="1:14" x14ac:dyDescent="0.3">
      <c r="A881" t="s">
        <v>34</v>
      </c>
      <c r="B881" t="s">
        <v>80</v>
      </c>
      <c r="C881" t="s">
        <v>86</v>
      </c>
      <c r="D881" t="s">
        <v>99</v>
      </c>
      <c r="E881" t="s">
        <v>122</v>
      </c>
      <c r="F881" t="s">
        <v>127</v>
      </c>
      <c r="G881" t="s">
        <v>114</v>
      </c>
      <c r="H881" t="s">
        <v>120</v>
      </c>
      <c r="I881">
        <v>21</v>
      </c>
      <c r="J881" s="11">
        <v>1602</v>
      </c>
      <c r="K881">
        <v>30</v>
      </c>
      <c r="L881" t="str" cm="1">
        <f t="array" ref="L881">_xlfn.IFS(J881&gt;5000,"Hight",J881&gt;2000,"Medium",TRUE,"Low")</f>
        <v>Low</v>
      </c>
      <c r="M881" t="str" cm="1">
        <f t="array" ref="M881">_xlfn.IFS(I881&lt;12,"Low-Term",I881&gt;=36,"Long-Term",TRUE,"Medium-Term")</f>
        <v>Medium-Term</v>
      </c>
      <c r="N881" t="str" cm="1">
        <f t="array" ref="N881">_xlfn.IFS(A881="Bad", "Review Required", AND(A881="Good",J881&gt;7000),"VIP Client", AND(A881="Good", J881&lt;=7000),"Standart Client")</f>
        <v>Standart Client</v>
      </c>
    </row>
    <row r="882" spans="1:14" x14ac:dyDescent="0.3">
      <c r="A882" t="s">
        <v>34</v>
      </c>
      <c r="B882" t="s">
        <v>77</v>
      </c>
      <c r="C882" t="s">
        <v>94</v>
      </c>
      <c r="D882" t="s">
        <v>78</v>
      </c>
      <c r="E882" t="s">
        <v>122</v>
      </c>
      <c r="F882" t="s">
        <v>123</v>
      </c>
      <c r="G882" t="s">
        <v>114</v>
      </c>
      <c r="H882" t="s">
        <v>121</v>
      </c>
      <c r="I882">
        <v>48</v>
      </c>
      <c r="J882" s="11">
        <v>6681</v>
      </c>
      <c r="K882">
        <v>38</v>
      </c>
      <c r="L882" t="str" cm="1">
        <f t="array" ref="L882">_xlfn.IFS(J882&gt;5000,"Hight",J882&gt;2000,"Medium",TRUE,"Low")</f>
        <v>Hight</v>
      </c>
      <c r="M882" t="str" cm="1">
        <f t="array" ref="M882">_xlfn.IFS(I882&lt;12,"Low-Term",I882&gt;=36,"Long-Term",TRUE,"Medium-Term")</f>
        <v>Long-Term</v>
      </c>
      <c r="N882" t="str" cm="1">
        <f t="array" ref="N882">_xlfn.IFS(A882="Bad", "Review Required", AND(A882="Good",J882&gt;7000),"VIP Client", AND(A882="Good", J882&lt;=7000),"Standart Client")</f>
        <v>Standart Client</v>
      </c>
    </row>
    <row r="883" spans="1:14" x14ac:dyDescent="0.3">
      <c r="A883" t="s">
        <v>34</v>
      </c>
      <c r="B883" t="s">
        <v>78</v>
      </c>
      <c r="C883" t="s">
        <v>94</v>
      </c>
      <c r="D883" t="s">
        <v>101</v>
      </c>
      <c r="E883" t="s">
        <v>122</v>
      </c>
      <c r="F883" t="s">
        <v>123</v>
      </c>
      <c r="G883" t="s">
        <v>114</v>
      </c>
      <c r="H883" t="s">
        <v>120</v>
      </c>
      <c r="I883">
        <v>24</v>
      </c>
      <c r="J883" s="11">
        <v>2375</v>
      </c>
      <c r="K883">
        <v>44</v>
      </c>
      <c r="L883" t="str" cm="1">
        <f t="array" ref="L883">_xlfn.IFS(J883&gt;5000,"Hight",J883&gt;2000,"Medium",TRUE,"Low")</f>
        <v>Medium</v>
      </c>
      <c r="M883" t="str" cm="1">
        <f t="array" ref="M883">_xlfn.IFS(I883&lt;12,"Low-Term",I883&gt;=36,"Long-Term",TRUE,"Medium-Term")</f>
        <v>Medium-Term</v>
      </c>
      <c r="N883" t="str" cm="1">
        <f t="array" ref="N883">_xlfn.IFS(A883="Bad", "Review Required", AND(A883="Good",J883&gt;7000),"VIP Client", AND(A883="Good", J883&lt;=7000),"Standart Client")</f>
        <v>Standart Client</v>
      </c>
    </row>
    <row r="884" spans="1:14" x14ac:dyDescent="0.3">
      <c r="A884" t="s">
        <v>34</v>
      </c>
      <c r="B884" t="s">
        <v>77</v>
      </c>
      <c r="C884" t="s">
        <v>89</v>
      </c>
      <c r="D884" t="s">
        <v>78</v>
      </c>
      <c r="E884" t="s">
        <v>124</v>
      </c>
      <c r="F884" t="s">
        <v>125</v>
      </c>
      <c r="G884" t="s">
        <v>114</v>
      </c>
      <c r="H884" t="s">
        <v>120</v>
      </c>
      <c r="I884">
        <v>24</v>
      </c>
      <c r="J884" s="11">
        <v>5084</v>
      </c>
      <c r="K884">
        <v>42</v>
      </c>
      <c r="L884" t="str" cm="1">
        <f t="array" ref="L884">_xlfn.IFS(J884&gt;5000,"Hight",J884&gt;2000,"Medium",TRUE,"Low")</f>
        <v>Hight</v>
      </c>
      <c r="M884" t="str" cm="1">
        <f t="array" ref="M884">_xlfn.IFS(I884&lt;12,"Low-Term",I884&gt;=36,"Long-Term",TRUE,"Medium-Term")</f>
        <v>Medium-Term</v>
      </c>
      <c r="N884" t="str" cm="1">
        <f t="array" ref="N884">_xlfn.IFS(A884="Bad", "Review Required", AND(A884="Good",J884&gt;7000),"VIP Client", AND(A884="Good", J884&lt;=7000),"Standart Client")</f>
        <v>Standart Client</v>
      </c>
    </row>
    <row r="885" spans="1:14" x14ac:dyDescent="0.3">
      <c r="A885" t="s">
        <v>34</v>
      </c>
      <c r="B885" t="s">
        <v>78</v>
      </c>
      <c r="C885" t="s">
        <v>89</v>
      </c>
      <c r="D885" t="s">
        <v>78</v>
      </c>
      <c r="E885" t="s">
        <v>124</v>
      </c>
      <c r="F885" t="s">
        <v>125</v>
      </c>
      <c r="G885" t="s">
        <v>114</v>
      </c>
      <c r="H885" t="s">
        <v>120</v>
      </c>
      <c r="I885">
        <v>12</v>
      </c>
      <c r="J885" s="11">
        <v>886</v>
      </c>
      <c r="K885">
        <v>21</v>
      </c>
      <c r="L885" t="str" cm="1">
        <f t="array" ref="L885">_xlfn.IFS(J885&gt;5000,"Hight",J885&gt;2000,"Medium",TRUE,"Low")</f>
        <v>Low</v>
      </c>
      <c r="M885" t="str" cm="1">
        <f t="array" ref="M885">_xlfn.IFS(I885&lt;12,"Low-Term",I885&gt;=36,"Long-Term",TRUE,"Medium-Term")</f>
        <v>Medium-Term</v>
      </c>
      <c r="N885" t="str" cm="1">
        <f t="array" ref="N885">_xlfn.IFS(A885="Bad", "Review Required", AND(A885="Good",J885&gt;7000),"VIP Client", AND(A885="Good", J885&lt;=7000),"Standart Client")</f>
        <v>Standart Client</v>
      </c>
    </row>
    <row r="886" spans="1:14" x14ac:dyDescent="0.3">
      <c r="A886" t="s">
        <v>34</v>
      </c>
      <c r="B886" t="s">
        <v>78</v>
      </c>
      <c r="C886" t="s">
        <v>88</v>
      </c>
      <c r="D886" t="s">
        <v>99</v>
      </c>
      <c r="E886" t="s">
        <v>124</v>
      </c>
      <c r="F886" t="s">
        <v>125</v>
      </c>
      <c r="G886" t="s">
        <v>113</v>
      </c>
      <c r="H886" t="s">
        <v>119</v>
      </c>
      <c r="I886">
        <v>4</v>
      </c>
      <c r="J886" s="11">
        <v>601</v>
      </c>
      <c r="K886">
        <v>23</v>
      </c>
      <c r="L886" t="str" cm="1">
        <f t="array" ref="L886">_xlfn.IFS(J886&gt;5000,"Hight",J886&gt;2000,"Medium",TRUE,"Low")</f>
        <v>Low</v>
      </c>
      <c r="M886" t="str" cm="1">
        <f t="array" ref="M886">_xlfn.IFS(I886&lt;12,"Low-Term",I886&gt;=36,"Long-Term",TRUE,"Medium-Term")</f>
        <v>Low-Term</v>
      </c>
      <c r="N886" t="str" cm="1">
        <f t="array" ref="N886">_xlfn.IFS(A886="Bad", "Review Required", AND(A886="Good",J886&gt;7000),"VIP Client", AND(A886="Good", J886&lt;=7000),"Standart Client")</f>
        <v>Standart Client</v>
      </c>
    </row>
    <row r="887" spans="1:14" x14ac:dyDescent="0.3">
      <c r="A887" t="s">
        <v>34</v>
      </c>
      <c r="B887" t="s">
        <v>80</v>
      </c>
      <c r="C887" t="s">
        <v>87</v>
      </c>
      <c r="D887" t="s">
        <v>99</v>
      </c>
      <c r="E887" t="s">
        <v>122</v>
      </c>
      <c r="F887" t="s">
        <v>123</v>
      </c>
      <c r="G887" t="s">
        <v>114</v>
      </c>
      <c r="H887" t="s">
        <v>120</v>
      </c>
      <c r="I887">
        <v>24</v>
      </c>
      <c r="J887" s="11">
        <v>2957</v>
      </c>
      <c r="K887">
        <v>63</v>
      </c>
      <c r="L887" t="str" cm="1">
        <f t="array" ref="L887">_xlfn.IFS(J887&gt;5000,"Hight",J887&gt;2000,"Medium",TRUE,"Low")</f>
        <v>Medium</v>
      </c>
      <c r="M887" t="str" cm="1">
        <f t="array" ref="M887">_xlfn.IFS(I887&lt;12,"Low-Term",I887&gt;=36,"Long-Term",TRUE,"Medium-Term")</f>
        <v>Medium-Term</v>
      </c>
      <c r="N887" t="str" cm="1">
        <f t="array" ref="N887">_xlfn.IFS(A887="Bad", "Review Required", AND(A887="Good",J887&gt;7000),"VIP Client", AND(A887="Good", J887&lt;=7000),"Standart Client")</f>
        <v>Standart Client</v>
      </c>
    </row>
    <row r="888" spans="1:14" x14ac:dyDescent="0.3">
      <c r="A888" t="s">
        <v>34</v>
      </c>
      <c r="B888" t="s">
        <v>78</v>
      </c>
      <c r="C888" t="s">
        <v>89</v>
      </c>
      <c r="D888" t="s">
        <v>99</v>
      </c>
      <c r="E888" t="s">
        <v>122</v>
      </c>
      <c r="F888" t="s">
        <v>127</v>
      </c>
      <c r="G888" t="s">
        <v>114</v>
      </c>
      <c r="H888" t="s">
        <v>120</v>
      </c>
      <c r="I888">
        <v>24</v>
      </c>
      <c r="J888" s="11">
        <v>2611</v>
      </c>
      <c r="K888">
        <v>46</v>
      </c>
      <c r="L888" t="str" cm="1">
        <f t="array" ref="L888">_xlfn.IFS(J888&gt;5000,"Hight",J888&gt;2000,"Medium",TRUE,"Low")</f>
        <v>Medium</v>
      </c>
      <c r="M888" t="str" cm="1">
        <f t="array" ref="M888">_xlfn.IFS(I888&lt;12,"Low-Term",I888&gt;=36,"Long-Term",TRUE,"Medium-Term")</f>
        <v>Medium-Term</v>
      </c>
      <c r="N888" t="str" cm="1">
        <f t="array" ref="N888">_xlfn.IFS(A888="Bad", "Review Required", AND(A888="Good",J888&gt;7000),"VIP Client", AND(A888="Good", J888&lt;=7000),"Standart Client")</f>
        <v>Standart Client</v>
      </c>
    </row>
    <row r="889" spans="1:14" x14ac:dyDescent="0.3">
      <c r="A889" t="s">
        <v>34</v>
      </c>
      <c r="B889" t="s">
        <v>78</v>
      </c>
      <c r="C889" t="s">
        <v>87</v>
      </c>
      <c r="D889" t="s">
        <v>99</v>
      </c>
      <c r="E889" t="s">
        <v>122</v>
      </c>
      <c r="F889" t="s">
        <v>123</v>
      </c>
      <c r="G889" t="s">
        <v>113</v>
      </c>
      <c r="H889" t="s">
        <v>120</v>
      </c>
      <c r="I889">
        <v>21</v>
      </c>
      <c r="J889" s="11">
        <v>2993</v>
      </c>
      <c r="K889">
        <v>28</v>
      </c>
      <c r="L889" t="str" cm="1">
        <f t="array" ref="L889">_xlfn.IFS(J889&gt;5000,"Hight",J889&gt;2000,"Medium",TRUE,"Low")</f>
        <v>Medium</v>
      </c>
      <c r="M889" t="str" cm="1">
        <f t="array" ref="M889">_xlfn.IFS(I889&lt;12,"Low-Term",I889&gt;=36,"Long-Term",TRUE,"Medium-Term")</f>
        <v>Medium-Term</v>
      </c>
      <c r="N889" t="str" cm="1">
        <f t="array" ref="N889">_xlfn.IFS(A889="Bad", "Review Required", AND(A889="Good",J889&gt;7000),"VIP Client", AND(A889="Good", J889&lt;=7000),"Standart Client")</f>
        <v>Standart Client</v>
      </c>
    </row>
    <row r="890" spans="1:14" x14ac:dyDescent="0.3">
      <c r="A890" t="s">
        <v>34</v>
      </c>
      <c r="B890" t="s">
        <v>78</v>
      </c>
      <c r="C890" t="s">
        <v>94</v>
      </c>
      <c r="D890" t="s">
        <v>99</v>
      </c>
      <c r="E890" t="s">
        <v>122</v>
      </c>
      <c r="F890" t="s">
        <v>123</v>
      </c>
      <c r="G890" t="s">
        <v>114</v>
      </c>
      <c r="H890" t="s">
        <v>120</v>
      </c>
      <c r="I890">
        <v>24</v>
      </c>
      <c r="J890" s="11">
        <v>1559</v>
      </c>
      <c r="K890">
        <v>50</v>
      </c>
      <c r="L890" t="str" cm="1">
        <f t="array" ref="L890">_xlfn.IFS(J890&gt;5000,"Hight",J890&gt;2000,"Medium",TRUE,"Low")</f>
        <v>Low</v>
      </c>
      <c r="M890" t="str" cm="1">
        <f t="array" ref="M890">_xlfn.IFS(I890&lt;12,"Low-Term",I890&gt;=36,"Long-Term",TRUE,"Medium-Term")</f>
        <v>Medium-Term</v>
      </c>
      <c r="N890" t="str" cm="1">
        <f t="array" ref="N890">_xlfn.IFS(A890="Bad", "Review Required", AND(A890="Good",J890&gt;7000),"VIP Client", AND(A890="Good", J890&lt;=7000),"Standart Client")</f>
        <v>Standart Client</v>
      </c>
    </row>
    <row r="891" spans="1:14" x14ac:dyDescent="0.3">
      <c r="A891" t="s">
        <v>34</v>
      </c>
      <c r="B891" t="s">
        <v>78</v>
      </c>
      <c r="C891" t="s">
        <v>88</v>
      </c>
      <c r="D891" t="s">
        <v>99</v>
      </c>
      <c r="E891" t="s">
        <v>122</v>
      </c>
      <c r="F891" t="s">
        <v>123</v>
      </c>
      <c r="G891" t="s">
        <v>114</v>
      </c>
      <c r="H891" t="s">
        <v>120</v>
      </c>
      <c r="I891">
        <v>18</v>
      </c>
      <c r="J891" s="11">
        <v>3422</v>
      </c>
      <c r="K891">
        <v>47</v>
      </c>
      <c r="L891" t="str" cm="1">
        <f t="array" ref="L891">_xlfn.IFS(J891&gt;5000,"Hight",J891&gt;2000,"Medium",TRUE,"Low")</f>
        <v>Medium</v>
      </c>
      <c r="M891" t="str" cm="1">
        <f t="array" ref="M891">_xlfn.IFS(I891&lt;12,"Low-Term",I891&gt;=36,"Long-Term",TRUE,"Medium-Term")</f>
        <v>Medium-Term</v>
      </c>
      <c r="N891" t="str" cm="1">
        <f t="array" ref="N891">_xlfn.IFS(A891="Bad", "Review Required", AND(A891="Good",J891&gt;7000),"VIP Client", AND(A891="Good", J891&lt;=7000),"Standart Client")</f>
        <v>Standart Client</v>
      </c>
    </row>
    <row r="892" spans="1:14" x14ac:dyDescent="0.3">
      <c r="A892" t="s">
        <v>34</v>
      </c>
      <c r="B892" t="s">
        <v>77</v>
      </c>
      <c r="C892" t="s">
        <v>88</v>
      </c>
      <c r="D892" t="s">
        <v>78</v>
      </c>
      <c r="E892" t="s">
        <v>122</v>
      </c>
      <c r="F892" t="s">
        <v>123</v>
      </c>
      <c r="G892" t="s">
        <v>114</v>
      </c>
      <c r="H892" t="s">
        <v>120</v>
      </c>
      <c r="I892">
        <v>21</v>
      </c>
      <c r="J892" s="11">
        <v>3976</v>
      </c>
      <c r="K892">
        <v>35</v>
      </c>
      <c r="L892" t="str" cm="1">
        <f t="array" ref="L892">_xlfn.IFS(J892&gt;5000,"Hight",J892&gt;2000,"Medium",TRUE,"Low")</f>
        <v>Medium</v>
      </c>
      <c r="M892" t="str" cm="1">
        <f t="array" ref="M892">_xlfn.IFS(I892&lt;12,"Low-Term",I892&gt;=36,"Long-Term",TRUE,"Medium-Term")</f>
        <v>Medium-Term</v>
      </c>
      <c r="N892" t="str" cm="1">
        <f t="array" ref="N892">_xlfn.IFS(A892="Bad", "Review Required", AND(A892="Good",J892&gt;7000),"VIP Client", AND(A892="Good", J892&lt;=7000),"Standart Client")</f>
        <v>Standart Client</v>
      </c>
    </row>
    <row r="893" spans="1:14" x14ac:dyDescent="0.3">
      <c r="A893" t="s">
        <v>34</v>
      </c>
      <c r="B893" t="s">
        <v>78</v>
      </c>
      <c r="C893" t="s">
        <v>86</v>
      </c>
      <c r="D893" t="s">
        <v>99</v>
      </c>
      <c r="E893" t="s">
        <v>122</v>
      </c>
      <c r="F893" t="s">
        <v>127</v>
      </c>
      <c r="G893" t="s">
        <v>114</v>
      </c>
      <c r="H893" t="s">
        <v>120</v>
      </c>
      <c r="I893">
        <v>24</v>
      </c>
      <c r="J893" s="11">
        <v>1249</v>
      </c>
      <c r="K893">
        <v>28</v>
      </c>
      <c r="L893" t="str" cm="1">
        <f t="array" ref="L893">_xlfn.IFS(J893&gt;5000,"Hight",J893&gt;2000,"Medium",TRUE,"Low")</f>
        <v>Low</v>
      </c>
      <c r="M893" t="str" cm="1">
        <f t="array" ref="M893">_xlfn.IFS(I893&lt;12,"Low-Term",I893&gt;=36,"Long-Term",TRUE,"Medium-Term")</f>
        <v>Medium-Term</v>
      </c>
      <c r="N893" t="str" cm="1">
        <f t="array" ref="N893">_xlfn.IFS(A893="Bad", "Review Required", AND(A893="Good",J893&gt;7000),"VIP Client", AND(A893="Good", J893&lt;=7000),"Standart Client")</f>
        <v>Standart Client</v>
      </c>
    </row>
    <row r="894" spans="1:14" x14ac:dyDescent="0.3">
      <c r="A894" t="s">
        <v>34</v>
      </c>
      <c r="B894" t="s">
        <v>80</v>
      </c>
      <c r="C894" t="s">
        <v>89</v>
      </c>
      <c r="D894" t="s">
        <v>99</v>
      </c>
      <c r="E894" t="s">
        <v>122</v>
      </c>
      <c r="F894" t="s">
        <v>123</v>
      </c>
      <c r="G894" t="s">
        <v>114</v>
      </c>
      <c r="H894" t="s">
        <v>120</v>
      </c>
      <c r="I894">
        <v>9</v>
      </c>
      <c r="J894" s="11">
        <v>1364</v>
      </c>
      <c r="K894">
        <v>59</v>
      </c>
      <c r="L894" t="str" cm="1">
        <f t="array" ref="L894">_xlfn.IFS(J894&gt;5000,"Hight",J894&gt;2000,"Medium",TRUE,"Low")</f>
        <v>Low</v>
      </c>
      <c r="M894" t="str" cm="1">
        <f t="array" ref="M894">_xlfn.IFS(I894&lt;12,"Low-Term",I894&gt;=36,"Long-Term",TRUE,"Medium-Term")</f>
        <v>Low-Term</v>
      </c>
      <c r="N894" t="str" cm="1">
        <f t="array" ref="N894">_xlfn.IFS(A894="Bad", "Review Required", AND(A894="Good",J894&gt;7000),"VIP Client", AND(A894="Good", J894&lt;=7000),"Standart Client")</f>
        <v>Standart Client</v>
      </c>
    </row>
    <row r="895" spans="1:14" x14ac:dyDescent="0.3">
      <c r="A895" t="s">
        <v>34</v>
      </c>
      <c r="B895" t="s">
        <v>78</v>
      </c>
      <c r="C895" t="s">
        <v>87</v>
      </c>
      <c r="D895" t="s">
        <v>78</v>
      </c>
      <c r="E895" t="s">
        <v>122</v>
      </c>
      <c r="F895" t="s">
        <v>123</v>
      </c>
      <c r="G895" t="s">
        <v>114</v>
      </c>
      <c r="H895" t="s">
        <v>120</v>
      </c>
      <c r="I895">
        <v>24</v>
      </c>
      <c r="J895" s="11">
        <v>4042</v>
      </c>
      <c r="K895">
        <v>43</v>
      </c>
      <c r="L895" t="str" cm="1">
        <f t="array" ref="L895">_xlfn.IFS(J895&gt;5000,"Hight",J895&gt;2000,"Medium",TRUE,"Low")</f>
        <v>Medium</v>
      </c>
      <c r="M895" t="str" cm="1">
        <f t="array" ref="M895">_xlfn.IFS(I895&lt;12,"Low-Term",I895&gt;=36,"Long-Term",TRUE,"Medium-Term")</f>
        <v>Medium-Term</v>
      </c>
      <c r="N895" t="str" cm="1">
        <f t="array" ref="N895">_xlfn.IFS(A895="Bad", "Review Required", AND(A895="Good",J895&gt;7000),"VIP Client", AND(A895="Good", J895&lt;=7000),"Standart Client")</f>
        <v>Standart Client</v>
      </c>
    </row>
    <row r="896" spans="1:14" x14ac:dyDescent="0.3">
      <c r="A896" t="s">
        <v>34</v>
      </c>
      <c r="B896" t="s">
        <v>78</v>
      </c>
      <c r="C896" t="s">
        <v>89</v>
      </c>
      <c r="D896" t="s">
        <v>99</v>
      </c>
      <c r="E896" t="s">
        <v>122</v>
      </c>
      <c r="F896" t="s">
        <v>123</v>
      </c>
      <c r="G896" t="s">
        <v>114</v>
      </c>
      <c r="H896" t="s">
        <v>121</v>
      </c>
      <c r="I896">
        <v>15</v>
      </c>
      <c r="J896" s="11">
        <v>1471</v>
      </c>
      <c r="K896">
        <v>35</v>
      </c>
      <c r="L896" t="str" cm="1">
        <f t="array" ref="L896">_xlfn.IFS(J896&gt;5000,"Hight",J896&gt;2000,"Medium",TRUE,"Low")</f>
        <v>Low</v>
      </c>
      <c r="M896" t="str" cm="1">
        <f t="array" ref="M896">_xlfn.IFS(I896&lt;12,"Low-Term",I896&gt;=36,"Long-Term",TRUE,"Medium-Term")</f>
        <v>Medium-Term</v>
      </c>
      <c r="N896" t="str" cm="1">
        <f t="array" ref="N896">_xlfn.IFS(A896="Bad", "Review Required", AND(A896="Good",J896&gt;7000),"VIP Client", AND(A896="Good", J896&lt;=7000),"Standart Client")</f>
        <v>Standart Client</v>
      </c>
    </row>
    <row r="897" spans="1:14" x14ac:dyDescent="0.3">
      <c r="A897" t="s">
        <v>34</v>
      </c>
      <c r="B897" t="s">
        <v>78</v>
      </c>
      <c r="C897" t="s">
        <v>86</v>
      </c>
      <c r="D897" t="s">
        <v>99</v>
      </c>
      <c r="E897" t="s">
        <v>122</v>
      </c>
      <c r="F897" t="s">
        <v>123</v>
      </c>
      <c r="G897" t="s">
        <v>114</v>
      </c>
      <c r="H897" t="s">
        <v>120</v>
      </c>
      <c r="I897">
        <v>36</v>
      </c>
      <c r="J897" s="11">
        <v>10875</v>
      </c>
      <c r="K897">
        <v>45</v>
      </c>
      <c r="L897" t="str" cm="1">
        <f t="array" ref="L897">_xlfn.IFS(J897&gt;5000,"Hight",J897&gt;2000,"Medium",TRUE,"Low")</f>
        <v>Hight</v>
      </c>
      <c r="M897" t="str" cm="1">
        <f t="array" ref="M897">_xlfn.IFS(I897&lt;12,"Low-Term",I897&gt;=36,"Long-Term",TRUE,"Medium-Term")</f>
        <v>Long-Term</v>
      </c>
      <c r="N897" t="str" cm="1">
        <f t="array" ref="N897">_xlfn.IFS(A897="Bad", "Review Required", AND(A897="Good",J897&gt;7000),"VIP Client", AND(A897="Good", J897&lt;=7000),"Standart Client")</f>
        <v>VIP Client</v>
      </c>
    </row>
    <row r="898" spans="1:14" x14ac:dyDescent="0.3">
      <c r="A898" t="s">
        <v>34</v>
      </c>
      <c r="B898" t="s">
        <v>78</v>
      </c>
      <c r="C898" t="s">
        <v>86</v>
      </c>
      <c r="D898" t="s">
        <v>100</v>
      </c>
      <c r="E898" t="s">
        <v>122</v>
      </c>
      <c r="F898" t="s">
        <v>127</v>
      </c>
      <c r="G898" t="s">
        <v>114</v>
      </c>
      <c r="H898" t="s">
        <v>120</v>
      </c>
      <c r="I898">
        <v>24</v>
      </c>
      <c r="J898" s="11">
        <v>1474</v>
      </c>
      <c r="K898">
        <v>33</v>
      </c>
      <c r="L898" t="str" cm="1">
        <f t="array" ref="L898">_xlfn.IFS(J898&gt;5000,"Hight",J898&gt;2000,"Medium",TRUE,"Low")</f>
        <v>Low</v>
      </c>
      <c r="M898" t="str" cm="1">
        <f t="array" ref="M898">_xlfn.IFS(I898&lt;12,"Low-Term",I898&gt;=36,"Long-Term",TRUE,"Medium-Term")</f>
        <v>Medium-Term</v>
      </c>
      <c r="N898" t="str" cm="1">
        <f t="array" ref="N898">_xlfn.IFS(A898="Bad", "Review Required", AND(A898="Good",J898&gt;7000),"VIP Client", AND(A898="Good", J898&lt;=7000),"Standart Client")</f>
        <v>Standart Client</v>
      </c>
    </row>
    <row r="899" spans="1:14" x14ac:dyDescent="0.3">
      <c r="A899" t="s">
        <v>34</v>
      </c>
      <c r="B899" t="s">
        <v>78</v>
      </c>
      <c r="C899" t="s">
        <v>93</v>
      </c>
      <c r="D899" t="s">
        <v>78</v>
      </c>
      <c r="E899" t="s">
        <v>124</v>
      </c>
      <c r="F899" t="s">
        <v>125</v>
      </c>
      <c r="G899" t="s">
        <v>114</v>
      </c>
      <c r="H899" t="s">
        <v>120</v>
      </c>
      <c r="I899">
        <v>10</v>
      </c>
      <c r="J899" s="11">
        <v>894</v>
      </c>
      <c r="K899">
        <v>40</v>
      </c>
      <c r="L899" t="str" cm="1">
        <f t="array" ref="L899">_xlfn.IFS(J899&gt;5000,"Hight",J899&gt;2000,"Medium",TRUE,"Low")</f>
        <v>Low</v>
      </c>
      <c r="M899" t="str" cm="1">
        <f t="array" ref="M899">_xlfn.IFS(I899&lt;12,"Low-Term",I899&gt;=36,"Long-Term",TRUE,"Medium-Term")</f>
        <v>Low-Term</v>
      </c>
      <c r="N899" t="str" cm="1">
        <f t="array" ref="N899">_xlfn.IFS(A899="Bad", "Review Required", AND(A899="Good",J899&gt;7000),"VIP Client", AND(A899="Good", J899&lt;=7000),"Standart Client")</f>
        <v>Standart Client</v>
      </c>
    </row>
    <row r="900" spans="1:14" x14ac:dyDescent="0.3">
      <c r="A900" t="s">
        <v>34</v>
      </c>
      <c r="B900" t="s">
        <v>78</v>
      </c>
      <c r="C900" t="s">
        <v>88</v>
      </c>
      <c r="D900" t="s">
        <v>99</v>
      </c>
      <c r="E900" t="s">
        <v>122</v>
      </c>
      <c r="F900" t="s">
        <v>123</v>
      </c>
      <c r="G900" t="s">
        <v>114</v>
      </c>
      <c r="H900" t="s">
        <v>121</v>
      </c>
      <c r="I900">
        <v>15</v>
      </c>
      <c r="J900" s="11">
        <v>3343</v>
      </c>
      <c r="K900">
        <v>28</v>
      </c>
      <c r="L900" t="str" cm="1">
        <f t="array" ref="L900">_xlfn.IFS(J900&gt;5000,"Hight",J900&gt;2000,"Medium",TRUE,"Low")</f>
        <v>Medium</v>
      </c>
      <c r="M900" t="str" cm="1">
        <f t="array" ref="M900">_xlfn.IFS(I900&lt;12,"Low-Term",I900&gt;=36,"Long-Term",TRUE,"Medium-Term")</f>
        <v>Medium-Term</v>
      </c>
      <c r="N900" t="str" cm="1">
        <f t="array" ref="N900">_xlfn.IFS(A900="Bad", "Review Required", AND(A900="Good",J900&gt;7000),"VIP Client", AND(A900="Good", J900&lt;=7000),"Standart Client")</f>
        <v>Standart Client</v>
      </c>
    </row>
    <row r="901" spans="1:14" x14ac:dyDescent="0.3">
      <c r="A901" t="s">
        <v>34</v>
      </c>
      <c r="B901" t="s">
        <v>78</v>
      </c>
      <c r="C901" t="s">
        <v>86</v>
      </c>
      <c r="D901" t="s">
        <v>100</v>
      </c>
      <c r="E901" t="s">
        <v>122</v>
      </c>
      <c r="F901" t="s">
        <v>123</v>
      </c>
      <c r="G901" t="s">
        <v>114</v>
      </c>
      <c r="H901" t="s">
        <v>119</v>
      </c>
      <c r="I901">
        <v>9</v>
      </c>
      <c r="J901" s="11">
        <v>3577</v>
      </c>
      <c r="K901">
        <v>26</v>
      </c>
      <c r="L901" t="str" cm="1">
        <f t="array" ref="L901">_xlfn.IFS(J901&gt;5000,"Hight",J901&gt;2000,"Medium",TRUE,"Low")</f>
        <v>Medium</v>
      </c>
      <c r="M901" t="str" cm="1">
        <f t="array" ref="M901">_xlfn.IFS(I901&lt;12,"Low-Term",I901&gt;=36,"Long-Term",TRUE,"Medium-Term")</f>
        <v>Low-Term</v>
      </c>
      <c r="N901" t="str" cm="1">
        <f t="array" ref="N901">_xlfn.IFS(A901="Bad", "Review Required", AND(A901="Good",J901&gt;7000),"VIP Client", AND(A901="Good", J901&lt;=7000),"Standart Client")</f>
        <v>Standart Client</v>
      </c>
    </row>
    <row r="902" spans="1:14" x14ac:dyDescent="0.3">
      <c r="A902" t="s">
        <v>34</v>
      </c>
      <c r="B902" t="s">
        <v>78</v>
      </c>
      <c r="C902" t="s">
        <v>87</v>
      </c>
      <c r="D902" t="s">
        <v>102</v>
      </c>
      <c r="E902" t="s">
        <v>122</v>
      </c>
      <c r="F902" t="s">
        <v>123</v>
      </c>
      <c r="G902" t="s">
        <v>114</v>
      </c>
      <c r="H902" t="s">
        <v>120</v>
      </c>
      <c r="I902">
        <v>24</v>
      </c>
      <c r="J902" s="11">
        <v>5804</v>
      </c>
      <c r="K902">
        <v>27</v>
      </c>
      <c r="L902" t="str" cm="1">
        <f t="array" ref="L902">_xlfn.IFS(J902&gt;5000,"Hight",J902&gt;2000,"Medium",TRUE,"Low")</f>
        <v>Hight</v>
      </c>
      <c r="M902" t="str" cm="1">
        <f t="array" ref="M902">_xlfn.IFS(I902&lt;12,"Low-Term",I902&gt;=36,"Long-Term",TRUE,"Medium-Term")</f>
        <v>Medium-Term</v>
      </c>
      <c r="N902" t="str" cm="1">
        <f t="array" ref="N902">_xlfn.IFS(A902="Bad", "Review Required", AND(A902="Good",J902&gt;7000),"VIP Client", AND(A902="Good", J902&lt;=7000),"Standart Client")</f>
        <v>Standart Client</v>
      </c>
    </row>
    <row r="903" spans="1:14" x14ac:dyDescent="0.3">
      <c r="A903" t="s">
        <v>34</v>
      </c>
      <c r="B903" t="s">
        <v>78</v>
      </c>
      <c r="C903" t="s">
        <v>88</v>
      </c>
      <c r="D903" t="s">
        <v>102</v>
      </c>
      <c r="E903" t="s">
        <v>122</v>
      </c>
      <c r="F903" t="s">
        <v>123</v>
      </c>
      <c r="G903" t="s">
        <v>113</v>
      </c>
      <c r="H903" t="s">
        <v>120</v>
      </c>
      <c r="I903">
        <v>27</v>
      </c>
      <c r="J903" s="11">
        <v>4526</v>
      </c>
      <c r="K903">
        <v>32</v>
      </c>
      <c r="L903" t="str" cm="1">
        <f t="array" ref="L903">_xlfn.IFS(J903&gt;5000,"Hight",J903&gt;2000,"Medium",TRUE,"Low")</f>
        <v>Medium</v>
      </c>
      <c r="M903" t="str" cm="1">
        <f t="array" ref="M903">_xlfn.IFS(I903&lt;12,"Low-Term",I903&gt;=36,"Long-Term",TRUE,"Medium-Term")</f>
        <v>Medium-Term</v>
      </c>
      <c r="N903" t="str" cm="1">
        <f t="array" ref="N903">_xlfn.IFS(A903="Bad", "Review Required", AND(A903="Good",J903&gt;7000),"VIP Client", AND(A903="Good", J903&lt;=7000),"Standart Client")</f>
        <v>Standart Client</v>
      </c>
    </row>
    <row r="904" spans="1:14" x14ac:dyDescent="0.3">
      <c r="A904" t="s">
        <v>34</v>
      </c>
      <c r="B904" t="s">
        <v>78</v>
      </c>
      <c r="C904" t="s">
        <v>88</v>
      </c>
      <c r="D904" t="s">
        <v>101</v>
      </c>
      <c r="E904" t="s">
        <v>124</v>
      </c>
      <c r="F904" t="s">
        <v>125</v>
      </c>
      <c r="G904" t="s">
        <v>114</v>
      </c>
      <c r="H904" t="s">
        <v>119</v>
      </c>
      <c r="I904">
        <v>15</v>
      </c>
      <c r="J904" s="11">
        <v>2221</v>
      </c>
      <c r="K904">
        <v>20</v>
      </c>
      <c r="L904" t="str" cm="1">
        <f t="array" ref="L904">_xlfn.IFS(J904&gt;5000,"Hight",J904&gt;2000,"Medium",TRUE,"Low")</f>
        <v>Medium</v>
      </c>
      <c r="M904" t="str" cm="1">
        <f t="array" ref="M904">_xlfn.IFS(I904&lt;12,"Low-Term",I904&gt;=36,"Long-Term",TRUE,"Medium-Term")</f>
        <v>Medium-Term</v>
      </c>
      <c r="N904" t="str" cm="1">
        <f t="array" ref="N904">_xlfn.IFS(A904="Bad", "Review Required", AND(A904="Good",J904&gt;7000),"VIP Client", AND(A904="Good", J904&lt;=7000),"Standart Client")</f>
        <v>Standart Client</v>
      </c>
    </row>
    <row r="905" spans="1:14" x14ac:dyDescent="0.3">
      <c r="A905" t="s">
        <v>34</v>
      </c>
      <c r="B905" t="s">
        <v>80</v>
      </c>
      <c r="C905" t="s">
        <v>89</v>
      </c>
      <c r="D905" t="s">
        <v>99</v>
      </c>
      <c r="E905" t="s">
        <v>124</v>
      </c>
      <c r="F905" t="s">
        <v>125</v>
      </c>
      <c r="G905" t="s">
        <v>114</v>
      </c>
      <c r="H905" t="s">
        <v>120</v>
      </c>
      <c r="I905">
        <v>18</v>
      </c>
      <c r="J905" s="11">
        <v>2389</v>
      </c>
      <c r="K905">
        <v>27</v>
      </c>
      <c r="L905" t="str" cm="1">
        <f t="array" ref="L905">_xlfn.IFS(J905&gt;5000,"Hight",J905&gt;2000,"Medium",TRUE,"Low")</f>
        <v>Medium</v>
      </c>
      <c r="M905" t="str" cm="1">
        <f t="array" ref="M905">_xlfn.IFS(I905&lt;12,"Low-Term",I905&gt;=36,"Long-Term",TRUE,"Medium-Term")</f>
        <v>Medium-Term</v>
      </c>
      <c r="N905" t="str" cm="1">
        <f t="array" ref="N905">_xlfn.IFS(A905="Bad", "Review Required", AND(A905="Good",J905&gt;7000),"VIP Client", AND(A905="Good", J905&lt;=7000),"Standart Client")</f>
        <v>Standart Client</v>
      </c>
    </row>
    <row r="906" spans="1:14" x14ac:dyDescent="0.3">
      <c r="A906" t="s">
        <v>34</v>
      </c>
      <c r="B906" t="s">
        <v>78</v>
      </c>
      <c r="C906" t="s">
        <v>88</v>
      </c>
      <c r="D906" t="s">
        <v>99</v>
      </c>
      <c r="E906" t="s">
        <v>122</v>
      </c>
      <c r="F906" t="s">
        <v>123</v>
      </c>
      <c r="G906" t="s">
        <v>114</v>
      </c>
      <c r="H906" t="s">
        <v>120</v>
      </c>
      <c r="I906">
        <v>12</v>
      </c>
      <c r="J906" s="11">
        <v>3331</v>
      </c>
      <c r="K906">
        <v>42</v>
      </c>
      <c r="L906" t="str" cm="1">
        <f t="array" ref="L906">_xlfn.IFS(J906&gt;5000,"Hight",J906&gt;2000,"Medium",TRUE,"Low")</f>
        <v>Medium</v>
      </c>
      <c r="M906" t="str" cm="1">
        <f t="array" ref="M906">_xlfn.IFS(I906&lt;12,"Low-Term",I906&gt;=36,"Long-Term",TRUE,"Medium-Term")</f>
        <v>Medium-Term</v>
      </c>
      <c r="N906" t="str" cm="1">
        <f t="array" ref="N906">_xlfn.IFS(A906="Bad", "Review Required", AND(A906="Good",J906&gt;7000),"VIP Client", AND(A906="Good", J906&lt;=7000),"Standart Client")</f>
        <v>Standart Client</v>
      </c>
    </row>
    <row r="907" spans="1:14" x14ac:dyDescent="0.3">
      <c r="A907" t="s">
        <v>34</v>
      </c>
      <c r="B907" t="s">
        <v>78</v>
      </c>
      <c r="C907" t="s">
        <v>94</v>
      </c>
      <c r="D907" t="s">
        <v>78</v>
      </c>
      <c r="E907" t="s">
        <v>122</v>
      </c>
      <c r="F907" t="s">
        <v>123</v>
      </c>
      <c r="G907" t="s">
        <v>114</v>
      </c>
      <c r="H907" t="s">
        <v>120</v>
      </c>
      <c r="I907">
        <v>36</v>
      </c>
      <c r="J907" s="11">
        <v>7409</v>
      </c>
      <c r="K907">
        <v>37</v>
      </c>
      <c r="L907" t="str" cm="1">
        <f t="array" ref="L907">_xlfn.IFS(J907&gt;5000,"Hight",J907&gt;2000,"Medium",TRUE,"Low")</f>
        <v>Hight</v>
      </c>
      <c r="M907" t="str" cm="1">
        <f t="array" ref="M907">_xlfn.IFS(I907&lt;12,"Low-Term",I907&gt;=36,"Long-Term",TRUE,"Medium-Term")</f>
        <v>Long-Term</v>
      </c>
      <c r="N907" t="str" cm="1">
        <f t="array" ref="N907">_xlfn.IFS(A907="Bad", "Review Required", AND(A907="Good",J907&gt;7000),"VIP Client", AND(A907="Good", J907&lt;=7000),"Standart Client")</f>
        <v>VIP Client</v>
      </c>
    </row>
    <row r="908" spans="1:14" x14ac:dyDescent="0.3">
      <c r="A908" t="s">
        <v>34</v>
      </c>
      <c r="B908" t="s">
        <v>80</v>
      </c>
      <c r="C908" t="s">
        <v>88</v>
      </c>
      <c r="D908" t="s">
        <v>99</v>
      </c>
      <c r="E908" t="s">
        <v>124</v>
      </c>
      <c r="F908" t="s">
        <v>125</v>
      </c>
      <c r="G908" t="s">
        <v>114</v>
      </c>
      <c r="H908" t="s">
        <v>119</v>
      </c>
      <c r="I908">
        <v>12</v>
      </c>
      <c r="J908" s="11">
        <v>652</v>
      </c>
      <c r="K908">
        <v>24</v>
      </c>
      <c r="L908" t="str" cm="1">
        <f t="array" ref="L908">_xlfn.IFS(J908&gt;5000,"Hight",J908&gt;2000,"Medium",TRUE,"Low")</f>
        <v>Low</v>
      </c>
      <c r="M908" t="str" cm="1">
        <f t="array" ref="M908">_xlfn.IFS(I908&lt;12,"Low-Term",I908&gt;=36,"Long-Term",TRUE,"Medium-Term")</f>
        <v>Medium-Term</v>
      </c>
      <c r="N908" t="str" cm="1">
        <f t="array" ref="N908">_xlfn.IFS(A908="Bad", "Review Required", AND(A908="Good",J908&gt;7000),"VIP Client", AND(A908="Good", J908&lt;=7000),"Standart Client")</f>
        <v>Standart Client</v>
      </c>
    </row>
    <row r="909" spans="1:14" x14ac:dyDescent="0.3">
      <c r="A909" t="s">
        <v>34</v>
      </c>
      <c r="B909" t="s">
        <v>78</v>
      </c>
      <c r="C909" t="s">
        <v>88</v>
      </c>
      <c r="D909" t="s">
        <v>101</v>
      </c>
      <c r="E909" t="s">
        <v>124</v>
      </c>
      <c r="F909" t="s">
        <v>125</v>
      </c>
      <c r="G909" t="s">
        <v>114</v>
      </c>
      <c r="H909" t="s">
        <v>120</v>
      </c>
      <c r="I909">
        <v>36</v>
      </c>
      <c r="J909" s="11">
        <v>7678</v>
      </c>
      <c r="K909">
        <v>40</v>
      </c>
      <c r="L909" t="str" cm="1">
        <f t="array" ref="L909">_xlfn.IFS(J909&gt;5000,"Hight",J909&gt;2000,"Medium",TRUE,"Low")</f>
        <v>Hight</v>
      </c>
      <c r="M909" t="str" cm="1">
        <f t="array" ref="M909">_xlfn.IFS(I909&lt;12,"Low-Term",I909&gt;=36,"Long-Term",TRUE,"Medium-Term")</f>
        <v>Long-Term</v>
      </c>
      <c r="N909" t="str" cm="1">
        <f t="array" ref="N909">_xlfn.IFS(A909="Bad", "Review Required", AND(A909="Good",J909&gt;7000),"VIP Client", AND(A909="Good", J909&lt;=7000),"Standart Client")</f>
        <v>VIP Client</v>
      </c>
    </row>
    <row r="910" spans="1:14" x14ac:dyDescent="0.3">
      <c r="A910" t="s">
        <v>34</v>
      </c>
      <c r="B910" t="s">
        <v>81</v>
      </c>
      <c r="C910" t="s">
        <v>86</v>
      </c>
      <c r="D910" t="s">
        <v>99</v>
      </c>
      <c r="E910" t="s">
        <v>122</v>
      </c>
      <c r="F910" t="s">
        <v>123</v>
      </c>
      <c r="G910" t="s">
        <v>114</v>
      </c>
      <c r="H910" t="s">
        <v>120</v>
      </c>
      <c r="I910">
        <v>6</v>
      </c>
      <c r="J910" s="11">
        <v>1343</v>
      </c>
      <c r="K910">
        <v>46</v>
      </c>
      <c r="L910" t="str" cm="1">
        <f t="array" ref="L910">_xlfn.IFS(J910&gt;5000,"Hight",J910&gt;2000,"Medium",TRUE,"Low")</f>
        <v>Low</v>
      </c>
      <c r="M910" t="str" cm="1">
        <f t="array" ref="M910">_xlfn.IFS(I910&lt;12,"Low-Term",I910&gt;=36,"Long-Term",TRUE,"Medium-Term")</f>
        <v>Low-Term</v>
      </c>
      <c r="N910" t="str" cm="1">
        <f t="array" ref="N910">_xlfn.IFS(A910="Bad", "Review Required", AND(A910="Good",J910&gt;7000),"VIP Client", AND(A910="Good", J910&lt;=7000),"Standart Client")</f>
        <v>Standart Client</v>
      </c>
    </row>
    <row r="911" spans="1:14" x14ac:dyDescent="0.3">
      <c r="A911" t="s">
        <v>34</v>
      </c>
      <c r="B911" t="s">
        <v>80</v>
      </c>
      <c r="C911" t="s">
        <v>94</v>
      </c>
      <c r="D911" t="s">
        <v>100</v>
      </c>
      <c r="E911" t="s">
        <v>122</v>
      </c>
      <c r="F911" t="s">
        <v>123</v>
      </c>
      <c r="G911" t="s">
        <v>114</v>
      </c>
      <c r="H911" t="s">
        <v>120</v>
      </c>
      <c r="I911">
        <v>24</v>
      </c>
      <c r="J911" s="11">
        <v>1382</v>
      </c>
      <c r="K911">
        <v>26</v>
      </c>
      <c r="L911" t="str" cm="1">
        <f t="array" ref="L911">_xlfn.IFS(J911&gt;5000,"Hight",J911&gt;2000,"Medium",TRUE,"Low")</f>
        <v>Low</v>
      </c>
      <c r="M911" t="str" cm="1">
        <f t="array" ref="M911">_xlfn.IFS(I911&lt;12,"Low-Term",I911&gt;=36,"Long-Term",TRUE,"Medium-Term")</f>
        <v>Medium-Term</v>
      </c>
      <c r="N911" t="str" cm="1">
        <f t="array" ref="N911">_xlfn.IFS(A911="Bad", "Review Required", AND(A911="Good",J911&gt;7000),"VIP Client", AND(A911="Good", J911&lt;=7000),"Standart Client")</f>
        <v>Standart Client</v>
      </c>
    </row>
    <row r="912" spans="1:14" x14ac:dyDescent="0.3">
      <c r="A912" t="s">
        <v>34</v>
      </c>
      <c r="B912" t="s">
        <v>78</v>
      </c>
      <c r="C912" t="s">
        <v>90</v>
      </c>
      <c r="D912" t="s">
        <v>78</v>
      </c>
      <c r="E912" t="s">
        <v>124</v>
      </c>
      <c r="F912" t="s">
        <v>125</v>
      </c>
      <c r="G912" t="s">
        <v>114</v>
      </c>
      <c r="H912" t="s">
        <v>120</v>
      </c>
      <c r="I912">
        <v>15</v>
      </c>
      <c r="J912" s="11">
        <v>874</v>
      </c>
      <c r="K912">
        <v>24</v>
      </c>
      <c r="L912" t="str" cm="1">
        <f t="array" ref="L912">_xlfn.IFS(J912&gt;5000,"Hight",J912&gt;2000,"Medium",TRUE,"Low")</f>
        <v>Low</v>
      </c>
      <c r="M912" t="str" cm="1">
        <f t="array" ref="M912">_xlfn.IFS(I912&lt;12,"Low-Term",I912&gt;=36,"Long-Term",TRUE,"Medium-Term")</f>
        <v>Medium-Term</v>
      </c>
      <c r="N912" t="str" cm="1">
        <f t="array" ref="N912">_xlfn.IFS(A912="Bad", "Review Required", AND(A912="Good",J912&gt;7000),"VIP Client", AND(A912="Good", J912&lt;=7000),"Standart Client")</f>
        <v>Standart Client</v>
      </c>
    </row>
    <row r="913" spans="1:14" x14ac:dyDescent="0.3">
      <c r="A913" t="s">
        <v>34</v>
      </c>
      <c r="B913" t="s">
        <v>80</v>
      </c>
      <c r="C913" t="s">
        <v>88</v>
      </c>
      <c r="D913" t="s">
        <v>99</v>
      </c>
      <c r="E913" t="s">
        <v>122</v>
      </c>
      <c r="F913" t="s">
        <v>123</v>
      </c>
      <c r="G913" t="s">
        <v>113</v>
      </c>
      <c r="H913" t="s">
        <v>120</v>
      </c>
      <c r="I913">
        <v>12</v>
      </c>
      <c r="J913" s="11">
        <v>3590</v>
      </c>
      <c r="K913">
        <v>29</v>
      </c>
      <c r="L913" t="str" cm="1">
        <f t="array" ref="L913">_xlfn.IFS(J913&gt;5000,"Hight",J913&gt;2000,"Medium",TRUE,"Low")</f>
        <v>Medium</v>
      </c>
      <c r="M913" t="str" cm="1">
        <f t="array" ref="M913">_xlfn.IFS(I913&lt;12,"Low-Term",I913&gt;=36,"Long-Term",TRUE,"Medium-Term")</f>
        <v>Medium-Term</v>
      </c>
      <c r="N913" t="str" cm="1">
        <f t="array" ref="N913">_xlfn.IFS(A913="Bad", "Review Required", AND(A913="Good",J913&gt;7000),"VIP Client", AND(A913="Good", J913&lt;=7000),"Standart Client")</f>
        <v>Standart Client</v>
      </c>
    </row>
    <row r="914" spans="1:14" x14ac:dyDescent="0.3">
      <c r="A914" t="s">
        <v>34</v>
      </c>
      <c r="B914" t="s">
        <v>77</v>
      </c>
      <c r="C914" t="s">
        <v>86</v>
      </c>
      <c r="D914" t="s">
        <v>102</v>
      </c>
      <c r="E914" t="s">
        <v>124</v>
      </c>
      <c r="F914" t="s">
        <v>125</v>
      </c>
      <c r="G914" t="s">
        <v>114</v>
      </c>
      <c r="H914" t="s">
        <v>120</v>
      </c>
      <c r="I914">
        <v>11</v>
      </c>
      <c r="J914" s="11">
        <v>1322</v>
      </c>
      <c r="K914">
        <v>40</v>
      </c>
      <c r="L914" t="str" cm="1">
        <f t="array" ref="L914">_xlfn.IFS(J914&gt;5000,"Hight",J914&gt;2000,"Medium",TRUE,"Low")</f>
        <v>Low</v>
      </c>
      <c r="M914" t="str" cm="1">
        <f t="array" ref="M914">_xlfn.IFS(I914&lt;12,"Low-Term",I914&gt;=36,"Long-Term",TRUE,"Medium-Term")</f>
        <v>Low-Term</v>
      </c>
      <c r="N914" t="str" cm="1">
        <f t="array" ref="N914">_xlfn.IFS(A914="Bad", "Review Required", AND(A914="Good",J914&gt;7000),"VIP Client", AND(A914="Good", J914&lt;=7000),"Standart Client")</f>
        <v>Standart Client</v>
      </c>
    </row>
    <row r="915" spans="1:14" x14ac:dyDescent="0.3">
      <c r="A915" t="s">
        <v>34</v>
      </c>
      <c r="B915" t="s">
        <v>80</v>
      </c>
      <c r="C915" t="s">
        <v>89</v>
      </c>
      <c r="D915" t="s">
        <v>99</v>
      </c>
      <c r="E915" t="s">
        <v>122</v>
      </c>
      <c r="F915" t="s">
        <v>123</v>
      </c>
      <c r="G915" t="s">
        <v>115</v>
      </c>
      <c r="H915" t="s">
        <v>121</v>
      </c>
      <c r="I915">
        <v>18</v>
      </c>
      <c r="J915" s="11">
        <v>1940</v>
      </c>
      <c r="K915">
        <v>36</v>
      </c>
      <c r="L915" t="str" cm="1">
        <f t="array" ref="L915">_xlfn.IFS(J915&gt;5000,"Hight",J915&gt;2000,"Medium",TRUE,"Low")</f>
        <v>Low</v>
      </c>
      <c r="M915" t="str" cm="1">
        <f t="array" ref="M915">_xlfn.IFS(I915&lt;12,"Low-Term",I915&gt;=36,"Long-Term",TRUE,"Medium-Term")</f>
        <v>Medium-Term</v>
      </c>
      <c r="N915" t="str" cm="1">
        <f t="array" ref="N915">_xlfn.IFS(A915="Bad", "Review Required", AND(A915="Good",J915&gt;7000),"VIP Client", AND(A915="Good", J915&lt;=7000),"Standart Client")</f>
        <v>Standart Client</v>
      </c>
    </row>
    <row r="916" spans="1:14" x14ac:dyDescent="0.3">
      <c r="A916" t="s">
        <v>34</v>
      </c>
      <c r="B916" t="s">
        <v>78</v>
      </c>
      <c r="C916" t="s">
        <v>89</v>
      </c>
      <c r="D916" t="s">
        <v>99</v>
      </c>
      <c r="E916" t="s">
        <v>122</v>
      </c>
      <c r="F916" t="s">
        <v>123</v>
      </c>
      <c r="G916" t="s">
        <v>114</v>
      </c>
      <c r="H916" t="s">
        <v>120</v>
      </c>
      <c r="I916">
        <v>36</v>
      </c>
      <c r="J916" s="11">
        <v>3595</v>
      </c>
      <c r="K916">
        <v>28</v>
      </c>
      <c r="L916" t="str" cm="1">
        <f t="array" ref="L916">_xlfn.IFS(J916&gt;5000,"Hight",J916&gt;2000,"Medium",TRUE,"Low")</f>
        <v>Medium</v>
      </c>
      <c r="M916" t="str" cm="1">
        <f t="array" ref="M916">_xlfn.IFS(I916&lt;12,"Low-Term",I916&gt;=36,"Long-Term",TRUE,"Medium-Term")</f>
        <v>Long-Term</v>
      </c>
      <c r="N916" t="str" cm="1">
        <f t="array" ref="N916">_xlfn.IFS(A916="Bad", "Review Required", AND(A916="Good",J916&gt;7000),"VIP Client", AND(A916="Good", J916&lt;=7000),"Standart Client")</f>
        <v>Standart Client</v>
      </c>
    </row>
    <row r="917" spans="1:14" x14ac:dyDescent="0.3">
      <c r="A917" t="s">
        <v>34</v>
      </c>
      <c r="B917" t="s">
        <v>78</v>
      </c>
      <c r="C917" t="s">
        <v>89</v>
      </c>
      <c r="D917" t="s">
        <v>78</v>
      </c>
      <c r="E917" t="s">
        <v>122</v>
      </c>
      <c r="F917" t="s">
        <v>123</v>
      </c>
      <c r="G917" t="s">
        <v>114</v>
      </c>
      <c r="H917" t="s">
        <v>120</v>
      </c>
      <c r="I917">
        <v>30</v>
      </c>
      <c r="J917" s="11">
        <v>6742</v>
      </c>
      <c r="K917">
        <v>36</v>
      </c>
      <c r="L917" t="str" cm="1">
        <f t="array" ref="L917">_xlfn.IFS(J917&gt;5000,"Hight",J917&gt;2000,"Medium",TRUE,"Low")</f>
        <v>Hight</v>
      </c>
      <c r="M917" t="str" cm="1">
        <f t="array" ref="M917">_xlfn.IFS(I917&lt;12,"Low-Term",I917&gt;=36,"Long-Term",TRUE,"Medium-Term")</f>
        <v>Medium-Term</v>
      </c>
      <c r="N917" t="str" cm="1">
        <f t="array" ref="N917">_xlfn.IFS(A917="Bad", "Review Required", AND(A917="Good",J917&gt;7000),"VIP Client", AND(A917="Good", J917&lt;=7000),"Standart Client")</f>
        <v>Standart Client</v>
      </c>
    </row>
    <row r="918" spans="1:14" x14ac:dyDescent="0.3">
      <c r="A918" t="s">
        <v>34</v>
      </c>
      <c r="B918" t="s">
        <v>78</v>
      </c>
      <c r="C918" t="s">
        <v>87</v>
      </c>
      <c r="D918" t="s">
        <v>99</v>
      </c>
      <c r="E918" t="s">
        <v>122</v>
      </c>
      <c r="F918" t="s">
        <v>123</v>
      </c>
      <c r="G918" t="s">
        <v>115</v>
      </c>
      <c r="H918" t="s">
        <v>120</v>
      </c>
      <c r="I918">
        <v>24</v>
      </c>
      <c r="J918" s="11">
        <v>7814</v>
      </c>
      <c r="K918">
        <v>38</v>
      </c>
      <c r="L918" t="str" cm="1">
        <f t="array" ref="L918">_xlfn.IFS(J918&gt;5000,"Hight",J918&gt;2000,"Medium",TRUE,"Low")</f>
        <v>Hight</v>
      </c>
      <c r="M918" t="str" cm="1">
        <f t="array" ref="M918">_xlfn.IFS(I918&lt;12,"Low-Term",I918&gt;=36,"Long-Term",TRUE,"Medium-Term")</f>
        <v>Medium-Term</v>
      </c>
      <c r="N918" t="str" cm="1">
        <f t="array" ref="N918">_xlfn.IFS(A918="Bad", "Review Required", AND(A918="Good",J918&gt;7000),"VIP Client", AND(A918="Good", J918&lt;=7000),"Standart Client")</f>
        <v>VIP Client</v>
      </c>
    </row>
    <row r="919" spans="1:14" x14ac:dyDescent="0.3">
      <c r="A919" t="s">
        <v>34</v>
      </c>
      <c r="B919" t="s">
        <v>78</v>
      </c>
      <c r="C919" t="s">
        <v>87</v>
      </c>
      <c r="D919" t="s">
        <v>78</v>
      </c>
      <c r="E919" t="s">
        <v>122</v>
      </c>
      <c r="F919" t="s">
        <v>126</v>
      </c>
      <c r="G919" t="s">
        <v>114</v>
      </c>
      <c r="H919" t="s">
        <v>121</v>
      </c>
      <c r="I919">
        <v>24</v>
      </c>
      <c r="J919" s="11">
        <v>9277</v>
      </c>
      <c r="K919">
        <v>48</v>
      </c>
      <c r="L919" t="str" cm="1">
        <f t="array" ref="L919">_xlfn.IFS(J919&gt;5000,"Hight",J919&gt;2000,"Medium",TRUE,"Low")</f>
        <v>Hight</v>
      </c>
      <c r="M919" t="str" cm="1">
        <f t="array" ref="M919">_xlfn.IFS(I919&lt;12,"Low-Term",I919&gt;=36,"Long-Term",TRUE,"Medium-Term")</f>
        <v>Medium-Term</v>
      </c>
      <c r="N919" t="str" cm="1">
        <f t="array" ref="N919">_xlfn.IFS(A919="Bad", "Review Required", AND(A919="Good",J919&gt;7000),"VIP Client", AND(A919="Good", J919&lt;=7000),"Standart Client")</f>
        <v>VIP Client</v>
      </c>
    </row>
    <row r="920" spans="1:14" x14ac:dyDescent="0.3">
      <c r="A920" t="s">
        <v>34</v>
      </c>
      <c r="B920" t="s">
        <v>77</v>
      </c>
      <c r="C920" t="s">
        <v>86</v>
      </c>
      <c r="D920" t="s">
        <v>78</v>
      </c>
      <c r="E920" t="s">
        <v>122</v>
      </c>
      <c r="F920" t="s">
        <v>123</v>
      </c>
      <c r="G920" t="s">
        <v>114</v>
      </c>
      <c r="H920" t="s">
        <v>120</v>
      </c>
      <c r="I920">
        <v>30</v>
      </c>
      <c r="J920" s="11">
        <v>2181</v>
      </c>
      <c r="K920">
        <v>36</v>
      </c>
      <c r="L920" t="str" cm="1">
        <f t="array" ref="L920">_xlfn.IFS(J920&gt;5000,"Hight",J920&gt;2000,"Medium",TRUE,"Low")</f>
        <v>Medium</v>
      </c>
      <c r="M920" t="str" cm="1">
        <f t="array" ref="M920">_xlfn.IFS(I920&lt;12,"Low-Term",I920&gt;=36,"Long-Term",TRUE,"Medium-Term")</f>
        <v>Medium-Term</v>
      </c>
      <c r="N920" t="str" cm="1">
        <f t="array" ref="N920">_xlfn.IFS(A920="Bad", "Review Required", AND(A920="Good",J920&gt;7000),"VIP Client", AND(A920="Good", J920&lt;=7000),"Standart Client")</f>
        <v>Standart Client</v>
      </c>
    </row>
    <row r="921" spans="1:14" x14ac:dyDescent="0.3">
      <c r="A921" t="s">
        <v>34</v>
      </c>
      <c r="B921" t="s">
        <v>78</v>
      </c>
      <c r="C921" t="s">
        <v>89</v>
      </c>
      <c r="D921" t="s">
        <v>99</v>
      </c>
      <c r="E921" t="s">
        <v>124</v>
      </c>
      <c r="F921" t="s">
        <v>125</v>
      </c>
      <c r="G921" t="s">
        <v>112</v>
      </c>
      <c r="H921" t="s">
        <v>120</v>
      </c>
      <c r="I921">
        <v>18</v>
      </c>
      <c r="J921" s="11">
        <v>1098</v>
      </c>
      <c r="K921">
        <v>65</v>
      </c>
      <c r="L921" t="str" cm="1">
        <f t="array" ref="L921">_xlfn.IFS(J921&gt;5000,"Hight",J921&gt;2000,"Medium",TRUE,"Low")</f>
        <v>Low</v>
      </c>
      <c r="M921" t="str" cm="1">
        <f t="array" ref="M921">_xlfn.IFS(I921&lt;12,"Low-Term",I921&gt;=36,"Long-Term",TRUE,"Medium-Term")</f>
        <v>Medium-Term</v>
      </c>
      <c r="N921" t="str" cm="1">
        <f t="array" ref="N921">_xlfn.IFS(A921="Bad", "Review Required", AND(A921="Good",J921&gt;7000),"VIP Client", AND(A921="Good", J921&lt;=7000),"Standart Client")</f>
        <v>Standart Client</v>
      </c>
    </row>
    <row r="922" spans="1:14" x14ac:dyDescent="0.3">
      <c r="A922" t="s">
        <v>34</v>
      </c>
      <c r="B922" t="s">
        <v>77</v>
      </c>
      <c r="C922" t="s">
        <v>94</v>
      </c>
      <c r="D922" t="s">
        <v>78</v>
      </c>
      <c r="E922" t="s">
        <v>122</v>
      </c>
      <c r="F922" t="s">
        <v>123</v>
      </c>
      <c r="G922" t="s">
        <v>114</v>
      </c>
      <c r="H922" t="s">
        <v>120</v>
      </c>
      <c r="I922">
        <v>24</v>
      </c>
      <c r="J922" s="11">
        <v>2825</v>
      </c>
      <c r="K922">
        <v>34</v>
      </c>
      <c r="L922" t="str" cm="1">
        <f t="array" ref="L922">_xlfn.IFS(J922&gt;5000,"Hight",J922&gt;2000,"Medium",TRUE,"Low")</f>
        <v>Medium</v>
      </c>
      <c r="M922" t="str" cm="1">
        <f t="array" ref="M922">_xlfn.IFS(I922&lt;12,"Low-Term",I922&gt;=36,"Long-Term",TRUE,"Medium-Term")</f>
        <v>Medium-Term</v>
      </c>
      <c r="N922" t="str" cm="1">
        <f t="array" ref="N922">_xlfn.IFS(A922="Bad", "Review Required", AND(A922="Good",J922&gt;7000),"VIP Client", AND(A922="Good", J922&lt;=7000),"Standart Client")</f>
        <v>Standart Client</v>
      </c>
    </row>
    <row r="923" spans="1:14" x14ac:dyDescent="0.3">
      <c r="A923" t="s">
        <v>34</v>
      </c>
      <c r="B923" t="s">
        <v>78</v>
      </c>
      <c r="C923" t="s">
        <v>86</v>
      </c>
      <c r="D923" t="s">
        <v>99</v>
      </c>
      <c r="E923" t="s">
        <v>122</v>
      </c>
      <c r="F923" t="s">
        <v>123</v>
      </c>
      <c r="G923" t="s">
        <v>115</v>
      </c>
      <c r="H923" t="s">
        <v>120</v>
      </c>
      <c r="I923">
        <v>36</v>
      </c>
      <c r="J923" s="11">
        <v>6614</v>
      </c>
      <c r="K923">
        <v>34</v>
      </c>
      <c r="L923" t="str" cm="1">
        <f t="array" ref="L923">_xlfn.IFS(J923&gt;5000,"Hight",J923&gt;2000,"Medium",TRUE,"Low")</f>
        <v>Hight</v>
      </c>
      <c r="M923" t="str" cm="1">
        <f t="array" ref="M923">_xlfn.IFS(I923&lt;12,"Low-Term",I923&gt;=36,"Long-Term",TRUE,"Medium-Term")</f>
        <v>Long-Term</v>
      </c>
      <c r="N923" t="str" cm="1">
        <f t="array" ref="N923">_xlfn.IFS(A923="Bad", "Review Required", AND(A923="Good",J923&gt;7000),"VIP Client", AND(A923="Good", J923&lt;=7000),"Standart Client")</f>
        <v>Standart Client</v>
      </c>
    </row>
    <row r="924" spans="1:14" x14ac:dyDescent="0.3">
      <c r="A924" t="s">
        <v>34</v>
      </c>
      <c r="B924" t="s">
        <v>78</v>
      </c>
      <c r="C924" t="s">
        <v>87</v>
      </c>
      <c r="D924" t="s">
        <v>78</v>
      </c>
      <c r="E924" t="s">
        <v>122</v>
      </c>
      <c r="F924" t="s">
        <v>123</v>
      </c>
      <c r="G924" t="s">
        <v>114</v>
      </c>
      <c r="H924" t="s">
        <v>119</v>
      </c>
      <c r="I924">
        <v>28</v>
      </c>
      <c r="J924" s="11">
        <v>7824</v>
      </c>
      <c r="K924">
        <v>40</v>
      </c>
      <c r="L924" t="str" cm="1">
        <f t="array" ref="L924">_xlfn.IFS(J924&gt;5000,"Hight",J924&gt;2000,"Medium",TRUE,"Low")</f>
        <v>Hight</v>
      </c>
      <c r="M924" t="str" cm="1">
        <f t="array" ref="M924">_xlfn.IFS(I924&lt;12,"Low-Term",I924&gt;=36,"Long-Term",TRUE,"Medium-Term")</f>
        <v>Medium-Term</v>
      </c>
      <c r="N924" t="str" cm="1">
        <f t="array" ref="N924">_xlfn.IFS(A924="Bad", "Review Required", AND(A924="Good",J924&gt;7000),"VIP Client", AND(A924="Good", J924&lt;=7000),"Standart Client")</f>
        <v>VIP Client</v>
      </c>
    </row>
    <row r="925" spans="1:14" x14ac:dyDescent="0.3">
      <c r="A925" t="s">
        <v>34</v>
      </c>
      <c r="B925" t="s">
        <v>80</v>
      </c>
      <c r="C925" t="s">
        <v>94</v>
      </c>
      <c r="D925" t="s">
        <v>99</v>
      </c>
      <c r="E925" t="s">
        <v>122</v>
      </c>
      <c r="F925" t="s">
        <v>123</v>
      </c>
      <c r="G925" t="s">
        <v>115</v>
      </c>
      <c r="H925" t="s">
        <v>120</v>
      </c>
      <c r="I925">
        <v>27</v>
      </c>
      <c r="J925" s="11">
        <v>2442</v>
      </c>
      <c r="K925">
        <v>43</v>
      </c>
      <c r="L925" t="str" cm="1">
        <f t="array" ref="L925">_xlfn.IFS(J925&gt;5000,"Hight",J925&gt;2000,"Medium",TRUE,"Low")</f>
        <v>Medium</v>
      </c>
      <c r="M925" t="str" cm="1">
        <f t="array" ref="M925">_xlfn.IFS(I925&lt;12,"Low-Term",I925&gt;=36,"Long-Term",TRUE,"Medium-Term")</f>
        <v>Medium-Term</v>
      </c>
      <c r="N925" t="str" cm="1">
        <f t="array" ref="N925">_xlfn.IFS(A925="Bad", "Review Required", AND(A925="Good",J925&gt;7000),"VIP Client", AND(A925="Good", J925&lt;=7000),"Standart Client")</f>
        <v>Standart Client</v>
      </c>
    </row>
    <row r="926" spans="1:14" x14ac:dyDescent="0.3">
      <c r="A926" t="s">
        <v>34</v>
      </c>
      <c r="B926" t="s">
        <v>78</v>
      </c>
      <c r="C926" t="s">
        <v>89</v>
      </c>
      <c r="D926" t="s">
        <v>99</v>
      </c>
      <c r="E926" t="s">
        <v>122</v>
      </c>
      <c r="F926" t="s">
        <v>123</v>
      </c>
      <c r="G926" t="s">
        <v>114</v>
      </c>
      <c r="H926" t="s">
        <v>120</v>
      </c>
      <c r="I926">
        <v>15</v>
      </c>
      <c r="J926" s="11">
        <v>1829</v>
      </c>
      <c r="K926">
        <v>46</v>
      </c>
      <c r="L926" t="str" cm="1">
        <f t="array" ref="L926">_xlfn.IFS(J926&gt;5000,"Hight",J926&gt;2000,"Medium",TRUE,"Low")</f>
        <v>Low</v>
      </c>
      <c r="M926" t="str" cm="1">
        <f t="array" ref="M926">_xlfn.IFS(I926&lt;12,"Low-Term",I926&gt;=36,"Long-Term",TRUE,"Medium-Term")</f>
        <v>Medium-Term</v>
      </c>
      <c r="N926" t="str" cm="1">
        <f t="array" ref="N926">_xlfn.IFS(A926="Bad", "Review Required", AND(A926="Good",J926&gt;7000),"VIP Client", AND(A926="Good", J926&lt;=7000),"Standart Client")</f>
        <v>Standart Client</v>
      </c>
    </row>
    <row r="927" spans="1:14" x14ac:dyDescent="0.3">
      <c r="A927" t="s">
        <v>34</v>
      </c>
      <c r="B927" t="s">
        <v>80</v>
      </c>
      <c r="C927" t="s">
        <v>86</v>
      </c>
      <c r="D927" t="s">
        <v>99</v>
      </c>
      <c r="E927" t="s">
        <v>122</v>
      </c>
      <c r="F927" t="s">
        <v>123</v>
      </c>
      <c r="G927" t="s">
        <v>113</v>
      </c>
      <c r="H927" t="s">
        <v>120</v>
      </c>
      <c r="I927">
        <v>12</v>
      </c>
      <c r="J927" s="11">
        <v>2171</v>
      </c>
      <c r="K927">
        <v>38</v>
      </c>
      <c r="L927" t="str" cm="1">
        <f t="array" ref="L927">_xlfn.IFS(J927&gt;5000,"Hight",J927&gt;2000,"Medium",TRUE,"Low")</f>
        <v>Medium</v>
      </c>
      <c r="M927" t="str" cm="1">
        <f t="array" ref="M927">_xlfn.IFS(I927&lt;12,"Low-Term",I927&gt;=36,"Long-Term",TRUE,"Medium-Term")</f>
        <v>Medium-Term</v>
      </c>
      <c r="N927" t="str" cm="1">
        <f t="array" ref="N927">_xlfn.IFS(A927="Bad", "Review Required", AND(A927="Good",J927&gt;7000),"VIP Client", AND(A927="Good", J927&lt;=7000),"Standart Client")</f>
        <v>Standart Client</v>
      </c>
    </row>
    <row r="928" spans="1:14" x14ac:dyDescent="0.3">
      <c r="A928" t="s">
        <v>34</v>
      </c>
      <c r="B928" t="s">
        <v>77</v>
      </c>
      <c r="C928" t="s">
        <v>87</v>
      </c>
      <c r="D928" t="s">
        <v>99</v>
      </c>
      <c r="E928" t="s">
        <v>122</v>
      </c>
      <c r="F928" t="s">
        <v>123</v>
      </c>
      <c r="G928" t="s">
        <v>114</v>
      </c>
      <c r="H928" t="s">
        <v>120</v>
      </c>
      <c r="I928">
        <v>36</v>
      </c>
      <c r="J928" s="11">
        <v>5800</v>
      </c>
      <c r="K928">
        <v>34</v>
      </c>
      <c r="L928" t="str" cm="1">
        <f t="array" ref="L928">_xlfn.IFS(J928&gt;5000,"Hight",J928&gt;2000,"Medium",TRUE,"Low")</f>
        <v>Hight</v>
      </c>
      <c r="M928" t="str" cm="1">
        <f t="array" ref="M928">_xlfn.IFS(I928&lt;12,"Low-Term",I928&gt;=36,"Long-Term",TRUE,"Medium-Term")</f>
        <v>Long-Term</v>
      </c>
      <c r="N928" t="str" cm="1">
        <f t="array" ref="N928">_xlfn.IFS(A928="Bad", "Review Required", AND(A928="Good",J928&gt;7000),"VIP Client", AND(A928="Good", J928&lt;=7000),"Standart Client")</f>
        <v>Standart Client</v>
      </c>
    </row>
    <row r="929" spans="1:14" x14ac:dyDescent="0.3">
      <c r="A929" t="s">
        <v>34</v>
      </c>
      <c r="B929" t="s">
        <v>78</v>
      </c>
      <c r="C929" t="s">
        <v>89</v>
      </c>
      <c r="D929" t="s">
        <v>78</v>
      </c>
      <c r="E929" t="s">
        <v>122</v>
      </c>
      <c r="F929" t="s">
        <v>123</v>
      </c>
      <c r="G929" t="s">
        <v>114</v>
      </c>
      <c r="H929" t="s">
        <v>120</v>
      </c>
      <c r="I929">
        <v>18</v>
      </c>
      <c r="J929" s="11">
        <v>1169</v>
      </c>
      <c r="K929">
        <v>29</v>
      </c>
      <c r="L929" t="str" cm="1">
        <f t="array" ref="L929">_xlfn.IFS(J929&gt;5000,"Hight",J929&gt;2000,"Medium",TRUE,"Low")</f>
        <v>Low</v>
      </c>
      <c r="M929" t="str" cm="1">
        <f t="array" ref="M929">_xlfn.IFS(I929&lt;12,"Low-Term",I929&gt;=36,"Long-Term",TRUE,"Medium-Term")</f>
        <v>Medium-Term</v>
      </c>
      <c r="N929" t="str" cm="1">
        <f t="array" ref="N929">_xlfn.IFS(A929="Bad", "Review Required", AND(A929="Good",J929&gt;7000),"VIP Client", AND(A929="Good", J929&lt;=7000),"Standart Client")</f>
        <v>Standart Client</v>
      </c>
    </row>
    <row r="930" spans="1:14" x14ac:dyDescent="0.3">
      <c r="A930" t="s">
        <v>34</v>
      </c>
      <c r="B930" t="s">
        <v>78</v>
      </c>
      <c r="C930" t="s">
        <v>87</v>
      </c>
      <c r="D930" t="s">
        <v>78</v>
      </c>
      <c r="E930" t="s">
        <v>122</v>
      </c>
      <c r="F930" t="s">
        <v>123</v>
      </c>
      <c r="G930" t="s">
        <v>115</v>
      </c>
      <c r="H930" t="s">
        <v>120</v>
      </c>
      <c r="I930">
        <v>36</v>
      </c>
      <c r="J930" s="11">
        <v>8947</v>
      </c>
      <c r="K930">
        <v>31</v>
      </c>
      <c r="L930" t="str" cm="1">
        <f t="array" ref="L930">_xlfn.IFS(J930&gt;5000,"Hight",J930&gt;2000,"Medium",TRUE,"Low")</f>
        <v>Hight</v>
      </c>
      <c r="M930" t="str" cm="1">
        <f t="array" ref="M930">_xlfn.IFS(I930&lt;12,"Low-Term",I930&gt;=36,"Long-Term",TRUE,"Medium-Term")</f>
        <v>Long-Term</v>
      </c>
      <c r="N930" t="str" cm="1">
        <f t="array" ref="N930">_xlfn.IFS(A930="Bad", "Review Required", AND(A930="Good",J930&gt;7000),"VIP Client", AND(A930="Good", J930&lt;=7000),"Standart Client")</f>
        <v>VIP Client</v>
      </c>
    </row>
    <row r="931" spans="1:14" x14ac:dyDescent="0.3">
      <c r="A931" t="s">
        <v>34</v>
      </c>
      <c r="B931" t="s">
        <v>80</v>
      </c>
      <c r="C931" t="s">
        <v>89</v>
      </c>
      <c r="D931" t="s">
        <v>99</v>
      </c>
      <c r="E931" t="s">
        <v>124</v>
      </c>
      <c r="F931" t="s">
        <v>125</v>
      </c>
      <c r="G931" t="s">
        <v>115</v>
      </c>
      <c r="H931" t="s">
        <v>119</v>
      </c>
      <c r="I931">
        <v>21</v>
      </c>
      <c r="J931" s="11">
        <v>2606</v>
      </c>
      <c r="K931">
        <v>28</v>
      </c>
      <c r="L931" t="str" cm="1">
        <f t="array" ref="L931">_xlfn.IFS(J931&gt;5000,"Hight",J931&gt;2000,"Medium",TRUE,"Low")</f>
        <v>Medium</v>
      </c>
      <c r="M931" t="str" cm="1">
        <f t="array" ref="M931">_xlfn.IFS(I931&lt;12,"Low-Term",I931&gt;=36,"Long-Term",TRUE,"Medium-Term")</f>
        <v>Medium-Term</v>
      </c>
      <c r="N931" t="str" cm="1">
        <f t="array" ref="N931">_xlfn.IFS(A931="Bad", "Review Required", AND(A931="Good",J931&gt;7000),"VIP Client", AND(A931="Good", J931&lt;=7000),"Standart Client")</f>
        <v>Standart Client</v>
      </c>
    </row>
    <row r="932" spans="1:14" x14ac:dyDescent="0.3">
      <c r="A932" t="s">
        <v>34</v>
      </c>
      <c r="B932" t="s">
        <v>78</v>
      </c>
      <c r="C932" t="s">
        <v>88</v>
      </c>
      <c r="D932" t="s">
        <v>102</v>
      </c>
      <c r="E932" t="s">
        <v>124</v>
      </c>
      <c r="F932" t="s">
        <v>125</v>
      </c>
      <c r="G932" t="s">
        <v>114</v>
      </c>
      <c r="H932" t="s">
        <v>120</v>
      </c>
      <c r="I932">
        <v>12</v>
      </c>
      <c r="J932" s="11">
        <v>1592</v>
      </c>
      <c r="K932">
        <v>35</v>
      </c>
      <c r="L932" t="str" cm="1">
        <f t="array" ref="L932">_xlfn.IFS(J932&gt;5000,"Hight",J932&gt;2000,"Medium",TRUE,"Low")</f>
        <v>Low</v>
      </c>
      <c r="M932" t="str" cm="1">
        <f t="array" ref="M932">_xlfn.IFS(I932&lt;12,"Low-Term",I932&gt;=36,"Long-Term",TRUE,"Medium-Term")</f>
        <v>Medium-Term</v>
      </c>
      <c r="N932" t="str" cm="1">
        <f t="array" ref="N932">_xlfn.IFS(A932="Bad", "Review Required", AND(A932="Good",J932&gt;7000),"VIP Client", AND(A932="Good", J932&lt;=7000),"Standart Client")</f>
        <v>Standart Client</v>
      </c>
    </row>
    <row r="933" spans="1:14" x14ac:dyDescent="0.3">
      <c r="A933" t="s">
        <v>34</v>
      </c>
      <c r="B933" t="s">
        <v>78</v>
      </c>
      <c r="C933" t="s">
        <v>88</v>
      </c>
      <c r="D933" t="s">
        <v>78</v>
      </c>
      <c r="E933" t="s">
        <v>124</v>
      </c>
      <c r="F933" t="s">
        <v>125</v>
      </c>
      <c r="G933" t="s">
        <v>113</v>
      </c>
      <c r="H933" t="s">
        <v>119</v>
      </c>
      <c r="I933">
        <v>15</v>
      </c>
      <c r="J933" s="11">
        <v>2186</v>
      </c>
      <c r="K933">
        <v>33</v>
      </c>
      <c r="L933" t="str" cm="1">
        <f t="array" ref="L933">_xlfn.IFS(J933&gt;5000,"Hight",J933&gt;2000,"Medium",TRUE,"Low")</f>
        <v>Medium</v>
      </c>
      <c r="M933" t="str" cm="1">
        <f t="array" ref="M933">_xlfn.IFS(I933&lt;12,"Low-Term",I933&gt;=36,"Long-Term",TRUE,"Medium-Term")</f>
        <v>Medium-Term</v>
      </c>
      <c r="N933" t="str" cm="1">
        <f t="array" ref="N933">_xlfn.IFS(A933="Bad", "Review Required", AND(A933="Good",J933&gt;7000),"VIP Client", AND(A933="Good", J933&lt;=7000),"Standart Client")</f>
        <v>Standart Client</v>
      </c>
    </row>
    <row r="934" spans="1:14" x14ac:dyDescent="0.3">
      <c r="A934" t="s">
        <v>34</v>
      </c>
      <c r="B934" t="s">
        <v>78</v>
      </c>
      <c r="C934" t="s">
        <v>86</v>
      </c>
      <c r="D934" t="s">
        <v>78</v>
      </c>
      <c r="E934" t="s">
        <v>122</v>
      </c>
      <c r="F934" t="s">
        <v>126</v>
      </c>
      <c r="G934" t="s">
        <v>114</v>
      </c>
      <c r="H934" t="s">
        <v>120</v>
      </c>
      <c r="I934">
        <v>20</v>
      </c>
      <c r="J934" s="11">
        <v>3485</v>
      </c>
      <c r="K934">
        <v>44</v>
      </c>
      <c r="L934" t="str" cm="1">
        <f t="array" ref="L934">_xlfn.IFS(J934&gt;5000,"Hight",J934&gt;2000,"Medium",TRUE,"Low")</f>
        <v>Medium</v>
      </c>
      <c r="M934" t="str" cm="1">
        <f t="array" ref="M934">_xlfn.IFS(I934&lt;12,"Low-Term",I934&gt;=36,"Long-Term",TRUE,"Medium-Term")</f>
        <v>Medium-Term</v>
      </c>
      <c r="N934" t="str" cm="1">
        <f t="array" ref="N934">_xlfn.IFS(A934="Bad", "Review Required", AND(A934="Good",J934&gt;7000),"VIP Client", AND(A934="Good", J934&lt;=7000),"Standart Client")</f>
        <v>Standart Client</v>
      </c>
    </row>
    <row r="935" spans="1:14" x14ac:dyDescent="0.3">
      <c r="A935" t="s">
        <v>34</v>
      </c>
      <c r="B935" t="s">
        <v>78</v>
      </c>
      <c r="C935" t="s">
        <v>87</v>
      </c>
      <c r="D935" t="s">
        <v>78</v>
      </c>
      <c r="E935" t="s">
        <v>122</v>
      </c>
      <c r="F935" t="s">
        <v>123</v>
      </c>
      <c r="G935" t="s">
        <v>114</v>
      </c>
      <c r="H935" t="s">
        <v>121</v>
      </c>
      <c r="I935">
        <v>36</v>
      </c>
      <c r="J935" s="11">
        <v>10477</v>
      </c>
      <c r="K935">
        <v>42</v>
      </c>
      <c r="L935" t="str" cm="1">
        <f t="array" ref="L935">_xlfn.IFS(J935&gt;5000,"Hight",J935&gt;2000,"Medium",TRUE,"Low")</f>
        <v>Hight</v>
      </c>
      <c r="M935" t="str" cm="1">
        <f t="array" ref="M935">_xlfn.IFS(I935&lt;12,"Low-Term",I935&gt;=36,"Long-Term",TRUE,"Medium-Term")</f>
        <v>Long-Term</v>
      </c>
      <c r="N935" t="str" cm="1">
        <f t="array" ref="N935">_xlfn.IFS(A935="Bad", "Review Required", AND(A935="Good",J935&gt;7000),"VIP Client", AND(A935="Good", J935&lt;=7000),"Standart Client")</f>
        <v>VIP Client</v>
      </c>
    </row>
    <row r="936" spans="1:14" x14ac:dyDescent="0.3">
      <c r="A936" t="s">
        <v>34</v>
      </c>
      <c r="B936" t="s">
        <v>78</v>
      </c>
      <c r="C936" t="s">
        <v>89</v>
      </c>
      <c r="D936" t="s">
        <v>78</v>
      </c>
      <c r="E936" t="s">
        <v>122</v>
      </c>
      <c r="F936" t="s">
        <v>127</v>
      </c>
      <c r="G936" t="s">
        <v>114</v>
      </c>
      <c r="H936" t="s">
        <v>119</v>
      </c>
      <c r="I936">
        <v>15</v>
      </c>
      <c r="J936" s="11">
        <v>1386</v>
      </c>
      <c r="K936">
        <v>40</v>
      </c>
      <c r="L936" t="str" cm="1">
        <f t="array" ref="L936">_xlfn.IFS(J936&gt;5000,"Hight",J936&gt;2000,"Medium",TRUE,"Low")</f>
        <v>Low</v>
      </c>
      <c r="M936" t="str" cm="1">
        <f t="array" ref="M936">_xlfn.IFS(I936&lt;12,"Low-Term",I936&gt;=36,"Long-Term",TRUE,"Medium-Term")</f>
        <v>Medium-Term</v>
      </c>
      <c r="N936" t="str" cm="1">
        <f t="array" ref="N936">_xlfn.IFS(A936="Bad", "Review Required", AND(A936="Good",J936&gt;7000),"VIP Client", AND(A936="Good", J936&lt;=7000),"Standart Client")</f>
        <v>Standart Client</v>
      </c>
    </row>
    <row r="937" spans="1:14" x14ac:dyDescent="0.3">
      <c r="A937" t="s">
        <v>34</v>
      </c>
      <c r="B937" t="s">
        <v>78</v>
      </c>
      <c r="C937" t="s">
        <v>89</v>
      </c>
      <c r="D937" t="s">
        <v>99</v>
      </c>
      <c r="E937" t="s">
        <v>122</v>
      </c>
      <c r="F937" t="s">
        <v>123</v>
      </c>
      <c r="G937" t="s">
        <v>115</v>
      </c>
      <c r="H937" t="s">
        <v>120</v>
      </c>
      <c r="I937">
        <v>24</v>
      </c>
      <c r="J937" s="11">
        <v>1278</v>
      </c>
      <c r="K937">
        <v>36</v>
      </c>
      <c r="L937" t="str" cm="1">
        <f t="array" ref="L937">_xlfn.IFS(J937&gt;5000,"Hight",J937&gt;2000,"Medium",TRUE,"Low")</f>
        <v>Low</v>
      </c>
      <c r="M937" t="str" cm="1">
        <f t="array" ref="M937">_xlfn.IFS(I937&lt;12,"Low-Term",I937&gt;=36,"Long-Term",TRUE,"Medium-Term")</f>
        <v>Medium-Term</v>
      </c>
      <c r="N937" t="str" cm="1">
        <f t="array" ref="N937">_xlfn.IFS(A937="Bad", "Review Required", AND(A937="Good",J937&gt;7000),"VIP Client", AND(A937="Good", J937&lt;=7000),"Standart Client")</f>
        <v>Standart Client</v>
      </c>
    </row>
    <row r="938" spans="1:14" x14ac:dyDescent="0.3">
      <c r="A938" t="s">
        <v>34</v>
      </c>
      <c r="B938" t="s">
        <v>80</v>
      </c>
      <c r="C938" t="s">
        <v>89</v>
      </c>
      <c r="D938" t="s">
        <v>99</v>
      </c>
      <c r="E938" t="s">
        <v>122</v>
      </c>
      <c r="F938" t="s">
        <v>123</v>
      </c>
      <c r="G938" t="s">
        <v>115</v>
      </c>
      <c r="H938" t="s">
        <v>119</v>
      </c>
      <c r="I938">
        <v>12</v>
      </c>
      <c r="J938" s="11">
        <v>1107</v>
      </c>
      <c r="K938">
        <v>20</v>
      </c>
      <c r="L938" t="str" cm="1">
        <f t="array" ref="L938">_xlfn.IFS(J938&gt;5000,"Hight",J938&gt;2000,"Medium",TRUE,"Low")</f>
        <v>Low</v>
      </c>
      <c r="M938" t="str" cm="1">
        <f t="array" ref="M938">_xlfn.IFS(I938&lt;12,"Low-Term",I938&gt;=36,"Long-Term",TRUE,"Medium-Term")</f>
        <v>Medium-Term</v>
      </c>
      <c r="N938" t="str" cm="1">
        <f t="array" ref="N938">_xlfn.IFS(A938="Bad", "Review Required", AND(A938="Good",J938&gt;7000),"VIP Client", AND(A938="Good", J938&lt;=7000),"Standart Client")</f>
        <v>Standart Client</v>
      </c>
    </row>
    <row r="939" spans="1:14" x14ac:dyDescent="0.3">
      <c r="A939" t="s">
        <v>34</v>
      </c>
      <c r="B939" t="s">
        <v>80</v>
      </c>
      <c r="C939" t="s">
        <v>86</v>
      </c>
      <c r="D939" t="s">
        <v>78</v>
      </c>
      <c r="E939" t="s">
        <v>122</v>
      </c>
      <c r="F939" t="s">
        <v>123</v>
      </c>
      <c r="G939" t="s">
        <v>113</v>
      </c>
      <c r="H939" t="s">
        <v>120</v>
      </c>
      <c r="I939">
        <v>21</v>
      </c>
      <c r="J939" s="11">
        <v>3763</v>
      </c>
      <c r="K939">
        <v>24</v>
      </c>
      <c r="L939" t="str" cm="1">
        <f t="array" ref="L939">_xlfn.IFS(J939&gt;5000,"Hight",J939&gt;2000,"Medium",TRUE,"Low")</f>
        <v>Medium</v>
      </c>
      <c r="M939" t="str" cm="1">
        <f t="array" ref="M939">_xlfn.IFS(I939&lt;12,"Low-Term",I939&gt;=36,"Long-Term",TRUE,"Medium-Term")</f>
        <v>Medium-Term</v>
      </c>
      <c r="N939" t="str" cm="1">
        <f t="array" ref="N939">_xlfn.IFS(A939="Bad", "Review Required", AND(A939="Good",J939&gt;7000),"VIP Client", AND(A939="Good", J939&lt;=7000),"Standart Client")</f>
        <v>Standart Client</v>
      </c>
    </row>
    <row r="940" spans="1:14" x14ac:dyDescent="0.3">
      <c r="A940" t="s">
        <v>34</v>
      </c>
      <c r="B940" t="s">
        <v>77</v>
      </c>
      <c r="C940" t="s">
        <v>92</v>
      </c>
      <c r="D940" t="s">
        <v>78</v>
      </c>
      <c r="E940" t="s">
        <v>122</v>
      </c>
      <c r="F940" t="s">
        <v>127</v>
      </c>
      <c r="G940" t="s">
        <v>114</v>
      </c>
      <c r="H940" t="s">
        <v>120</v>
      </c>
      <c r="I940">
        <v>36</v>
      </c>
      <c r="J940" s="11">
        <v>3711</v>
      </c>
      <c r="K940">
        <v>27</v>
      </c>
      <c r="L940" t="str" cm="1">
        <f t="array" ref="L940">_xlfn.IFS(J940&gt;5000,"Hight",J940&gt;2000,"Medium",TRUE,"Low")</f>
        <v>Medium</v>
      </c>
      <c r="M940" t="str" cm="1">
        <f t="array" ref="M940">_xlfn.IFS(I940&lt;12,"Low-Term",I940&gt;=36,"Long-Term",TRUE,"Medium-Term")</f>
        <v>Long-Term</v>
      </c>
      <c r="N940" t="str" cm="1">
        <f t="array" ref="N940">_xlfn.IFS(A940="Bad", "Review Required", AND(A940="Good",J940&gt;7000),"VIP Client", AND(A940="Good", J940&lt;=7000),"Standart Client")</f>
        <v>Standart Client</v>
      </c>
    </row>
    <row r="941" spans="1:14" x14ac:dyDescent="0.3">
      <c r="A941" t="s">
        <v>34</v>
      </c>
      <c r="B941" t="s">
        <v>78</v>
      </c>
      <c r="C941" t="s">
        <v>87</v>
      </c>
      <c r="D941" t="s">
        <v>99</v>
      </c>
      <c r="E941" t="s">
        <v>124</v>
      </c>
      <c r="F941" t="s">
        <v>125</v>
      </c>
      <c r="G941" t="s">
        <v>113</v>
      </c>
      <c r="H941" t="s">
        <v>120</v>
      </c>
      <c r="I941">
        <v>15</v>
      </c>
      <c r="J941" s="11">
        <v>3594</v>
      </c>
      <c r="K941">
        <v>46</v>
      </c>
      <c r="L941" t="str" cm="1">
        <f t="array" ref="L941">_xlfn.IFS(J941&gt;5000,"Hight",J941&gt;2000,"Medium",TRUE,"Low")</f>
        <v>Medium</v>
      </c>
      <c r="M941" t="str" cm="1">
        <f t="array" ref="M941">_xlfn.IFS(I941&lt;12,"Low-Term",I941&gt;=36,"Long-Term",TRUE,"Medium-Term")</f>
        <v>Medium-Term</v>
      </c>
      <c r="N941" t="str" cm="1">
        <f t="array" ref="N941">_xlfn.IFS(A941="Bad", "Review Required", AND(A941="Good",J941&gt;7000),"VIP Client", AND(A941="Good", J941&lt;=7000),"Standart Client")</f>
        <v>Standart Client</v>
      </c>
    </row>
    <row r="942" spans="1:14" x14ac:dyDescent="0.3">
      <c r="A942" t="s">
        <v>34</v>
      </c>
      <c r="B942" t="s">
        <v>77</v>
      </c>
      <c r="C942" t="s">
        <v>86</v>
      </c>
      <c r="D942" t="s">
        <v>78</v>
      </c>
      <c r="E942" t="s">
        <v>124</v>
      </c>
      <c r="F942" t="s">
        <v>125</v>
      </c>
      <c r="G942" t="s">
        <v>113</v>
      </c>
      <c r="H942" t="s">
        <v>120</v>
      </c>
      <c r="I942">
        <v>9</v>
      </c>
      <c r="J942" s="11">
        <v>3195</v>
      </c>
      <c r="K942">
        <v>33</v>
      </c>
      <c r="L942" t="str" cm="1">
        <f t="array" ref="L942">_xlfn.IFS(J942&gt;5000,"Hight",J942&gt;2000,"Medium",TRUE,"Low")</f>
        <v>Medium</v>
      </c>
      <c r="M942" t="str" cm="1">
        <f t="array" ref="M942">_xlfn.IFS(I942&lt;12,"Low-Term",I942&gt;=36,"Long-Term",TRUE,"Medium-Term")</f>
        <v>Low-Term</v>
      </c>
      <c r="N942" t="str" cm="1">
        <f t="array" ref="N942">_xlfn.IFS(A942="Bad", "Review Required", AND(A942="Good",J942&gt;7000),"VIP Client", AND(A942="Good", J942&lt;=7000),"Standart Client")</f>
        <v>Standart Client</v>
      </c>
    </row>
    <row r="943" spans="1:14" x14ac:dyDescent="0.3">
      <c r="A943" t="s">
        <v>34</v>
      </c>
      <c r="B943" t="s">
        <v>78</v>
      </c>
      <c r="C943" t="s">
        <v>89</v>
      </c>
      <c r="D943" t="s">
        <v>99</v>
      </c>
      <c r="E943" t="s">
        <v>124</v>
      </c>
      <c r="F943" t="s">
        <v>125</v>
      </c>
      <c r="G943" t="s">
        <v>114</v>
      </c>
      <c r="H943" t="s">
        <v>120</v>
      </c>
      <c r="I943">
        <v>36</v>
      </c>
      <c r="J943" s="11">
        <v>4454</v>
      </c>
      <c r="K943">
        <v>34</v>
      </c>
      <c r="L943" t="str" cm="1">
        <f t="array" ref="L943">_xlfn.IFS(J943&gt;5000,"Hight",J943&gt;2000,"Medium",TRUE,"Low")</f>
        <v>Medium</v>
      </c>
      <c r="M943" t="str" cm="1">
        <f t="array" ref="M943">_xlfn.IFS(I943&lt;12,"Low-Term",I943&gt;=36,"Long-Term",TRUE,"Medium-Term")</f>
        <v>Long-Term</v>
      </c>
      <c r="N943" t="str" cm="1">
        <f t="array" ref="N943">_xlfn.IFS(A943="Bad", "Review Required", AND(A943="Good",J943&gt;7000),"VIP Client", AND(A943="Good", J943&lt;=7000),"Standart Client")</f>
        <v>Standart Client</v>
      </c>
    </row>
    <row r="944" spans="1:14" x14ac:dyDescent="0.3">
      <c r="A944" t="s">
        <v>34</v>
      </c>
      <c r="B944" t="s">
        <v>77</v>
      </c>
      <c r="C944" t="s">
        <v>89</v>
      </c>
      <c r="D944" t="s">
        <v>78</v>
      </c>
      <c r="E944" t="s">
        <v>124</v>
      </c>
      <c r="F944" t="s">
        <v>125</v>
      </c>
      <c r="G944" t="s">
        <v>114</v>
      </c>
      <c r="H944" t="s">
        <v>120</v>
      </c>
      <c r="I944">
        <v>30</v>
      </c>
      <c r="J944" s="11">
        <v>2991</v>
      </c>
      <c r="K944">
        <v>25</v>
      </c>
      <c r="L944" t="str" cm="1">
        <f t="array" ref="L944">_xlfn.IFS(J944&gt;5000,"Hight",J944&gt;2000,"Medium",TRUE,"Low")</f>
        <v>Medium</v>
      </c>
      <c r="M944" t="str" cm="1">
        <f t="array" ref="M944">_xlfn.IFS(I944&lt;12,"Low-Term",I944&gt;=36,"Long-Term",TRUE,"Medium-Term")</f>
        <v>Medium-Term</v>
      </c>
      <c r="N944" t="str" cm="1">
        <f t="array" ref="N944">_xlfn.IFS(A944="Bad", "Review Required", AND(A944="Good",J944&gt;7000),"VIP Client", AND(A944="Good", J944&lt;=7000),"Standart Client")</f>
        <v>Standart Client</v>
      </c>
    </row>
    <row r="945" spans="1:14" x14ac:dyDescent="0.3">
      <c r="A945" t="s">
        <v>34</v>
      </c>
      <c r="B945" t="s">
        <v>78</v>
      </c>
      <c r="C945" t="s">
        <v>94</v>
      </c>
      <c r="D945" t="s">
        <v>102</v>
      </c>
      <c r="E945" t="s">
        <v>122</v>
      </c>
      <c r="F945" t="s">
        <v>126</v>
      </c>
      <c r="G945" t="s">
        <v>114</v>
      </c>
      <c r="H945" t="s">
        <v>120</v>
      </c>
      <c r="I945">
        <v>11</v>
      </c>
      <c r="J945" s="11">
        <v>2142</v>
      </c>
      <c r="K945">
        <v>28</v>
      </c>
      <c r="L945" t="str" cm="1">
        <f t="array" ref="L945">_xlfn.IFS(J945&gt;5000,"Hight",J945&gt;2000,"Medium",TRUE,"Low")</f>
        <v>Medium</v>
      </c>
      <c r="M945" t="str" cm="1">
        <f t="array" ref="M945">_xlfn.IFS(I945&lt;12,"Low-Term",I945&gt;=36,"Long-Term",TRUE,"Medium-Term")</f>
        <v>Low-Term</v>
      </c>
      <c r="N945" t="str" cm="1">
        <f t="array" ref="N945">_xlfn.IFS(A945="Bad", "Review Required", AND(A945="Good",J945&gt;7000),"VIP Client", AND(A945="Good", J945&lt;=7000),"Standart Client")</f>
        <v>Standart Client</v>
      </c>
    </row>
    <row r="946" spans="1:14" x14ac:dyDescent="0.3">
      <c r="A946" t="s">
        <v>34</v>
      </c>
      <c r="B946" t="s">
        <v>78</v>
      </c>
      <c r="C946" t="s">
        <v>87</v>
      </c>
      <c r="D946" t="s">
        <v>100</v>
      </c>
      <c r="E946" t="s">
        <v>122</v>
      </c>
      <c r="F946" t="s">
        <v>123</v>
      </c>
      <c r="G946" t="s">
        <v>114</v>
      </c>
      <c r="H946" t="s">
        <v>120</v>
      </c>
      <c r="I946">
        <v>10</v>
      </c>
      <c r="J946" s="11">
        <v>2848</v>
      </c>
      <c r="K946">
        <v>32</v>
      </c>
      <c r="L946" t="str" cm="1">
        <f t="array" ref="L946">_xlfn.IFS(J946&gt;5000,"Hight",J946&gt;2000,"Medium",TRUE,"Low")</f>
        <v>Medium</v>
      </c>
      <c r="M946" t="str" cm="1">
        <f t="array" ref="M946">_xlfn.IFS(I946&lt;12,"Low-Term",I946&gt;=36,"Long-Term",TRUE,"Medium-Term")</f>
        <v>Low-Term</v>
      </c>
      <c r="N946" t="str" cm="1">
        <f t="array" ref="N946">_xlfn.IFS(A946="Bad", "Review Required", AND(A946="Good",J946&gt;7000),"VIP Client", AND(A946="Good", J946&lt;=7000),"Standart Client")</f>
        <v>Standart Client</v>
      </c>
    </row>
    <row r="947" spans="1:14" x14ac:dyDescent="0.3">
      <c r="A947" t="s">
        <v>34</v>
      </c>
      <c r="B947" t="s">
        <v>78</v>
      </c>
      <c r="C947" t="s">
        <v>88</v>
      </c>
      <c r="D947" t="s">
        <v>99</v>
      </c>
      <c r="E947" t="s">
        <v>124</v>
      </c>
      <c r="F947" t="s">
        <v>125</v>
      </c>
      <c r="G947" t="s">
        <v>114</v>
      </c>
      <c r="H947" t="s">
        <v>120</v>
      </c>
      <c r="I947">
        <v>18</v>
      </c>
      <c r="J947" s="11">
        <v>1817</v>
      </c>
      <c r="K947">
        <v>28</v>
      </c>
      <c r="L947" t="str" cm="1">
        <f t="array" ref="L947">_xlfn.IFS(J947&gt;5000,"Hight",J947&gt;2000,"Medium",TRUE,"Low")</f>
        <v>Low</v>
      </c>
      <c r="M947" t="str" cm="1">
        <f t="array" ref="M947">_xlfn.IFS(I947&lt;12,"Low-Term",I947&gt;=36,"Long-Term",TRUE,"Medium-Term")</f>
        <v>Medium-Term</v>
      </c>
      <c r="N947" t="str" cm="1">
        <f t="array" ref="N947">_xlfn.IFS(A947="Bad", "Review Required", AND(A947="Good",J947&gt;7000),"VIP Client", AND(A947="Good", J947&lt;=7000),"Standart Client")</f>
        <v>Standart Client</v>
      </c>
    </row>
    <row r="948" spans="1:14" x14ac:dyDescent="0.3">
      <c r="A948" t="s">
        <v>34</v>
      </c>
      <c r="B948" t="s">
        <v>78</v>
      </c>
      <c r="C948" t="s">
        <v>89</v>
      </c>
      <c r="D948" t="s">
        <v>101</v>
      </c>
      <c r="E948" t="s">
        <v>122</v>
      </c>
      <c r="F948" t="s">
        <v>123</v>
      </c>
      <c r="G948" t="s">
        <v>115</v>
      </c>
      <c r="H948" t="s">
        <v>120</v>
      </c>
      <c r="I948">
        <v>48</v>
      </c>
      <c r="J948" s="11">
        <v>12749</v>
      </c>
      <c r="K948">
        <v>37</v>
      </c>
      <c r="L948" t="str" cm="1">
        <f t="array" ref="L948">_xlfn.IFS(J948&gt;5000,"Hight",J948&gt;2000,"Medium",TRUE,"Low")</f>
        <v>Hight</v>
      </c>
      <c r="M948" t="str" cm="1">
        <f t="array" ref="M948">_xlfn.IFS(I948&lt;12,"Low-Term",I948&gt;=36,"Long-Term",TRUE,"Medium-Term")</f>
        <v>Long-Term</v>
      </c>
      <c r="N948" t="str" cm="1">
        <f t="array" ref="N948">_xlfn.IFS(A948="Bad", "Review Required", AND(A948="Good",J948&gt;7000),"VIP Client", AND(A948="Good", J948&lt;=7000),"Standart Client")</f>
        <v>VIP Client</v>
      </c>
    </row>
    <row r="949" spans="1:14" x14ac:dyDescent="0.3">
      <c r="A949" t="s">
        <v>34</v>
      </c>
      <c r="B949" t="s">
        <v>77</v>
      </c>
      <c r="C949" t="s">
        <v>86</v>
      </c>
      <c r="D949" t="s">
        <v>99</v>
      </c>
      <c r="E949" t="s">
        <v>122</v>
      </c>
      <c r="F949" t="s">
        <v>123</v>
      </c>
      <c r="G949" t="s">
        <v>114</v>
      </c>
      <c r="H949" t="s">
        <v>119</v>
      </c>
      <c r="I949">
        <v>12</v>
      </c>
      <c r="J949" s="11">
        <v>2002</v>
      </c>
      <c r="K949">
        <v>30</v>
      </c>
      <c r="L949" t="str" cm="1">
        <f t="array" ref="L949">_xlfn.IFS(J949&gt;5000,"Hight",J949&gt;2000,"Medium",TRUE,"Low")</f>
        <v>Medium</v>
      </c>
      <c r="M949" t="str" cm="1">
        <f t="array" ref="M949">_xlfn.IFS(I949&lt;12,"Low-Term",I949&gt;=36,"Long-Term",TRUE,"Medium-Term")</f>
        <v>Medium-Term</v>
      </c>
      <c r="N949" t="str" cm="1">
        <f t="array" ref="N949">_xlfn.IFS(A949="Bad", "Review Required", AND(A949="Good",J949&gt;7000),"VIP Client", AND(A949="Good", J949&lt;=7000),"Standart Client")</f>
        <v>Standart Client</v>
      </c>
    </row>
    <row r="950" spans="1:14" x14ac:dyDescent="0.3">
      <c r="A950" t="s">
        <v>34</v>
      </c>
      <c r="B950" t="s">
        <v>80</v>
      </c>
      <c r="C950" t="s">
        <v>88</v>
      </c>
      <c r="D950" t="s">
        <v>99</v>
      </c>
      <c r="E950" t="s">
        <v>124</v>
      </c>
      <c r="F950" t="s">
        <v>125</v>
      </c>
      <c r="G950" t="s">
        <v>114</v>
      </c>
      <c r="H950" t="s">
        <v>119</v>
      </c>
      <c r="I950">
        <v>18</v>
      </c>
      <c r="J950" s="11">
        <v>1049</v>
      </c>
      <c r="K950">
        <v>21</v>
      </c>
      <c r="L950" t="str" cm="1">
        <f t="array" ref="L950">_xlfn.IFS(J950&gt;5000,"Hight",J950&gt;2000,"Medium",TRUE,"Low")</f>
        <v>Low</v>
      </c>
      <c r="M950" t="str" cm="1">
        <f t="array" ref="M950">_xlfn.IFS(I950&lt;12,"Low-Term",I950&gt;=36,"Long-Term",TRUE,"Medium-Term")</f>
        <v>Medium-Term</v>
      </c>
      <c r="N950" t="str" cm="1">
        <f t="array" ref="N950">_xlfn.IFS(A950="Bad", "Review Required", AND(A950="Good",J950&gt;7000),"VIP Client", AND(A950="Good", J950&lt;=7000),"Standart Client")</f>
        <v>Standart Client</v>
      </c>
    </row>
    <row r="951" spans="1:14" x14ac:dyDescent="0.3">
      <c r="A951" t="s">
        <v>34</v>
      </c>
      <c r="B951" t="s">
        <v>78</v>
      </c>
      <c r="C951" t="s">
        <v>89</v>
      </c>
      <c r="D951" t="s">
        <v>78</v>
      </c>
      <c r="E951" t="s">
        <v>122</v>
      </c>
      <c r="F951" t="s">
        <v>123</v>
      </c>
      <c r="G951" t="s">
        <v>114</v>
      </c>
      <c r="H951" t="s">
        <v>120</v>
      </c>
      <c r="I951">
        <v>30</v>
      </c>
      <c r="J951" s="11">
        <v>1867</v>
      </c>
      <c r="K951">
        <v>58</v>
      </c>
      <c r="L951" t="str" cm="1">
        <f t="array" ref="L951">_xlfn.IFS(J951&gt;5000,"Hight",J951&gt;2000,"Medium",TRUE,"Low")</f>
        <v>Low</v>
      </c>
      <c r="M951" t="str" cm="1">
        <f t="array" ref="M951">_xlfn.IFS(I951&lt;12,"Low-Term",I951&gt;=36,"Long-Term",TRUE,"Medium-Term")</f>
        <v>Medium-Term</v>
      </c>
      <c r="N951" t="str" cm="1">
        <f t="array" ref="N951">_xlfn.IFS(A951="Bad", "Review Required", AND(A951="Good",J951&gt;7000),"VIP Client", AND(A951="Good", J951&lt;=7000),"Standart Client")</f>
        <v>Standart Client</v>
      </c>
    </row>
    <row r="952" spans="1:14" x14ac:dyDescent="0.3">
      <c r="A952" t="s">
        <v>34</v>
      </c>
      <c r="B952" t="s">
        <v>80</v>
      </c>
      <c r="C952" t="s">
        <v>86</v>
      </c>
      <c r="D952" t="s">
        <v>99</v>
      </c>
      <c r="E952" t="s">
        <v>122</v>
      </c>
      <c r="F952" t="s">
        <v>123</v>
      </c>
      <c r="G952" t="s">
        <v>113</v>
      </c>
      <c r="H952" t="s">
        <v>120</v>
      </c>
      <c r="I952">
        <v>12</v>
      </c>
      <c r="J952" s="11">
        <v>1344</v>
      </c>
      <c r="K952">
        <v>43</v>
      </c>
      <c r="L952" t="str" cm="1">
        <f t="array" ref="L952">_xlfn.IFS(J952&gt;5000,"Hight",J952&gt;2000,"Medium",TRUE,"Low")</f>
        <v>Low</v>
      </c>
      <c r="M952" t="str" cm="1">
        <f t="array" ref="M952">_xlfn.IFS(I952&lt;12,"Low-Term",I952&gt;=36,"Long-Term",TRUE,"Medium-Term")</f>
        <v>Medium-Term</v>
      </c>
      <c r="N952" t="str" cm="1">
        <f t="array" ref="N952">_xlfn.IFS(A952="Bad", "Review Required", AND(A952="Good",J952&gt;7000),"VIP Client", AND(A952="Good", J952&lt;=7000),"Standart Client")</f>
        <v>Standart Client</v>
      </c>
    </row>
    <row r="953" spans="1:14" x14ac:dyDescent="0.3">
      <c r="A953" t="s">
        <v>34</v>
      </c>
      <c r="B953" t="s">
        <v>80</v>
      </c>
      <c r="C953" t="s">
        <v>88</v>
      </c>
      <c r="D953" t="s">
        <v>99</v>
      </c>
      <c r="E953" t="s">
        <v>122</v>
      </c>
      <c r="F953" t="s">
        <v>123</v>
      </c>
      <c r="G953" t="s">
        <v>113</v>
      </c>
      <c r="H953" t="s">
        <v>120</v>
      </c>
      <c r="I953">
        <v>24</v>
      </c>
      <c r="J953" s="11">
        <v>1747</v>
      </c>
      <c r="K953">
        <v>24</v>
      </c>
      <c r="L953" t="str" cm="1">
        <f t="array" ref="L953">_xlfn.IFS(J953&gt;5000,"Hight",J953&gt;2000,"Medium",TRUE,"Low")</f>
        <v>Low</v>
      </c>
      <c r="M953" t="str" cm="1">
        <f t="array" ref="M953">_xlfn.IFS(I953&lt;12,"Low-Term",I953&gt;=36,"Long-Term",TRUE,"Medium-Term")</f>
        <v>Medium-Term</v>
      </c>
      <c r="N953" t="str" cm="1">
        <f t="array" ref="N953">_xlfn.IFS(A953="Bad", "Review Required", AND(A953="Good",J953&gt;7000),"VIP Client", AND(A953="Good", J953&lt;=7000),"Standart Client")</f>
        <v>Standart Client</v>
      </c>
    </row>
    <row r="954" spans="1:14" x14ac:dyDescent="0.3">
      <c r="A954" t="s">
        <v>34</v>
      </c>
      <c r="B954" t="s">
        <v>78</v>
      </c>
      <c r="C954" t="s">
        <v>86</v>
      </c>
      <c r="D954" t="s">
        <v>99</v>
      </c>
      <c r="E954" t="s">
        <v>122</v>
      </c>
      <c r="F954" t="s">
        <v>123</v>
      </c>
      <c r="G954" t="s">
        <v>114</v>
      </c>
      <c r="H954" t="s">
        <v>120</v>
      </c>
      <c r="I954">
        <v>9</v>
      </c>
      <c r="J954" s="11">
        <v>1224</v>
      </c>
      <c r="K954">
        <v>30</v>
      </c>
      <c r="L954" t="str" cm="1">
        <f t="array" ref="L954">_xlfn.IFS(J954&gt;5000,"Hight",J954&gt;2000,"Medium",TRUE,"Low")</f>
        <v>Low</v>
      </c>
      <c r="M954" t="str" cm="1">
        <f t="array" ref="M954">_xlfn.IFS(I954&lt;12,"Low-Term",I954&gt;=36,"Long-Term",TRUE,"Medium-Term")</f>
        <v>Low-Term</v>
      </c>
      <c r="N954" t="str" cm="1">
        <f t="array" ref="N954">_xlfn.IFS(A954="Bad", "Review Required", AND(A954="Good",J954&gt;7000),"VIP Client", AND(A954="Good", J954&lt;=7000),"Standart Client")</f>
        <v>Standart Client</v>
      </c>
    </row>
    <row r="955" spans="1:14" x14ac:dyDescent="0.3">
      <c r="A955" t="s">
        <v>34</v>
      </c>
      <c r="B955" t="s">
        <v>78</v>
      </c>
      <c r="C955" t="s">
        <v>89</v>
      </c>
      <c r="D955" t="s">
        <v>101</v>
      </c>
      <c r="E955" t="s">
        <v>122</v>
      </c>
      <c r="F955" t="s">
        <v>123</v>
      </c>
      <c r="G955" t="s">
        <v>114</v>
      </c>
      <c r="H955" t="s">
        <v>120</v>
      </c>
      <c r="I955">
        <v>12</v>
      </c>
      <c r="J955" s="11">
        <v>522</v>
      </c>
      <c r="K955">
        <v>42</v>
      </c>
      <c r="L955" t="str" cm="1">
        <f t="array" ref="L955">_xlfn.IFS(J955&gt;5000,"Hight",J955&gt;2000,"Medium",TRUE,"Low")</f>
        <v>Low</v>
      </c>
      <c r="M955" t="str" cm="1">
        <f t="array" ref="M955">_xlfn.IFS(I955&lt;12,"Low-Term",I955&gt;=36,"Long-Term",TRUE,"Medium-Term")</f>
        <v>Medium-Term</v>
      </c>
      <c r="N955" t="str" cm="1">
        <f t="array" ref="N955">_xlfn.IFS(A955="Bad", "Review Required", AND(A955="Good",J955&gt;7000),"VIP Client", AND(A955="Good", J955&lt;=7000),"Standart Client")</f>
        <v>Standart Client</v>
      </c>
    </row>
    <row r="956" spans="1:14" x14ac:dyDescent="0.3">
      <c r="A956" t="s">
        <v>34</v>
      </c>
      <c r="B956" t="s">
        <v>80</v>
      </c>
      <c r="C956" t="s">
        <v>89</v>
      </c>
      <c r="D956" t="s">
        <v>99</v>
      </c>
      <c r="E956" t="s">
        <v>124</v>
      </c>
      <c r="F956" t="s">
        <v>125</v>
      </c>
      <c r="G956" t="s">
        <v>114</v>
      </c>
      <c r="H956" t="s">
        <v>120</v>
      </c>
      <c r="I956">
        <v>12</v>
      </c>
      <c r="J956" s="11">
        <v>1498</v>
      </c>
      <c r="K956">
        <v>23</v>
      </c>
      <c r="L956" t="str" cm="1">
        <f t="array" ref="L956">_xlfn.IFS(J956&gt;5000,"Hight",J956&gt;2000,"Medium",TRUE,"Low")</f>
        <v>Low</v>
      </c>
      <c r="M956" t="str" cm="1">
        <f t="array" ref="M956">_xlfn.IFS(I956&lt;12,"Low-Term",I956&gt;=36,"Long-Term",TRUE,"Medium-Term")</f>
        <v>Medium-Term</v>
      </c>
      <c r="N956" t="str" cm="1">
        <f t="array" ref="N956">_xlfn.IFS(A956="Bad", "Review Required", AND(A956="Good",J956&gt;7000),"VIP Client", AND(A956="Good", J956&lt;=7000),"Standart Client")</f>
        <v>Standart Client</v>
      </c>
    </row>
    <row r="957" spans="1:14" x14ac:dyDescent="0.3">
      <c r="A957" t="s">
        <v>34</v>
      </c>
      <c r="B957" t="s">
        <v>77</v>
      </c>
      <c r="C957" t="s">
        <v>89</v>
      </c>
      <c r="D957" t="s">
        <v>99</v>
      </c>
      <c r="E957" t="s">
        <v>122</v>
      </c>
      <c r="F957" t="s">
        <v>127</v>
      </c>
      <c r="G957" t="s">
        <v>115</v>
      </c>
      <c r="H957" t="s">
        <v>119</v>
      </c>
      <c r="I957">
        <v>6</v>
      </c>
      <c r="J957" s="11">
        <v>2063</v>
      </c>
      <c r="K957">
        <v>30</v>
      </c>
      <c r="L957" t="str" cm="1">
        <f t="array" ref="L957">_xlfn.IFS(J957&gt;5000,"Hight",J957&gt;2000,"Medium",TRUE,"Low")</f>
        <v>Medium</v>
      </c>
      <c r="M957" t="str" cm="1">
        <f t="array" ref="M957">_xlfn.IFS(I957&lt;12,"Low-Term",I957&gt;=36,"Long-Term",TRUE,"Medium-Term")</f>
        <v>Low-Term</v>
      </c>
      <c r="N957" t="str" cm="1">
        <f t="array" ref="N957">_xlfn.IFS(A957="Bad", "Review Required", AND(A957="Good",J957&gt;7000),"VIP Client", AND(A957="Good", J957&lt;=7000),"Standart Client")</f>
        <v>Standart Client</v>
      </c>
    </row>
    <row r="958" spans="1:14" x14ac:dyDescent="0.3">
      <c r="A958" t="s">
        <v>34</v>
      </c>
      <c r="B958" t="s">
        <v>78</v>
      </c>
      <c r="C958" t="s">
        <v>87</v>
      </c>
      <c r="D958" t="s">
        <v>78</v>
      </c>
      <c r="E958" t="s">
        <v>122</v>
      </c>
      <c r="F958" t="s">
        <v>123</v>
      </c>
      <c r="G958" t="s">
        <v>115</v>
      </c>
      <c r="H958" t="s">
        <v>120</v>
      </c>
      <c r="I958">
        <v>24</v>
      </c>
      <c r="J958" s="11">
        <v>6842</v>
      </c>
      <c r="K958">
        <v>46</v>
      </c>
      <c r="L958" t="str" cm="1">
        <f t="array" ref="L958">_xlfn.IFS(J958&gt;5000,"Hight",J958&gt;2000,"Medium",TRUE,"Low")</f>
        <v>Hight</v>
      </c>
      <c r="M958" t="str" cm="1">
        <f t="array" ref="M958">_xlfn.IFS(I958&lt;12,"Low-Term",I958&gt;=36,"Long-Term",TRUE,"Medium-Term")</f>
        <v>Medium-Term</v>
      </c>
      <c r="N958" t="str" cm="1">
        <f t="array" ref="N958">_xlfn.IFS(A958="Bad", "Review Required", AND(A958="Good",J958&gt;7000),"VIP Client", AND(A958="Good", J958&lt;=7000),"Standart Client")</f>
        <v>Standart Client</v>
      </c>
    </row>
    <row r="959" spans="1:14" x14ac:dyDescent="0.3">
      <c r="A959" t="s">
        <v>34</v>
      </c>
      <c r="B959" t="s">
        <v>78</v>
      </c>
      <c r="C959" t="s">
        <v>86</v>
      </c>
      <c r="D959" t="s">
        <v>78</v>
      </c>
      <c r="E959" t="s">
        <v>122</v>
      </c>
      <c r="F959" t="s">
        <v>123</v>
      </c>
      <c r="G959" t="s">
        <v>115</v>
      </c>
      <c r="H959" t="s">
        <v>120</v>
      </c>
      <c r="I959">
        <v>12</v>
      </c>
      <c r="J959" s="11">
        <v>3527</v>
      </c>
      <c r="K959">
        <v>45</v>
      </c>
      <c r="L959" t="str" cm="1">
        <f t="array" ref="L959">_xlfn.IFS(J959&gt;5000,"Hight",J959&gt;2000,"Medium",TRUE,"Low")</f>
        <v>Medium</v>
      </c>
      <c r="M959" t="str" cm="1">
        <f t="array" ref="M959">_xlfn.IFS(I959&lt;12,"Low-Term",I959&gt;=36,"Long-Term",TRUE,"Medium-Term")</f>
        <v>Medium-Term</v>
      </c>
      <c r="N959" t="str" cm="1">
        <f t="array" ref="N959">_xlfn.IFS(A959="Bad", "Review Required", AND(A959="Good",J959&gt;7000),"VIP Client", AND(A959="Good", J959&lt;=7000),"Standart Client")</f>
        <v>Standart Client</v>
      </c>
    </row>
    <row r="960" spans="1:14" x14ac:dyDescent="0.3">
      <c r="A960" t="s">
        <v>34</v>
      </c>
      <c r="B960" t="s">
        <v>78</v>
      </c>
      <c r="C960" t="s">
        <v>86</v>
      </c>
      <c r="D960" t="s">
        <v>99</v>
      </c>
      <c r="E960" t="s">
        <v>122</v>
      </c>
      <c r="F960" t="s">
        <v>123</v>
      </c>
      <c r="G960" t="s">
        <v>113</v>
      </c>
      <c r="H960" t="s">
        <v>120</v>
      </c>
      <c r="I960">
        <v>10</v>
      </c>
      <c r="J960" s="11">
        <v>1546</v>
      </c>
      <c r="K960">
        <v>31</v>
      </c>
      <c r="L960" t="str" cm="1">
        <f t="array" ref="L960">_xlfn.IFS(J960&gt;5000,"Hight",J960&gt;2000,"Medium",TRUE,"Low")</f>
        <v>Low</v>
      </c>
      <c r="M960" t="str" cm="1">
        <f t="array" ref="M960">_xlfn.IFS(I960&lt;12,"Low-Term",I960&gt;=36,"Long-Term",TRUE,"Medium-Term")</f>
        <v>Low-Term</v>
      </c>
      <c r="N960" t="str" cm="1">
        <f t="array" ref="N960">_xlfn.IFS(A960="Bad", "Review Required", AND(A960="Good",J960&gt;7000),"VIP Client", AND(A960="Good", J960&lt;=7000),"Standart Client")</f>
        <v>Standart Client</v>
      </c>
    </row>
    <row r="961" spans="1:14" x14ac:dyDescent="0.3">
      <c r="A961" t="s">
        <v>34</v>
      </c>
      <c r="B961" t="s">
        <v>78</v>
      </c>
      <c r="C961" t="s">
        <v>88</v>
      </c>
      <c r="D961" t="s">
        <v>78</v>
      </c>
      <c r="E961" t="s">
        <v>122</v>
      </c>
      <c r="F961" t="s">
        <v>123</v>
      </c>
      <c r="G961" t="s">
        <v>114</v>
      </c>
      <c r="H961" t="s">
        <v>120</v>
      </c>
      <c r="I961">
        <v>24</v>
      </c>
      <c r="J961" s="11">
        <v>929</v>
      </c>
      <c r="K961">
        <v>31</v>
      </c>
      <c r="L961" t="str" cm="1">
        <f t="array" ref="L961">_xlfn.IFS(J961&gt;5000,"Hight",J961&gt;2000,"Medium",TRUE,"Low")</f>
        <v>Low</v>
      </c>
      <c r="M961" t="str" cm="1">
        <f t="array" ref="M961">_xlfn.IFS(I961&lt;12,"Low-Term",I961&gt;=36,"Long-Term",TRUE,"Medium-Term")</f>
        <v>Medium-Term</v>
      </c>
      <c r="N961" t="str" cm="1">
        <f t="array" ref="N961">_xlfn.IFS(A961="Bad", "Review Required", AND(A961="Good",J961&gt;7000),"VIP Client", AND(A961="Good", J961&lt;=7000),"Standart Client")</f>
        <v>Standart Client</v>
      </c>
    </row>
    <row r="962" spans="1:14" x14ac:dyDescent="0.3">
      <c r="A962" t="s">
        <v>34</v>
      </c>
      <c r="B962" t="s">
        <v>78</v>
      </c>
      <c r="C962" t="s">
        <v>86</v>
      </c>
      <c r="D962" t="s">
        <v>99</v>
      </c>
      <c r="E962" t="s">
        <v>122</v>
      </c>
      <c r="F962" t="s">
        <v>123</v>
      </c>
      <c r="G962" t="s">
        <v>113</v>
      </c>
      <c r="H962" t="s">
        <v>120</v>
      </c>
      <c r="I962">
        <v>4</v>
      </c>
      <c r="J962" s="11">
        <v>1455</v>
      </c>
      <c r="K962">
        <v>42</v>
      </c>
      <c r="L962" t="str" cm="1">
        <f t="array" ref="L962">_xlfn.IFS(J962&gt;5000,"Hight",J962&gt;2000,"Medium",TRUE,"Low")</f>
        <v>Low</v>
      </c>
      <c r="M962" t="str" cm="1">
        <f t="array" ref="M962">_xlfn.IFS(I962&lt;12,"Low-Term",I962&gt;=36,"Long-Term",TRUE,"Medium-Term")</f>
        <v>Low-Term</v>
      </c>
      <c r="N962" t="str" cm="1">
        <f t="array" ref="N962">_xlfn.IFS(A962="Bad", "Review Required", AND(A962="Good",J962&gt;7000),"VIP Client", AND(A962="Good", J962&lt;=7000),"Standart Client")</f>
        <v>Standart Client</v>
      </c>
    </row>
    <row r="963" spans="1:14" x14ac:dyDescent="0.3">
      <c r="A963" t="s">
        <v>34</v>
      </c>
      <c r="B963" t="s">
        <v>80</v>
      </c>
      <c r="C963" t="s">
        <v>88</v>
      </c>
      <c r="D963" t="s">
        <v>99</v>
      </c>
      <c r="E963" t="s">
        <v>124</v>
      </c>
      <c r="F963" t="s">
        <v>125</v>
      </c>
      <c r="G963" t="s">
        <v>114</v>
      </c>
      <c r="H963" t="s">
        <v>119</v>
      </c>
      <c r="I963">
        <v>15</v>
      </c>
      <c r="J963" s="11">
        <v>1845</v>
      </c>
      <c r="K963">
        <v>46</v>
      </c>
      <c r="L963" t="str" cm="1">
        <f t="array" ref="L963">_xlfn.IFS(J963&gt;5000,"Hight",J963&gt;2000,"Medium",TRUE,"Low")</f>
        <v>Low</v>
      </c>
      <c r="M963" t="str" cm="1">
        <f t="array" ref="M963">_xlfn.IFS(I963&lt;12,"Low-Term",I963&gt;=36,"Long-Term",TRUE,"Medium-Term")</f>
        <v>Medium-Term</v>
      </c>
      <c r="N963" t="str" cm="1">
        <f t="array" ref="N963">_xlfn.IFS(A963="Bad", "Review Required", AND(A963="Good",J963&gt;7000),"VIP Client", AND(A963="Good", J963&lt;=7000),"Standart Client")</f>
        <v>Standart Client</v>
      </c>
    </row>
    <row r="964" spans="1:14" x14ac:dyDescent="0.3">
      <c r="A964" t="s">
        <v>34</v>
      </c>
      <c r="B964" t="s">
        <v>77</v>
      </c>
      <c r="C964" t="s">
        <v>86</v>
      </c>
      <c r="D964" t="s">
        <v>101</v>
      </c>
      <c r="E964" t="s">
        <v>124</v>
      </c>
      <c r="F964" t="s">
        <v>125</v>
      </c>
      <c r="G964" t="s">
        <v>114</v>
      </c>
      <c r="H964" t="s">
        <v>120</v>
      </c>
      <c r="I964">
        <v>48</v>
      </c>
      <c r="J964" s="11">
        <v>8358</v>
      </c>
      <c r="K964">
        <v>30</v>
      </c>
      <c r="L964" t="str" cm="1">
        <f t="array" ref="L964">_xlfn.IFS(J964&gt;5000,"Hight",J964&gt;2000,"Medium",TRUE,"Low")</f>
        <v>Hight</v>
      </c>
      <c r="M964" t="str" cm="1">
        <f t="array" ref="M964">_xlfn.IFS(I964&lt;12,"Low-Term",I964&gt;=36,"Long-Term",TRUE,"Medium-Term")</f>
        <v>Long-Term</v>
      </c>
      <c r="N964" t="str" cm="1">
        <f t="array" ref="N964">_xlfn.IFS(A964="Bad", "Review Required", AND(A964="Good",J964&gt;7000),"VIP Client", AND(A964="Good", J964&lt;=7000),"Standart Client")</f>
        <v>VIP Client</v>
      </c>
    </row>
    <row r="965" spans="1:14" x14ac:dyDescent="0.3">
      <c r="A965" t="s">
        <v>34</v>
      </c>
      <c r="B965" t="s">
        <v>78</v>
      </c>
      <c r="C965" t="s">
        <v>86</v>
      </c>
      <c r="D965" t="s">
        <v>78</v>
      </c>
      <c r="E965" t="s">
        <v>122</v>
      </c>
      <c r="F965" t="s">
        <v>123</v>
      </c>
      <c r="G965" t="s">
        <v>115</v>
      </c>
      <c r="H965" t="s">
        <v>120</v>
      </c>
      <c r="I965">
        <v>12</v>
      </c>
      <c r="J965" s="11">
        <v>2859</v>
      </c>
      <c r="K965">
        <v>38</v>
      </c>
      <c r="L965" t="str" cm="1">
        <f t="array" ref="L965">_xlfn.IFS(J965&gt;5000,"Hight",J965&gt;2000,"Medium",TRUE,"Low")</f>
        <v>Medium</v>
      </c>
      <c r="M965" t="str" cm="1">
        <f t="array" ref="M965">_xlfn.IFS(I965&lt;12,"Low-Term",I965&gt;=36,"Long-Term",TRUE,"Medium-Term")</f>
        <v>Medium-Term</v>
      </c>
      <c r="N965" t="str" cm="1">
        <f t="array" ref="N965">_xlfn.IFS(A965="Bad", "Review Required", AND(A965="Good",J965&gt;7000),"VIP Client", AND(A965="Good", J965&lt;=7000),"Standart Client")</f>
        <v>Standart Client</v>
      </c>
    </row>
    <row r="966" spans="1:14" x14ac:dyDescent="0.3">
      <c r="A966" t="s">
        <v>34</v>
      </c>
      <c r="B966" t="s">
        <v>77</v>
      </c>
      <c r="C966" t="s">
        <v>94</v>
      </c>
      <c r="D966" t="s">
        <v>99</v>
      </c>
      <c r="E966" t="s">
        <v>122</v>
      </c>
      <c r="F966" t="s">
        <v>127</v>
      </c>
      <c r="G966" t="s">
        <v>112</v>
      </c>
      <c r="H966" t="s">
        <v>120</v>
      </c>
      <c r="I966">
        <v>18</v>
      </c>
      <c r="J966" s="11">
        <v>3590</v>
      </c>
      <c r="K966">
        <v>40</v>
      </c>
      <c r="L966" t="str" cm="1">
        <f t="array" ref="L966">_xlfn.IFS(J966&gt;5000,"Hight",J966&gt;2000,"Medium",TRUE,"Low")</f>
        <v>Medium</v>
      </c>
      <c r="M966" t="str" cm="1">
        <f t="array" ref="M966">_xlfn.IFS(I966&lt;12,"Low-Term",I966&gt;=36,"Long-Term",TRUE,"Medium-Term")</f>
        <v>Medium-Term</v>
      </c>
      <c r="N966" t="str" cm="1">
        <f t="array" ref="N966">_xlfn.IFS(A966="Bad", "Review Required", AND(A966="Good",J966&gt;7000),"VIP Client", AND(A966="Good", J966&lt;=7000),"Standart Client")</f>
        <v>Standart Client</v>
      </c>
    </row>
    <row r="967" spans="1:14" x14ac:dyDescent="0.3">
      <c r="A967" t="s">
        <v>34</v>
      </c>
      <c r="B967" t="s">
        <v>80</v>
      </c>
      <c r="C967" t="s">
        <v>86</v>
      </c>
      <c r="D967" t="s">
        <v>99</v>
      </c>
      <c r="E967" t="s">
        <v>124</v>
      </c>
      <c r="F967" t="s">
        <v>125</v>
      </c>
      <c r="G967" t="s">
        <v>114</v>
      </c>
      <c r="H967" t="s">
        <v>120</v>
      </c>
      <c r="I967">
        <v>12</v>
      </c>
      <c r="J967" s="11">
        <v>1893</v>
      </c>
      <c r="K967">
        <v>29</v>
      </c>
      <c r="L967" t="str" cm="1">
        <f t="array" ref="L967">_xlfn.IFS(J967&gt;5000,"Hight",J967&gt;2000,"Medium",TRUE,"Low")</f>
        <v>Low</v>
      </c>
      <c r="M967" t="str" cm="1">
        <f t="array" ref="M967">_xlfn.IFS(I967&lt;12,"Low-Term",I967&gt;=36,"Long-Term",TRUE,"Medium-Term")</f>
        <v>Medium-Term</v>
      </c>
      <c r="N967" t="str" cm="1">
        <f t="array" ref="N967">_xlfn.IFS(A967="Bad", "Review Required", AND(A967="Good",J967&gt;7000),"VIP Client", AND(A967="Good", J967&lt;=7000),"Standart Client")</f>
        <v>Standart Client</v>
      </c>
    </row>
    <row r="968" spans="1:14" x14ac:dyDescent="0.3">
      <c r="A968" t="s">
        <v>34</v>
      </c>
      <c r="B968" t="s">
        <v>80</v>
      </c>
      <c r="C968" t="s">
        <v>89</v>
      </c>
      <c r="D968" t="s">
        <v>102</v>
      </c>
      <c r="E968" t="s">
        <v>124</v>
      </c>
      <c r="F968" t="s">
        <v>125</v>
      </c>
      <c r="G968" t="s">
        <v>115</v>
      </c>
      <c r="H968" t="s">
        <v>119</v>
      </c>
      <c r="I968">
        <v>24</v>
      </c>
      <c r="J968" s="11">
        <v>1231</v>
      </c>
      <c r="K968">
        <v>57</v>
      </c>
      <c r="L968" t="str" cm="1">
        <f t="array" ref="L968">_xlfn.IFS(J968&gt;5000,"Hight",J968&gt;2000,"Medium",TRUE,"Low")</f>
        <v>Low</v>
      </c>
      <c r="M968" t="str" cm="1">
        <f t="array" ref="M968">_xlfn.IFS(I968&lt;12,"Low-Term",I968&gt;=36,"Long-Term",TRUE,"Medium-Term")</f>
        <v>Medium-Term</v>
      </c>
      <c r="N968" t="str" cm="1">
        <f t="array" ref="N968">_xlfn.IFS(A968="Bad", "Review Required", AND(A968="Good",J968&gt;7000),"VIP Client", AND(A968="Good", J968&lt;=7000),"Standart Client")</f>
        <v>Standart Client</v>
      </c>
    </row>
    <row r="969" spans="1:14" x14ac:dyDescent="0.3">
      <c r="A969" t="s">
        <v>34</v>
      </c>
      <c r="B969" t="s">
        <v>81</v>
      </c>
      <c r="C969" t="s">
        <v>89</v>
      </c>
      <c r="D969" t="s">
        <v>78</v>
      </c>
      <c r="E969" t="s">
        <v>122</v>
      </c>
      <c r="F969" t="s">
        <v>123</v>
      </c>
      <c r="G969" t="s">
        <v>113</v>
      </c>
      <c r="H969" t="s">
        <v>120</v>
      </c>
      <c r="I969">
        <v>30</v>
      </c>
      <c r="J969" s="11">
        <v>3656</v>
      </c>
      <c r="K969">
        <v>49</v>
      </c>
      <c r="L969" t="str" cm="1">
        <f t="array" ref="L969">_xlfn.IFS(J969&gt;5000,"Hight",J969&gt;2000,"Medium",TRUE,"Low")</f>
        <v>Medium</v>
      </c>
      <c r="M969" t="str" cm="1">
        <f t="array" ref="M969">_xlfn.IFS(I969&lt;12,"Low-Term",I969&gt;=36,"Long-Term",TRUE,"Medium-Term")</f>
        <v>Medium-Term</v>
      </c>
      <c r="N969" t="str" cm="1">
        <f t="array" ref="N969">_xlfn.IFS(A969="Bad", "Review Required", AND(A969="Good",J969&gt;7000),"VIP Client", AND(A969="Good", J969&lt;=7000),"Standart Client")</f>
        <v>Standart Client</v>
      </c>
    </row>
    <row r="970" spans="1:14" x14ac:dyDescent="0.3">
      <c r="A970" t="s">
        <v>34</v>
      </c>
      <c r="B970" t="s">
        <v>77</v>
      </c>
      <c r="C970" t="s">
        <v>89</v>
      </c>
      <c r="D970" t="s">
        <v>99</v>
      </c>
      <c r="E970" t="s">
        <v>122</v>
      </c>
      <c r="F970" t="s">
        <v>123</v>
      </c>
      <c r="G970" t="s">
        <v>113</v>
      </c>
      <c r="H970" t="s">
        <v>120</v>
      </c>
      <c r="I970">
        <v>9</v>
      </c>
      <c r="J970" s="11">
        <v>1154</v>
      </c>
      <c r="K970">
        <v>37</v>
      </c>
      <c r="L970" t="str" cm="1">
        <f t="array" ref="L970">_xlfn.IFS(J970&gt;5000,"Hight",J970&gt;2000,"Medium",TRUE,"Low")</f>
        <v>Low</v>
      </c>
      <c r="M970" t="str" cm="1">
        <f t="array" ref="M970">_xlfn.IFS(I970&lt;12,"Low-Term",I970&gt;=36,"Long-Term",TRUE,"Medium-Term")</f>
        <v>Low-Term</v>
      </c>
      <c r="N970" t="str" cm="1">
        <f t="array" ref="N970">_xlfn.IFS(A970="Bad", "Review Required", AND(A970="Good",J970&gt;7000),"VIP Client", AND(A970="Good", J970&lt;=7000),"Standart Client")</f>
        <v>Standart Client</v>
      </c>
    </row>
    <row r="971" spans="1:14" x14ac:dyDescent="0.3">
      <c r="A971" t="s">
        <v>34</v>
      </c>
      <c r="B971" t="s">
        <v>77</v>
      </c>
      <c r="C971" t="s">
        <v>88</v>
      </c>
      <c r="D971" t="s">
        <v>100</v>
      </c>
      <c r="E971" t="s">
        <v>122</v>
      </c>
      <c r="F971" t="s">
        <v>123</v>
      </c>
      <c r="G971" t="s">
        <v>114</v>
      </c>
      <c r="H971" t="s">
        <v>121</v>
      </c>
      <c r="I971">
        <v>24</v>
      </c>
      <c r="J971" s="11">
        <v>3069</v>
      </c>
      <c r="K971">
        <v>30</v>
      </c>
      <c r="L971" t="str" cm="1">
        <f t="array" ref="L971">_xlfn.IFS(J971&gt;5000,"Hight",J971&gt;2000,"Medium",TRUE,"Low")</f>
        <v>Medium</v>
      </c>
      <c r="M971" t="str" cm="1">
        <f t="array" ref="M971">_xlfn.IFS(I971&lt;12,"Low-Term",I971&gt;=36,"Long-Term",TRUE,"Medium-Term")</f>
        <v>Medium-Term</v>
      </c>
      <c r="N971" t="str" cm="1">
        <f t="array" ref="N971">_xlfn.IFS(A971="Bad", "Review Required", AND(A971="Good",J971&gt;7000),"VIP Client", AND(A971="Good", J971&lt;=7000),"Standart Client")</f>
        <v>Standart Client</v>
      </c>
    </row>
    <row r="972" spans="1:14" x14ac:dyDescent="0.3">
      <c r="A972" t="s">
        <v>34</v>
      </c>
      <c r="B972" t="s">
        <v>78</v>
      </c>
      <c r="C972" t="s">
        <v>89</v>
      </c>
      <c r="D972" t="s">
        <v>99</v>
      </c>
      <c r="E972" t="s">
        <v>122</v>
      </c>
      <c r="F972" t="s">
        <v>127</v>
      </c>
      <c r="G972" t="s">
        <v>114</v>
      </c>
      <c r="H972" t="s">
        <v>119</v>
      </c>
      <c r="I972">
        <v>6</v>
      </c>
      <c r="J972" s="11">
        <v>1740</v>
      </c>
      <c r="K972">
        <v>30</v>
      </c>
      <c r="L972" t="str" cm="1">
        <f t="array" ref="L972">_xlfn.IFS(J972&gt;5000,"Hight",J972&gt;2000,"Medium",TRUE,"Low")</f>
        <v>Low</v>
      </c>
      <c r="M972" t="str" cm="1">
        <f t="array" ref="M972">_xlfn.IFS(I972&lt;12,"Low-Term",I972&gt;=36,"Long-Term",TRUE,"Medium-Term")</f>
        <v>Low-Term</v>
      </c>
      <c r="N972" t="str" cm="1">
        <f t="array" ref="N972">_xlfn.IFS(A972="Bad", "Review Required", AND(A972="Good",J972&gt;7000),"VIP Client", AND(A972="Good", J972&lt;=7000),"Standart Client")</f>
        <v>Standart Client</v>
      </c>
    </row>
    <row r="973" spans="1:14" x14ac:dyDescent="0.3">
      <c r="A973" t="s">
        <v>34</v>
      </c>
      <c r="B973" t="s">
        <v>77</v>
      </c>
      <c r="C973" t="s">
        <v>86</v>
      </c>
      <c r="D973" t="s">
        <v>99</v>
      </c>
      <c r="E973" t="s">
        <v>122</v>
      </c>
      <c r="F973" t="s">
        <v>126</v>
      </c>
      <c r="G973" t="s">
        <v>114</v>
      </c>
      <c r="H973" t="s">
        <v>120</v>
      </c>
      <c r="I973">
        <v>21</v>
      </c>
      <c r="J973" s="11">
        <v>2353</v>
      </c>
      <c r="K973">
        <v>47</v>
      </c>
      <c r="L973" t="str" cm="1">
        <f t="array" ref="L973">_xlfn.IFS(J973&gt;5000,"Hight",J973&gt;2000,"Medium",TRUE,"Low")</f>
        <v>Medium</v>
      </c>
      <c r="M973" t="str" cm="1">
        <f t="array" ref="M973">_xlfn.IFS(I973&lt;12,"Low-Term",I973&gt;=36,"Long-Term",TRUE,"Medium-Term")</f>
        <v>Medium-Term</v>
      </c>
      <c r="N973" t="str" cm="1">
        <f t="array" ref="N973">_xlfn.IFS(A973="Bad", "Review Required", AND(A973="Good",J973&gt;7000),"VIP Client", AND(A973="Good", J973&lt;=7000),"Standart Client")</f>
        <v>Standart Client</v>
      </c>
    </row>
    <row r="974" spans="1:14" x14ac:dyDescent="0.3">
      <c r="A974" t="s">
        <v>34</v>
      </c>
      <c r="B974" t="s">
        <v>78</v>
      </c>
      <c r="C974" t="s">
        <v>86</v>
      </c>
      <c r="D974" t="s">
        <v>78</v>
      </c>
      <c r="E974" t="s">
        <v>122</v>
      </c>
      <c r="F974" t="s">
        <v>123</v>
      </c>
      <c r="G974" t="s">
        <v>114</v>
      </c>
      <c r="H974" t="s">
        <v>120</v>
      </c>
      <c r="I974">
        <v>15</v>
      </c>
      <c r="J974" s="11">
        <v>3556</v>
      </c>
      <c r="K974">
        <v>29</v>
      </c>
      <c r="L974" t="str" cm="1">
        <f t="array" ref="L974">_xlfn.IFS(J974&gt;5000,"Hight",J974&gt;2000,"Medium",TRUE,"Low")</f>
        <v>Medium</v>
      </c>
      <c r="M974" t="str" cm="1">
        <f t="array" ref="M974">_xlfn.IFS(I974&lt;12,"Low-Term",I974&gt;=36,"Long-Term",TRUE,"Medium-Term")</f>
        <v>Medium-Term</v>
      </c>
      <c r="N974" t="str" cm="1">
        <f t="array" ref="N974">_xlfn.IFS(A974="Bad", "Review Required", AND(A974="Good",J974&gt;7000),"VIP Client", AND(A974="Good", J974&lt;=7000),"Standart Client")</f>
        <v>Standart Client</v>
      </c>
    </row>
    <row r="975" spans="1:14" x14ac:dyDescent="0.3">
      <c r="A975" t="s">
        <v>34</v>
      </c>
      <c r="B975" t="s">
        <v>77</v>
      </c>
      <c r="C975" t="s">
        <v>91</v>
      </c>
      <c r="D975" t="s">
        <v>99</v>
      </c>
      <c r="E975" t="s">
        <v>122</v>
      </c>
      <c r="F975" t="s">
        <v>127</v>
      </c>
      <c r="G975" t="s">
        <v>113</v>
      </c>
      <c r="H975" t="s">
        <v>120</v>
      </c>
      <c r="I975">
        <v>6</v>
      </c>
      <c r="J975" s="11">
        <v>454</v>
      </c>
      <c r="K975">
        <v>22</v>
      </c>
      <c r="L975" t="str" cm="1">
        <f t="array" ref="L975">_xlfn.IFS(J975&gt;5000,"Hight",J975&gt;2000,"Medium",TRUE,"Low")</f>
        <v>Low</v>
      </c>
      <c r="M975" t="str" cm="1">
        <f t="array" ref="M975">_xlfn.IFS(I975&lt;12,"Low-Term",I975&gt;=36,"Long-Term",TRUE,"Medium-Term")</f>
        <v>Low-Term</v>
      </c>
      <c r="N975" t="str" cm="1">
        <f t="array" ref="N975">_xlfn.IFS(A975="Bad", "Review Required", AND(A975="Good",J975&gt;7000),"VIP Client", AND(A975="Good", J975&lt;=7000),"Standart Client")</f>
        <v>Standart Client</v>
      </c>
    </row>
    <row r="976" spans="1:14" x14ac:dyDescent="0.3">
      <c r="A976" t="s">
        <v>34</v>
      </c>
      <c r="B976" t="s">
        <v>77</v>
      </c>
      <c r="C976" t="s">
        <v>89</v>
      </c>
      <c r="D976" t="s">
        <v>78</v>
      </c>
      <c r="E976" t="s">
        <v>124</v>
      </c>
      <c r="F976" t="s">
        <v>125</v>
      </c>
      <c r="G976" t="s">
        <v>114</v>
      </c>
      <c r="H976" t="s">
        <v>120</v>
      </c>
      <c r="I976">
        <v>30</v>
      </c>
      <c r="J976" s="11">
        <v>1715</v>
      </c>
      <c r="K976">
        <v>26</v>
      </c>
      <c r="L976" t="str" cm="1">
        <f t="array" ref="L976">_xlfn.IFS(J976&gt;5000,"Hight",J976&gt;2000,"Medium",TRUE,"Low")</f>
        <v>Low</v>
      </c>
      <c r="M976" t="str" cm="1">
        <f t="array" ref="M976">_xlfn.IFS(I976&lt;12,"Low-Term",I976&gt;=36,"Long-Term",TRUE,"Medium-Term")</f>
        <v>Medium-Term</v>
      </c>
      <c r="N976" t="str" cm="1">
        <f t="array" ref="N976">_xlfn.IFS(A976="Bad", "Review Required", AND(A976="Good",J976&gt;7000),"VIP Client", AND(A976="Good", J976&lt;=7000),"Standart Client")</f>
        <v>Standart Client</v>
      </c>
    </row>
    <row r="977" spans="1:14" x14ac:dyDescent="0.3">
      <c r="A977" t="s">
        <v>34</v>
      </c>
      <c r="B977" t="s">
        <v>78</v>
      </c>
      <c r="C977" t="s">
        <v>89</v>
      </c>
      <c r="D977" t="s">
        <v>99</v>
      </c>
      <c r="E977" t="s">
        <v>124</v>
      </c>
      <c r="F977" t="s">
        <v>125</v>
      </c>
      <c r="G977" t="s">
        <v>115</v>
      </c>
      <c r="H977" t="s">
        <v>119</v>
      </c>
      <c r="I977">
        <v>15</v>
      </c>
      <c r="J977" s="11">
        <v>3568</v>
      </c>
      <c r="K977">
        <v>54</v>
      </c>
      <c r="L977" t="str" cm="1">
        <f t="array" ref="L977">_xlfn.IFS(J977&gt;5000,"Hight",J977&gt;2000,"Medium",TRUE,"Low")</f>
        <v>Medium</v>
      </c>
      <c r="M977" t="str" cm="1">
        <f t="array" ref="M977">_xlfn.IFS(I977&lt;12,"Low-Term",I977&gt;=36,"Long-Term",TRUE,"Medium-Term")</f>
        <v>Medium-Term</v>
      </c>
      <c r="N977" t="str" cm="1">
        <f t="array" ref="N977">_xlfn.IFS(A977="Bad", "Review Required", AND(A977="Good",J977&gt;7000),"VIP Client", AND(A977="Good", J977&lt;=7000),"Standart Client")</f>
        <v>Standart Client</v>
      </c>
    </row>
    <row r="978" spans="1:14" x14ac:dyDescent="0.3">
      <c r="A978" t="s">
        <v>34</v>
      </c>
      <c r="B978" t="s">
        <v>78</v>
      </c>
      <c r="C978" t="s">
        <v>89</v>
      </c>
      <c r="D978" t="s">
        <v>78</v>
      </c>
      <c r="E978" t="s">
        <v>122</v>
      </c>
      <c r="F978" t="s">
        <v>127</v>
      </c>
      <c r="G978" t="s">
        <v>114</v>
      </c>
      <c r="H978" t="s">
        <v>119</v>
      </c>
      <c r="I978">
        <v>42</v>
      </c>
      <c r="J978" s="11">
        <v>7166</v>
      </c>
      <c r="K978">
        <v>29</v>
      </c>
      <c r="L978" t="str" cm="1">
        <f t="array" ref="L978">_xlfn.IFS(J978&gt;5000,"Hight",J978&gt;2000,"Medium",TRUE,"Low")</f>
        <v>Hight</v>
      </c>
      <c r="M978" t="str" cm="1">
        <f t="array" ref="M978">_xlfn.IFS(I978&lt;12,"Low-Term",I978&gt;=36,"Long-Term",TRUE,"Medium-Term")</f>
        <v>Long-Term</v>
      </c>
      <c r="N978" t="str" cm="1">
        <f t="array" ref="N978">_xlfn.IFS(A978="Bad", "Review Required", AND(A978="Good",J978&gt;7000),"VIP Client", AND(A978="Good", J978&lt;=7000),"Standart Client")</f>
        <v>VIP Client</v>
      </c>
    </row>
    <row r="979" spans="1:14" x14ac:dyDescent="0.3">
      <c r="A979" t="s">
        <v>34</v>
      </c>
      <c r="B979" t="s">
        <v>80</v>
      </c>
      <c r="C979" t="s">
        <v>86</v>
      </c>
      <c r="D979" t="s">
        <v>99</v>
      </c>
      <c r="E979" t="s">
        <v>122</v>
      </c>
      <c r="F979" t="s">
        <v>123</v>
      </c>
      <c r="G979" t="s">
        <v>113</v>
      </c>
      <c r="H979" t="s">
        <v>120</v>
      </c>
      <c r="I979">
        <v>11</v>
      </c>
      <c r="J979" s="11">
        <v>3939</v>
      </c>
      <c r="K979">
        <v>40</v>
      </c>
      <c r="L979" t="str" cm="1">
        <f t="array" ref="L979">_xlfn.IFS(J979&gt;5000,"Hight",J979&gt;2000,"Medium",TRUE,"Low")</f>
        <v>Medium</v>
      </c>
      <c r="M979" t="str" cm="1">
        <f t="array" ref="M979">_xlfn.IFS(I979&lt;12,"Low-Term",I979&gt;=36,"Long-Term",TRUE,"Medium-Term")</f>
        <v>Low-Term</v>
      </c>
      <c r="N979" t="str" cm="1">
        <f t="array" ref="N979">_xlfn.IFS(A979="Bad", "Review Required", AND(A979="Good",J979&gt;7000),"VIP Client", AND(A979="Good", J979&lt;=7000),"Standart Client")</f>
        <v>Standart Client</v>
      </c>
    </row>
    <row r="980" spans="1:14" x14ac:dyDescent="0.3">
      <c r="A980" t="s">
        <v>34</v>
      </c>
      <c r="B980" t="s">
        <v>77</v>
      </c>
      <c r="C980" t="s">
        <v>91</v>
      </c>
      <c r="D980" t="s">
        <v>100</v>
      </c>
      <c r="E980" t="s">
        <v>122</v>
      </c>
      <c r="F980" t="s">
        <v>123</v>
      </c>
      <c r="G980" t="s">
        <v>114</v>
      </c>
      <c r="H980" t="s">
        <v>120</v>
      </c>
      <c r="I980">
        <v>15</v>
      </c>
      <c r="J980" s="11">
        <v>1514</v>
      </c>
      <c r="K980">
        <v>22</v>
      </c>
      <c r="L980" t="str" cm="1">
        <f t="array" ref="L980">_xlfn.IFS(J980&gt;5000,"Hight",J980&gt;2000,"Medium",TRUE,"Low")</f>
        <v>Low</v>
      </c>
      <c r="M980" t="str" cm="1">
        <f t="array" ref="M980">_xlfn.IFS(I980&lt;12,"Low-Term",I980&gt;=36,"Long-Term",TRUE,"Medium-Term")</f>
        <v>Medium-Term</v>
      </c>
      <c r="N980" t="str" cm="1">
        <f t="array" ref="N980">_xlfn.IFS(A980="Bad", "Review Required", AND(A980="Good",J980&gt;7000),"VIP Client", AND(A980="Good", J980&lt;=7000),"Standart Client")</f>
        <v>Standart Client</v>
      </c>
    </row>
    <row r="981" spans="1:14" x14ac:dyDescent="0.3">
      <c r="A981" t="s">
        <v>34</v>
      </c>
      <c r="B981" t="s">
        <v>78</v>
      </c>
      <c r="C981" t="s">
        <v>86</v>
      </c>
      <c r="D981" t="s">
        <v>99</v>
      </c>
      <c r="E981" t="s">
        <v>122</v>
      </c>
      <c r="F981" t="s">
        <v>123</v>
      </c>
      <c r="G981" t="s">
        <v>113</v>
      </c>
      <c r="H981" t="s">
        <v>120</v>
      </c>
      <c r="I981">
        <v>24</v>
      </c>
      <c r="J981" s="11">
        <v>7393</v>
      </c>
      <c r="K981">
        <v>43</v>
      </c>
      <c r="L981" t="str" cm="1">
        <f t="array" ref="L981">_xlfn.IFS(J981&gt;5000,"Hight",J981&gt;2000,"Medium",TRUE,"Low")</f>
        <v>Hight</v>
      </c>
      <c r="M981" t="str" cm="1">
        <f t="array" ref="M981">_xlfn.IFS(I981&lt;12,"Low-Term",I981&gt;=36,"Long-Term",TRUE,"Medium-Term")</f>
        <v>Medium-Term</v>
      </c>
      <c r="N981" t="str" cm="1">
        <f t="array" ref="N981">_xlfn.IFS(A981="Bad", "Review Required", AND(A981="Good",J981&gt;7000),"VIP Client", AND(A981="Good", J981&lt;=7000),"Standart Client")</f>
        <v>VIP Client</v>
      </c>
    </row>
    <row r="982" spans="1:14" x14ac:dyDescent="0.3">
      <c r="A982" t="s">
        <v>34</v>
      </c>
      <c r="B982" t="s">
        <v>78</v>
      </c>
      <c r="C982" t="s">
        <v>89</v>
      </c>
      <c r="D982" t="s">
        <v>99</v>
      </c>
      <c r="E982" t="s">
        <v>124</v>
      </c>
      <c r="F982" t="s">
        <v>125</v>
      </c>
      <c r="G982" t="s">
        <v>114</v>
      </c>
      <c r="H982" t="s">
        <v>120</v>
      </c>
      <c r="I982">
        <v>30</v>
      </c>
      <c r="J982" s="11">
        <v>2831</v>
      </c>
      <c r="K982">
        <v>33</v>
      </c>
      <c r="L982" t="str" cm="1">
        <f t="array" ref="L982">_xlfn.IFS(J982&gt;5000,"Hight",J982&gt;2000,"Medium",TRUE,"Low")</f>
        <v>Medium</v>
      </c>
      <c r="M982" t="str" cm="1">
        <f t="array" ref="M982">_xlfn.IFS(I982&lt;12,"Low-Term",I982&gt;=36,"Long-Term",TRUE,"Medium-Term")</f>
        <v>Medium-Term</v>
      </c>
      <c r="N982" t="str" cm="1">
        <f t="array" ref="N982">_xlfn.IFS(A982="Bad", "Review Required", AND(A982="Good",J982&gt;7000),"VIP Client", AND(A982="Good", J982&lt;=7000),"Standart Client")</f>
        <v>Standart Client</v>
      </c>
    </row>
    <row r="983" spans="1:14" x14ac:dyDescent="0.3">
      <c r="A983" t="s">
        <v>34</v>
      </c>
      <c r="B983" t="s">
        <v>81</v>
      </c>
      <c r="C983" t="s">
        <v>89</v>
      </c>
      <c r="D983" t="s">
        <v>101</v>
      </c>
      <c r="E983" t="s">
        <v>124</v>
      </c>
      <c r="F983" t="s">
        <v>125</v>
      </c>
      <c r="G983" t="s">
        <v>113</v>
      </c>
      <c r="H983" t="s">
        <v>120</v>
      </c>
      <c r="I983">
        <v>24</v>
      </c>
      <c r="J983" s="11">
        <v>1258</v>
      </c>
      <c r="K983">
        <v>57</v>
      </c>
      <c r="L983" t="str" cm="1">
        <f t="array" ref="L983">_xlfn.IFS(J983&gt;5000,"Hight",J983&gt;2000,"Medium",TRUE,"Low")</f>
        <v>Low</v>
      </c>
      <c r="M983" t="str" cm="1">
        <f t="array" ref="M983">_xlfn.IFS(I983&lt;12,"Low-Term",I983&gt;=36,"Long-Term",TRUE,"Medium-Term")</f>
        <v>Medium-Term</v>
      </c>
      <c r="N983" t="str" cm="1">
        <f t="array" ref="N983">_xlfn.IFS(A983="Bad", "Review Required", AND(A983="Good",J983&gt;7000),"VIP Client", AND(A983="Good", J983&lt;=7000),"Standart Client")</f>
        <v>Standart Client</v>
      </c>
    </row>
    <row r="984" spans="1:14" x14ac:dyDescent="0.3">
      <c r="A984" t="s">
        <v>34</v>
      </c>
      <c r="B984" t="s">
        <v>77</v>
      </c>
      <c r="C984" t="s">
        <v>89</v>
      </c>
      <c r="D984" t="s">
        <v>99</v>
      </c>
      <c r="E984" t="s">
        <v>124</v>
      </c>
      <c r="F984" t="s">
        <v>125</v>
      </c>
      <c r="G984" t="s">
        <v>114</v>
      </c>
      <c r="H984" t="s">
        <v>120</v>
      </c>
      <c r="I984">
        <v>6</v>
      </c>
      <c r="J984" s="11">
        <v>753</v>
      </c>
      <c r="K984">
        <v>64</v>
      </c>
      <c r="L984" t="str" cm="1">
        <f t="array" ref="L984">_xlfn.IFS(J984&gt;5000,"Hight",J984&gt;2000,"Medium",TRUE,"Low")</f>
        <v>Low</v>
      </c>
      <c r="M984" t="str" cm="1">
        <f t="array" ref="M984">_xlfn.IFS(I984&lt;12,"Low-Term",I984&gt;=36,"Long-Term",TRUE,"Medium-Term")</f>
        <v>Low-Term</v>
      </c>
      <c r="N984" t="str" cm="1">
        <f t="array" ref="N984">_xlfn.IFS(A984="Bad", "Review Required", AND(A984="Good",J984&gt;7000),"VIP Client", AND(A984="Good", J984&lt;=7000),"Standart Client")</f>
        <v>Standart Client</v>
      </c>
    </row>
    <row r="985" spans="1:14" x14ac:dyDescent="0.3">
      <c r="A985" t="s">
        <v>34</v>
      </c>
      <c r="B985" t="s">
        <v>77</v>
      </c>
      <c r="C985" t="s">
        <v>94</v>
      </c>
      <c r="D985" t="s">
        <v>78</v>
      </c>
      <c r="E985" t="s">
        <v>122</v>
      </c>
      <c r="F985" t="s">
        <v>123</v>
      </c>
      <c r="G985" t="s">
        <v>114</v>
      </c>
      <c r="H985" t="s">
        <v>120</v>
      </c>
      <c r="I985">
        <v>18</v>
      </c>
      <c r="J985" s="11">
        <v>2427</v>
      </c>
      <c r="K985">
        <v>42</v>
      </c>
      <c r="L985" t="str" cm="1">
        <f t="array" ref="L985">_xlfn.IFS(J985&gt;5000,"Hight",J985&gt;2000,"Medium",TRUE,"Low")</f>
        <v>Medium</v>
      </c>
      <c r="M985" t="str" cm="1">
        <f t="array" ref="M985">_xlfn.IFS(I985&lt;12,"Low-Term",I985&gt;=36,"Long-Term",TRUE,"Medium-Term")</f>
        <v>Medium-Term</v>
      </c>
      <c r="N985" t="str" cm="1">
        <f t="array" ref="N985">_xlfn.IFS(A985="Bad", "Review Required", AND(A985="Good",J985&gt;7000),"VIP Client", AND(A985="Good", J985&lt;=7000),"Standart Client")</f>
        <v>Standart Client</v>
      </c>
    </row>
    <row r="986" spans="1:14" x14ac:dyDescent="0.3">
      <c r="A986" t="s">
        <v>34</v>
      </c>
      <c r="B986" t="s">
        <v>81</v>
      </c>
      <c r="C986" t="s">
        <v>86</v>
      </c>
      <c r="D986" t="s">
        <v>100</v>
      </c>
      <c r="E986" t="s">
        <v>124</v>
      </c>
      <c r="F986" t="s">
        <v>125</v>
      </c>
      <c r="G986" t="s">
        <v>115</v>
      </c>
      <c r="H986" t="s">
        <v>120</v>
      </c>
      <c r="I986">
        <v>21</v>
      </c>
      <c r="J986" s="11">
        <v>2923</v>
      </c>
      <c r="K986">
        <v>28</v>
      </c>
      <c r="L986" t="str" cm="1">
        <f t="array" ref="L986">_xlfn.IFS(J986&gt;5000,"Hight",J986&gt;2000,"Medium",TRUE,"Low")</f>
        <v>Medium</v>
      </c>
      <c r="M986" t="str" cm="1">
        <f t="array" ref="M986">_xlfn.IFS(I986&lt;12,"Low-Term",I986&gt;=36,"Long-Term",TRUE,"Medium-Term")</f>
        <v>Medium-Term</v>
      </c>
      <c r="N986" t="str" cm="1">
        <f t="array" ref="N986">_xlfn.IFS(A986="Bad", "Review Required", AND(A986="Good",J986&gt;7000),"VIP Client", AND(A986="Good", J986&lt;=7000),"Standart Client")</f>
        <v>Standart Client</v>
      </c>
    </row>
    <row r="987" spans="1:14" x14ac:dyDescent="0.3">
      <c r="A987" t="s">
        <v>34</v>
      </c>
      <c r="B987" t="s">
        <v>78</v>
      </c>
      <c r="C987" t="s">
        <v>88</v>
      </c>
      <c r="D987" t="s">
        <v>99</v>
      </c>
      <c r="E987" t="s">
        <v>122</v>
      </c>
      <c r="F987" t="s">
        <v>123</v>
      </c>
      <c r="G987" t="s">
        <v>113</v>
      </c>
      <c r="H987" t="s">
        <v>120</v>
      </c>
      <c r="I987">
        <v>24</v>
      </c>
      <c r="J987" s="11">
        <v>2028</v>
      </c>
      <c r="K987">
        <v>30</v>
      </c>
      <c r="L987" t="str" cm="1">
        <f t="array" ref="L987">_xlfn.IFS(J987&gt;5000,"Hight",J987&gt;2000,"Medium",TRUE,"Low")</f>
        <v>Medium</v>
      </c>
      <c r="M987" t="str" cm="1">
        <f t="array" ref="M987">_xlfn.IFS(I987&lt;12,"Low-Term",I987&gt;=36,"Long-Term",TRUE,"Medium-Term")</f>
        <v>Medium-Term</v>
      </c>
      <c r="N987" t="str" cm="1">
        <f t="array" ref="N987">_xlfn.IFS(A987="Bad", "Review Required", AND(A987="Good",J987&gt;7000),"VIP Client", AND(A987="Good", J987&lt;=7000),"Standart Client")</f>
        <v>Standart Client</v>
      </c>
    </row>
    <row r="988" spans="1:14" x14ac:dyDescent="0.3">
      <c r="A988" t="s">
        <v>34</v>
      </c>
      <c r="B988" t="s">
        <v>80</v>
      </c>
      <c r="C988" t="s">
        <v>88</v>
      </c>
      <c r="D988" t="s">
        <v>99</v>
      </c>
      <c r="E988" t="s">
        <v>124</v>
      </c>
      <c r="F988" t="s">
        <v>125</v>
      </c>
      <c r="G988" t="s">
        <v>114</v>
      </c>
      <c r="H988" t="s">
        <v>119</v>
      </c>
      <c r="I988">
        <v>15</v>
      </c>
      <c r="J988" s="11">
        <v>1433</v>
      </c>
      <c r="K988">
        <v>25</v>
      </c>
      <c r="L988" t="str" cm="1">
        <f t="array" ref="L988">_xlfn.IFS(J988&gt;5000,"Hight",J988&gt;2000,"Medium",TRUE,"Low")</f>
        <v>Low</v>
      </c>
      <c r="M988" t="str" cm="1">
        <f t="array" ref="M988">_xlfn.IFS(I988&lt;12,"Low-Term",I988&gt;=36,"Long-Term",TRUE,"Medium-Term")</f>
        <v>Medium-Term</v>
      </c>
      <c r="N988" t="str" cm="1">
        <f t="array" ref="N988">_xlfn.IFS(A988="Bad", "Review Required", AND(A988="Good",J988&gt;7000),"VIP Client", AND(A988="Good", J988&lt;=7000),"Standart Client")</f>
        <v>Standart Client</v>
      </c>
    </row>
    <row r="989" spans="1:14" x14ac:dyDescent="0.3">
      <c r="A989" t="s">
        <v>34</v>
      </c>
      <c r="B989" t="s">
        <v>81</v>
      </c>
      <c r="C989" t="s">
        <v>94</v>
      </c>
      <c r="D989" t="s">
        <v>99</v>
      </c>
      <c r="E989" t="s">
        <v>122</v>
      </c>
      <c r="F989" t="s">
        <v>126</v>
      </c>
      <c r="G989" t="s">
        <v>114</v>
      </c>
      <c r="H989" t="s">
        <v>120</v>
      </c>
      <c r="I989">
        <v>42</v>
      </c>
      <c r="J989" s="11">
        <v>6289</v>
      </c>
      <c r="K989">
        <v>33</v>
      </c>
      <c r="L989" t="str" cm="1">
        <f t="array" ref="L989">_xlfn.IFS(J989&gt;5000,"Hight",J989&gt;2000,"Medium",TRUE,"Low")</f>
        <v>Hight</v>
      </c>
      <c r="M989" t="str" cm="1">
        <f t="array" ref="M989">_xlfn.IFS(I989&lt;12,"Low-Term",I989&gt;=36,"Long-Term",TRUE,"Medium-Term")</f>
        <v>Long-Term</v>
      </c>
      <c r="N989" t="str" cm="1">
        <f t="array" ref="N989">_xlfn.IFS(A989="Bad", "Review Required", AND(A989="Good",J989&gt;7000),"VIP Client", AND(A989="Good", J989&lt;=7000),"Standart Client")</f>
        <v>Standart Client</v>
      </c>
    </row>
    <row r="990" spans="1:14" x14ac:dyDescent="0.3">
      <c r="A990" t="s">
        <v>34</v>
      </c>
      <c r="B990" t="s">
        <v>78</v>
      </c>
      <c r="C990" t="s">
        <v>89</v>
      </c>
      <c r="D990" t="s">
        <v>100</v>
      </c>
      <c r="E990" t="s">
        <v>124</v>
      </c>
      <c r="F990" t="s">
        <v>125</v>
      </c>
      <c r="G990" t="s">
        <v>114</v>
      </c>
      <c r="H990" t="s">
        <v>120</v>
      </c>
      <c r="I990">
        <v>13</v>
      </c>
      <c r="J990" s="11">
        <v>1409</v>
      </c>
      <c r="K990">
        <v>64</v>
      </c>
      <c r="L990" t="str" cm="1">
        <f t="array" ref="L990">_xlfn.IFS(J990&gt;5000,"Hight",J990&gt;2000,"Medium",TRUE,"Low")</f>
        <v>Low</v>
      </c>
      <c r="M990" t="str" cm="1">
        <f t="array" ref="M990">_xlfn.IFS(I990&lt;12,"Low-Term",I990&gt;=36,"Long-Term",TRUE,"Medium-Term")</f>
        <v>Medium-Term</v>
      </c>
      <c r="N990" t="str" cm="1">
        <f t="array" ref="N990">_xlfn.IFS(A990="Bad", "Review Required", AND(A990="Good",J990&gt;7000),"VIP Client", AND(A990="Good", J990&lt;=7000),"Standart Client")</f>
        <v>Standart Client</v>
      </c>
    </row>
    <row r="991" spans="1:14" x14ac:dyDescent="0.3">
      <c r="A991" t="s">
        <v>34</v>
      </c>
      <c r="B991" t="s">
        <v>80</v>
      </c>
      <c r="C991" t="s">
        <v>87</v>
      </c>
      <c r="D991" t="s">
        <v>99</v>
      </c>
      <c r="E991" t="s">
        <v>122</v>
      </c>
      <c r="F991" t="s">
        <v>123</v>
      </c>
      <c r="G991" t="s">
        <v>115</v>
      </c>
      <c r="H991" t="s">
        <v>121</v>
      </c>
      <c r="I991">
        <v>24</v>
      </c>
      <c r="J991" s="11">
        <v>6579</v>
      </c>
      <c r="K991">
        <v>29</v>
      </c>
      <c r="L991" t="str" cm="1">
        <f t="array" ref="L991">_xlfn.IFS(J991&gt;5000,"Hight",J991&gt;2000,"Medium",TRUE,"Low")</f>
        <v>Hight</v>
      </c>
      <c r="M991" t="str" cm="1">
        <f t="array" ref="M991">_xlfn.IFS(I991&lt;12,"Low-Term",I991&gt;=36,"Long-Term",TRUE,"Medium-Term")</f>
        <v>Medium-Term</v>
      </c>
      <c r="N991" t="str" cm="1">
        <f t="array" ref="N991">_xlfn.IFS(A991="Bad", "Review Required", AND(A991="Good",J991&gt;7000),"VIP Client", AND(A991="Good", J991&lt;=7000),"Standart Client")</f>
        <v>Standart Client</v>
      </c>
    </row>
    <row r="992" spans="1:14" x14ac:dyDescent="0.3">
      <c r="A992" t="s">
        <v>34</v>
      </c>
      <c r="B992" t="s">
        <v>77</v>
      </c>
      <c r="C992" t="s">
        <v>89</v>
      </c>
      <c r="D992" t="s">
        <v>99</v>
      </c>
      <c r="E992" t="s">
        <v>122</v>
      </c>
      <c r="F992" t="s">
        <v>123</v>
      </c>
      <c r="G992" t="s">
        <v>113</v>
      </c>
      <c r="H992" t="s">
        <v>120</v>
      </c>
      <c r="I992">
        <v>24</v>
      </c>
      <c r="J992" s="11">
        <v>1743</v>
      </c>
      <c r="K992">
        <v>48</v>
      </c>
      <c r="L992" t="str" cm="1">
        <f t="array" ref="L992">_xlfn.IFS(J992&gt;5000,"Hight",J992&gt;2000,"Medium",TRUE,"Low")</f>
        <v>Low</v>
      </c>
      <c r="M992" t="str" cm="1">
        <f t="array" ref="M992">_xlfn.IFS(I992&lt;12,"Low-Term",I992&gt;=36,"Long-Term",TRUE,"Medium-Term")</f>
        <v>Medium-Term</v>
      </c>
      <c r="N992" t="str" cm="1">
        <f t="array" ref="N992">_xlfn.IFS(A992="Bad", "Review Required", AND(A992="Good",J992&gt;7000),"VIP Client", AND(A992="Good", J992&lt;=7000),"Standart Client")</f>
        <v>Standart Client</v>
      </c>
    </row>
    <row r="993" spans="1:14" x14ac:dyDescent="0.3">
      <c r="A993" t="s">
        <v>34</v>
      </c>
      <c r="B993" t="s">
        <v>78</v>
      </c>
      <c r="C993" t="s">
        <v>92</v>
      </c>
      <c r="D993" t="s">
        <v>78</v>
      </c>
      <c r="E993" t="s">
        <v>122</v>
      </c>
      <c r="F993" t="s">
        <v>123</v>
      </c>
      <c r="G993" t="s">
        <v>113</v>
      </c>
      <c r="H993" t="s">
        <v>120</v>
      </c>
      <c r="I993">
        <v>12</v>
      </c>
      <c r="J993" s="11">
        <v>3565</v>
      </c>
      <c r="K993">
        <v>37</v>
      </c>
      <c r="L993" t="str" cm="1">
        <f t="array" ref="L993">_xlfn.IFS(J993&gt;5000,"Hight",J993&gt;2000,"Medium",TRUE,"Low")</f>
        <v>Medium</v>
      </c>
      <c r="M993" t="str" cm="1">
        <f t="array" ref="M993">_xlfn.IFS(I993&lt;12,"Low-Term",I993&gt;=36,"Long-Term",TRUE,"Medium-Term")</f>
        <v>Medium-Term</v>
      </c>
      <c r="N993" t="str" cm="1">
        <f t="array" ref="N993">_xlfn.IFS(A993="Bad", "Review Required", AND(A993="Good",J993&gt;7000),"VIP Client", AND(A993="Good", J993&lt;=7000),"Standart Client")</f>
        <v>Standart Client</v>
      </c>
    </row>
    <row r="994" spans="1:14" x14ac:dyDescent="0.3">
      <c r="A994" t="s">
        <v>34</v>
      </c>
      <c r="B994" t="s">
        <v>78</v>
      </c>
      <c r="C994" t="s">
        <v>89</v>
      </c>
      <c r="D994" t="s">
        <v>100</v>
      </c>
      <c r="E994" t="s">
        <v>122</v>
      </c>
      <c r="F994" t="s">
        <v>123</v>
      </c>
      <c r="G994" t="s">
        <v>113</v>
      </c>
      <c r="H994" t="s">
        <v>120</v>
      </c>
      <c r="I994">
        <v>15</v>
      </c>
      <c r="J994" s="11">
        <v>1569</v>
      </c>
      <c r="K994">
        <v>34</v>
      </c>
      <c r="L994" t="str" cm="1">
        <f t="array" ref="L994">_xlfn.IFS(J994&gt;5000,"Hight",J994&gt;2000,"Medium",TRUE,"Low")</f>
        <v>Low</v>
      </c>
      <c r="M994" t="str" cm="1">
        <f t="array" ref="M994">_xlfn.IFS(I994&lt;12,"Low-Term",I994&gt;=36,"Long-Term",TRUE,"Medium-Term")</f>
        <v>Medium-Term</v>
      </c>
      <c r="N994" t="str" cm="1">
        <f t="array" ref="N994">_xlfn.IFS(A994="Bad", "Review Required", AND(A994="Good",J994&gt;7000),"VIP Client", AND(A994="Good", J994&lt;=7000),"Standart Client")</f>
        <v>Standart Client</v>
      </c>
    </row>
    <row r="995" spans="1:14" x14ac:dyDescent="0.3">
      <c r="A995" t="s">
        <v>34</v>
      </c>
      <c r="B995" t="s">
        <v>80</v>
      </c>
      <c r="C995" t="s">
        <v>89</v>
      </c>
      <c r="D995" t="s">
        <v>78</v>
      </c>
      <c r="E995" t="s">
        <v>122</v>
      </c>
      <c r="F995" t="s">
        <v>127</v>
      </c>
      <c r="G995" t="s">
        <v>113</v>
      </c>
      <c r="H995" t="s">
        <v>119</v>
      </c>
      <c r="I995">
        <v>18</v>
      </c>
      <c r="J995" s="11">
        <v>1936</v>
      </c>
      <c r="K995">
        <v>23</v>
      </c>
      <c r="L995" t="str" cm="1">
        <f t="array" ref="L995">_xlfn.IFS(J995&gt;5000,"Hight",J995&gt;2000,"Medium",TRUE,"Low")</f>
        <v>Low</v>
      </c>
      <c r="M995" t="str" cm="1">
        <f t="array" ref="M995">_xlfn.IFS(I995&lt;12,"Low-Term",I995&gt;=36,"Long-Term",TRUE,"Medium-Term")</f>
        <v>Medium-Term</v>
      </c>
      <c r="N995" t="str" cm="1">
        <f t="array" ref="N995">_xlfn.IFS(A995="Bad", "Review Required", AND(A995="Good",J995&gt;7000),"VIP Client", AND(A995="Good", J995&lt;=7000),"Standart Client")</f>
        <v>Standart Client</v>
      </c>
    </row>
    <row r="996" spans="1:14" x14ac:dyDescent="0.3">
      <c r="A996" t="s">
        <v>34</v>
      </c>
      <c r="B996" t="s">
        <v>80</v>
      </c>
      <c r="C996" t="s">
        <v>88</v>
      </c>
      <c r="D996" t="s">
        <v>99</v>
      </c>
      <c r="E996" t="s">
        <v>122</v>
      </c>
      <c r="F996" t="s">
        <v>123</v>
      </c>
      <c r="G996" t="s">
        <v>115</v>
      </c>
      <c r="H996" t="s">
        <v>120</v>
      </c>
      <c r="I996">
        <v>36</v>
      </c>
      <c r="J996" s="11">
        <v>3959</v>
      </c>
      <c r="K996">
        <v>30</v>
      </c>
      <c r="L996" t="str" cm="1">
        <f t="array" ref="L996">_xlfn.IFS(J996&gt;5000,"Hight",J996&gt;2000,"Medium",TRUE,"Low")</f>
        <v>Medium</v>
      </c>
      <c r="M996" t="str" cm="1">
        <f t="array" ref="M996">_xlfn.IFS(I996&lt;12,"Low-Term",I996&gt;=36,"Long-Term",TRUE,"Medium-Term")</f>
        <v>Long-Term</v>
      </c>
      <c r="N996" t="str" cm="1">
        <f t="array" ref="N996">_xlfn.IFS(A996="Bad", "Review Required", AND(A996="Good",J996&gt;7000),"VIP Client", AND(A996="Good", J996&lt;=7000),"Standart Client")</f>
        <v>Standart Client</v>
      </c>
    </row>
    <row r="997" spans="1:14" x14ac:dyDescent="0.3">
      <c r="A997" t="s">
        <v>34</v>
      </c>
      <c r="B997" t="s">
        <v>78</v>
      </c>
      <c r="C997" t="s">
        <v>86</v>
      </c>
      <c r="D997" t="s">
        <v>78</v>
      </c>
      <c r="E997" t="s">
        <v>122</v>
      </c>
      <c r="F997" t="s">
        <v>123</v>
      </c>
      <c r="G997" t="s">
        <v>114</v>
      </c>
      <c r="H997" t="s">
        <v>120</v>
      </c>
      <c r="I997">
        <v>12</v>
      </c>
      <c r="J997" s="11">
        <v>2390</v>
      </c>
      <c r="K997">
        <v>50</v>
      </c>
      <c r="L997" t="str" cm="1">
        <f t="array" ref="L997">_xlfn.IFS(J997&gt;5000,"Hight",J997&gt;2000,"Medium",TRUE,"Low")</f>
        <v>Medium</v>
      </c>
      <c r="M997" t="str" cm="1">
        <f t="array" ref="M997">_xlfn.IFS(I997&lt;12,"Low-Term",I997&gt;=36,"Long-Term",TRUE,"Medium-Term")</f>
        <v>Medium-Term</v>
      </c>
      <c r="N997" t="str" cm="1">
        <f t="array" ref="N997">_xlfn.IFS(A997="Bad", "Review Required", AND(A997="Good",J997&gt;7000),"VIP Client", AND(A997="Good", J997&lt;=7000),"Standart Client")</f>
        <v>Standart Client</v>
      </c>
    </row>
    <row r="998" spans="1:14" x14ac:dyDescent="0.3">
      <c r="A998" t="s">
        <v>34</v>
      </c>
      <c r="B998" t="s">
        <v>78</v>
      </c>
      <c r="C998" t="s">
        <v>88</v>
      </c>
      <c r="D998" t="s">
        <v>99</v>
      </c>
      <c r="E998" t="s">
        <v>124</v>
      </c>
      <c r="F998" t="s">
        <v>125</v>
      </c>
      <c r="G998" t="s">
        <v>113</v>
      </c>
      <c r="H998" t="s">
        <v>120</v>
      </c>
      <c r="I998">
        <v>12</v>
      </c>
      <c r="J998" s="11">
        <v>1736</v>
      </c>
      <c r="K998">
        <v>31</v>
      </c>
      <c r="L998" t="str" cm="1">
        <f t="array" ref="L998">_xlfn.IFS(J998&gt;5000,"Hight",J998&gt;2000,"Medium",TRUE,"Low")</f>
        <v>Low</v>
      </c>
      <c r="M998" t="str" cm="1">
        <f t="array" ref="M998">_xlfn.IFS(I998&lt;12,"Low-Term",I998&gt;=36,"Long-Term",TRUE,"Medium-Term")</f>
        <v>Medium-Term</v>
      </c>
      <c r="N998" t="str" cm="1">
        <f t="array" ref="N998">_xlfn.IFS(A998="Bad", "Review Required", AND(A998="Good",J998&gt;7000),"VIP Client", AND(A998="Good", J998&lt;=7000),"Standart Client")</f>
        <v>Standart Client</v>
      </c>
    </row>
    <row r="999" spans="1:14" x14ac:dyDescent="0.3">
      <c r="A999" t="s">
        <v>34</v>
      </c>
      <c r="B999" t="s">
        <v>80</v>
      </c>
      <c r="C999" t="s">
        <v>87</v>
      </c>
      <c r="D999" t="s">
        <v>99</v>
      </c>
      <c r="E999" t="s">
        <v>122</v>
      </c>
      <c r="F999" t="s">
        <v>126</v>
      </c>
      <c r="G999" t="s">
        <v>115</v>
      </c>
      <c r="H999" t="s">
        <v>120</v>
      </c>
      <c r="I999">
        <v>30</v>
      </c>
      <c r="J999" s="11">
        <v>3857</v>
      </c>
      <c r="K999">
        <v>40</v>
      </c>
      <c r="L999" t="str" cm="1">
        <f t="array" ref="L999">_xlfn.IFS(J999&gt;5000,"Hight",J999&gt;2000,"Medium",TRUE,"Low")</f>
        <v>Medium</v>
      </c>
      <c r="M999" t="str" cm="1">
        <f t="array" ref="M999">_xlfn.IFS(I999&lt;12,"Low-Term",I999&gt;=36,"Long-Term",TRUE,"Medium-Term")</f>
        <v>Medium-Term</v>
      </c>
      <c r="N999" t="str" cm="1">
        <f t="array" ref="N999">_xlfn.IFS(A999="Bad", "Review Required", AND(A999="Good",J999&gt;7000),"VIP Client", AND(A999="Good", J999&lt;=7000),"Standart Client")</f>
        <v>Standart Client</v>
      </c>
    </row>
    <row r="1000" spans="1:14" x14ac:dyDescent="0.3">
      <c r="A1000" t="s">
        <v>34</v>
      </c>
      <c r="B1000" t="s">
        <v>78</v>
      </c>
      <c r="C1000" t="s">
        <v>89</v>
      </c>
      <c r="D1000" t="s">
        <v>99</v>
      </c>
      <c r="E1000" t="s">
        <v>122</v>
      </c>
      <c r="F1000" t="s">
        <v>123</v>
      </c>
      <c r="G1000" t="s">
        <v>114</v>
      </c>
      <c r="H1000" t="s">
        <v>120</v>
      </c>
      <c r="I1000">
        <v>12</v>
      </c>
      <c r="J1000" s="11">
        <v>804</v>
      </c>
      <c r="K1000">
        <v>38</v>
      </c>
      <c r="L1000" t="str" cm="1">
        <f t="array" ref="L1000">_xlfn.IFS(J1000&gt;5000,"Hight",J1000&gt;2000,"Medium",TRUE,"Low")</f>
        <v>Low</v>
      </c>
      <c r="M1000" t="str" cm="1">
        <f t="array" ref="M1000">_xlfn.IFS(I1000&lt;12,"Low-Term",I1000&gt;=36,"Long-Term",TRUE,"Medium-Term")</f>
        <v>Medium-Term</v>
      </c>
      <c r="N1000" t="str" cm="1">
        <f t="array" ref="N1000">_xlfn.IFS(A1000="Bad", "Review Required", AND(A1000="Good",J1000&gt;7000),"VIP Client", AND(A1000="Good", J1000&lt;=7000),"Standart Client")</f>
        <v>Standart Client</v>
      </c>
    </row>
    <row r="1001" spans="1:14" x14ac:dyDescent="0.3">
      <c r="A1001" t="s">
        <v>34</v>
      </c>
      <c r="B1001" t="s">
        <v>77</v>
      </c>
      <c r="C1001" t="s">
        <v>87</v>
      </c>
      <c r="D1001" t="s">
        <v>100</v>
      </c>
      <c r="E1001" t="s">
        <v>122</v>
      </c>
      <c r="F1001" t="s">
        <v>123</v>
      </c>
      <c r="G1001" t="s">
        <v>114</v>
      </c>
      <c r="H1001" t="s">
        <v>120</v>
      </c>
      <c r="I1001">
        <v>45</v>
      </c>
      <c r="J1001" s="11">
        <v>4576</v>
      </c>
      <c r="K1001">
        <v>27</v>
      </c>
      <c r="L1001" t="str" cm="1">
        <f t="array" ref="L1001">_xlfn.IFS(J1001&gt;5000,"Hight",J1001&gt;2000,"Medium",TRUE,"Low")</f>
        <v>Medium</v>
      </c>
      <c r="M1001" t="str" cm="1">
        <f t="array" ref="M1001">_xlfn.IFS(I1001&lt;12,"Low-Term",I1001&gt;=36,"Long-Term",TRUE,"Medium-Term")</f>
        <v>Long-Term</v>
      </c>
      <c r="N1001" t="str" cm="1">
        <f t="array" ref="N1001">_xlfn.IFS(A1001="Bad", "Review Required", AND(A1001="Good",J1001&gt;7000),"VIP Client", AND(A1001="Good", J1001&lt;=7000),"Standart Client")</f>
        <v>Standart Client</v>
      </c>
    </row>
  </sheetData>
  <conditionalFormatting sqref="A2:A1001">
    <cfRule type="cellIs" dxfId="7" priority="1" operator="equal">
      <formula>"Good"</formula>
    </cfRule>
    <cfRule type="containsText" dxfId="6" priority="2" operator="containsText" text="Bad">
      <formula>NOT(ISERROR(SEARCH("Bad",A2)))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B4B8-3787-4D3B-AECE-3DE187BB617C}">
  <dimension ref="A1:J30"/>
  <sheetViews>
    <sheetView tabSelected="1" zoomScale="104" workbookViewId="0">
      <selection activeCell="D19" sqref="D19"/>
    </sheetView>
  </sheetViews>
  <sheetFormatPr defaultRowHeight="14.4" x14ac:dyDescent="0.3"/>
  <cols>
    <col min="1" max="1" width="22.109375" bestFit="1" customWidth="1"/>
    <col min="2" max="2" width="17.21875" bestFit="1" customWidth="1"/>
    <col min="3" max="3" width="17.6640625" bestFit="1" customWidth="1"/>
    <col min="4" max="4" width="18.77734375" bestFit="1" customWidth="1"/>
    <col min="5" max="5" width="18.6640625" bestFit="1" customWidth="1"/>
    <col min="6" max="6" width="9.88671875" customWidth="1"/>
    <col min="7" max="7" width="22.109375" bestFit="1" customWidth="1"/>
    <col min="8" max="8" width="12" bestFit="1" customWidth="1"/>
    <col min="9" max="9" width="12.6640625" bestFit="1" customWidth="1"/>
    <col min="10" max="10" width="8.44140625" bestFit="1" customWidth="1"/>
  </cols>
  <sheetData>
    <row r="1" spans="1:10" x14ac:dyDescent="0.3">
      <c r="A1" s="2" t="s">
        <v>110</v>
      </c>
      <c r="B1" t="s">
        <v>122</v>
      </c>
      <c r="D1" s="2" t="s">
        <v>116</v>
      </c>
      <c r="E1" t="s">
        <v>113</v>
      </c>
      <c r="G1" s="2" t="s">
        <v>129</v>
      </c>
      <c r="H1" t="s">
        <v>132</v>
      </c>
    </row>
    <row r="2" spans="1:10" x14ac:dyDescent="0.3">
      <c r="D2" s="2" t="s">
        <v>117</v>
      </c>
      <c r="E2" t="s">
        <v>119</v>
      </c>
    </row>
    <row r="3" spans="1:10" x14ac:dyDescent="0.3">
      <c r="A3" s="4" t="s">
        <v>3</v>
      </c>
      <c r="B3" t="s">
        <v>133</v>
      </c>
      <c r="G3" s="2" t="s">
        <v>130</v>
      </c>
      <c r="H3" t="s">
        <v>140</v>
      </c>
      <c r="I3" t="s">
        <v>141</v>
      </c>
      <c r="J3" t="s">
        <v>139</v>
      </c>
    </row>
    <row r="4" spans="1:10" x14ac:dyDescent="0.3">
      <c r="A4" s="3" t="s">
        <v>94</v>
      </c>
      <c r="B4" s="11">
        <v>4392.5256410256407</v>
      </c>
      <c r="D4" s="2" t="s">
        <v>147</v>
      </c>
      <c r="E4" t="s">
        <v>146</v>
      </c>
      <c r="G4" s="3" t="s">
        <v>136</v>
      </c>
      <c r="H4" s="11">
        <v>8962.7307692307695</v>
      </c>
      <c r="I4" s="12">
        <v>36.269230769230766</v>
      </c>
      <c r="J4" s="12">
        <v>37.46153846153846</v>
      </c>
    </row>
    <row r="5" spans="1:10" x14ac:dyDescent="0.3">
      <c r="A5" s="3" t="s">
        <v>86</v>
      </c>
      <c r="B5" s="11">
        <v>3289.8719512195121</v>
      </c>
      <c r="D5" s="3" t="s">
        <v>77</v>
      </c>
      <c r="E5" s="1">
        <v>0.54470050215208032</v>
      </c>
      <c r="G5" s="10" t="s">
        <v>94</v>
      </c>
      <c r="H5" s="11">
        <v>9684.538461538461</v>
      </c>
      <c r="I5" s="12">
        <v>43.153846153846153</v>
      </c>
      <c r="J5" s="12">
        <v>38.769230769230766</v>
      </c>
    </row>
    <row r="6" spans="1:10" x14ac:dyDescent="0.3">
      <c r="A6" s="3" t="s">
        <v>87</v>
      </c>
      <c r="B6" s="11">
        <v>5235.2911392405067</v>
      </c>
      <c r="D6" s="3" t="s">
        <v>80</v>
      </c>
      <c r="E6" s="1">
        <v>0.50058742901899356</v>
      </c>
      <c r="G6" s="10" t="s">
        <v>86</v>
      </c>
      <c r="H6" s="11">
        <v>9432.5789473684217</v>
      </c>
      <c r="I6" s="12">
        <v>31.210526315789473</v>
      </c>
      <c r="J6" s="12">
        <v>37.368421052631582</v>
      </c>
    </row>
    <row r="7" spans="1:10" x14ac:dyDescent="0.3">
      <c r="A7" s="3" t="s">
        <v>90</v>
      </c>
      <c r="B7" s="11">
        <v>1586.1666666666667</v>
      </c>
      <c r="D7" s="3" t="s">
        <v>78</v>
      </c>
      <c r="E7" s="1">
        <v>0.42040172408935966</v>
      </c>
      <c r="G7" s="10" t="s">
        <v>87</v>
      </c>
      <c r="H7" s="11">
        <v>9085.1428571428569</v>
      </c>
      <c r="I7" s="12">
        <v>32.785714285714285</v>
      </c>
      <c r="J7" s="12">
        <v>41.071428571428569</v>
      </c>
    </row>
    <row r="8" spans="1:10" x14ac:dyDescent="0.3">
      <c r="A8" s="3" t="s">
        <v>92</v>
      </c>
      <c r="B8" s="11">
        <v>3899.1724137931033</v>
      </c>
      <c r="D8" s="3" t="s">
        <v>81</v>
      </c>
      <c r="E8" s="1">
        <v>0</v>
      </c>
      <c r="G8" s="10" t="s">
        <v>92</v>
      </c>
      <c r="H8" s="11">
        <v>7679</v>
      </c>
      <c r="I8" s="12">
        <v>42.666666666666664</v>
      </c>
      <c r="J8" s="12">
        <v>36.666666666666664</v>
      </c>
    </row>
    <row r="9" spans="1:10" x14ac:dyDescent="0.3">
      <c r="A9" s="3" t="s">
        <v>88</v>
      </c>
      <c r="B9" s="11">
        <v>3269.1121495327102</v>
      </c>
      <c r="D9" s="3" t="s">
        <v>131</v>
      </c>
      <c r="E9" s="1">
        <v>0.46954297861033611</v>
      </c>
      <c r="G9" s="10" t="s">
        <v>88</v>
      </c>
      <c r="H9" s="11">
        <v>7515.916666666667</v>
      </c>
      <c r="I9" s="12">
        <v>35</v>
      </c>
      <c r="J9" s="12">
        <v>35.583333333333336</v>
      </c>
    </row>
    <row r="10" spans="1:10" x14ac:dyDescent="0.3">
      <c r="A10" s="3" t="s">
        <v>95</v>
      </c>
      <c r="B10" s="11">
        <v>7061.2222222222226</v>
      </c>
      <c r="G10" s="10" t="s">
        <v>95</v>
      </c>
      <c r="H10" s="11">
        <v>14118</v>
      </c>
      <c r="I10" s="12">
        <v>39</v>
      </c>
      <c r="J10" s="12">
        <v>40</v>
      </c>
    </row>
    <row r="11" spans="1:10" x14ac:dyDescent="0.3">
      <c r="A11" s="3" t="s">
        <v>89</v>
      </c>
      <c r="B11" s="11">
        <v>2525.6358974358973</v>
      </c>
      <c r="G11" s="10" t="s">
        <v>89</v>
      </c>
      <c r="H11" s="11">
        <v>6894.2222222222226</v>
      </c>
      <c r="I11" s="12">
        <v>39.333333333333336</v>
      </c>
      <c r="J11" s="12">
        <v>32.444444444444443</v>
      </c>
    </row>
    <row r="12" spans="1:10" x14ac:dyDescent="0.3">
      <c r="A12" s="3" t="s">
        <v>91</v>
      </c>
      <c r="B12" s="11">
        <v>2905.0588235294117</v>
      </c>
      <c r="G12" s="10" t="s">
        <v>91</v>
      </c>
      <c r="H12" s="11">
        <v>11998</v>
      </c>
      <c r="I12" s="12">
        <v>30</v>
      </c>
      <c r="J12" s="12">
        <v>34</v>
      </c>
    </row>
    <row r="13" spans="1:10" x14ac:dyDescent="0.3">
      <c r="A13" s="3" t="s">
        <v>93</v>
      </c>
      <c r="B13" s="11">
        <v>930</v>
      </c>
      <c r="G13" s="3" t="s">
        <v>137</v>
      </c>
      <c r="H13" s="11">
        <v>5963.3454545454542</v>
      </c>
      <c r="I13" s="12">
        <v>27.454545454545453</v>
      </c>
      <c r="J13" s="12">
        <v>35.909090909090907</v>
      </c>
    </row>
    <row r="14" spans="1:10" x14ac:dyDescent="0.3">
      <c r="A14" s="3" t="s">
        <v>131</v>
      </c>
      <c r="B14" s="11">
        <v>3448.0405797101448</v>
      </c>
      <c r="G14" s="10" t="s">
        <v>94</v>
      </c>
      <c r="H14" s="11">
        <v>6202.75</v>
      </c>
      <c r="I14" s="12">
        <v>34.875</v>
      </c>
      <c r="J14" s="12">
        <v>32.75</v>
      </c>
    </row>
    <row r="15" spans="1:10" x14ac:dyDescent="0.3">
      <c r="G15" s="10" t="s">
        <v>86</v>
      </c>
      <c r="H15" s="11">
        <v>5975.2222222222226</v>
      </c>
      <c r="I15" s="12">
        <v>22</v>
      </c>
      <c r="J15" s="12">
        <v>37</v>
      </c>
    </row>
    <row r="16" spans="1:10" x14ac:dyDescent="0.3">
      <c r="G16" s="10" t="s">
        <v>87</v>
      </c>
      <c r="H16" s="11">
        <v>6106.7647058823532</v>
      </c>
      <c r="I16" s="12">
        <v>27.411764705882351</v>
      </c>
      <c r="J16" s="12">
        <v>37.823529411764703</v>
      </c>
    </row>
    <row r="17" spans="1:10" x14ac:dyDescent="0.3">
      <c r="A17" s="3" t="s">
        <v>144</v>
      </c>
      <c r="B17" s="11">
        <f>SUM(Ger_credit_clean_data!J2:J301)</f>
        <v>1181438</v>
      </c>
      <c r="G17" s="10" t="s">
        <v>92</v>
      </c>
      <c r="H17" s="11">
        <v>5926.5</v>
      </c>
      <c r="I17" s="12">
        <v>36</v>
      </c>
      <c r="J17" s="12">
        <v>27.5</v>
      </c>
    </row>
    <row r="18" spans="1:10" x14ac:dyDescent="0.3">
      <c r="A18" s="3" t="s">
        <v>143</v>
      </c>
      <c r="B18" s="11">
        <f>SUM(Таблиця3[Amount])</f>
        <v>3271258</v>
      </c>
      <c r="G18" s="10" t="s">
        <v>88</v>
      </c>
      <c r="H18" s="11">
        <v>5638.8</v>
      </c>
      <c r="I18" s="12">
        <v>22.8</v>
      </c>
      <c r="J18" s="12">
        <v>35.200000000000003</v>
      </c>
    </row>
    <row r="19" spans="1:10" x14ac:dyDescent="0.3">
      <c r="A19" t="s">
        <v>142</v>
      </c>
      <c r="B19">
        <f>B17/B18*100</f>
        <v>36.115708391083793</v>
      </c>
      <c r="G19" s="10" t="s">
        <v>95</v>
      </c>
      <c r="H19" s="11">
        <v>5847.5</v>
      </c>
      <c r="I19" s="12">
        <v>36</v>
      </c>
      <c r="J19" s="12">
        <v>33.5</v>
      </c>
    </row>
    <row r="20" spans="1:10" x14ac:dyDescent="0.3">
      <c r="G20" s="10" t="s">
        <v>89</v>
      </c>
      <c r="H20" s="11">
        <v>5791.8888888888887</v>
      </c>
      <c r="I20" s="12">
        <v>26.666666666666668</v>
      </c>
      <c r="J20" s="12">
        <v>33.666666666666664</v>
      </c>
    </row>
    <row r="21" spans="1:10" x14ac:dyDescent="0.3">
      <c r="G21" s="10" t="s">
        <v>91</v>
      </c>
      <c r="H21" s="11">
        <v>5633.666666666667</v>
      </c>
      <c r="I21" s="12">
        <v>23</v>
      </c>
      <c r="J21" s="12">
        <v>45.333333333333336</v>
      </c>
    </row>
    <row r="22" spans="1:10" x14ac:dyDescent="0.3">
      <c r="G22" s="3" t="s">
        <v>138</v>
      </c>
      <c r="H22" s="11">
        <v>9229.8545454545456</v>
      </c>
      <c r="I22" s="12">
        <v>37.763636363636365</v>
      </c>
      <c r="J22" s="12">
        <v>37.163636363636364</v>
      </c>
    </row>
    <row r="23" spans="1:10" x14ac:dyDescent="0.3">
      <c r="G23" s="10" t="s">
        <v>94</v>
      </c>
      <c r="H23" s="11">
        <v>9034.2000000000007</v>
      </c>
      <c r="I23" s="12">
        <v>39.6</v>
      </c>
      <c r="J23" s="12">
        <v>37.4</v>
      </c>
    </row>
    <row r="24" spans="1:10" x14ac:dyDescent="0.3">
      <c r="G24" s="10" t="s">
        <v>86</v>
      </c>
      <c r="H24" s="11">
        <v>9297.1666666666661</v>
      </c>
      <c r="I24" s="12">
        <v>36.666666666666664</v>
      </c>
      <c r="J24" s="12">
        <v>42.083333333333336</v>
      </c>
    </row>
    <row r="25" spans="1:10" x14ac:dyDescent="0.3">
      <c r="G25" s="10" t="s">
        <v>87</v>
      </c>
      <c r="H25" s="11">
        <v>8697.6111111111113</v>
      </c>
      <c r="I25" s="12">
        <v>32.944444444444443</v>
      </c>
      <c r="J25" s="12">
        <v>38.388888888888886</v>
      </c>
    </row>
    <row r="26" spans="1:10" x14ac:dyDescent="0.3">
      <c r="G26" s="10" t="s">
        <v>92</v>
      </c>
      <c r="H26" s="11">
        <v>9190.5</v>
      </c>
      <c r="I26" s="12">
        <v>35.25</v>
      </c>
      <c r="J26" s="12">
        <v>35</v>
      </c>
    </row>
    <row r="27" spans="1:10" x14ac:dyDescent="0.3">
      <c r="G27" s="10" t="s">
        <v>88</v>
      </c>
      <c r="H27" s="11">
        <v>8966.7999999999993</v>
      </c>
      <c r="I27" s="12">
        <v>31.8</v>
      </c>
      <c r="J27" s="12">
        <v>37</v>
      </c>
    </row>
    <row r="28" spans="1:10" x14ac:dyDescent="0.3">
      <c r="G28" s="10" t="s">
        <v>95</v>
      </c>
      <c r="H28" s="11">
        <v>11719.5</v>
      </c>
      <c r="I28" s="12">
        <v>42</v>
      </c>
      <c r="J28" s="12">
        <v>37</v>
      </c>
    </row>
    <row r="29" spans="1:10" x14ac:dyDescent="0.3">
      <c r="G29" s="10" t="s">
        <v>89</v>
      </c>
      <c r="H29" s="11">
        <v>9923.6666666666661</v>
      </c>
      <c r="I29" s="12">
        <v>51.333333333333336</v>
      </c>
      <c r="J29" s="12">
        <v>29.111111111111111</v>
      </c>
    </row>
    <row r="30" spans="1:10" x14ac:dyDescent="0.3">
      <c r="G30" s="3" t="s">
        <v>131</v>
      </c>
      <c r="H30" s="11">
        <v>8163.3989361702124</v>
      </c>
      <c r="I30" s="12">
        <v>34.127659574468083</v>
      </c>
      <c r="J30" s="12">
        <v>36.920212765957444</v>
      </c>
    </row>
  </sheetData>
  <phoneticPr fontId="3" type="noConversion"/>
  <pageMargins left="0.7" right="0.7" top="0.75" bottom="0.75" header="0.3" footer="0.3"/>
  <ignoredErrors>
    <ignoredError sqref="B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A17A4-6BAB-4E0D-B5E6-69D86A601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german_credit_original</vt:lpstr>
      <vt:lpstr>Ger_credit_transform</vt:lpstr>
      <vt:lpstr>Dictonary</vt:lpstr>
      <vt:lpstr>Ger_credit_clean_data</vt:lpstr>
      <vt:lpstr>PivotTables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Smolianinova</dc:creator>
  <cp:lastModifiedBy>Olha Smolianinova</cp:lastModifiedBy>
  <dcterms:created xsi:type="dcterms:W3CDTF">2015-06-05T18:19:34Z</dcterms:created>
  <dcterms:modified xsi:type="dcterms:W3CDTF">2026-01-30T19:13:28Z</dcterms:modified>
</cp:coreProperties>
</file>